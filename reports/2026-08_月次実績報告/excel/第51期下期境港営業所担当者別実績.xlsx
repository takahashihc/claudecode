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externalReferences>
    <externalReference xmlns:r="http://schemas.openxmlformats.org/officeDocument/2006/relationships" r:id="rId5"/>
  </externalReferences>
  <definedNames>
    <definedName name="_xlnm.Print_Area" localSheetId="0">'包装資材'!$C$1:$Y$126</definedName>
    <definedName name="_xlnm.Print_Area" localSheetId="1">'機械'!$C$1:$Y$126</definedName>
    <definedName name="_xlnm.Print_Area" localSheetId="2">'全体'!$C$1:$Y$126</definedName>
    <definedName name="_xlnm.Print_Area" localSheetId="3">'総括'!$D$1:$U$27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8" tint="-0.249977111117893"/>
      <sz val="11"/>
      <scheme val="minor"/>
    </font>
    <font>
      <name val="游ゴシック"/>
      <charset val="128"/>
      <family val="2"/>
      <sz val="11"/>
      <scheme val="minor"/>
    </font>
    <font>
      <name val="游ゴシック"/>
      <charset val="128"/>
      <family val="3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</fills>
  <borders count="49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0" fontId="5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21" applyAlignment="1" pivotButton="0" quotePrefix="0" xfId="0">
      <alignment vertical="center"/>
    </xf>
    <xf numFmtId="0" fontId="0" fillId="0" borderId="22" applyAlignment="1" pivotButton="0" quotePrefix="0" xfId="0">
      <alignment vertical="center"/>
    </xf>
    <xf numFmtId="164" fontId="0" fillId="0" borderId="26" applyAlignment="1" pivotButton="0" quotePrefix="0" xfId="2">
      <alignment vertical="center"/>
    </xf>
    <xf numFmtId="164" fontId="0" fillId="0" borderId="27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38" fontId="0" fillId="0" borderId="34" applyAlignment="1" pivotButton="0" quotePrefix="0" xfId="1">
      <alignment vertical="center"/>
    </xf>
    <xf numFmtId="38" fontId="0" fillId="0" borderId="35" applyAlignment="1" pivotButton="0" quotePrefix="0" xfId="1">
      <alignment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0" fontId="0" fillId="0" borderId="38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38" fontId="6" fillId="0" borderId="5" applyAlignment="1" pivotButton="0" quotePrefix="0" xfId="1">
      <alignment vertical="center"/>
    </xf>
    <xf numFmtId="38" fontId="8" fillId="0" borderId="6" applyAlignment="1" pivotButton="0" quotePrefix="0" xfId="1">
      <alignment vertical="center"/>
    </xf>
    <xf numFmtId="38" fontId="8" fillId="0" borderId="17" applyAlignment="1" pivotButton="0" quotePrefix="0" xfId="1">
      <alignment vertical="center"/>
    </xf>
    <xf numFmtId="164" fontId="8" fillId="0" borderId="5" applyAlignment="1" pivotButton="0" quotePrefix="0" xfId="2">
      <alignment horizontal="right" vertical="center"/>
    </xf>
    <xf numFmtId="0" fontId="8" fillId="0" borderId="0" applyAlignment="1" pivotButton="0" quotePrefix="0" xfId="0">
      <alignment vertical="center"/>
    </xf>
    <xf numFmtId="164" fontId="1" fillId="0" borderId="5" applyAlignment="1" pivotButton="0" quotePrefix="0" xfId="2">
      <alignment horizontal="right" vertical="center"/>
    </xf>
    <xf numFmtId="38" fontId="1" fillId="0" borderId="5" applyAlignment="1" pivotButton="0" quotePrefix="0" xfId="1">
      <alignment vertical="center"/>
    </xf>
    <xf numFmtId="38" fontId="1" fillId="2" borderId="26" applyAlignment="1" pivotButton="0" quotePrefix="0" xfId="1">
      <alignment vertical="center"/>
    </xf>
    <xf numFmtId="164" fontId="1" fillId="0" borderId="17" applyAlignment="1" pivotButton="0" quotePrefix="0" xfId="2">
      <alignment horizontal="right" vertical="center"/>
    </xf>
    <xf numFmtId="38" fontId="1" fillId="0" borderId="4" applyAlignment="1" pivotButton="0" quotePrefix="0" xfId="1">
      <alignment vertical="center"/>
    </xf>
    <xf numFmtId="38" fontId="1" fillId="2" borderId="6" applyAlignment="1" pivotButton="0" quotePrefix="0" xfId="1">
      <alignment vertical="center"/>
    </xf>
    <xf numFmtId="38" fontId="8" fillId="2" borderId="26" applyAlignment="1" pivotButton="0" quotePrefix="0" xfId="1">
      <alignment vertical="center"/>
    </xf>
    <xf numFmtId="164" fontId="8" fillId="0" borderId="17" applyAlignment="1" pivotButton="0" quotePrefix="0" xfId="2">
      <alignment horizontal="right" vertical="center"/>
    </xf>
    <xf numFmtId="38" fontId="8" fillId="2" borderId="6" applyAlignment="1" pivotButton="0" quotePrefix="0" xfId="1">
      <alignment vertical="center"/>
    </xf>
    <xf numFmtId="38" fontId="6" fillId="0" borderId="4" applyAlignment="1" pivotButton="0" quotePrefix="0" xfId="1">
      <alignment vertical="center"/>
    </xf>
    <xf numFmtId="0" fontId="3" fillId="0" borderId="21" applyAlignment="1" pivotButton="0" quotePrefix="0" xfId="0">
      <alignment vertical="center"/>
    </xf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38" fontId="8" fillId="0" borderId="4" applyAlignment="1" pivotButton="0" quotePrefix="0" xfId="1">
      <alignment vertical="center"/>
    </xf>
    <xf numFmtId="38" fontId="7" fillId="2" borderId="26" applyAlignment="1" pivotButton="0" quotePrefix="0" xfId="1">
      <alignment vertical="center"/>
    </xf>
    <xf numFmtId="38" fontId="0" fillId="2" borderId="28" applyAlignment="1" pivotButton="0" quotePrefix="0" xfId="1">
      <alignment vertical="center"/>
    </xf>
    <xf numFmtId="164" fontId="0" fillId="0" borderId="41" applyAlignment="1" pivotButton="0" quotePrefix="0" xfId="2">
      <alignment horizontal="right" vertical="center"/>
    </xf>
    <xf numFmtId="0" fontId="0" fillId="0" borderId="1" applyAlignment="1" pivotButton="0" quotePrefix="0" xfId="0">
      <alignment vertical="center"/>
    </xf>
    <xf numFmtId="55" fontId="4" fillId="0" borderId="2" applyAlignment="1" pivotButton="0" quotePrefix="0" xfId="0">
      <alignment horizontal="center" vertical="center"/>
    </xf>
    <xf numFmtId="38" fontId="0" fillId="3" borderId="8" applyAlignment="1" pivotButton="0" quotePrefix="0" xfId="0">
      <alignment vertical="center"/>
    </xf>
    <xf numFmtId="0" fontId="0" fillId="2" borderId="3" applyAlignment="1" pivotButton="0" quotePrefix="0" xfId="0">
      <alignment horizontal="center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55" fontId="4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6" applyAlignment="1" pivotButton="0" quotePrefix="0" xfId="1">
      <alignment vertical="center"/>
    </xf>
    <xf numFmtId="38" fontId="7" fillId="0" borderId="5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38" fontId="0" fillId="0" borderId="43" applyAlignment="1" pivotButton="0" quotePrefix="0" xfId="1">
      <alignment vertical="center"/>
    </xf>
    <xf numFmtId="164" fontId="0" fillId="3" borderId="18" applyAlignment="1" pivotButton="0" quotePrefix="0" xfId="2">
      <alignment horizontal="right" vertical="center"/>
    </xf>
    <xf numFmtId="55" fontId="4" fillId="0" borderId="16" applyAlignment="1" pivotButton="0" quotePrefix="0" xfId="0">
      <alignment horizontal="center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38" fontId="6" fillId="0" borderId="43" applyAlignment="1" pivotButton="0" quotePrefix="0" xfId="1">
      <alignment vertical="center"/>
    </xf>
    <xf numFmtId="38" fontId="6" fillId="0" borderId="41" applyAlignment="1" pivotButton="0" quotePrefix="0" xfId="1">
      <alignment vertical="center"/>
    </xf>
    <xf numFmtId="164" fontId="0" fillId="0" borderId="42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0" fontId="0" fillId="0" borderId="44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0" fillId="0" borderId="0" pivotButton="0" quotePrefix="0" xfId="0"/>
    <xf numFmtId="38" fontId="8" fillId="0" borderId="0" applyAlignment="1" pivotButton="0" quotePrefix="0" xfId="0">
      <alignment vertical="center"/>
    </xf>
    <xf numFmtId="0" fontId="0" fillId="0" borderId="4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38" fontId="0" fillId="0" borderId="46" applyAlignment="1" pivotButton="0" quotePrefix="0" xfId="1">
      <alignment horizontal="center" vertical="center"/>
    </xf>
    <xf numFmtId="38" fontId="0" fillId="0" borderId="13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16" pivotButton="0" quotePrefix="0" xfId="0"/>
    <xf numFmtId="0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0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5" pivotButton="0" quotePrefix="0" xfId="0"/>
    <xf numFmtId="0" fontId="0" fillId="0" borderId="38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18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1" fillId="0" borderId="17" applyAlignment="1" pivotButton="0" quotePrefix="0" xfId="2">
      <alignment horizontal="right" vertical="center"/>
    </xf>
    <xf numFmtId="164" fontId="1" fillId="0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0" borderId="41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8" fillId="0" borderId="17" applyAlignment="1" pivotButton="0" quotePrefix="0" xfId="2">
      <alignment horizontal="right" vertical="center"/>
    </xf>
    <xf numFmtId="164" fontId="8" fillId="0" borderId="5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6" applyAlignment="1" pivotButton="0" quotePrefix="0" xfId="2">
      <alignment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7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22238;&#24489;&#12373;&#12428;&#12383;&#22806;&#37096;&#12522;&#12531;&#12463;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包装資材"/>
      <sheetName val="包装資材6月まで計画"/>
      <sheetName val="機械"/>
      <sheetName val="全体"/>
      <sheetName val="総括"/>
    </sheetNames>
    <sheetDataSet>
      <sheetData sheetId="0"/>
      <sheetData sheetId="1">
        <row r="47">
          <cell r="H47">
            <v>674.92600000000016</v>
          </cell>
          <cell r="I47">
            <v>688.51599999999962</v>
          </cell>
          <cell r="J47">
            <v>513.04800000000068</v>
          </cell>
          <cell r="O47">
            <v>131.00349999999986</v>
          </cell>
          <cell r="P47">
            <v>145.04199999999997</v>
          </cell>
          <cell r="Q47">
            <v>101.75249999999994</v>
          </cell>
        </row>
        <row r="49">
          <cell r="H49">
            <v>1010.1575000000003</v>
          </cell>
          <cell r="I49">
            <v>1482.6475</v>
          </cell>
          <cell r="J49">
            <v>1386.8894999999993</v>
          </cell>
          <cell r="O49">
            <v>191.32000000000039</v>
          </cell>
          <cell r="P49">
            <v>316.91850000000034</v>
          </cell>
          <cell r="Q49">
            <v>263.5605000000005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zoomScaleNormal="100" workbookViewId="0">
      <pane xSplit="4" ySplit="1" topLeftCell="E112" activePane="bottomRight" state="frozen"/>
      <selection activeCell="F110" sqref="F110"/>
      <selection pane="topRight" activeCell="F110" sqref="F110"/>
      <selection pane="bottomLeft" activeCell="F110" sqref="F110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境港営業所包装資材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2">
        <f>全体!E5-機械!E5</f>
        <v/>
      </c>
      <c r="F5" s="2">
        <f>全体!F5-機械!F5</f>
        <v/>
      </c>
      <c r="G5" s="2">
        <f>全体!G5-機械!G5</f>
        <v/>
      </c>
      <c r="H5" s="2">
        <f>全体!H5-機械!H5</f>
        <v/>
      </c>
      <c r="I5" s="2">
        <f>全体!I5-機械!I5</f>
        <v/>
      </c>
      <c r="J5" s="2">
        <f>全体!J5-機械!J5</f>
        <v/>
      </c>
      <c r="K5" s="73">
        <f>SUM(E5:J5)</f>
        <v/>
      </c>
      <c r="L5" s="2">
        <f>全体!L5-機械!L5</f>
        <v/>
      </c>
      <c r="M5" s="2">
        <f>全体!M5-機械!M5</f>
        <v/>
      </c>
      <c r="N5" s="2">
        <f>全体!N5-機械!N5</f>
        <v/>
      </c>
      <c r="O5" s="2">
        <f>全体!O5-機械!O5</f>
        <v/>
      </c>
      <c r="P5" s="2">
        <f>全体!P5-機械!P5</f>
        <v/>
      </c>
      <c r="Q5" s="2">
        <f>全体!Q5-機械!Q5</f>
        <v/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2">
        <f>全体!E6-機械!E6</f>
        <v/>
      </c>
      <c r="F6" s="2">
        <f>全体!F6-機械!F6</f>
        <v/>
      </c>
      <c r="G6" s="2">
        <f>全体!G6-機械!G6</f>
        <v/>
      </c>
      <c r="H6" s="2">
        <f>全体!H6-機械!H6</f>
        <v/>
      </c>
      <c r="I6" s="2">
        <f>全体!I6-機械!I6</f>
        <v/>
      </c>
      <c r="J6" s="2">
        <f>全体!J6-機械!J6</f>
        <v/>
      </c>
      <c r="K6" s="73">
        <f>SUM(E6:J6)</f>
        <v/>
      </c>
      <c r="L6" s="2">
        <f>全体!L6-機械!L6</f>
        <v/>
      </c>
      <c r="M6" s="2">
        <f>全体!M6-機械!M6</f>
        <v/>
      </c>
      <c r="N6" s="2">
        <f>全体!N6-機械!N6</f>
        <v/>
      </c>
      <c r="O6" s="2">
        <f>全体!O6-機械!O6</f>
        <v/>
      </c>
      <c r="P6" s="2">
        <f>全体!P6-機械!P6</f>
        <v/>
      </c>
      <c r="Q6" s="2">
        <f>全体!Q6-機械!Q6</f>
        <v/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2">
        <f>全体!E7-機械!E7</f>
        <v/>
      </c>
      <c r="F7" s="2">
        <f>全体!F7-機械!F7</f>
        <v/>
      </c>
      <c r="G7" s="2">
        <f>全体!G7-機械!G7</f>
        <v/>
      </c>
      <c r="H7" s="2">
        <f>全体!H7-機械!H7</f>
        <v/>
      </c>
      <c r="I7" s="2">
        <f>全体!I7-機械!I7</f>
        <v/>
      </c>
      <c r="J7" s="2">
        <f>全体!J7-機械!J7</f>
        <v/>
      </c>
      <c r="K7" s="73">
        <f>SUM(E7:J7)</f>
        <v/>
      </c>
      <c r="L7" s="2">
        <f>全体!L7-機械!L7</f>
        <v/>
      </c>
      <c r="M7" s="2">
        <f>全体!M7-機械!M7</f>
        <v/>
      </c>
      <c r="N7" s="2">
        <f>全体!N7-機械!N7</f>
        <v/>
      </c>
      <c r="O7" s="2">
        <f>全体!O7-機械!O7</f>
        <v/>
      </c>
      <c r="P7" s="2">
        <f>全体!P7-機械!P7</f>
        <v/>
      </c>
      <c r="Q7" s="2">
        <f>全体!Q7-機械!Q7</f>
        <v/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2">
        <f>全体!E8-機械!E8</f>
        <v/>
      </c>
      <c r="F8" s="2">
        <f>全体!F8-機械!F8</f>
        <v/>
      </c>
      <c r="G8" s="2">
        <f>全体!G8-機械!G8</f>
        <v/>
      </c>
      <c r="H8" s="2">
        <f>全体!H8-機械!H8</f>
        <v/>
      </c>
      <c r="I8" s="2">
        <f>全体!I8-機械!I8</f>
        <v/>
      </c>
      <c r="J8" s="2">
        <f>全体!J8-機械!J8</f>
        <v/>
      </c>
      <c r="K8" s="73">
        <f>SUM(E8:J8)</f>
        <v/>
      </c>
      <c r="L8" s="2">
        <f>全体!L8-機械!L8</f>
        <v/>
      </c>
      <c r="M8" s="2">
        <f>全体!M8-機械!M8</f>
        <v/>
      </c>
      <c r="N8" s="2">
        <f>全体!N8-機械!N8</f>
        <v/>
      </c>
      <c r="O8" s="2">
        <f>全体!O8-機械!O8</f>
        <v/>
      </c>
      <c r="P8" s="2">
        <f>全体!P8-機械!P8</f>
        <v/>
      </c>
      <c r="Q8" s="2">
        <f>全体!Q8-機械!Q8</f>
        <v/>
      </c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2">
        <f>全体!E9-機械!E9</f>
        <v/>
      </c>
      <c r="F9" s="2">
        <f>全体!F9-機械!F9</f>
        <v/>
      </c>
      <c r="G9" s="2">
        <f>全体!G9-機械!G9</f>
        <v/>
      </c>
      <c r="H9" s="2">
        <f>全体!H9-機械!H9</f>
        <v/>
      </c>
      <c r="I9" s="2">
        <f>全体!I9-機械!I9</f>
        <v/>
      </c>
      <c r="J9" s="2">
        <f>全体!J9-機械!J9</f>
        <v/>
      </c>
      <c r="K9" s="73">
        <f>SUM(E9:J9)</f>
        <v/>
      </c>
      <c r="L9" s="2">
        <f>全体!L9-機械!L9</f>
        <v/>
      </c>
      <c r="M9" s="2">
        <f>全体!M9-機械!M9</f>
        <v/>
      </c>
      <c r="N9" s="2">
        <f>全体!N9-機械!N9</f>
        <v/>
      </c>
      <c r="O9" s="2">
        <f>全体!O9-機械!O9</f>
        <v/>
      </c>
      <c r="P9" s="2">
        <f>全体!P9-機械!P9</f>
        <v/>
      </c>
      <c r="Q9" s="2">
        <f>全体!Q9-機械!Q9</f>
        <v/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69" t="inlineStr">
        <is>
          <t>白根主任</t>
        </is>
      </c>
      <c r="E10" s="45">
        <f>全体!E10-機械!E10</f>
        <v/>
      </c>
      <c r="F10" s="45">
        <f>全体!F10-機械!F10</f>
        <v/>
      </c>
      <c r="G10" s="45">
        <f>全体!G10-機械!G10</f>
        <v/>
      </c>
      <c r="H10" s="45">
        <f>全体!H10-機械!H10</f>
        <v/>
      </c>
      <c r="I10" s="45">
        <f>全体!I10-機械!I10</f>
        <v/>
      </c>
      <c r="J10" s="45">
        <f>全体!J10-機械!J10</f>
        <v/>
      </c>
      <c r="K10" s="73">
        <f>SUM(E10:J10)</f>
        <v/>
      </c>
      <c r="L10" s="45">
        <f>全体!L10-機械!L10</f>
        <v/>
      </c>
      <c r="M10" s="45">
        <f>全体!M10-機械!M10</f>
        <v/>
      </c>
      <c r="N10" s="45">
        <f>全体!N10-機械!N10</f>
        <v/>
      </c>
      <c r="O10" s="45">
        <f>全体!O10-機械!O10</f>
        <v/>
      </c>
      <c r="P10" s="45">
        <f>全体!P10-機械!P10</f>
        <v/>
      </c>
      <c r="Q10" s="45">
        <f>全体!Q10-機械!Q10</f>
        <v/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45">
        <f>全体!E11-機械!E11</f>
        <v/>
      </c>
      <c r="F11" s="45">
        <f>全体!F11-機械!F11</f>
        <v/>
      </c>
      <c r="G11" s="45">
        <f>全体!G11-機械!G11</f>
        <v/>
      </c>
      <c r="H11" s="45">
        <f>全体!H11-機械!H11</f>
        <v/>
      </c>
      <c r="I11" s="45">
        <f>全体!I11-機械!I11</f>
        <v/>
      </c>
      <c r="J11" s="45">
        <f>全体!J11-機械!J11</f>
        <v/>
      </c>
      <c r="K11" s="73">
        <f>SUM(E11:J11)</f>
        <v/>
      </c>
      <c r="L11" s="45">
        <f>全体!L11-機械!L11</f>
        <v/>
      </c>
      <c r="M11" s="45">
        <f>全体!M11-機械!M11</f>
        <v/>
      </c>
      <c r="N11" s="45">
        <f>全体!N11-機械!N11</f>
        <v/>
      </c>
      <c r="O11" s="45">
        <f>全体!O11-機械!O11</f>
        <v/>
      </c>
      <c r="P11" s="45">
        <f>全体!P11-機械!P11</f>
        <v/>
      </c>
      <c r="Q11" s="45">
        <f>全体!Q11-機械!Q11</f>
        <v/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2">
        <f>全体!E12-機械!E12</f>
        <v/>
      </c>
      <c r="F12" s="2">
        <f>全体!F12-機械!F12</f>
        <v/>
      </c>
      <c r="G12" s="2">
        <f>全体!G12-機械!G12</f>
        <v/>
      </c>
      <c r="H12" s="2">
        <f>全体!H12-機械!H12</f>
        <v/>
      </c>
      <c r="I12" s="2">
        <f>全体!I12-機械!I12</f>
        <v/>
      </c>
      <c r="J12" s="2">
        <f>全体!J12-機械!J12</f>
        <v/>
      </c>
      <c r="K12" s="73">
        <f>SUM(E12:J12)</f>
        <v/>
      </c>
      <c r="L12" s="2">
        <f>全体!L12-機械!L12</f>
        <v/>
      </c>
      <c r="M12" s="2">
        <f>全体!M12-機械!M12</f>
        <v/>
      </c>
      <c r="N12" s="2">
        <f>全体!N12-機械!N12</f>
        <v/>
      </c>
      <c r="O12" s="2">
        <f>全体!O12-機械!O12</f>
        <v/>
      </c>
      <c r="P12" s="2">
        <f>全体!P12-機械!P12</f>
        <v/>
      </c>
      <c r="Q12" s="2">
        <f>全体!Q12-機械!Q12</f>
        <v/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1">
        <f>全体!E13-機械!E13</f>
        <v/>
      </c>
      <c r="F13" s="86">
        <f>全体!F13-機械!F13</f>
        <v/>
      </c>
      <c r="G13" s="86">
        <f>全体!G13-機械!G13</f>
        <v/>
      </c>
      <c r="H13" s="86">
        <f>全体!H13-機械!H13</f>
        <v/>
      </c>
      <c r="I13" s="86">
        <f>全体!I13-機械!I13</f>
        <v/>
      </c>
      <c r="J13" s="86">
        <f>全体!J13-機械!J13</f>
        <v/>
      </c>
      <c r="K13" s="73">
        <f>SUM(E13:J13)</f>
        <v/>
      </c>
      <c r="L13" s="81">
        <f>全体!L13-機械!L13</f>
        <v/>
      </c>
      <c r="M13" s="86">
        <f>全体!M13-機械!M13</f>
        <v/>
      </c>
      <c r="N13" s="86">
        <f>全体!N13-機械!N13</f>
        <v/>
      </c>
      <c r="O13" s="86">
        <f>全体!O13-機械!O13</f>
        <v/>
      </c>
      <c r="P13" s="86">
        <f>全体!P13-機械!P13</f>
        <v/>
      </c>
      <c r="Q13" s="86">
        <f>全体!Q13-機械!Q13</f>
        <v/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>
        <f>全体!E19-機械!E19</f>
        <v/>
      </c>
      <c r="F19" s="2">
        <f>全体!F19-機械!F19</f>
        <v/>
      </c>
      <c r="G19" s="2">
        <f>全体!G19-機械!G19</f>
        <v/>
      </c>
      <c r="H19" s="2">
        <f>全体!H19-機械!H19</f>
        <v/>
      </c>
      <c r="I19" s="2">
        <f>全体!I19-機械!I19</f>
        <v/>
      </c>
      <c r="J19" s="2">
        <f>全体!J19-機械!J19</f>
        <v/>
      </c>
      <c r="K19" s="79">
        <f>SUM(E19:J19)</f>
        <v/>
      </c>
      <c r="L19" s="1">
        <f>全体!L19-機械!L19</f>
        <v/>
      </c>
      <c r="M19" s="2">
        <f>全体!M19-機械!M19</f>
        <v/>
      </c>
      <c r="N19" s="2">
        <f>全体!N19-機械!N19</f>
        <v/>
      </c>
      <c r="O19" s="2">
        <f>全体!O19-機械!O19</f>
        <v/>
      </c>
      <c r="P19" s="2">
        <f>全体!P19-機械!P19</f>
        <v/>
      </c>
      <c r="Q19" s="2">
        <f>全体!Q19-機械!Q19</f>
        <v/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>
        <f>全体!E20-機械!E20</f>
        <v/>
      </c>
      <c r="F20" s="2">
        <f>全体!F20-機械!F20</f>
        <v/>
      </c>
      <c r="G20" s="2">
        <f>全体!G20-機械!G20</f>
        <v/>
      </c>
      <c r="H20" s="2">
        <f>全体!H20-機械!H20</f>
        <v/>
      </c>
      <c r="I20" s="2">
        <f>全体!I20-機械!I20</f>
        <v/>
      </c>
      <c r="J20" s="2">
        <f>全体!J20-機械!J20</f>
        <v/>
      </c>
      <c r="K20" s="79">
        <f>SUM(E20:J20)</f>
        <v/>
      </c>
      <c r="L20" s="1">
        <f>全体!L20-機械!L20</f>
        <v/>
      </c>
      <c r="M20" s="2">
        <f>全体!M20-機械!M20</f>
        <v/>
      </c>
      <c r="N20" s="2">
        <f>全体!N20-機械!N20</f>
        <v/>
      </c>
      <c r="O20" s="2">
        <f>全体!O20-機械!O20</f>
        <v/>
      </c>
      <c r="P20" s="2">
        <f>全体!P20-機械!P20</f>
        <v/>
      </c>
      <c r="Q20" s="2">
        <f>全体!Q20-機械!Q20</f>
        <v/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>
        <f>全体!E21-機械!E21</f>
        <v/>
      </c>
      <c r="F21" s="2">
        <f>全体!F21-機械!F21</f>
        <v/>
      </c>
      <c r="G21" s="2">
        <f>全体!G21-機械!G21</f>
        <v/>
      </c>
      <c r="H21" s="2">
        <f>全体!H21-機械!H21</f>
        <v/>
      </c>
      <c r="I21" s="2">
        <f>全体!I21-機械!I21</f>
        <v/>
      </c>
      <c r="J21" s="2">
        <f>全体!J21-機械!J21</f>
        <v/>
      </c>
      <c r="K21" s="79">
        <f>SUM(E21:J21)</f>
        <v/>
      </c>
      <c r="L21" s="1">
        <f>全体!L21-機械!L21</f>
        <v/>
      </c>
      <c r="M21" s="2">
        <f>全体!M21-機械!M21</f>
        <v/>
      </c>
      <c r="N21" s="2">
        <f>全体!N21-機械!N21</f>
        <v/>
      </c>
      <c r="O21" s="2">
        <f>全体!O21-機械!O21</f>
        <v/>
      </c>
      <c r="P21" s="2">
        <f>全体!P21-機械!P21</f>
        <v/>
      </c>
      <c r="Q21" s="2">
        <f>全体!Q21-機械!Q21</f>
        <v/>
      </c>
      <c r="R21" s="73">
        <f>SUM(L21:Q21)</f>
        <v/>
      </c>
      <c r="S21" s="130">
        <f>IF(E21=0,"***",L21/E21)</f>
        <v/>
      </c>
      <c r="T21" s="131">
        <f>IF(F21=0,"***",M21/F21)</f>
        <v/>
      </c>
      <c r="U21" s="131">
        <f>IF(G21=0,"***",N21/G21)</f>
        <v/>
      </c>
      <c r="V21" s="131">
        <f>IF(H21=0,"***",O21/H21)</f>
        <v/>
      </c>
      <c r="W21" s="131">
        <f>IF(I21=0,"***",P21/I21)</f>
        <v/>
      </c>
      <c r="X21" s="131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>
        <f>全体!E22-機械!E22</f>
        <v/>
      </c>
      <c r="F22" s="2">
        <f>全体!F22-機械!F22</f>
        <v/>
      </c>
      <c r="G22" s="2">
        <f>全体!G22-機械!G22</f>
        <v/>
      </c>
      <c r="H22" s="2">
        <f>全体!H22-機械!H22</f>
        <v/>
      </c>
      <c r="I22" s="2">
        <f>全体!I22-機械!I22</f>
        <v/>
      </c>
      <c r="J22" s="2">
        <f>全体!J22-機械!J22</f>
        <v/>
      </c>
      <c r="K22" s="79">
        <f>SUM(E22:J22)</f>
        <v/>
      </c>
      <c r="L22" s="1">
        <f>全体!L22-機械!L22</f>
        <v/>
      </c>
      <c r="M22" s="2">
        <f>全体!M22-機械!M22</f>
        <v/>
      </c>
      <c r="N22" s="2">
        <f>全体!N22-機械!N22</f>
        <v/>
      </c>
      <c r="O22" s="2">
        <f>全体!O22-機械!O22</f>
        <v/>
      </c>
      <c r="P22" s="2">
        <f>全体!P22-機械!P22</f>
        <v/>
      </c>
      <c r="Q22" s="2">
        <f>全体!Q22-機械!Q22</f>
        <v/>
      </c>
      <c r="R22" s="73">
        <f>SUM(L22:Q22)</f>
        <v/>
      </c>
      <c r="S22" s="130">
        <f>IF(E22=0,"***",L22/E22)</f>
        <v/>
      </c>
      <c r="T22" s="131">
        <f>IF(F22=0,"***",M22/F22)</f>
        <v/>
      </c>
      <c r="U22" s="131">
        <f>IF(G22=0,"***",N22/G22)</f>
        <v/>
      </c>
      <c r="V22" s="131">
        <f>IF(H22=0,"***",O22/H22)</f>
        <v/>
      </c>
      <c r="W22" s="131">
        <f>IF(I22=0,"***",P22/I22)</f>
        <v/>
      </c>
      <c r="X22" s="131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>
        <f>全体!E23-機械!E23</f>
        <v/>
      </c>
      <c r="F23" s="2">
        <f>全体!F23-機械!F23</f>
        <v/>
      </c>
      <c r="G23" s="2">
        <f>全体!G23-機械!G23</f>
        <v/>
      </c>
      <c r="H23" s="2">
        <f>全体!H23-機械!H23</f>
        <v/>
      </c>
      <c r="I23" s="2">
        <f>全体!I23-機械!I23</f>
        <v/>
      </c>
      <c r="J23" s="2">
        <f>全体!J23-機械!J23</f>
        <v/>
      </c>
      <c r="K23" s="79">
        <f>SUM(E23:J23)</f>
        <v/>
      </c>
      <c r="L23" s="48">
        <f>全体!L23-機械!L23</f>
        <v/>
      </c>
      <c r="M23" s="45">
        <f>全体!M23-機械!M23</f>
        <v/>
      </c>
      <c r="N23" s="45">
        <f>全体!N23-機械!N23</f>
        <v/>
      </c>
      <c r="O23" s="45">
        <f>全体!O23-機械!O23</f>
        <v/>
      </c>
      <c r="P23" s="45">
        <f>全体!P23-機械!P23</f>
        <v/>
      </c>
      <c r="Q23" s="45">
        <f>全体!Q23-機械!Q23</f>
        <v/>
      </c>
      <c r="R23" s="49">
        <f>SUM(L23:Q23)</f>
        <v/>
      </c>
      <c r="S23" s="130">
        <f>IF(E23=0,"***",L23/E23)</f>
        <v/>
      </c>
      <c r="T23" s="131">
        <f>IF(F23=0,"***",M23/F23)</f>
        <v/>
      </c>
      <c r="U23" s="131">
        <f>IF(G23=0,"***",N23/G23)</f>
        <v/>
      </c>
      <c r="V23" s="131">
        <f>IF(H23=0,"***",O23/H23)</f>
        <v/>
      </c>
      <c r="W23" s="131">
        <f>IF(I23=0,"***",P23/I23)</f>
        <v/>
      </c>
      <c r="X23" s="131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69" t="inlineStr">
        <is>
          <t>白根主任</t>
        </is>
      </c>
      <c r="E24" s="45">
        <f>全体!E24-機械!E24</f>
        <v/>
      </c>
      <c r="F24" s="45">
        <f>全体!F24-機械!F24</f>
        <v/>
      </c>
      <c r="G24" s="45">
        <f>全体!G24-機械!G24</f>
        <v/>
      </c>
      <c r="H24" s="45">
        <f>全体!H24-機械!H24</f>
        <v/>
      </c>
      <c r="I24" s="45">
        <f>全体!I24-機械!I24</f>
        <v/>
      </c>
      <c r="J24" s="45">
        <f>全体!J24-機械!J24</f>
        <v/>
      </c>
      <c r="K24" s="46">
        <f>SUM(E24:J24)</f>
        <v/>
      </c>
      <c r="L24" s="48">
        <f>全体!L24-機械!L24</f>
        <v/>
      </c>
      <c r="M24" s="45">
        <f>全体!M24-機械!M24</f>
        <v/>
      </c>
      <c r="N24" s="45">
        <f>全体!N24-機械!N24</f>
        <v/>
      </c>
      <c r="O24" s="45">
        <f>全体!O24-機械!O24</f>
        <v/>
      </c>
      <c r="P24" s="45">
        <f>全体!P24-機械!P24</f>
        <v/>
      </c>
      <c r="Q24" s="45">
        <f>全体!Q24-機械!Q24</f>
        <v/>
      </c>
      <c r="R24" s="49">
        <f>SUM(L24:Q24)</f>
        <v/>
      </c>
      <c r="S24" s="130">
        <f>IF(E24=0,"***",L24/E24)</f>
        <v/>
      </c>
      <c r="T24" s="131">
        <f>IF(F24=0,"***",M24/F24)</f>
        <v/>
      </c>
      <c r="U24" s="131">
        <f>IF(G24=0,"***",N24/G24)</f>
        <v/>
      </c>
      <c r="V24" s="131">
        <f>IF(H24=0,"***",O24/H24)</f>
        <v/>
      </c>
      <c r="W24" s="131">
        <f>IF(I24=0,"***",P24/I24)</f>
        <v/>
      </c>
      <c r="X24" s="131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45">
        <f>全体!E25-機械!E25</f>
        <v/>
      </c>
      <c r="F25" s="45">
        <f>全体!F25-機械!F25</f>
        <v/>
      </c>
      <c r="G25" s="45">
        <f>全体!G25-機械!G25</f>
        <v/>
      </c>
      <c r="H25" s="45">
        <f>全体!H25-機械!H25</f>
        <v/>
      </c>
      <c r="I25" s="45">
        <f>全体!I25-機械!I25</f>
        <v/>
      </c>
      <c r="J25" s="45">
        <f>全体!J25-機械!J25</f>
        <v/>
      </c>
      <c r="K25" s="46">
        <f>SUM(E25:J25)</f>
        <v/>
      </c>
      <c r="L25" s="48">
        <f>全体!L25-機械!L25</f>
        <v/>
      </c>
      <c r="M25" s="45">
        <f>全体!M25-機械!M25</f>
        <v/>
      </c>
      <c r="N25" s="45">
        <f>全体!N25-機械!N25</f>
        <v/>
      </c>
      <c r="O25" s="45">
        <f>全体!O25-機械!O25</f>
        <v/>
      </c>
      <c r="P25" s="45">
        <f>全体!P25-機械!P25</f>
        <v/>
      </c>
      <c r="Q25" s="45">
        <f>全体!Q25-機械!Q25</f>
        <v/>
      </c>
      <c r="R25" s="49">
        <f>SUM(L25:Q25)</f>
        <v/>
      </c>
      <c r="S25" s="130">
        <f>IF(E25=0,"***",L25/E25)</f>
        <v/>
      </c>
      <c r="T25" s="131">
        <f>IF(F25=0,"***",M25/F25)</f>
        <v/>
      </c>
      <c r="U25" s="131">
        <f>IF(G25=0,"***",N25/G25)</f>
        <v/>
      </c>
      <c r="V25" s="131">
        <f>IF(H25=0,"***",O25/H25)</f>
        <v/>
      </c>
      <c r="W25" s="131">
        <f>IF(I25=0,"***",P25/I25)</f>
        <v/>
      </c>
      <c r="X25" s="131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>
        <f>全体!E26-機械!E26</f>
        <v/>
      </c>
      <c r="F26" s="2">
        <f>全体!F26-機械!F26</f>
        <v/>
      </c>
      <c r="G26" s="2">
        <f>全体!G26-機械!G26</f>
        <v/>
      </c>
      <c r="H26" s="2">
        <f>全体!H26-機械!H26</f>
        <v/>
      </c>
      <c r="I26" s="2">
        <f>全体!I26-機械!I26</f>
        <v/>
      </c>
      <c r="J26" s="2">
        <f>全体!J26-機械!J26</f>
        <v/>
      </c>
      <c r="K26" s="79">
        <f>SUM(E26:J26)</f>
        <v/>
      </c>
      <c r="L26" s="1">
        <f>全体!L26-機械!L26</f>
        <v/>
      </c>
      <c r="M26" s="2">
        <f>全体!M26-機械!M26</f>
        <v/>
      </c>
      <c r="N26" s="2">
        <f>全体!N26-機械!N26</f>
        <v/>
      </c>
      <c r="O26" s="2">
        <f>全体!O26-機械!O26</f>
        <v/>
      </c>
      <c r="P26" s="2">
        <f>全体!P26-機械!P26</f>
        <v/>
      </c>
      <c r="Q26" s="2">
        <f>全体!Q26-機械!Q26</f>
        <v/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2">
        <f>全体!E27-機械!E27</f>
        <v/>
      </c>
      <c r="F27" s="2">
        <f>全体!F27-機械!F27</f>
        <v/>
      </c>
      <c r="G27" s="2">
        <f>全体!G27-機械!G27</f>
        <v/>
      </c>
      <c r="H27" s="2">
        <f>全体!H27-機械!H27</f>
        <v/>
      </c>
      <c r="I27" s="2">
        <f>全体!I27-機械!I27</f>
        <v/>
      </c>
      <c r="J27" s="2">
        <f>全体!J27-機械!J27</f>
        <v/>
      </c>
      <c r="K27" s="79">
        <f>SUM(E27:J27)</f>
        <v/>
      </c>
      <c r="L27" s="1">
        <f>全体!L27-機械!L27</f>
        <v/>
      </c>
      <c r="M27" s="2">
        <f>全体!M27-機械!M27</f>
        <v/>
      </c>
      <c r="N27" s="2">
        <f>全体!N27-機械!N27</f>
        <v/>
      </c>
      <c r="O27" s="2">
        <f>全体!O27-機械!O27</f>
        <v/>
      </c>
      <c r="P27" s="2">
        <f>全体!P27-機械!P27</f>
        <v/>
      </c>
      <c r="Q27" s="2">
        <f>全体!Q27-機械!Q27</f>
        <v/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0">
        <f>IF(E35=0,"***",L35/E35)</f>
        <v/>
      </c>
      <c r="T35" s="131">
        <f>IF(F35=0,"***",M35/F35)</f>
        <v/>
      </c>
      <c r="U35" s="131">
        <f>IF(G35=0,"***",N35/G35)</f>
        <v/>
      </c>
      <c r="V35" s="131">
        <f>IF(H35=0,"***",O35/H35)</f>
        <v/>
      </c>
      <c r="W35" s="131">
        <f>IF(I35=0,"***",P35/I35)</f>
        <v/>
      </c>
      <c r="X35" s="131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0">
        <f>IF(E36=0,"***",L36/E36)</f>
        <v/>
      </c>
      <c r="T36" s="131">
        <f>IF(F36=0,"***",M36/F36)</f>
        <v/>
      </c>
      <c r="U36" s="131">
        <f>IF(G36=0,"***",N36/G36)</f>
        <v/>
      </c>
      <c r="V36" s="131">
        <f>IF(H36=0,"***",O36/H36)</f>
        <v/>
      </c>
      <c r="W36" s="131">
        <f>IF(I36=0,"***",P36/I36)</f>
        <v/>
      </c>
      <c r="X36" s="131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48">
        <f>(L23+L9)/2</f>
        <v/>
      </c>
      <c r="M37" s="45">
        <f>(M23+M9)/2</f>
        <v/>
      </c>
      <c r="N37" s="45">
        <f>(N23+N9)/2</f>
        <v/>
      </c>
      <c r="O37" s="45">
        <f>(O23+O9)/2</f>
        <v/>
      </c>
      <c r="P37" s="45">
        <f>(P23+P9)/2</f>
        <v/>
      </c>
      <c r="Q37" s="45">
        <f>(Q23+Q9)/2</f>
        <v/>
      </c>
      <c r="R37" s="49">
        <f>SUM(L37:Q37)</f>
        <v/>
      </c>
      <c r="S37" s="130">
        <f>IF(E37=0,"***",L37/E37)</f>
        <v/>
      </c>
      <c r="T37" s="131">
        <f>IF(F37=0,"***",M37/F37)</f>
        <v/>
      </c>
      <c r="U37" s="131">
        <f>IF(G37=0,"***",N37/G37)</f>
        <v/>
      </c>
      <c r="V37" s="131">
        <f>IF(H37=0,"***",O37/H37)</f>
        <v/>
      </c>
      <c r="W37" s="131">
        <f>IF(I37=0,"***",P37/I37)</f>
        <v/>
      </c>
      <c r="X37" s="131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69" t="inlineStr">
        <is>
          <t>白根主任</t>
        </is>
      </c>
      <c r="E38" s="45">
        <f>(E24+E10)/2</f>
        <v/>
      </c>
      <c r="F38" s="45">
        <f>(F24+F10)/2</f>
        <v/>
      </c>
      <c r="G38" s="45">
        <f>(G24+G10)/2</f>
        <v/>
      </c>
      <c r="H38" s="45">
        <f>(H24+H10)/2</f>
        <v/>
      </c>
      <c r="I38" s="45">
        <f>(I24+I10)/2</f>
        <v/>
      </c>
      <c r="J38" s="45">
        <f>(J24+J10)/2</f>
        <v/>
      </c>
      <c r="K38" s="46">
        <f>SUM(E38:J38)</f>
        <v/>
      </c>
      <c r="L38" s="48">
        <f>(L24+L10)/2</f>
        <v/>
      </c>
      <c r="M38" s="45">
        <f>(M24+M10)/2</f>
        <v/>
      </c>
      <c r="N38" s="45">
        <f>(N24+N10)/2</f>
        <v/>
      </c>
      <c r="O38" s="45">
        <f>(O24+O10)/2</f>
        <v/>
      </c>
      <c r="P38" s="45">
        <f>(P24+P10)/2</f>
        <v/>
      </c>
      <c r="Q38" s="45">
        <f>(Q24+Q10)/2</f>
        <v/>
      </c>
      <c r="R38" s="49">
        <f>SUM(L38:Q38)</f>
        <v/>
      </c>
      <c r="S38" s="130">
        <f>IF(E38=0,"***",L38/E38)</f>
        <v/>
      </c>
      <c r="T38" s="131">
        <f>IF(F38=0,"***",M38/F38)</f>
        <v/>
      </c>
      <c r="U38" s="131">
        <f>IF(G38=0,"***",N38/G38)</f>
        <v/>
      </c>
      <c r="V38" s="131">
        <f>IF(H38=0,"***",O38/H38)</f>
        <v/>
      </c>
      <c r="W38" s="131">
        <f>IF(I38=0,"***",P38/I38)</f>
        <v/>
      </c>
      <c r="X38" s="131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45">
        <f>(E25+E11)/2</f>
        <v/>
      </c>
      <c r="F39" s="45">
        <f>(F25+F11)/2</f>
        <v/>
      </c>
      <c r="G39" s="45">
        <f>(G25+G11)/2</f>
        <v/>
      </c>
      <c r="H39" s="45">
        <f>(H25+H11)/2</f>
        <v/>
      </c>
      <c r="I39" s="45">
        <f>(I25+I11)/2</f>
        <v/>
      </c>
      <c r="J39" s="45">
        <f>(J25+J11)/2</f>
        <v/>
      </c>
      <c r="K39" s="46">
        <f>SUM(E39:J39)</f>
        <v/>
      </c>
      <c r="L39" s="48">
        <f>(L25+L11)/2</f>
        <v/>
      </c>
      <c r="M39" s="45">
        <f>(M25+M11)/2</f>
        <v/>
      </c>
      <c r="N39" s="45">
        <f>(N25+N11)/2</f>
        <v/>
      </c>
      <c r="O39" s="45">
        <f>(O25+O11)/2</f>
        <v/>
      </c>
      <c r="P39" s="45">
        <f>(P25+P11)/2</f>
        <v/>
      </c>
      <c r="Q39" s="45">
        <f>(Q25+Q11)/2</f>
        <v/>
      </c>
      <c r="R39" s="49">
        <f>SUM(L39:Q39)</f>
        <v/>
      </c>
      <c r="S39" s="130">
        <f>IF(E39=0,"***",L39/E39)</f>
        <v/>
      </c>
      <c r="T39" s="131">
        <f>IF(F39=0,"***",M39/F39)</f>
        <v/>
      </c>
      <c r="U39" s="131">
        <f>IF(G39=0,"***",N39/G39)</f>
        <v/>
      </c>
      <c r="V39" s="131">
        <f>IF(H39=0,"***",O39/H39)</f>
        <v/>
      </c>
      <c r="W39" s="131">
        <f>IF(I39=0,"***",P39/I39)</f>
        <v/>
      </c>
      <c r="X39" s="131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69" t="inlineStr">
        <is>
          <t>西岡</t>
        </is>
      </c>
      <c r="E47" s="39" t="n">
        <v>2500</v>
      </c>
      <c r="F47" s="39" t="n">
        <v>1900</v>
      </c>
      <c r="G47" s="39" t="n">
        <v>2500</v>
      </c>
      <c r="H47" s="39">
        <f>1400+ROUND([1]包装資材6月まで計画!H47,-1)</f>
        <v/>
      </c>
      <c r="I47" s="39">
        <f>1200+ROUND([1]包装資材6月まで計画!I47,-1)</f>
        <v/>
      </c>
      <c r="J47" s="39">
        <f>2600+ROUND([1]包装資材6月まで計画!J47,-1)</f>
        <v/>
      </c>
      <c r="K47" s="79">
        <f>SUM(E47:J47)</f>
        <v/>
      </c>
      <c r="L47" s="53" t="n">
        <v>550</v>
      </c>
      <c r="M47" s="39" t="n">
        <v>410</v>
      </c>
      <c r="N47" s="39" t="n">
        <v>480</v>
      </c>
      <c r="O47" s="39">
        <f>320++ROUND([1]包装資材6月まで計画!O47,-1)</f>
        <v/>
      </c>
      <c r="P47" s="39">
        <f>260+ROUND([1]包装資材6月まで計画!P47,-1)</f>
        <v/>
      </c>
      <c r="Q47" s="39">
        <f>520++ROUND([1]包装資材6月まで計画!Q47,-1)</f>
        <v/>
      </c>
      <c r="R47" s="73">
        <f>SUM(L47:Q47)</f>
        <v/>
      </c>
      <c r="S47" s="123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69" t="inlineStr">
        <is>
          <t>足立次長</t>
        </is>
      </c>
      <c r="E48" s="39" t="n">
        <v>12500</v>
      </c>
      <c r="F48" s="39" t="n">
        <v>12500</v>
      </c>
      <c r="G48" s="39" t="n">
        <v>8250</v>
      </c>
      <c r="H48" s="39" t="n">
        <v>13000</v>
      </c>
      <c r="I48" s="39" t="n">
        <v>13000</v>
      </c>
      <c r="J48" s="39" t="n">
        <v>11300</v>
      </c>
      <c r="K48" s="79">
        <f>SUM(E48:J48)</f>
        <v/>
      </c>
      <c r="L48" s="53" t="n">
        <v>2720</v>
      </c>
      <c r="M48" s="39" t="n">
        <v>2740</v>
      </c>
      <c r="N48" s="39" t="n">
        <v>1880</v>
      </c>
      <c r="O48" s="39" t="n">
        <v>2520</v>
      </c>
      <c r="P48" s="39" t="n">
        <v>2480</v>
      </c>
      <c r="Q48" s="39" t="n">
        <v>2200</v>
      </c>
      <c r="R48" s="73">
        <f>SUM(L48:Q48)</f>
        <v/>
      </c>
      <c r="S48" s="130">
        <f>IF(E48=0,"***",L48/E48)</f>
        <v/>
      </c>
      <c r="T48" s="131">
        <f>IF(F48=0,"***",M48/F48)</f>
        <v/>
      </c>
      <c r="U48" s="131">
        <f>IF(G48=0,"***",N48/G48)</f>
        <v/>
      </c>
      <c r="V48" s="131">
        <f>IF(H48=0,"***",O48/H48)</f>
        <v/>
      </c>
      <c r="W48" s="131">
        <f>IF(I48=0,"***",P48/I48)</f>
        <v/>
      </c>
      <c r="X48" s="131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69" t="inlineStr">
        <is>
          <t>藤波課長</t>
        </is>
      </c>
      <c r="E49" s="39" t="n">
        <v>8400</v>
      </c>
      <c r="F49" s="39" t="n">
        <v>5540</v>
      </c>
      <c r="G49" s="39" t="n">
        <v>6330</v>
      </c>
      <c r="H49" s="39">
        <f>8400+ROUND([1]包装資材6月まで計画!H49,-1)</f>
        <v/>
      </c>
      <c r="I49" s="39">
        <f>6980+ROUND([1]包装資材6月まで計画!I49,-1)</f>
        <v/>
      </c>
      <c r="J49" s="39">
        <f>10850+ROUND([1]包装資材6月まで計画!J49,-1)</f>
        <v/>
      </c>
      <c r="K49" s="79">
        <f>SUM(E49:J49)</f>
        <v/>
      </c>
      <c r="L49" s="53" t="n">
        <v>1450</v>
      </c>
      <c r="M49" s="39" t="n">
        <v>1150</v>
      </c>
      <c r="N49" s="39" t="n">
        <v>1200</v>
      </c>
      <c r="O49" s="39">
        <f>1510+ROUND([1]包装資材6月まで計画!O49,-1)</f>
        <v/>
      </c>
      <c r="P49" s="39">
        <f>1260+ROUND([1]包装資材6月まで計画!P49,-1)</f>
        <v/>
      </c>
      <c r="Q49" s="39">
        <f>1980+ROUND([1]包装資材6月まで計画!Q49,-1)</f>
        <v/>
      </c>
      <c r="R49" s="73">
        <f>SUM(L49:Q49)</f>
        <v/>
      </c>
      <c r="S49" s="130">
        <f>IF(E49=0,"***",L49/E49)</f>
        <v/>
      </c>
      <c r="T49" s="131">
        <f>IF(F49=0,"***",M49/F49)</f>
        <v/>
      </c>
      <c r="U49" s="131">
        <f>IF(G49=0,"***",N49/G49)</f>
        <v/>
      </c>
      <c r="V49" s="131">
        <f>IF(H49=0,"***",O49/H49)</f>
        <v/>
      </c>
      <c r="W49" s="131">
        <f>IF(I49=0,"***",P49/I49)</f>
        <v/>
      </c>
      <c r="X49" s="131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69" t="inlineStr">
        <is>
          <t>足立課長</t>
        </is>
      </c>
      <c r="E50" s="39" t="n">
        <v>4000</v>
      </c>
      <c r="F50" s="39" t="n">
        <v>3480</v>
      </c>
      <c r="G50" s="39" t="n">
        <v>3320</v>
      </c>
      <c r="H50" s="39" t="n"/>
      <c r="I50" s="39" t="n"/>
      <c r="J50" s="39" t="n"/>
      <c r="K50" s="79">
        <f>SUM(E50:J50)</f>
        <v/>
      </c>
      <c r="L50" s="53" t="n">
        <v>580</v>
      </c>
      <c r="M50" s="39" t="n">
        <v>480</v>
      </c>
      <c r="N50" s="39" t="n">
        <v>470</v>
      </c>
      <c r="O50" s="39" t="n"/>
      <c r="P50" s="39" t="n"/>
      <c r="Q50" s="39" t="n"/>
      <c r="R50" s="73">
        <f>SUM(L50:Q50)</f>
        <v/>
      </c>
      <c r="S50" s="130">
        <f>IF(E50=0,"***",L50/E50)</f>
        <v/>
      </c>
      <c r="T50" s="131">
        <f>IF(F50=0,"***",M50/F50)</f>
        <v/>
      </c>
      <c r="U50" s="131">
        <f>IF(G50=0,"***",N50/G50)</f>
        <v/>
      </c>
      <c r="V50" s="131">
        <f>IF(H50=0,"***",O50/H50)</f>
        <v/>
      </c>
      <c r="W50" s="131">
        <f>IF(I50=0,"***",P50/I50)</f>
        <v/>
      </c>
      <c r="X50" s="131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69" t="inlineStr">
        <is>
          <t>川邊主任</t>
        </is>
      </c>
      <c r="E51" s="39" t="n">
        <v>11000</v>
      </c>
      <c r="F51" s="39" t="n">
        <v>10000</v>
      </c>
      <c r="G51" s="39" t="n">
        <v>7760</v>
      </c>
      <c r="H51" s="39" t="n">
        <v>10000</v>
      </c>
      <c r="I51" s="39" t="n">
        <v>7300</v>
      </c>
      <c r="J51" s="39" t="n">
        <v>10000</v>
      </c>
      <c r="K51" s="79">
        <f>SUM(E51:J51)</f>
        <v/>
      </c>
      <c r="L51" s="53" t="n">
        <v>1900</v>
      </c>
      <c r="M51" s="39" t="n">
        <v>1730</v>
      </c>
      <c r="N51" s="39" t="n">
        <v>1380</v>
      </c>
      <c r="O51" s="39" t="n">
        <v>1800</v>
      </c>
      <c r="P51" s="39" t="n">
        <v>1300</v>
      </c>
      <c r="Q51" s="39" t="n">
        <v>1700</v>
      </c>
      <c r="R51" s="73">
        <f>SUM(L51:Q51)</f>
        <v/>
      </c>
      <c r="S51" s="123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69" t="inlineStr">
        <is>
          <t>白根主任</t>
        </is>
      </c>
      <c r="E52" s="39" t="n">
        <v>8700</v>
      </c>
      <c r="F52" s="39" t="n">
        <v>9500</v>
      </c>
      <c r="G52" s="39" t="n">
        <v>7500</v>
      </c>
      <c r="H52" s="39" t="n">
        <v>12000</v>
      </c>
      <c r="I52" s="39" t="n">
        <v>8500</v>
      </c>
      <c r="J52" s="39" t="n">
        <v>24500</v>
      </c>
      <c r="K52" s="79">
        <f>SUM(E52:J52)</f>
        <v/>
      </c>
      <c r="L52" s="53" t="n">
        <v>1600</v>
      </c>
      <c r="M52" s="39" t="n">
        <v>1850</v>
      </c>
      <c r="N52" s="39" t="n">
        <v>1480</v>
      </c>
      <c r="O52" s="39" t="n">
        <v>2880</v>
      </c>
      <c r="P52" s="39" t="n">
        <v>1730</v>
      </c>
      <c r="Q52" s="39" t="n">
        <v>6000</v>
      </c>
      <c r="R52" s="73">
        <f>SUM(L52:Q52)</f>
        <v/>
      </c>
      <c r="S52" s="123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 ht="18.6" customHeight="1" s="113">
      <c r="C53" s="71" t="inlineStr">
        <is>
          <t>0918 集計</t>
        </is>
      </c>
      <c r="D53" s="69" t="inlineStr">
        <is>
          <t>海外</t>
        </is>
      </c>
      <c r="E53" s="39" t="n">
        <v>830</v>
      </c>
      <c r="F53" s="39" t="n">
        <v>1600</v>
      </c>
      <c r="G53" s="39" t="n">
        <v>460</v>
      </c>
      <c r="H53" s="39" t="n">
        <v>990</v>
      </c>
      <c r="I53" s="39" t="n">
        <v>130</v>
      </c>
      <c r="J53" s="39" t="n">
        <v>2200</v>
      </c>
      <c r="K53" s="79">
        <f>SUM(E53:J53)</f>
        <v/>
      </c>
      <c r="L53" s="53" t="n">
        <v>180</v>
      </c>
      <c r="M53" s="39" t="n">
        <v>350</v>
      </c>
      <c r="N53" s="39" t="n">
        <v>110</v>
      </c>
      <c r="O53" s="39" t="n">
        <v>150</v>
      </c>
      <c r="P53" s="39" t="n">
        <v>20</v>
      </c>
      <c r="Q53" s="39" t="n">
        <v>350</v>
      </c>
      <c r="R53" s="73">
        <f>SUM(L53:Q53)</f>
        <v/>
      </c>
      <c r="S53" s="130">
        <f>IF(E53=0,"***",L53/E53)</f>
        <v/>
      </c>
      <c r="T53" s="131">
        <f>IF(F53=0,"***",M53/F53)</f>
        <v/>
      </c>
      <c r="U53" s="131">
        <f>IF(G53=0,"***",N53/G53)</f>
        <v/>
      </c>
      <c r="V53" s="131">
        <f>IF(H53=0,"***",O53/H53)</f>
        <v/>
      </c>
      <c r="W53" s="131">
        <f>IF(I53=0,"***",P53/I53)</f>
        <v/>
      </c>
      <c r="X53" s="131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69" t="inlineStr">
        <is>
          <t>その他</t>
        </is>
      </c>
      <c r="E54" s="39" t="n">
        <v>30</v>
      </c>
      <c r="F54" s="39" t="n">
        <v>30</v>
      </c>
      <c r="G54" s="39" t="n">
        <v>30</v>
      </c>
      <c r="H54" s="39" t="n">
        <v>30</v>
      </c>
      <c r="I54" s="39" t="n">
        <v>30</v>
      </c>
      <c r="J54" s="39" t="n">
        <v>30</v>
      </c>
      <c r="K54" s="79">
        <f>SUM(E54:J54)</f>
        <v/>
      </c>
      <c r="L54" s="53" t="n">
        <v>10</v>
      </c>
      <c r="M54" s="39" t="n">
        <v>10</v>
      </c>
      <c r="N54" s="39" t="n">
        <v>10</v>
      </c>
      <c r="O54" s="39" t="n">
        <v>10</v>
      </c>
      <c r="P54" s="39" t="n">
        <v>10</v>
      </c>
      <c r="Q54" s="39" t="n">
        <v>10</v>
      </c>
      <c r="R54" s="73">
        <f>SUM(L54:Q54)</f>
        <v/>
      </c>
      <c r="S54" s="123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69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7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73">
        <f>SUM(L55:Q55)</f>
        <v/>
      </c>
      <c r="S55" s="132" t="n"/>
      <c r="T55" s="133" t="n"/>
      <c r="U55" s="133" t="n"/>
      <c r="V55" s="133" t="n"/>
      <c r="W55" s="133" t="n"/>
      <c r="X55" s="133" t="n"/>
      <c r="Y55" s="134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  <c r="E58" s="5" t="n"/>
      <c r="F58" s="5" t="n"/>
      <c r="G58" s="5" t="n"/>
      <c r="H58" s="5" t="n"/>
      <c r="I58" s="5" t="n"/>
      <c r="J58" s="5" t="n"/>
      <c r="K58" s="6" t="n"/>
      <c r="L58" s="5" t="n"/>
      <c r="M58" s="5" t="n"/>
      <c r="N58" s="5" t="n"/>
      <c r="O58" s="5" t="n"/>
      <c r="P58" s="5" t="n"/>
      <c r="Q58" s="5" t="n"/>
      <c r="R58" s="6" t="n"/>
      <c r="S58" s="129" t="n"/>
      <c r="T58" s="129" t="n"/>
      <c r="U58" s="129" t="n"/>
      <c r="V58" s="129" t="n"/>
      <c r="W58" s="129" t="n"/>
      <c r="X58" s="129" t="n"/>
      <c r="Y58" s="129" t="n"/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69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31">
        <f>T52-T24</f>
        <v/>
      </c>
      <c r="U66" s="131">
        <f>U52-U24</f>
        <v/>
      </c>
      <c r="V66" s="131">
        <f>V52-V24</f>
        <v/>
      </c>
      <c r="W66" s="131">
        <f>W52-W24</f>
        <v/>
      </c>
      <c r="X66" s="131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48">
        <f>L53-L25</f>
        <v/>
      </c>
      <c r="M67" s="45">
        <f>M53-M25</f>
        <v/>
      </c>
      <c r="N67" s="45">
        <f>N53-N25</f>
        <v/>
      </c>
      <c r="O67" s="45">
        <f>O53-O25</f>
        <v/>
      </c>
      <c r="P67" s="45">
        <f>P53-P25</f>
        <v/>
      </c>
      <c r="Q67" s="45">
        <f>Q53-Q25</f>
        <v/>
      </c>
      <c r="R67" s="49">
        <f>SUM(L67:Q67)</f>
        <v/>
      </c>
      <c r="S67" s="130">
        <f>S53-S25</f>
        <v/>
      </c>
      <c r="T67" s="131">
        <f>T53-T25</f>
        <v/>
      </c>
      <c r="U67" s="131">
        <f>U53-U25</f>
        <v/>
      </c>
      <c r="V67" s="131">
        <f>V53-V25</f>
        <v/>
      </c>
      <c r="W67" s="131">
        <f>W53-W25</f>
        <v/>
      </c>
      <c r="X67" s="131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48">
        <f>L54-L26</f>
        <v/>
      </c>
      <c r="M68" s="45">
        <f>M54-M26</f>
        <v/>
      </c>
      <c r="N68" s="45">
        <f>N54-N26</f>
        <v/>
      </c>
      <c r="O68" s="45">
        <f>O54-O26</f>
        <v/>
      </c>
      <c r="P68" s="45">
        <f>P54-P26</f>
        <v/>
      </c>
      <c r="Q68" s="45">
        <f>Q54-Q26</f>
        <v/>
      </c>
      <c r="R68" s="49">
        <f>SUM(L68:Q68)</f>
        <v/>
      </c>
      <c r="S68" s="130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48">
        <f>L55-L27</f>
        <v/>
      </c>
      <c r="M69" s="45">
        <f>M55-M27</f>
        <v/>
      </c>
      <c r="N69" s="45">
        <f>N55-N27</f>
        <v/>
      </c>
      <c r="O69" s="45">
        <f>O55-O27</f>
        <v/>
      </c>
      <c r="P69" s="45">
        <f>P55-P27</f>
        <v/>
      </c>
      <c r="Q69" s="45">
        <f>Q55-Q27</f>
        <v/>
      </c>
      <c r="R69" s="49">
        <f>SUM(L69:Q69)</f>
        <v/>
      </c>
      <c r="S69" s="130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>
      <c r="C71" s="6" t="n"/>
      <c r="E71" s="5" t="n"/>
      <c r="F71" s="5" t="n"/>
      <c r="G71" s="5" t="n"/>
      <c r="H71" s="5" t="n"/>
      <c r="I71" s="5" t="n"/>
      <c r="J71" s="5" t="n"/>
      <c r="K71" s="6" t="n"/>
      <c r="L71" s="5" t="n"/>
      <c r="M71" s="5" t="n"/>
      <c r="N71" s="5" t="n"/>
      <c r="O71" s="5" t="n"/>
      <c r="P71" s="5" t="n"/>
      <c r="Q71" s="5" t="n"/>
      <c r="R71" s="6" t="n"/>
      <c r="S71" s="129" t="n"/>
      <c r="T71" s="129" t="n"/>
      <c r="U71" s="129" t="n"/>
      <c r="V71" s="129" t="n"/>
      <c r="W71" s="129" t="n"/>
      <c r="X71" s="129" t="n"/>
      <c r="Y71" s="129" t="n"/>
    </row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69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2">
        <f>E55-E41</f>
        <v/>
      </c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69" t="inlineStr">
        <is>
          <t>西岡</t>
        </is>
      </c>
      <c r="E89" s="80">
        <f>全体!E89-機械!E89</f>
        <v/>
      </c>
      <c r="F89" s="80">
        <f>全体!F89-機械!F89</f>
        <v/>
      </c>
      <c r="G89" s="80">
        <f>全体!G89-機械!G89</f>
        <v/>
      </c>
      <c r="H89" s="80">
        <f>全体!H89-機械!H89</f>
        <v/>
      </c>
      <c r="I89" s="80">
        <f>全体!I89-機械!I89</f>
        <v/>
      </c>
      <c r="J89" s="80" t="n"/>
      <c r="K89" s="58">
        <f>SUM(E89:J89)</f>
        <v/>
      </c>
      <c r="L89" s="80">
        <f>全体!L89-機械!L89</f>
        <v/>
      </c>
      <c r="M89" s="80">
        <f>全体!M89-機械!M89</f>
        <v/>
      </c>
      <c r="N89" s="80">
        <f>全体!N89-機械!N89</f>
        <v/>
      </c>
      <c r="O89" s="80">
        <f>全体!O89-機械!O89</f>
        <v/>
      </c>
      <c r="P89" s="80">
        <f>全体!P89-機械!P89</f>
        <v/>
      </c>
      <c r="Q89" s="80" t="n"/>
      <c r="R89" s="73">
        <f>SUM(L89:Q89)</f>
        <v/>
      </c>
      <c r="S89" s="123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69" t="inlineStr">
        <is>
          <t>足立次長</t>
        </is>
      </c>
      <c r="E90" s="80">
        <f>全体!E90-機械!E90</f>
        <v/>
      </c>
      <c r="F90" s="80">
        <f>全体!F90-機械!F90</f>
        <v/>
      </c>
      <c r="G90" s="80">
        <f>全体!G90-機械!G90</f>
        <v/>
      </c>
      <c r="H90" s="80">
        <f>全体!H90-機械!H90</f>
        <v/>
      </c>
      <c r="I90" s="80">
        <f>全体!I90-機械!I90</f>
        <v/>
      </c>
      <c r="J90" s="80" t="n"/>
      <c r="K90" s="58">
        <f>SUM(E90:J90)</f>
        <v/>
      </c>
      <c r="L90" s="80">
        <f>全体!L90-機械!L90</f>
        <v/>
      </c>
      <c r="M90" s="80">
        <f>全体!M90-機械!M90</f>
        <v/>
      </c>
      <c r="N90" s="80">
        <f>全体!N90-機械!N90</f>
        <v/>
      </c>
      <c r="O90" s="80">
        <f>全体!O90-機械!O90</f>
        <v/>
      </c>
      <c r="P90" s="80">
        <f>全体!P90-機械!P90</f>
        <v/>
      </c>
      <c r="Q90" s="80" t="n"/>
      <c r="R90" s="73">
        <f>SUM(L90:Q90)</f>
        <v/>
      </c>
      <c r="S90" s="130">
        <f>IF(E90=0,"***",L90/E90)</f>
        <v/>
      </c>
      <c r="T90" s="131">
        <f>IF(F90=0,"***",M90/F90)</f>
        <v/>
      </c>
      <c r="U90" s="131">
        <f>IF(G90=0,"***",N90/G90)</f>
        <v/>
      </c>
      <c r="V90" s="131">
        <f>IF(H90=0,"***",O90/H90)</f>
        <v/>
      </c>
      <c r="W90" s="131">
        <f>IF(I90=0,"***",P90/I90)</f>
        <v/>
      </c>
      <c r="X90" s="131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69" t="inlineStr">
        <is>
          <t>藤波課長</t>
        </is>
      </c>
      <c r="E91" s="80">
        <f>全体!E91-機械!E91</f>
        <v/>
      </c>
      <c r="F91" s="80">
        <f>全体!F91-機械!F91</f>
        <v/>
      </c>
      <c r="G91" s="80">
        <f>全体!G91-機械!G91</f>
        <v/>
      </c>
      <c r="H91" s="80">
        <f>全体!H91-機械!H91</f>
        <v/>
      </c>
      <c r="I91" s="80">
        <f>全体!I91-機械!I91</f>
        <v/>
      </c>
      <c r="J91" s="80" t="n"/>
      <c r="K91" s="58">
        <f>SUM(E91:J91)</f>
        <v/>
      </c>
      <c r="L91" s="80">
        <f>全体!L91-機械!L91</f>
        <v/>
      </c>
      <c r="M91" s="80">
        <f>全体!M91-機械!M91</f>
        <v/>
      </c>
      <c r="N91" s="80">
        <f>全体!N91-機械!N91</f>
        <v/>
      </c>
      <c r="O91" s="80">
        <f>全体!O91-機械!O91</f>
        <v/>
      </c>
      <c r="P91" s="80">
        <f>全体!P91-機械!P91</f>
        <v/>
      </c>
      <c r="Q91" s="80" t="n"/>
      <c r="R91" s="73">
        <f>SUM(L91:Q91)</f>
        <v/>
      </c>
      <c r="S91" s="130">
        <f>IF(E91=0,"***",L91/E91)</f>
        <v/>
      </c>
      <c r="T91" s="131">
        <f>IF(F91=0,"***",M91/F91)</f>
        <v/>
      </c>
      <c r="U91" s="131">
        <f>IF(G91=0,"***",N91/G91)</f>
        <v/>
      </c>
      <c r="V91" s="131">
        <f>IF(H91=0,"***",O91/H91)</f>
        <v/>
      </c>
      <c r="W91" s="131">
        <f>IF(I91=0,"***",P91/I91)</f>
        <v/>
      </c>
      <c r="X91" s="131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69" t="inlineStr">
        <is>
          <t>足立課長</t>
        </is>
      </c>
      <c r="E92" s="80">
        <f>全体!E92-機械!E92</f>
        <v/>
      </c>
      <c r="F92" s="80">
        <f>全体!F92-機械!F92</f>
        <v/>
      </c>
      <c r="G92" s="80">
        <f>全体!G92-機械!G92</f>
        <v/>
      </c>
      <c r="H92" s="80">
        <f>全体!H92-機械!H92</f>
        <v/>
      </c>
      <c r="I92" s="80">
        <f>全体!I92-機械!I92</f>
        <v/>
      </c>
      <c r="J92" s="80" t="n"/>
      <c r="K92" s="58">
        <f>SUM(E92:J92)</f>
        <v/>
      </c>
      <c r="L92" s="80">
        <f>全体!L92-機械!L92</f>
        <v/>
      </c>
      <c r="M92" s="80">
        <f>全体!M92-機械!M92</f>
        <v/>
      </c>
      <c r="N92" s="80">
        <f>全体!N92-機械!N92</f>
        <v/>
      </c>
      <c r="O92" s="80">
        <f>全体!O92-機械!O92</f>
        <v/>
      </c>
      <c r="P92" s="80">
        <f>全体!P92-機械!P92</f>
        <v/>
      </c>
      <c r="Q92" s="80" t="n"/>
      <c r="R92" s="73">
        <f>SUM(L92:Q92)</f>
        <v/>
      </c>
      <c r="S92" s="130">
        <f>IF(E92=0,"***",L92/E92)</f>
        <v/>
      </c>
      <c r="T92" s="131">
        <f>IF(F92=0,"***",M92/F92)</f>
        <v/>
      </c>
      <c r="U92" s="131">
        <f>IF(G92=0,"***",N92/G92)</f>
        <v/>
      </c>
      <c r="V92" s="131">
        <f>IF(H92=0,"***",O92/H92)</f>
        <v/>
      </c>
      <c r="W92" s="131">
        <f>IF(I92=0,"***",P92/I92)</f>
        <v/>
      </c>
      <c r="X92" s="131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69" t="inlineStr">
        <is>
          <t>川邊主任</t>
        </is>
      </c>
      <c r="E93" s="80">
        <f>全体!E93-機械!E93</f>
        <v/>
      </c>
      <c r="F93" s="80">
        <f>全体!F93-機械!F93</f>
        <v/>
      </c>
      <c r="G93" s="80">
        <f>全体!G93-機械!G93</f>
        <v/>
      </c>
      <c r="H93" s="80">
        <f>全体!H93-機械!H93</f>
        <v/>
      </c>
      <c r="I93" s="80">
        <f>全体!I93-機械!I93</f>
        <v/>
      </c>
      <c r="J93" s="80" t="n"/>
      <c r="K93" s="58">
        <f>SUM(E93:J93)</f>
        <v/>
      </c>
      <c r="L93" s="80">
        <f>全体!L93-機械!L93</f>
        <v/>
      </c>
      <c r="M93" s="80">
        <f>全体!M93-機械!M93</f>
        <v/>
      </c>
      <c r="N93" s="80">
        <f>全体!N93-機械!N93</f>
        <v/>
      </c>
      <c r="O93" s="80">
        <f>全体!O93-機械!O93</f>
        <v/>
      </c>
      <c r="P93" s="80">
        <f>全体!P93-機械!P93</f>
        <v/>
      </c>
      <c r="Q93" s="80" t="n"/>
      <c r="R93" s="73">
        <f>SUM(L93:Q93)</f>
        <v/>
      </c>
      <c r="S93" s="123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69" t="inlineStr">
        <is>
          <t>白根主任</t>
        </is>
      </c>
      <c r="E94" s="80">
        <f>全体!E94-機械!E94</f>
        <v/>
      </c>
      <c r="F94" s="80">
        <f>全体!F94-機械!F94</f>
        <v/>
      </c>
      <c r="G94" s="80">
        <f>全体!G94-機械!G94</f>
        <v/>
      </c>
      <c r="H94" s="80">
        <f>全体!H94-機械!H94</f>
        <v/>
      </c>
      <c r="I94" s="80">
        <f>全体!I94-機械!I94</f>
        <v/>
      </c>
      <c r="J94" s="80" t="n"/>
      <c r="K94" s="58">
        <f>SUM(E94:J94)</f>
        <v/>
      </c>
      <c r="L94" s="80">
        <f>全体!L94-機械!L94</f>
        <v/>
      </c>
      <c r="M94" s="80">
        <f>全体!M94-機械!M94</f>
        <v/>
      </c>
      <c r="N94" s="80">
        <f>全体!N94-機械!N94</f>
        <v/>
      </c>
      <c r="O94" s="80">
        <f>全体!O94-機械!O94</f>
        <v/>
      </c>
      <c r="P94" s="80">
        <f>全体!P94-機械!P94</f>
        <v/>
      </c>
      <c r="Q94" s="80" t="n"/>
      <c r="R94" s="73">
        <f>SUM(L94:Q94)</f>
        <v/>
      </c>
      <c r="S94" s="123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69" t="inlineStr">
        <is>
          <t>海外</t>
        </is>
      </c>
      <c r="E95" s="80">
        <f>全体!E95-機械!E95</f>
        <v/>
      </c>
      <c r="F95" s="80">
        <f>全体!F95-機械!F95</f>
        <v/>
      </c>
      <c r="G95" s="80">
        <f>全体!G95-機械!G95</f>
        <v/>
      </c>
      <c r="H95" s="80">
        <f>全体!H95-機械!H95</f>
        <v/>
      </c>
      <c r="I95" s="80">
        <f>全体!I95-機械!I95</f>
        <v/>
      </c>
      <c r="J95" s="80" t="n"/>
      <c r="K95" s="58">
        <f>SUM(E95:J95)</f>
        <v/>
      </c>
      <c r="L95" s="80">
        <f>全体!L95-機械!L95</f>
        <v/>
      </c>
      <c r="M95" s="80">
        <f>全体!M95-機械!M95</f>
        <v/>
      </c>
      <c r="N95" s="80">
        <f>全体!N95-機械!N95</f>
        <v/>
      </c>
      <c r="O95" s="80">
        <f>全体!O95-機械!O95</f>
        <v/>
      </c>
      <c r="P95" s="80">
        <f>全体!P95-機械!P95</f>
        <v/>
      </c>
      <c r="Q95" s="80" t="n"/>
      <c r="R95" s="73">
        <f>SUM(L95:Q95)</f>
        <v/>
      </c>
      <c r="S95" s="130">
        <f>IF(E95=0,"***",L95/E95)</f>
        <v/>
      </c>
      <c r="T95" s="131">
        <f>IF(F95=0,"***",M95/F95)</f>
        <v/>
      </c>
      <c r="U95" s="131">
        <f>IF(G95=0,"***",N95/G95)</f>
        <v/>
      </c>
      <c r="V95" s="131">
        <f>IF(H95=0,"***",O95/H95)</f>
        <v/>
      </c>
      <c r="W95" s="131">
        <f>IF(I95=0,"***",P95/I95)</f>
        <v/>
      </c>
      <c r="X95" s="131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69" t="inlineStr">
        <is>
          <t>その他</t>
        </is>
      </c>
      <c r="E96" s="80">
        <f>全体!E96-機械!E96</f>
        <v/>
      </c>
      <c r="F96" s="80">
        <f>全体!F96-機械!F96</f>
        <v/>
      </c>
      <c r="G96" s="80">
        <f>全体!G96-機械!G96</f>
        <v/>
      </c>
      <c r="H96" s="80">
        <f>全体!H96-機械!H96</f>
        <v/>
      </c>
      <c r="I96" s="80">
        <f>全体!I96-機械!I96</f>
        <v/>
      </c>
      <c r="J96" s="80" t="n"/>
      <c r="K96" s="58">
        <f>SUM(E96:J96)</f>
        <v/>
      </c>
      <c r="L96" s="80">
        <f>全体!L96-機械!L96</f>
        <v/>
      </c>
      <c r="M96" s="80">
        <f>全体!M96-機械!M96</f>
        <v/>
      </c>
      <c r="N96" s="80">
        <f>全体!N96-機械!N96</f>
        <v/>
      </c>
      <c r="O96" s="80">
        <f>全体!O96-機械!O96</f>
        <v/>
      </c>
      <c r="P96" s="80">
        <f>全体!P96-機械!P96</f>
        <v/>
      </c>
      <c r="Q96" s="80" t="n"/>
      <c r="R96" s="73">
        <f>SUM(L96:Q96)</f>
        <v/>
      </c>
      <c r="S96" s="123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69" t="inlineStr">
        <is>
          <t>自治体</t>
        </is>
      </c>
      <c r="E97" s="80">
        <f>全体!E97-機械!E97</f>
        <v/>
      </c>
      <c r="F97" s="80" t="n"/>
      <c r="G97" s="80">
        <f>全体!G97-機械!G97</f>
        <v/>
      </c>
      <c r="H97" s="80">
        <f>全体!H97-機械!H97</f>
        <v/>
      </c>
      <c r="I97" s="80">
        <f>全体!I97-機械!I97</f>
        <v/>
      </c>
      <c r="J97" s="80" t="n"/>
      <c r="K97" s="58">
        <f>SUM(E97:J97)</f>
        <v/>
      </c>
      <c r="L97" s="80">
        <f>全体!L97-機械!L97</f>
        <v/>
      </c>
      <c r="M97" s="80" t="n"/>
      <c r="N97" s="80">
        <f>全体!N97-機械!N97</f>
        <v/>
      </c>
      <c r="O97" s="80">
        <f>全体!O97-機械!O97</f>
        <v/>
      </c>
      <c r="P97" s="80">
        <f>全体!P97-機械!P97</f>
        <v/>
      </c>
      <c r="Q97" s="80" t="n"/>
      <c r="R97" s="73">
        <f>SUM(L97:Q97)</f>
        <v/>
      </c>
      <c r="S97" s="123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69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 t="n"/>
      <c r="K103" s="79">
        <f>SUM(E103:J103)</f>
        <v/>
      </c>
      <c r="L103" s="53">
        <f>L89-L47</f>
        <v/>
      </c>
      <c r="M103" s="2">
        <f>M89-M47</f>
        <v/>
      </c>
      <c r="N103" s="39">
        <f>N89-N47</f>
        <v/>
      </c>
      <c r="O103" s="2">
        <f>O89-O47</f>
        <v/>
      </c>
      <c r="P103" s="2">
        <f>P89-P47</f>
        <v/>
      </c>
      <c r="Q103" s="2" t="n"/>
      <c r="R103" s="73">
        <f>SUM(L103:Q103)</f>
        <v/>
      </c>
      <c r="S103" s="123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69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 t="n"/>
      <c r="K104" s="79">
        <f>SUM(E104:J104)</f>
        <v/>
      </c>
      <c r="L104" s="53">
        <f>L90-L48</f>
        <v/>
      </c>
      <c r="M104" s="2">
        <f>M90-M48</f>
        <v/>
      </c>
      <c r="N104" s="39">
        <f>N90-N48</f>
        <v/>
      </c>
      <c r="O104" s="2">
        <f>O90-O48</f>
        <v/>
      </c>
      <c r="P104" s="2">
        <f>P90-P48</f>
        <v/>
      </c>
      <c r="Q104" s="2" t="n"/>
      <c r="R104" s="73">
        <f>SUM(L104:Q104)</f>
        <v/>
      </c>
      <c r="S104" s="130">
        <f>S90-S48</f>
        <v/>
      </c>
      <c r="T104" s="131">
        <f>T90-T48</f>
        <v/>
      </c>
      <c r="U104" s="131">
        <f>U90-U48</f>
        <v/>
      </c>
      <c r="V104" s="131">
        <f>V90-V48</f>
        <v/>
      </c>
      <c r="W104" s="131">
        <f>W90-W48</f>
        <v/>
      </c>
      <c r="X104" s="131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69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 t="n"/>
      <c r="K105" s="79">
        <f>SUM(E105:J105)</f>
        <v/>
      </c>
      <c r="L105" s="53">
        <f>L91-L49</f>
        <v/>
      </c>
      <c r="M105" s="2">
        <f>M91-M49</f>
        <v/>
      </c>
      <c r="N105" s="39">
        <f>N91-N49</f>
        <v/>
      </c>
      <c r="O105" s="2">
        <f>O91-O49</f>
        <v/>
      </c>
      <c r="P105" s="2">
        <f>P91-P49</f>
        <v/>
      </c>
      <c r="Q105" s="2" t="n"/>
      <c r="R105" s="73">
        <f>SUM(L105:Q105)</f>
        <v/>
      </c>
      <c r="S105" s="130">
        <f>S91-S49</f>
        <v/>
      </c>
      <c r="T105" s="131">
        <f>T91-T49</f>
        <v/>
      </c>
      <c r="U105" s="131">
        <f>U91-U49</f>
        <v/>
      </c>
      <c r="V105" s="131">
        <f>V91-V49</f>
        <v/>
      </c>
      <c r="W105" s="131">
        <f>W91-W49</f>
        <v/>
      </c>
      <c r="X105" s="131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69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 t="n"/>
      <c r="K106" s="79">
        <f>SUM(E106:J106)</f>
        <v/>
      </c>
      <c r="L106" s="53">
        <f>L92-L50</f>
        <v/>
      </c>
      <c r="M106" s="2">
        <f>M92-M50</f>
        <v/>
      </c>
      <c r="N106" s="39">
        <f>N92-N50</f>
        <v/>
      </c>
      <c r="O106" s="2">
        <f>O92-O50</f>
        <v/>
      </c>
      <c r="P106" s="2">
        <f>P92-P50</f>
        <v/>
      </c>
      <c r="Q106" s="2" t="n"/>
      <c r="R106" s="73">
        <f>SUM(L106:Q106)</f>
        <v/>
      </c>
      <c r="S106" s="130">
        <f>S92-S50</f>
        <v/>
      </c>
      <c r="T106" s="131">
        <f>T92-T50</f>
        <v/>
      </c>
      <c r="U106" s="131">
        <f>U92-U50</f>
        <v/>
      </c>
      <c r="V106" s="131">
        <f>V92-V50</f>
        <v/>
      </c>
      <c r="W106" s="131">
        <f>W92-W50</f>
        <v/>
      </c>
      <c r="X106" s="131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69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 t="n"/>
      <c r="K107" s="79">
        <f>SUM(E107:J107)</f>
        <v/>
      </c>
      <c r="L107" s="53">
        <f>L93-L51</f>
        <v/>
      </c>
      <c r="M107" s="2">
        <f>M93-M51</f>
        <v/>
      </c>
      <c r="N107" s="39">
        <f>N93-N51</f>
        <v/>
      </c>
      <c r="O107" s="2">
        <f>O93-O51</f>
        <v/>
      </c>
      <c r="P107" s="2">
        <f>P93-P51</f>
        <v/>
      </c>
      <c r="Q107" s="2" t="n"/>
      <c r="R107" s="73">
        <f>SUM(L107:Q107)</f>
        <v/>
      </c>
      <c r="S107" s="123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69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 t="n"/>
      <c r="K108" s="79">
        <f>SUM(E108:J108)</f>
        <v/>
      </c>
      <c r="L108" s="53">
        <f>L94-L52</f>
        <v/>
      </c>
      <c r="M108" s="2">
        <f>M94-M52</f>
        <v/>
      </c>
      <c r="N108" s="39">
        <f>N94-N52</f>
        <v/>
      </c>
      <c r="O108" s="2">
        <f>O94-O52</f>
        <v/>
      </c>
      <c r="P108" s="2">
        <f>P94-P52</f>
        <v/>
      </c>
      <c r="Q108" s="2" t="n"/>
      <c r="R108" s="73">
        <f>SUM(L108:Q108)</f>
        <v/>
      </c>
      <c r="S108" s="123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69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 t="n"/>
      <c r="K109" s="79">
        <f>SUM(E109:J109)</f>
        <v/>
      </c>
      <c r="L109" s="53">
        <f>L95-L53</f>
        <v/>
      </c>
      <c r="M109" s="2">
        <f>M95-M53</f>
        <v/>
      </c>
      <c r="N109" s="39">
        <f>N95-N53</f>
        <v/>
      </c>
      <c r="O109" s="2">
        <f>O95-O53</f>
        <v/>
      </c>
      <c r="P109" s="2">
        <f>P95-P53</f>
        <v/>
      </c>
      <c r="Q109" s="2" t="n"/>
      <c r="R109" s="73">
        <f>SUM(L109:Q109)</f>
        <v/>
      </c>
      <c r="S109" s="130">
        <f>S95-S53</f>
        <v/>
      </c>
      <c r="T109" s="131">
        <f>T95-T53</f>
        <v/>
      </c>
      <c r="U109" s="131">
        <f>U95-U53</f>
        <v/>
      </c>
      <c r="V109" s="131">
        <f>V95-V53</f>
        <v/>
      </c>
      <c r="W109" s="131">
        <f>W95-W53</f>
        <v/>
      </c>
      <c r="X109" s="131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69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 t="n"/>
      <c r="K110" s="79">
        <f>SUM(E110:J110)</f>
        <v/>
      </c>
      <c r="L110" s="53">
        <f>L96-L54</f>
        <v/>
      </c>
      <c r="M110" s="2">
        <f>M96-M54</f>
        <v/>
      </c>
      <c r="N110" s="39">
        <f>N96-N54</f>
        <v/>
      </c>
      <c r="O110" s="2">
        <f>O96-O54</f>
        <v/>
      </c>
      <c r="P110" s="2">
        <f>P96-P54</f>
        <v/>
      </c>
      <c r="Q110" s="2" t="n"/>
      <c r="R110" s="73">
        <f>SUM(L110:Q110)</f>
        <v/>
      </c>
      <c r="S110" s="123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69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 t="n"/>
      <c r="K111" s="79">
        <f>SUM(E111:J111)</f>
        <v/>
      </c>
      <c r="L111" s="53">
        <f>L97-L55</f>
        <v/>
      </c>
      <c r="M111" s="2">
        <f>M97-M55</f>
        <v/>
      </c>
      <c r="N111" s="39">
        <f>N97-N55</f>
        <v/>
      </c>
      <c r="O111" s="2">
        <f>O97-O55</f>
        <v/>
      </c>
      <c r="P111" s="2">
        <f>P97-P55</f>
        <v/>
      </c>
      <c r="Q111" s="2" t="n"/>
      <c r="R111" s="73">
        <f>SUM(L111:Q111)</f>
        <v/>
      </c>
      <c r="S111" s="123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69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41" t="n"/>
      <c r="R117" s="73">
        <f>SUM(L117:Q117)</f>
        <v/>
      </c>
      <c r="S117" s="123">
        <f>S89-S19</f>
        <v/>
      </c>
      <c r="T117" s="124">
        <f>T89-T19</f>
        <v/>
      </c>
      <c r="U117" s="124">
        <f>U89-U19</f>
        <v/>
      </c>
      <c r="V117" s="124">
        <f>V89-V19</f>
        <v/>
      </c>
      <c r="W117" s="124">
        <f>W89-W19</f>
        <v/>
      </c>
      <c r="X117" s="124">
        <f>X89-X19</f>
        <v/>
      </c>
      <c r="Y117" s="125">
        <f>Y89-Y19</f>
        <v/>
      </c>
    </row>
    <row r="118">
      <c r="C118" s="71" t="inlineStr">
        <is>
          <t>0904 集計</t>
        </is>
      </c>
      <c r="D118" s="69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73">
        <f>SUM(L118:Q118)</f>
        <v/>
      </c>
      <c r="S118" s="130">
        <f>S90-S20</f>
        <v/>
      </c>
      <c r="T118" s="131">
        <f>T90-T20</f>
        <v/>
      </c>
      <c r="U118" s="131">
        <f>U90-U20</f>
        <v/>
      </c>
      <c r="V118" s="131">
        <f>V90-V20</f>
        <v/>
      </c>
      <c r="W118" s="131">
        <f>W90-W20</f>
        <v/>
      </c>
      <c r="X118" s="131">
        <f>X90-X20</f>
        <v/>
      </c>
      <c r="Y118" s="125">
        <f>Y90-Y20</f>
        <v/>
      </c>
    </row>
    <row r="119">
      <c r="C119" s="71" t="inlineStr">
        <is>
          <t>0909 集計</t>
        </is>
      </c>
      <c r="D119" s="69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73">
        <f>SUM(L119:Q119)</f>
        <v/>
      </c>
      <c r="S119" s="130">
        <f>S91-S21</f>
        <v/>
      </c>
      <c r="T119" s="131">
        <f>T91-T21</f>
        <v/>
      </c>
      <c r="U119" s="131">
        <f>U91-U21</f>
        <v/>
      </c>
      <c r="V119" s="131">
        <f>V91-V21</f>
        <v/>
      </c>
      <c r="W119" s="131">
        <f>W91-W21</f>
        <v/>
      </c>
      <c r="X119" s="131">
        <f>X91-X21</f>
        <v/>
      </c>
      <c r="Y119" s="125">
        <f>Y91-Y21</f>
        <v/>
      </c>
    </row>
    <row r="120">
      <c r="C120" s="71" t="inlineStr">
        <is>
          <t>0910 集計</t>
        </is>
      </c>
      <c r="D120" s="69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73">
        <f>SUM(L120:Q120)</f>
        <v/>
      </c>
      <c r="S120" s="130">
        <f>S92-S22</f>
        <v/>
      </c>
      <c r="T120" s="131">
        <f>T92-T22</f>
        <v/>
      </c>
      <c r="U120" s="131">
        <f>U92-U22</f>
        <v/>
      </c>
      <c r="V120" s="131">
        <f>V92-V22</f>
        <v/>
      </c>
      <c r="W120" s="131">
        <f>W92-W22</f>
        <v/>
      </c>
      <c r="X120" s="131">
        <f>X92-X22</f>
        <v/>
      </c>
      <c r="Y120" s="125">
        <f>Y92-Y22</f>
        <v/>
      </c>
    </row>
    <row r="121">
      <c r="C121" s="71" t="inlineStr">
        <is>
          <t>0911 集計</t>
        </is>
      </c>
      <c r="D121" s="69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73">
        <f>SUM(L121:Q121)</f>
        <v/>
      </c>
      <c r="S121" s="123">
        <f>S93-S23</f>
        <v/>
      </c>
      <c r="T121" s="124">
        <f>T93-T23</f>
        <v/>
      </c>
      <c r="U121" s="124">
        <f>U93-U23</f>
        <v/>
      </c>
      <c r="V121" s="124">
        <f>V93-V23</f>
        <v/>
      </c>
      <c r="W121" s="124">
        <f>W93-W23</f>
        <v/>
      </c>
      <c r="X121" s="124">
        <f>X93-X23</f>
        <v/>
      </c>
      <c r="Y121" s="125">
        <f>Y93-Y23</f>
        <v/>
      </c>
    </row>
    <row r="122">
      <c r="C122" s="71" t="inlineStr">
        <is>
          <t>0914 集計</t>
        </is>
      </c>
      <c r="D122" s="69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73">
        <f>SUM(L122:Q122)</f>
        <v/>
      </c>
      <c r="S122" s="123">
        <f>S94-S24</f>
        <v/>
      </c>
      <c r="T122" s="124">
        <f>T94-T24</f>
        <v/>
      </c>
      <c r="U122" s="124">
        <f>U94-U24</f>
        <v/>
      </c>
      <c r="V122" s="124">
        <f>V94-V24</f>
        <v/>
      </c>
      <c r="W122" s="124">
        <f>W94-W24</f>
        <v/>
      </c>
      <c r="X122" s="124">
        <f>X94-X24</f>
        <v/>
      </c>
      <c r="Y122" s="125">
        <f>Y94-Y24</f>
        <v/>
      </c>
    </row>
    <row r="123">
      <c r="C123" s="71" t="inlineStr">
        <is>
          <t>0918 集計</t>
        </is>
      </c>
      <c r="D123" s="69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73">
        <f>SUM(L123:Q123)</f>
        <v/>
      </c>
      <c r="S123" s="130">
        <f>S95-S25</f>
        <v/>
      </c>
      <c r="T123" s="131">
        <f>T95-T25</f>
        <v/>
      </c>
      <c r="U123" s="131">
        <f>U95-U25</f>
        <v/>
      </c>
      <c r="V123" s="131">
        <f>V95-V25</f>
        <v/>
      </c>
      <c r="W123" s="131">
        <f>W95-W25</f>
        <v/>
      </c>
      <c r="X123" s="131">
        <f>X95-X25</f>
        <v/>
      </c>
      <c r="Y123" s="125">
        <f>Y95-Y25</f>
        <v/>
      </c>
    </row>
    <row r="124">
      <c r="C124" s="71" t="inlineStr">
        <is>
          <t>0919 集計</t>
        </is>
      </c>
      <c r="D124" s="69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73">
        <f>SUM(L124:Q124)</f>
        <v/>
      </c>
      <c r="S124" s="123">
        <f>S96-S26</f>
        <v/>
      </c>
      <c r="T124" s="124">
        <f>T96-T26</f>
        <v/>
      </c>
      <c r="U124" s="124">
        <f>U96-U26</f>
        <v/>
      </c>
      <c r="V124" s="124">
        <f>V96-V26</f>
        <v/>
      </c>
      <c r="W124" s="124">
        <f>W96-W26</f>
        <v/>
      </c>
      <c r="X124" s="124">
        <f>X96-X26</f>
        <v/>
      </c>
      <c r="Y124" s="125">
        <f>Y96-Y26</f>
        <v/>
      </c>
    </row>
    <row r="125">
      <c r="C125" s="71" t="inlineStr">
        <is>
          <t>0930 集計</t>
        </is>
      </c>
      <c r="D125" s="69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73">
        <f>SUM(L125:Q125)</f>
        <v/>
      </c>
      <c r="S125" s="123">
        <f>S97-S27</f>
        <v/>
      </c>
      <c r="T125" s="124">
        <f>T97-T27</f>
        <v/>
      </c>
      <c r="U125" s="124">
        <f>U97-U27</f>
        <v/>
      </c>
      <c r="V125" s="124">
        <f>V97-V27</f>
        <v/>
      </c>
      <c r="W125" s="124">
        <f>W97-W27</f>
        <v/>
      </c>
      <c r="X125" s="124">
        <f>X97-X27</f>
        <v/>
      </c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>
        <f>X112-X70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2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topLeftCell="B1" workbookViewId="0">
      <pane xSplit="3" ySplit="1" topLeftCell="E41" activePane="bottomRight" state="frozen"/>
      <selection activeCell="D117" sqref="D117"/>
      <selection pane="topRight" activeCell="D117" sqref="D117"/>
      <selection pane="bottomLeft" activeCell="D117" sqref="D117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境港営業所機械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40" t="inlineStr">
        <is>
          <t>西岡</t>
        </is>
      </c>
      <c r="E5" s="1" t="n">
        <v>1</v>
      </c>
      <c r="F5" s="2" t="n">
        <v>72</v>
      </c>
      <c r="G5" s="2" t="n">
        <v>56</v>
      </c>
      <c r="H5" s="2">
        <f>168+76</f>
        <v/>
      </c>
      <c r="I5" s="2">
        <f>217+11</f>
        <v/>
      </c>
      <c r="J5" s="2" t="n">
        <v>268</v>
      </c>
      <c r="K5" s="73">
        <f>SUM(E5:J5)</f>
        <v/>
      </c>
      <c r="L5" s="1" t="n">
        <v>0</v>
      </c>
      <c r="M5" s="2" t="n">
        <v>13</v>
      </c>
      <c r="N5" s="2" t="n">
        <v>14</v>
      </c>
      <c r="O5" s="2">
        <f>56+24</f>
        <v/>
      </c>
      <c r="P5" s="2">
        <f>62+3</f>
        <v/>
      </c>
      <c r="Q5" s="2" t="n">
        <v>98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40" t="inlineStr">
        <is>
          <t>足立次長</t>
        </is>
      </c>
      <c r="E6" s="1" t="n">
        <v>643</v>
      </c>
      <c r="F6" s="2" t="n">
        <v>26318</v>
      </c>
      <c r="G6" s="2" t="n">
        <v>397</v>
      </c>
      <c r="H6" s="2" t="n">
        <v>472</v>
      </c>
      <c r="I6" s="2" t="n">
        <v>265</v>
      </c>
      <c r="J6" s="2" t="n">
        <v>444</v>
      </c>
      <c r="K6" s="73">
        <f>SUM(E6:J6)</f>
        <v/>
      </c>
      <c r="L6" s="1" t="n">
        <v>105</v>
      </c>
      <c r="M6" s="2" t="n">
        <v>5374</v>
      </c>
      <c r="N6" s="2" t="n">
        <v>81</v>
      </c>
      <c r="O6" s="2" t="n">
        <v>124</v>
      </c>
      <c r="P6" s="2" t="n">
        <v>47</v>
      </c>
      <c r="Q6" s="2" t="n">
        <v>71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40" t="inlineStr">
        <is>
          <t>藤波課長</t>
        </is>
      </c>
      <c r="E7" s="1" t="n">
        <v>575</v>
      </c>
      <c r="F7" s="2" t="n">
        <v>675</v>
      </c>
      <c r="G7" s="2" t="n">
        <v>193</v>
      </c>
      <c r="H7" s="2">
        <f>414+70</f>
        <v/>
      </c>
      <c r="I7" s="2">
        <f>169+58</f>
        <v/>
      </c>
      <c r="J7" s="2" t="n">
        <v>814</v>
      </c>
      <c r="K7" s="73">
        <f>SUM(E7:J7)</f>
        <v/>
      </c>
      <c r="L7" s="1" t="n">
        <v>209</v>
      </c>
      <c r="M7" s="2" t="n">
        <v>193</v>
      </c>
      <c r="N7" s="2" t="n">
        <v>89</v>
      </c>
      <c r="O7" s="2">
        <f>201+23</f>
        <v/>
      </c>
      <c r="P7" s="2">
        <f>91+18</f>
        <v/>
      </c>
      <c r="Q7" s="2" t="n">
        <v>223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40" t="inlineStr">
        <is>
          <t>足立課長</t>
        </is>
      </c>
      <c r="E8" s="1" t="n">
        <v>6691</v>
      </c>
      <c r="F8" s="2" t="n">
        <v>59</v>
      </c>
      <c r="G8" s="2" t="n">
        <v>60</v>
      </c>
      <c r="H8" s="2" t="n"/>
      <c r="I8" s="2" t="n"/>
      <c r="J8" s="2" t="n"/>
      <c r="K8" s="73">
        <f>SUM(E8:J8)</f>
        <v/>
      </c>
      <c r="L8" s="1" t="n">
        <v>1276</v>
      </c>
      <c r="M8" s="2" t="n">
        <v>14</v>
      </c>
      <c r="N8" s="2" t="n">
        <v>16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40" t="inlineStr">
        <is>
          <t>川邊主任</t>
        </is>
      </c>
      <c r="E9" s="1" t="n">
        <v>393</v>
      </c>
      <c r="F9" s="2" t="n">
        <v>1326</v>
      </c>
      <c r="G9" s="2" t="n">
        <v>753</v>
      </c>
      <c r="H9" s="2" t="n">
        <v>511</v>
      </c>
      <c r="I9" s="2" t="n">
        <v>237</v>
      </c>
      <c r="J9" s="2" t="n">
        <v>389</v>
      </c>
      <c r="K9" s="73">
        <f>SUM(E9:J9)</f>
        <v/>
      </c>
      <c r="L9" s="1" t="n">
        <v>101</v>
      </c>
      <c r="M9" s="2" t="n">
        <v>298</v>
      </c>
      <c r="N9" s="2" t="n">
        <v>166</v>
      </c>
      <c r="O9" s="2" t="n">
        <v>124</v>
      </c>
      <c r="P9" s="2" t="n">
        <v>52</v>
      </c>
      <c r="Q9" s="2" t="n">
        <v>87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978</v>
      </c>
      <c r="F10" s="2" t="n">
        <v>3707</v>
      </c>
      <c r="G10" s="2" t="n">
        <v>2099</v>
      </c>
      <c r="H10" s="2" t="n">
        <v>711</v>
      </c>
      <c r="I10" s="2" t="n">
        <v>326</v>
      </c>
      <c r="J10" s="2" t="n">
        <v>956</v>
      </c>
      <c r="K10" s="73">
        <f>SUM(E10:J10)</f>
        <v/>
      </c>
      <c r="L10" s="1" t="n">
        <v>278</v>
      </c>
      <c r="M10" s="2" t="n">
        <v>384</v>
      </c>
      <c r="N10" s="2" t="n">
        <v>539</v>
      </c>
      <c r="O10" s="2" t="n">
        <v>197</v>
      </c>
      <c r="P10" s="2" t="n">
        <v>89</v>
      </c>
      <c r="Q10" s="2" t="n">
        <v>260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40" t="inlineStr">
        <is>
          <t>海外</t>
        </is>
      </c>
      <c r="E11" s="1" t="n">
        <v>199</v>
      </c>
      <c r="F11" s="2" t="n">
        <v>2039</v>
      </c>
      <c r="G11" s="2" t="n">
        <v>379</v>
      </c>
      <c r="H11" s="2" t="n">
        <v>108</v>
      </c>
      <c r="I11" s="2" t="n">
        <v>35</v>
      </c>
      <c r="J11" s="2" t="n">
        <v>0</v>
      </c>
      <c r="K11" s="73">
        <f>SUM(E11:J11)</f>
        <v/>
      </c>
      <c r="L11" s="1" t="n">
        <v>56</v>
      </c>
      <c r="M11" s="2" t="n">
        <v>381</v>
      </c>
      <c r="N11" s="2" t="n">
        <v>90</v>
      </c>
      <c r="O11" s="2" t="n">
        <v>27</v>
      </c>
      <c r="P11" s="2" t="n">
        <v>29</v>
      </c>
      <c r="Q11" s="2" t="n">
        <v>0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40" t="inlineStr">
        <is>
          <t>その他</t>
        </is>
      </c>
      <c r="E12" s="1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4</v>
      </c>
      <c r="K12" s="73">
        <f>SUM(E12:J12)</f>
        <v/>
      </c>
      <c r="L12" s="1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1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40" t="inlineStr">
        <is>
          <t>自治体</t>
        </is>
      </c>
      <c r="E13" s="83" t="n"/>
      <c r="F13" s="86" t="n"/>
      <c r="G13" s="86" t="n"/>
      <c r="H13" s="86" t="n"/>
      <c r="I13" s="86" t="n"/>
      <c r="J13" s="86" t="n"/>
      <c r="K13" s="73">
        <f>SUM(E13:J13)</f>
        <v/>
      </c>
      <c r="L13" s="83" t="n"/>
      <c r="M13" s="86" t="n"/>
      <c r="N13" s="86" t="n"/>
      <c r="O13" s="86" t="n"/>
      <c r="P13" s="86" t="n"/>
      <c r="Q13" s="86" t="n"/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 ht="14.25" customHeight="1" s="113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40" t="inlineStr">
        <is>
          <t>西岡</t>
        </is>
      </c>
      <c r="E19" s="2" t="n">
        <v>145</v>
      </c>
      <c r="F19" s="2" t="n">
        <v>22</v>
      </c>
      <c r="G19" s="2" t="n">
        <v>250</v>
      </c>
      <c r="H19" s="2">
        <f>57+130</f>
        <v/>
      </c>
      <c r="I19" s="2">
        <f>60+8</f>
        <v/>
      </c>
      <c r="J19" s="2">
        <f>130+5</f>
        <v/>
      </c>
      <c r="K19" s="79">
        <f>SUM(E19:J19)</f>
        <v/>
      </c>
      <c r="L19" s="1" t="n">
        <v>35</v>
      </c>
      <c r="M19" s="2" t="n">
        <v>3</v>
      </c>
      <c r="N19" s="2" t="n">
        <v>127</v>
      </c>
      <c r="O19" s="2">
        <f>23+27</f>
        <v/>
      </c>
      <c r="P19" s="2">
        <f>14+0</f>
        <v/>
      </c>
      <c r="Q19" s="2">
        <f>32+1</f>
        <v/>
      </c>
      <c r="R19" s="73">
        <f>SUM(L19:Q19)</f>
        <v/>
      </c>
      <c r="S19" s="135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40" t="inlineStr">
        <is>
          <t>足立次長</t>
        </is>
      </c>
      <c r="E20" s="2" t="n">
        <v>625</v>
      </c>
      <c r="F20" s="2" t="n">
        <v>200</v>
      </c>
      <c r="G20" s="2" t="n">
        <v>207</v>
      </c>
      <c r="H20" s="2" t="n">
        <v>1557</v>
      </c>
      <c r="I20" s="2" t="n">
        <v>82542</v>
      </c>
      <c r="J20" s="2" t="n">
        <v>30771</v>
      </c>
      <c r="K20" s="79">
        <f>SUM(E20:J20)</f>
        <v/>
      </c>
      <c r="L20" s="1" t="n">
        <v>106</v>
      </c>
      <c r="M20" s="2" t="n">
        <v>40</v>
      </c>
      <c r="N20" s="2" t="n">
        <v>37</v>
      </c>
      <c r="O20" s="2" t="n">
        <v>296</v>
      </c>
      <c r="P20" s="2" t="n">
        <v>13969</v>
      </c>
      <c r="Q20" s="2" t="n">
        <v>7512</v>
      </c>
      <c r="R20" s="73">
        <f>SUM(L20:Q20)</f>
        <v/>
      </c>
      <c r="S20" s="135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40" t="inlineStr">
        <is>
          <t>藤波課長</t>
        </is>
      </c>
      <c r="E21" s="2" t="n">
        <v>419</v>
      </c>
      <c r="F21" s="2" t="n">
        <v>740</v>
      </c>
      <c r="G21" s="2" t="n">
        <v>708</v>
      </c>
      <c r="H21" s="2">
        <f>3107+1124-130</f>
        <v/>
      </c>
      <c r="I21" s="2">
        <f>434+1804</f>
        <v/>
      </c>
      <c r="J21" s="2">
        <f>244+132-5</f>
        <v/>
      </c>
      <c r="K21" s="79">
        <f>SUM(E21:J21)</f>
        <v/>
      </c>
      <c r="L21" s="1" t="n">
        <v>172</v>
      </c>
      <c r="M21" s="2" t="n">
        <v>261</v>
      </c>
      <c r="N21" s="2" t="n">
        <v>302</v>
      </c>
      <c r="O21" s="2">
        <f>945+376-27</f>
        <v/>
      </c>
      <c r="P21" s="2">
        <f>190+491-0</f>
        <v/>
      </c>
      <c r="Q21" s="2">
        <f>141+33-1</f>
        <v/>
      </c>
      <c r="R21" s="73">
        <f>SUM(L21:Q21)</f>
        <v/>
      </c>
      <c r="S21" s="135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40" t="inlineStr">
        <is>
          <t>足立課長</t>
        </is>
      </c>
      <c r="E22" s="2" t="n">
        <v>114</v>
      </c>
      <c r="F22" s="2" t="n">
        <v>87</v>
      </c>
      <c r="G22" s="2" t="n">
        <v>124</v>
      </c>
      <c r="H22" s="2" t="n"/>
      <c r="I22" s="2" t="n"/>
      <c r="J22" s="2" t="n"/>
      <c r="K22" s="79">
        <f>SUM(E22:J22)</f>
        <v/>
      </c>
      <c r="L22" s="1" t="n">
        <v>31</v>
      </c>
      <c r="M22" s="2" t="n">
        <v>31</v>
      </c>
      <c r="N22" s="2" t="n">
        <v>34</v>
      </c>
      <c r="O22" s="2" t="n"/>
      <c r="P22" s="2" t="n"/>
      <c r="Q22" s="2" t="n"/>
      <c r="R22" s="73">
        <f>SUM(L22:Q22)</f>
        <v/>
      </c>
      <c r="S22" s="135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40" t="inlineStr">
        <is>
          <t>川邊主任</t>
        </is>
      </c>
      <c r="E23" s="2" t="n">
        <v>319</v>
      </c>
      <c r="F23" s="2" t="n">
        <v>1653</v>
      </c>
      <c r="G23" s="2" t="n">
        <v>400</v>
      </c>
      <c r="H23" s="2" t="n">
        <v>906</v>
      </c>
      <c r="I23" s="2" t="n">
        <v>402</v>
      </c>
      <c r="J23" s="2" t="n">
        <v>243</v>
      </c>
      <c r="K23" s="79">
        <f>SUM(E23:J23)</f>
        <v/>
      </c>
      <c r="L23" s="1" t="n">
        <v>101</v>
      </c>
      <c r="M23" s="2" t="n">
        <v>284</v>
      </c>
      <c r="N23" s="2" t="n">
        <v>90</v>
      </c>
      <c r="O23" s="2" t="n">
        <v>184</v>
      </c>
      <c r="P23" s="2" t="n">
        <v>77</v>
      </c>
      <c r="Q23" s="2" t="n">
        <v>39</v>
      </c>
      <c r="R23" s="73">
        <f>SUM(L23:Q23)</f>
        <v/>
      </c>
      <c r="S23" s="135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1021</v>
      </c>
      <c r="F24" s="2" t="n">
        <v>176</v>
      </c>
      <c r="G24" s="2" t="n">
        <v>6504</v>
      </c>
      <c r="H24" s="2" t="n">
        <v>738</v>
      </c>
      <c r="I24" s="2" t="n">
        <v>427</v>
      </c>
      <c r="J24" s="2" t="n">
        <v>394</v>
      </c>
      <c r="K24" s="79">
        <f>SUM(E24:J24)</f>
        <v/>
      </c>
      <c r="L24" s="1" t="n">
        <v>346</v>
      </c>
      <c r="M24" s="2" t="n">
        <v>55</v>
      </c>
      <c r="N24" s="2" t="n">
        <v>1639</v>
      </c>
      <c r="O24" s="2" t="n">
        <v>217</v>
      </c>
      <c r="P24" s="2" t="n">
        <v>158</v>
      </c>
      <c r="Q24" s="2" t="n">
        <v>101</v>
      </c>
      <c r="R24" s="73">
        <f>SUM(L24:Q24)</f>
        <v/>
      </c>
      <c r="S24" s="135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40" t="inlineStr">
        <is>
          <t>海外</t>
        </is>
      </c>
      <c r="E25" s="2" t="n">
        <v>643</v>
      </c>
      <c r="F25" s="2" t="n">
        <v>95</v>
      </c>
      <c r="G25" s="2" t="n">
        <v>576</v>
      </c>
      <c r="H25" s="2" t="n">
        <v>219</v>
      </c>
      <c r="I25" s="2" t="n">
        <v>2</v>
      </c>
      <c r="J25" s="2" t="n">
        <v>176</v>
      </c>
      <c r="K25" s="79">
        <f>SUM(E25:J25)</f>
        <v/>
      </c>
      <c r="L25" s="1" t="n">
        <v>130</v>
      </c>
      <c r="M25" s="2" t="n">
        <v>19</v>
      </c>
      <c r="N25" s="2" t="n">
        <v>130</v>
      </c>
      <c r="O25" s="2" t="n">
        <v>47</v>
      </c>
      <c r="P25" s="2" t="n">
        <v>0</v>
      </c>
      <c r="Q25" s="2" t="n">
        <v>48</v>
      </c>
      <c r="R25" s="73">
        <f>SUM(L25:Q25)</f>
        <v/>
      </c>
      <c r="S25" s="135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40" t="inlineStr">
        <is>
          <t>その他</t>
        </is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79">
        <f>SUM(E26:J26)</f>
        <v/>
      </c>
      <c r="L26" s="1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73">
        <f>SUM(L26:Q26)</f>
        <v/>
      </c>
      <c r="S26" s="135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40" t="inlineStr">
        <is>
          <t>自治体</t>
        </is>
      </c>
      <c r="E27" s="86" t="n"/>
      <c r="F27" s="86" t="n"/>
      <c r="G27" s="86" t="n"/>
      <c r="H27" s="86" t="n"/>
      <c r="I27" s="86" t="n"/>
      <c r="J27" s="86" t="n"/>
      <c r="K27" s="59" t="n"/>
      <c r="L27" s="83" t="n"/>
      <c r="M27" s="86" t="n"/>
      <c r="N27" s="86" t="n"/>
      <c r="O27" s="86" t="n"/>
      <c r="P27" s="86" t="n"/>
      <c r="Q27" s="86" t="n"/>
      <c r="R27" s="84" t="n"/>
      <c r="S27" s="136" t="n"/>
      <c r="T27" s="133" t="n"/>
      <c r="U27" s="133" t="n"/>
      <c r="V27" s="133" t="n"/>
      <c r="W27" s="133" t="n"/>
      <c r="X27" s="133" t="n"/>
      <c r="Y27" s="134" t="n"/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37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40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35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40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35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40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5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40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5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40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35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35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40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35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40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35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40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35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37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40" t="inlineStr">
        <is>
          <t>西岡</t>
        </is>
      </c>
      <c r="E47" s="39" t="n">
        <v>200</v>
      </c>
      <c r="F47" s="39" t="n">
        <v>200</v>
      </c>
      <c r="G47" s="39" t="n">
        <v>200</v>
      </c>
      <c r="H47" s="39" t="n">
        <v>200</v>
      </c>
      <c r="I47" s="39" t="n">
        <v>200</v>
      </c>
      <c r="J47" s="39" t="n">
        <v>200</v>
      </c>
      <c r="K47" s="79">
        <f>SUM(E47:J47)</f>
        <v/>
      </c>
      <c r="L47" s="53" t="n">
        <v>40</v>
      </c>
      <c r="M47" s="39" t="n">
        <v>70</v>
      </c>
      <c r="N47" s="39" t="n">
        <v>70</v>
      </c>
      <c r="O47" s="39" t="n">
        <v>70</v>
      </c>
      <c r="P47" s="39" t="n">
        <v>70</v>
      </c>
      <c r="Q47" s="39" t="n">
        <v>70</v>
      </c>
      <c r="R47" s="73">
        <f>SUM(L47:Q47)</f>
        <v/>
      </c>
      <c r="S47" s="135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40" t="inlineStr">
        <is>
          <t>足立次長</t>
        </is>
      </c>
      <c r="E48" s="39" t="n">
        <v>5000</v>
      </c>
      <c r="F48" s="39" t="n">
        <v>5000</v>
      </c>
      <c r="G48" s="39" t="n">
        <v>5000</v>
      </c>
      <c r="H48" s="39" t="n">
        <v>5000</v>
      </c>
      <c r="I48" s="39" t="n">
        <v>5000</v>
      </c>
      <c r="J48" s="39" t="n">
        <v>5000</v>
      </c>
      <c r="K48" s="79">
        <f>SUM(E48:J48)</f>
        <v/>
      </c>
      <c r="L48" s="53" t="n">
        <v>1000</v>
      </c>
      <c r="M48" s="39" t="n">
        <v>1000</v>
      </c>
      <c r="N48" s="39" t="n">
        <v>1000</v>
      </c>
      <c r="O48" s="39" t="n">
        <v>1000</v>
      </c>
      <c r="P48" s="39" t="n">
        <v>1000</v>
      </c>
      <c r="Q48" s="39" t="n">
        <v>1000</v>
      </c>
      <c r="R48" s="73">
        <f>SUM(L48:Q48)</f>
        <v/>
      </c>
      <c r="S48" s="135">
        <f>IF(E48=0,"***",L48/E48)</f>
        <v/>
      </c>
      <c r="T48" s="124">
        <f>IF(F48=0,"***",M48/F48)</f>
        <v/>
      </c>
      <c r="U48" s="124">
        <f>IF(G48=0,"***",N48/G48)</f>
        <v/>
      </c>
      <c r="V48" s="124">
        <f>IF(H48=0,"***",O48/H48)</f>
        <v/>
      </c>
      <c r="W48" s="124">
        <f>IF(I48=0,"***",P48/I48)</f>
        <v/>
      </c>
      <c r="X48" s="124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40" t="inlineStr">
        <is>
          <t>藤波課長</t>
        </is>
      </c>
      <c r="E49" s="39" t="n">
        <v>700</v>
      </c>
      <c r="F49" s="39" t="n">
        <v>700</v>
      </c>
      <c r="G49" s="39" t="n">
        <v>18700</v>
      </c>
      <c r="H49" s="39" t="n">
        <v>700</v>
      </c>
      <c r="I49" s="39" t="n">
        <v>700</v>
      </c>
      <c r="J49" s="39" t="n">
        <v>700</v>
      </c>
      <c r="K49" s="79">
        <f>SUM(E49:J49)</f>
        <v/>
      </c>
      <c r="L49" s="53" t="n">
        <v>250</v>
      </c>
      <c r="M49" s="39" t="n">
        <v>250</v>
      </c>
      <c r="N49" s="39" t="n">
        <v>5410</v>
      </c>
      <c r="O49" s="39" t="n">
        <v>250</v>
      </c>
      <c r="P49" s="39" t="n">
        <v>250</v>
      </c>
      <c r="Q49" s="39" t="n">
        <v>250</v>
      </c>
      <c r="R49" s="73">
        <f>SUM(L49:Q49)</f>
        <v/>
      </c>
      <c r="S49" s="135">
        <f>IF(E49=0,"***",L49/E49)</f>
        <v/>
      </c>
      <c r="T49" s="124">
        <f>IF(F49=0,"***",M49/F49)</f>
        <v/>
      </c>
      <c r="U49" s="124">
        <f>IF(G49=0,"***",N49/G49)</f>
        <v/>
      </c>
      <c r="V49" s="124">
        <f>IF(H49=0,"***",O49/H49)</f>
        <v/>
      </c>
      <c r="W49" s="124">
        <f>IF(I49=0,"***",P49/I49)</f>
        <v/>
      </c>
      <c r="X49" s="124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40" t="inlineStr">
        <is>
          <t>足立課長</t>
        </is>
      </c>
      <c r="E50" s="39" t="n">
        <v>1000</v>
      </c>
      <c r="F50" s="39" t="n">
        <v>1000</v>
      </c>
      <c r="G50" s="39" t="n">
        <v>1000</v>
      </c>
      <c r="H50" s="39" t="n"/>
      <c r="I50" s="39" t="n"/>
      <c r="J50" s="39" t="n"/>
      <c r="K50" s="79">
        <f>SUM(E50:J50)</f>
        <v/>
      </c>
      <c r="L50" s="53" t="n">
        <v>250</v>
      </c>
      <c r="M50" s="39" t="n">
        <v>250</v>
      </c>
      <c r="N50" s="39" t="n">
        <v>250</v>
      </c>
      <c r="O50" s="39" t="n"/>
      <c r="P50" s="39" t="n"/>
      <c r="Q50" s="39" t="n"/>
      <c r="R50" s="73">
        <f>SUM(L50:Q50)</f>
        <v/>
      </c>
      <c r="S50" s="135">
        <f>IF(E50=0,"***",L50/E50)</f>
        <v/>
      </c>
      <c r="T50" s="124">
        <f>IF(F50=0,"***",M50/F50)</f>
        <v/>
      </c>
      <c r="U50" s="124">
        <f>IF(G50=0,"***",N50/G50)</f>
        <v/>
      </c>
      <c r="V50" s="124">
        <f>IF(H50=0,"***",O50/H50)</f>
        <v/>
      </c>
      <c r="W50" s="124">
        <f>IF(I50=0,"***",P50/I50)</f>
        <v/>
      </c>
      <c r="X50" s="124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40" t="inlineStr">
        <is>
          <t>川邊主任</t>
        </is>
      </c>
      <c r="E51" s="39" t="n">
        <v>700</v>
      </c>
      <c r="F51" s="39" t="n">
        <v>700</v>
      </c>
      <c r="G51" s="39" t="n">
        <v>700</v>
      </c>
      <c r="H51" s="39" t="n">
        <v>700</v>
      </c>
      <c r="I51" s="39" t="n">
        <v>700</v>
      </c>
      <c r="J51" s="39" t="n">
        <v>700</v>
      </c>
      <c r="K51" s="79">
        <f>SUM(E51:J51)</f>
        <v/>
      </c>
      <c r="L51" s="53" t="n">
        <v>180</v>
      </c>
      <c r="M51" s="39" t="n">
        <v>180</v>
      </c>
      <c r="N51" s="39" t="n">
        <v>180</v>
      </c>
      <c r="O51" s="39" t="n">
        <v>180</v>
      </c>
      <c r="P51" s="39" t="n">
        <v>180</v>
      </c>
      <c r="Q51" s="39" t="n">
        <v>180</v>
      </c>
      <c r="R51" s="73">
        <f>SUM(L51:Q51)</f>
        <v/>
      </c>
      <c r="S51" s="135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40" t="inlineStr">
        <is>
          <t>白根主任</t>
        </is>
      </c>
      <c r="E52" s="39" t="n">
        <v>20500</v>
      </c>
      <c r="F52" s="39" t="n">
        <v>1500</v>
      </c>
      <c r="G52" s="39" t="n">
        <v>1500</v>
      </c>
      <c r="H52" s="39" t="n">
        <v>1500</v>
      </c>
      <c r="I52" s="39" t="n">
        <v>1500</v>
      </c>
      <c r="J52" s="39" t="n">
        <v>1500</v>
      </c>
      <c r="K52" s="79">
        <f>SUM(E52:J52)</f>
        <v/>
      </c>
      <c r="L52" s="53" t="n">
        <v>2600</v>
      </c>
      <c r="M52" s="39" t="n">
        <v>300</v>
      </c>
      <c r="N52" s="39" t="n">
        <v>300</v>
      </c>
      <c r="O52" s="39" t="n">
        <v>300</v>
      </c>
      <c r="P52" s="39" t="n">
        <v>300</v>
      </c>
      <c r="Q52" s="39" t="n">
        <v>300</v>
      </c>
      <c r="R52" s="73">
        <f>SUM(L52:Q52)</f>
        <v/>
      </c>
      <c r="S52" s="135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>
      <c r="C53" s="71" t="inlineStr">
        <is>
          <t>0918 集計</t>
        </is>
      </c>
      <c r="D53" s="40" t="inlineStr">
        <is>
          <t>海外</t>
        </is>
      </c>
      <c r="E53" s="39" t="n">
        <v>400</v>
      </c>
      <c r="F53" s="39" t="n">
        <v>400</v>
      </c>
      <c r="G53" s="39" t="n">
        <v>400</v>
      </c>
      <c r="H53" s="39" t="n">
        <v>400</v>
      </c>
      <c r="I53" s="39" t="n">
        <v>400</v>
      </c>
      <c r="J53" s="39" t="n">
        <v>400</v>
      </c>
      <c r="K53" s="79">
        <f>SUM(E53:J53)</f>
        <v/>
      </c>
      <c r="L53" s="53" t="n">
        <v>80</v>
      </c>
      <c r="M53" s="39" t="n">
        <v>80</v>
      </c>
      <c r="N53" s="39" t="n">
        <v>80</v>
      </c>
      <c r="O53" s="39" t="n">
        <v>80</v>
      </c>
      <c r="P53" s="39" t="n">
        <v>80</v>
      </c>
      <c r="Q53" s="39" t="n">
        <v>80</v>
      </c>
      <c r="R53" s="73">
        <f>SUM(L53:Q53)</f>
        <v/>
      </c>
      <c r="S53" s="135">
        <f>IF(E53=0,"***",L53/E53)</f>
        <v/>
      </c>
      <c r="T53" s="124">
        <f>IF(F53=0,"***",M53/F53)</f>
        <v/>
      </c>
      <c r="U53" s="124">
        <f>IF(G53=0,"***",N53/G53)</f>
        <v/>
      </c>
      <c r="V53" s="124">
        <f>IF(H53=0,"***",O53/H53)</f>
        <v/>
      </c>
      <c r="W53" s="124">
        <f>IF(I53=0,"***",P53/I53)</f>
        <v/>
      </c>
      <c r="X53" s="124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40" t="inlineStr">
        <is>
          <t>その他</t>
        </is>
      </c>
      <c r="E54" s="39" t="n">
        <v>0</v>
      </c>
      <c r="F54" s="39" t="n">
        <v>0</v>
      </c>
      <c r="G54" s="39" t="n">
        <v>0</v>
      </c>
      <c r="H54" s="39" t="n">
        <v>0</v>
      </c>
      <c r="I54" s="39" t="n">
        <v>0</v>
      </c>
      <c r="J54" s="39" t="n">
        <v>0</v>
      </c>
      <c r="K54" s="79">
        <f>SUM(E54:J54)</f>
        <v/>
      </c>
      <c r="L54" s="53" t="n">
        <v>0</v>
      </c>
      <c r="M54" s="39" t="n">
        <v>0</v>
      </c>
      <c r="N54" s="39" t="n">
        <v>0</v>
      </c>
      <c r="O54" s="39" t="n">
        <v>0</v>
      </c>
      <c r="P54" s="39" t="n">
        <v>0</v>
      </c>
      <c r="Q54" s="39" t="n">
        <v>0</v>
      </c>
      <c r="R54" s="73">
        <f>SUM(L54:Q54)</f>
        <v/>
      </c>
      <c r="S54" s="135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40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5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84">
        <f>SUM(L55:Q55)</f>
        <v/>
      </c>
      <c r="S55" s="136">
        <f>IF(E55=0,"***",L55/E55)</f>
        <v/>
      </c>
      <c r="T55" s="133">
        <f>IF(F55=0,"***",M55/F55)</f>
        <v/>
      </c>
      <c r="U55" s="133">
        <f>IF(G55=0,"***",N55/G55)</f>
        <v/>
      </c>
      <c r="V55" s="133">
        <f>IF(H55=0,"***",O55/H55)</f>
        <v/>
      </c>
      <c r="W55" s="133">
        <f>IF(I55=0,"***",P55/I55)</f>
        <v/>
      </c>
      <c r="X55" s="133">
        <f>IF(J55=0,"***",Q55/J55)</f>
        <v/>
      </c>
      <c r="Y55" s="134">
        <f>IF(K55=0,"***",R55/K55)</f>
        <v/>
      </c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37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40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40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40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40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40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40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40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40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40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40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40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40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40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40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40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40" t="inlineStr">
        <is>
          <t>自治体</t>
        </is>
      </c>
      <c r="E83" s="86" t="n"/>
      <c r="F83" s="86" t="n"/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40" t="inlineStr">
        <is>
          <t>西岡</t>
        </is>
      </c>
      <c r="E89" s="39" t="n">
        <v>148.1</v>
      </c>
      <c r="F89" s="39" t="n">
        <v>2136.89</v>
      </c>
      <c r="G89" s="39" t="n">
        <v>64.5</v>
      </c>
      <c r="H89" s="39" t="n">
        <v>102.82</v>
      </c>
      <c r="I89" s="39" t="n">
        <v>95.95</v>
      </c>
      <c r="J89" s="39" t="n"/>
      <c r="K89" s="79">
        <f>SUM(E89:J89)</f>
        <v/>
      </c>
      <c r="L89" s="53" t="n">
        <v>33.93</v>
      </c>
      <c r="M89" s="39" t="n">
        <v>359.932</v>
      </c>
      <c r="N89" s="39" t="n">
        <v>25.568</v>
      </c>
      <c r="O89" s="39" t="n">
        <v>31.785</v>
      </c>
      <c r="P89" s="39" t="n">
        <v>31.3</v>
      </c>
      <c r="Q89" s="39" t="n"/>
      <c r="R89" s="73">
        <f>SUM(L89:Q89)</f>
        <v/>
      </c>
      <c r="S89" s="135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40" t="inlineStr">
        <is>
          <t>足立次長</t>
        </is>
      </c>
      <c r="E90" s="39" t="n">
        <v>956.98</v>
      </c>
      <c r="F90" s="39" t="n">
        <v>787.45</v>
      </c>
      <c r="G90" s="39" t="n">
        <v>481.84</v>
      </c>
      <c r="H90" s="39" t="n">
        <v>507.605</v>
      </c>
      <c r="I90" s="39" t="n">
        <v>2776.22</v>
      </c>
      <c r="J90" s="39" t="n"/>
      <c r="K90" s="79">
        <f>SUM(E90:J90)</f>
        <v/>
      </c>
      <c r="L90" s="53" t="n">
        <v>152.797</v>
      </c>
      <c r="M90" s="39" t="n">
        <v>133.891</v>
      </c>
      <c r="N90" s="39" t="n">
        <v>101.712</v>
      </c>
      <c r="O90" s="39" t="n">
        <v>95.715</v>
      </c>
      <c r="P90" s="39" t="n">
        <v>427.306</v>
      </c>
      <c r="Q90" s="39" t="n"/>
      <c r="R90" s="73">
        <f>SUM(L90:Q90)</f>
        <v/>
      </c>
      <c r="S90" s="135">
        <f>IF(E90=0,"***",L90/E90)</f>
        <v/>
      </c>
      <c r="T90" s="124">
        <f>IF(F90=0,"***",M90/F90)</f>
        <v/>
      </c>
      <c r="U90" s="124">
        <f>IF(G90=0,"***",N90/G90)</f>
        <v/>
      </c>
      <c r="V90" s="124">
        <f>IF(H90=0,"***",O90/H90)</f>
        <v/>
      </c>
      <c r="W90" s="124">
        <f>IF(I90=0,"***",P90/I90)</f>
        <v/>
      </c>
      <c r="X90" s="124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40" t="inlineStr">
        <is>
          <t>藤波課長</t>
        </is>
      </c>
      <c r="E91" s="39" t="n">
        <v>391.27</v>
      </c>
      <c r="F91" s="39" t="n">
        <v>6526.66</v>
      </c>
      <c r="G91" s="39" t="n">
        <v>19790.8</v>
      </c>
      <c r="H91" s="39" t="n">
        <v>541.1900000000001</v>
      </c>
      <c r="I91" s="39" t="n">
        <v>430.34</v>
      </c>
      <c r="J91" s="39" t="n"/>
      <c r="K91" s="79">
        <f>SUM(E91:J91)</f>
        <v/>
      </c>
      <c r="L91" s="53" t="n">
        <v>166.92</v>
      </c>
      <c r="M91" s="39" t="n">
        <v>1728.25</v>
      </c>
      <c r="N91" s="39" t="n">
        <v>5372.184</v>
      </c>
      <c r="O91" s="39" t="n">
        <v>236.875</v>
      </c>
      <c r="P91" s="39" t="n">
        <v>181.44</v>
      </c>
      <c r="Q91" s="39" t="n"/>
      <c r="R91" s="73">
        <f>SUM(L91:Q91)</f>
        <v/>
      </c>
      <c r="S91" s="135">
        <f>IF(E91=0,"***",L91/E91)</f>
        <v/>
      </c>
      <c r="T91" s="124">
        <f>IF(F91=0,"***",M91/F91)</f>
        <v/>
      </c>
      <c r="U91" s="124">
        <f>IF(G91=0,"***",N91/G91)</f>
        <v/>
      </c>
      <c r="V91" s="124">
        <f>IF(H91=0,"***",O91/H91)</f>
        <v/>
      </c>
      <c r="W91" s="124">
        <f>IF(I91=0,"***",P91/I91)</f>
        <v/>
      </c>
      <c r="X91" s="124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40" t="inlineStr">
        <is>
          <t>足立課長</t>
        </is>
      </c>
      <c r="E92" s="39" t="n">
        <v>941.3</v>
      </c>
      <c r="F92" s="39" t="n">
        <v>124.3</v>
      </c>
      <c r="G92" s="39" t="n">
        <v>306.39</v>
      </c>
      <c r="H92" s="39" t="n">
        <v>0</v>
      </c>
      <c r="I92" s="39" t="n">
        <v>0</v>
      </c>
      <c r="J92" s="39" t="n"/>
      <c r="K92" s="79">
        <f>SUM(E92:J92)</f>
        <v/>
      </c>
      <c r="L92" s="53" t="n">
        <v>196.6</v>
      </c>
      <c r="M92" s="39" t="n">
        <v>44.381</v>
      </c>
      <c r="N92" s="39" t="n">
        <v>106.07</v>
      </c>
      <c r="O92" s="39" t="n">
        <v>0</v>
      </c>
      <c r="P92" s="39" t="n">
        <v>0</v>
      </c>
      <c r="Q92" s="39" t="n"/>
      <c r="R92" s="73">
        <f>SUM(L92:Q92)</f>
        <v/>
      </c>
      <c r="S92" s="135">
        <f>IF(E92=0,"***",L92/E92)</f>
        <v/>
      </c>
      <c r="T92" s="124">
        <f>IF(F92=0,"***",M92/F92)</f>
        <v/>
      </c>
      <c r="U92" s="124">
        <f>IF(G92=0,"***",N92/G92)</f>
        <v/>
      </c>
      <c r="V92" s="124">
        <f>IF(H92=0,"***",O92/H92)</f>
        <v/>
      </c>
      <c r="W92" s="124">
        <f>IF(I92=0,"***",P92/I92)</f>
        <v/>
      </c>
      <c r="X92" s="124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40" t="inlineStr">
        <is>
          <t>川邊主任</t>
        </is>
      </c>
      <c r="E93" s="39" t="n">
        <v>435.39</v>
      </c>
      <c r="F93" s="39" t="n">
        <v>534.1900000000001</v>
      </c>
      <c r="G93" s="39" t="n">
        <v>1385.69</v>
      </c>
      <c r="H93" s="39" t="n">
        <v>2617.59</v>
      </c>
      <c r="I93" s="39" t="n">
        <v>248.8</v>
      </c>
      <c r="J93" s="39" t="n"/>
      <c r="K93" s="79">
        <f>SUM(E93:J93)</f>
        <v/>
      </c>
      <c r="L93" s="53" t="n">
        <v>100.958</v>
      </c>
      <c r="M93" s="39" t="n">
        <v>151.095</v>
      </c>
      <c r="N93" s="39" t="n">
        <v>255.975</v>
      </c>
      <c r="O93" s="39" t="n">
        <v>345.805</v>
      </c>
      <c r="P93" s="39" t="n">
        <v>59.55</v>
      </c>
      <c r="Q93" s="39" t="n"/>
      <c r="R93" s="73">
        <f>SUM(L93:Q93)</f>
        <v/>
      </c>
      <c r="S93" s="135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40" t="inlineStr">
        <is>
          <t>白根主任</t>
        </is>
      </c>
      <c r="E94" s="39" t="n">
        <v>19431.76</v>
      </c>
      <c r="F94" s="39" t="n">
        <v>503.53</v>
      </c>
      <c r="G94" s="39" t="n">
        <v>260.09</v>
      </c>
      <c r="H94" s="39" t="n">
        <v>219.45</v>
      </c>
      <c r="I94" s="39" t="n">
        <v>783.25</v>
      </c>
      <c r="J94" s="39" t="n"/>
      <c r="K94" s="79">
        <f>SUM(E94:J94)</f>
        <v/>
      </c>
      <c r="L94" s="53" t="n">
        <v>2446.647</v>
      </c>
      <c r="M94" s="39" t="n">
        <v>250.198</v>
      </c>
      <c r="N94" s="39" t="n">
        <v>142.992</v>
      </c>
      <c r="O94" s="39" t="n">
        <v>68.92</v>
      </c>
      <c r="P94" s="39" t="n">
        <v>242.149</v>
      </c>
      <c r="Q94" s="39" t="n"/>
      <c r="R94" s="73">
        <f>SUM(L94:Q94)</f>
        <v/>
      </c>
      <c r="S94" s="135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40" t="inlineStr">
        <is>
          <t>海外</t>
        </is>
      </c>
      <c r="E95" s="39" t="n">
        <v>706.9</v>
      </c>
      <c r="F95" s="39" t="n">
        <v>53.05</v>
      </c>
      <c r="G95" s="39" t="n">
        <v>1833.65</v>
      </c>
      <c r="H95" s="39" t="n">
        <v>6.36</v>
      </c>
      <c r="I95" s="39" t="n">
        <v>314.45</v>
      </c>
      <c r="J95" s="39" t="n"/>
      <c r="K95" s="79">
        <f>SUM(E95:J95)</f>
        <v/>
      </c>
      <c r="L95" s="53" t="n">
        <v>171.7</v>
      </c>
      <c r="M95" s="39" t="n">
        <v>10.7</v>
      </c>
      <c r="N95" s="39" t="n">
        <v>536.9</v>
      </c>
      <c r="O95" s="39" t="n">
        <v>0.5600000000000001</v>
      </c>
      <c r="P95" s="39" t="n">
        <v>59.63</v>
      </c>
      <c r="Q95" s="39" t="n"/>
      <c r="R95" s="73">
        <f>SUM(L95:Q95)</f>
        <v/>
      </c>
      <c r="S95" s="135">
        <f>IF(E95=0,"***",L95/E95)</f>
        <v/>
      </c>
      <c r="T95" s="124">
        <f>IF(F95=0,"***",M95/F95)</f>
        <v/>
      </c>
      <c r="U95" s="124">
        <f>IF(G95=0,"***",N95/G95)</f>
        <v/>
      </c>
      <c r="V95" s="124">
        <f>IF(H95=0,"***",O95/H95)</f>
        <v/>
      </c>
      <c r="W95" s="124">
        <f>IF(I95=0,"***",P95/I95)</f>
        <v/>
      </c>
      <c r="X95" s="124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40" t="inlineStr">
        <is>
          <t>その他</t>
        </is>
      </c>
      <c r="E96" s="39" t="n"/>
      <c r="F96" s="39" t="n"/>
      <c r="G96" s="39" t="n"/>
      <c r="H96" s="39" t="n"/>
      <c r="I96" s="39" t="n">
        <v>0</v>
      </c>
      <c r="J96" s="39" t="n"/>
      <c r="K96" s="79">
        <f>SUM(E96:J96)</f>
        <v/>
      </c>
      <c r="L96" s="53" t="n"/>
      <c r="M96" s="39" t="n"/>
      <c r="N96" s="39" t="n"/>
      <c r="O96" s="39" t="n"/>
      <c r="P96" s="39" t="n">
        <v>0</v>
      </c>
      <c r="Q96" s="39" t="n"/>
      <c r="R96" s="73">
        <f>SUM(L96:Q96)</f>
        <v/>
      </c>
      <c r="S96" s="135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40" t="inlineStr">
        <is>
          <t>自治体</t>
        </is>
      </c>
      <c r="E97" s="39" t="n"/>
      <c r="F97" s="39" t="n"/>
      <c r="G97" s="39" t="n"/>
      <c r="H97" s="39" t="n"/>
      <c r="I97" s="39" t="n">
        <v>0</v>
      </c>
      <c r="J97" s="39" t="n"/>
      <c r="K97" s="79">
        <f>SUM(E97:J97)</f>
        <v/>
      </c>
      <c r="L97" s="53" t="n"/>
      <c r="M97" s="39" t="n"/>
      <c r="N97" s="39" t="n"/>
      <c r="O97" s="39" t="n"/>
      <c r="P97" s="39" t="n">
        <v>0</v>
      </c>
      <c r="Q97" s="39" t="n"/>
      <c r="R97" s="73">
        <f>SUM(L97:Q97)</f>
        <v/>
      </c>
      <c r="S97" s="135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37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40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 t="n"/>
      <c r="K103" s="79">
        <f>SUM(E103:J103)</f>
        <v/>
      </c>
      <c r="L103" s="53">
        <f>L89-L47</f>
        <v/>
      </c>
      <c r="M103" s="39">
        <f>M89-M47</f>
        <v/>
      </c>
      <c r="N103" s="39">
        <f>N89-N47</f>
        <v/>
      </c>
      <c r="O103" s="39">
        <f>O89-O47</f>
        <v/>
      </c>
      <c r="P103" s="39">
        <f>P89-P47</f>
        <v/>
      </c>
      <c r="Q103" s="39" t="n"/>
      <c r="R103" s="73">
        <f>SUM(L103:Q103)</f>
        <v/>
      </c>
      <c r="S103" s="135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40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 t="n"/>
      <c r="K104" s="79">
        <f>SUM(E104:J104)</f>
        <v/>
      </c>
      <c r="L104" s="53">
        <f>L90-L48</f>
        <v/>
      </c>
      <c r="M104" s="39">
        <f>M90-M48</f>
        <v/>
      </c>
      <c r="N104" s="39">
        <f>N90-N48</f>
        <v/>
      </c>
      <c r="O104" s="39">
        <f>O90-O48</f>
        <v/>
      </c>
      <c r="P104" s="39">
        <f>P90-P48</f>
        <v/>
      </c>
      <c r="Q104" s="39" t="n"/>
      <c r="R104" s="73">
        <f>SUM(L104:Q104)</f>
        <v/>
      </c>
      <c r="S104" s="135">
        <f>S90-S48</f>
        <v/>
      </c>
      <c r="T104" s="124">
        <f>T90-T48</f>
        <v/>
      </c>
      <c r="U104" s="124">
        <f>U90-U48</f>
        <v/>
      </c>
      <c r="V104" s="124">
        <f>V90-V48</f>
        <v/>
      </c>
      <c r="W104" s="124">
        <f>W90-W48</f>
        <v/>
      </c>
      <c r="X104" s="124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40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 t="n"/>
      <c r="K105" s="79">
        <f>SUM(E105:J105)</f>
        <v/>
      </c>
      <c r="L105" s="53">
        <f>L91-L49</f>
        <v/>
      </c>
      <c r="M105" s="39">
        <f>M91-M49</f>
        <v/>
      </c>
      <c r="N105" s="39">
        <f>N91-N49</f>
        <v/>
      </c>
      <c r="O105" s="39">
        <f>O91-O49</f>
        <v/>
      </c>
      <c r="P105" s="39">
        <f>P91-P49</f>
        <v/>
      </c>
      <c r="Q105" s="39" t="n"/>
      <c r="R105" s="73">
        <f>SUM(L105:Q105)</f>
        <v/>
      </c>
      <c r="S105" s="135">
        <f>S91-S49</f>
        <v/>
      </c>
      <c r="T105" s="124">
        <f>T91-T49</f>
        <v/>
      </c>
      <c r="U105" s="124">
        <f>U91-U49</f>
        <v/>
      </c>
      <c r="V105" s="124">
        <f>V91-V49</f>
        <v/>
      </c>
      <c r="W105" s="124">
        <f>W91-W49</f>
        <v/>
      </c>
      <c r="X105" s="124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40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 t="n"/>
      <c r="K106" s="79">
        <f>SUM(E106:J106)</f>
        <v/>
      </c>
      <c r="L106" s="53">
        <f>L92-L50</f>
        <v/>
      </c>
      <c r="M106" s="39">
        <f>M92-M50</f>
        <v/>
      </c>
      <c r="N106" s="39">
        <f>N92-N50</f>
        <v/>
      </c>
      <c r="O106" s="39">
        <f>O92-O50</f>
        <v/>
      </c>
      <c r="P106" s="39">
        <f>P92-P50</f>
        <v/>
      </c>
      <c r="Q106" s="39" t="n"/>
      <c r="R106" s="73">
        <f>SUM(L106:Q106)</f>
        <v/>
      </c>
      <c r="S106" s="135">
        <f>S92-S50</f>
        <v/>
      </c>
      <c r="T106" s="124">
        <f>T92-T50</f>
        <v/>
      </c>
      <c r="U106" s="124">
        <f>U92-U50</f>
        <v/>
      </c>
      <c r="V106" s="124">
        <f>V92-V50</f>
        <v/>
      </c>
      <c r="W106" s="124">
        <f>W92-W50</f>
        <v/>
      </c>
      <c r="X106" s="124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40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 t="n"/>
      <c r="K107" s="79">
        <f>SUM(E107:J107)</f>
        <v/>
      </c>
      <c r="L107" s="53">
        <f>L93-L51</f>
        <v/>
      </c>
      <c r="M107" s="39">
        <f>M93-M51</f>
        <v/>
      </c>
      <c r="N107" s="39">
        <f>N93-N51</f>
        <v/>
      </c>
      <c r="O107" s="39">
        <f>O93-O51</f>
        <v/>
      </c>
      <c r="P107" s="39">
        <f>P93-P51</f>
        <v/>
      </c>
      <c r="Q107" s="39" t="n"/>
      <c r="R107" s="73">
        <f>SUM(L107:Q107)</f>
        <v/>
      </c>
      <c r="S107" s="135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40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 t="n"/>
      <c r="K108" s="79">
        <f>SUM(E108:J108)</f>
        <v/>
      </c>
      <c r="L108" s="53">
        <f>L94-L52</f>
        <v/>
      </c>
      <c r="M108" s="39">
        <f>M94-M52</f>
        <v/>
      </c>
      <c r="N108" s="39">
        <f>N94-N52</f>
        <v/>
      </c>
      <c r="O108" s="39">
        <f>O94-O52</f>
        <v/>
      </c>
      <c r="P108" s="39">
        <f>P94-P52</f>
        <v/>
      </c>
      <c r="Q108" s="39" t="n"/>
      <c r="R108" s="73">
        <f>SUM(L108:Q108)</f>
        <v/>
      </c>
      <c r="S108" s="135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40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 t="n"/>
      <c r="K109" s="79">
        <f>SUM(E109:J109)</f>
        <v/>
      </c>
      <c r="L109" s="53">
        <f>L95-L53</f>
        <v/>
      </c>
      <c r="M109" s="39">
        <f>M95-M53</f>
        <v/>
      </c>
      <c r="N109" s="39">
        <f>N95-N53</f>
        <v/>
      </c>
      <c r="O109" s="39">
        <f>O95-O53</f>
        <v/>
      </c>
      <c r="P109" s="39">
        <f>P95-P53</f>
        <v/>
      </c>
      <c r="Q109" s="39" t="n"/>
      <c r="R109" s="73">
        <f>SUM(L109:Q109)</f>
        <v/>
      </c>
      <c r="S109" s="135">
        <f>S95-S53</f>
        <v/>
      </c>
      <c r="T109" s="124">
        <f>T95-T53</f>
        <v/>
      </c>
      <c r="U109" s="124">
        <f>U95-U53</f>
        <v/>
      </c>
      <c r="V109" s="124">
        <f>V95-V53</f>
        <v/>
      </c>
      <c r="W109" s="124">
        <f>W95-W53</f>
        <v/>
      </c>
      <c r="X109" s="124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40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 t="n"/>
      <c r="K110" s="79">
        <f>SUM(E110:J110)</f>
        <v/>
      </c>
      <c r="L110" s="53">
        <f>L96-L54</f>
        <v/>
      </c>
      <c r="M110" s="39">
        <f>M96-M54</f>
        <v/>
      </c>
      <c r="N110" s="39">
        <f>N96-N54</f>
        <v/>
      </c>
      <c r="O110" s="39">
        <f>O96-O54</f>
        <v/>
      </c>
      <c r="P110" s="39">
        <f>P96-P54</f>
        <v/>
      </c>
      <c r="Q110" s="39" t="n"/>
      <c r="R110" s="73">
        <f>SUM(L110:Q110)</f>
        <v/>
      </c>
      <c r="S110" s="135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40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 t="n"/>
      <c r="K111" s="79">
        <f>SUM(E111:J111)</f>
        <v/>
      </c>
      <c r="L111" s="53">
        <f>L97-L55</f>
        <v/>
      </c>
      <c r="M111" s="39">
        <f>M97-M55</f>
        <v/>
      </c>
      <c r="N111" s="39">
        <f>N97-N55</f>
        <v/>
      </c>
      <c r="O111" s="39">
        <f>O97-O55</f>
        <v/>
      </c>
      <c r="P111" s="39">
        <f>P97-P55</f>
        <v/>
      </c>
      <c r="Q111" s="39" t="n"/>
      <c r="R111" s="73">
        <f>SUM(L111:Q111)</f>
        <v/>
      </c>
      <c r="S111" s="135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37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40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41" t="n"/>
      <c r="R117" s="73">
        <f>SUM(L117:Q117)</f>
        <v/>
      </c>
      <c r="S117" s="135">
        <f>S89-S19</f>
        <v/>
      </c>
      <c r="T117" s="124">
        <f>T89-T19</f>
        <v/>
      </c>
      <c r="U117" s="124">
        <f>U89-U19</f>
        <v/>
      </c>
      <c r="V117" s="124">
        <f>V89-V19</f>
        <v/>
      </c>
      <c r="W117" s="124">
        <f>W89-W19</f>
        <v/>
      </c>
      <c r="X117" s="124" t="n"/>
      <c r="Y117" s="125">
        <f>Y89-Y19</f>
        <v/>
      </c>
    </row>
    <row r="118">
      <c r="C118" s="71" t="inlineStr">
        <is>
          <t>0904 集計</t>
        </is>
      </c>
      <c r="D118" s="40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73">
        <f>SUM(L118:Q118)</f>
        <v/>
      </c>
      <c r="S118" s="135">
        <f>S90-S20</f>
        <v/>
      </c>
      <c r="T118" s="124">
        <f>T90-T20</f>
        <v/>
      </c>
      <c r="U118" s="124">
        <f>U90-U20</f>
        <v/>
      </c>
      <c r="V118" s="124">
        <f>V90-V20</f>
        <v/>
      </c>
      <c r="W118" s="124">
        <f>W90-W20</f>
        <v/>
      </c>
      <c r="X118" s="124" t="n"/>
      <c r="Y118" s="125">
        <f>Y90-Y20</f>
        <v/>
      </c>
    </row>
    <row r="119">
      <c r="C119" s="71" t="inlineStr">
        <is>
          <t>0909 集計</t>
        </is>
      </c>
      <c r="D119" s="40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73">
        <f>SUM(L119:Q119)</f>
        <v/>
      </c>
      <c r="S119" s="135">
        <f>S91-S21</f>
        <v/>
      </c>
      <c r="T119" s="124">
        <f>T91-T21</f>
        <v/>
      </c>
      <c r="U119" s="124">
        <f>U91-U21</f>
        <v/>
      </c>
      <c r="V119" s="124">
        <f>V91-V21</f>
        <v/>
      </c>
      <c r="W119" s="124">
        <f>W91-W21</f>
        <v/>
      </c>
      <c r="X119" s="124" t="n"/>
      <c r="Y119" s="125">
        <f>Y91-Y21</f>
        <v/>
      </c>
    </row>
    <row r="120">
      <c r="C120" s="71" t="inlineStr">
        <is>
          <t>0910 集計</t>
        </is>
      </c>
      <c r="D120" s="40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73">
        <f>SUM(L120:Q120)</f>
        <v/>
      </c>
      <c r="S120" s="135">
        <f>S92-S22</f>
        <v/>
      </c>
      <c r="T120" s="124">
        <f>T92-T22</f>
        <v/>
      </c>
      <c r="U120" s="124">
        <f>U92-U22</f>
        <v/>
      </c>
      <c r="V120" s="124">
        <f>V92-V22</f>
        <v/>
      </c>
      <c r="W120" s="124">
        <f>W92-W22</f>
        <v/>
      </c>
      <c r="X120" s="124" t="n"/>
      <c r="Y120" s="125">
        <f>Y92-Y22</f>
        <v/>
      </c>
    </row>
    <row r="121">
      <c r="C121" s="71" t="inlineStr">
        <is>
          <t>0911 集計</t>
        </is>
      </c>
      <c r="D121" s="40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73">
        <f>SUM(L121:Q121)</f>
        <v/>
      </c>
      <c r="S121" s="135">
        <f>S93-S23</f>
        <v/>
      </c>
      <c r="T121" s="124">
        <f>T93-T23</f>
        <v/>
      </c>
      <c r="U121" s="124">
        <f>U93-U23</f>
        <v/>
      </c>
      <c r="V121" s="124">
        <f>V93-V23</f>
        <v/>
      </c>
      <c r="W121" s="124">
        <f>W93-W23</f>
        <v/>
      </c>
      <c r="X121" s="124" t="n"/>
      <c r="Y121" s="125">
        <f>Y93-Y23</f>
        <v/>
      </c>
    </row>
    <row r="122">
      <c r="C122" s="71" t="inlineStr">
        <is>
          <t>0914 集計</t>
        </is>
      </c>
      <c r="D122" s="40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73">
        <f>SUM(L122:Q122)</f>
        <v/>
      </c>
      <c r="S122" s="135">
        <f>S94-S24</f>
        <v/>
      </c>
      <c r="T122" s="124">
        <f>T94-T24</f>
        <v/>
      </c>
      <c r="U122" s="124">
        <f>U94-U24</f>
        <v/>
      </c>
      <c r="V122" s="124">
        <f>V94-V24</f>
        <v/>
      </c>
      <c r="W122" s="124">
        <f>W94-W24</f>
        <v/>
      </c>
      <c r="X122" s="124" t="n"/>
      <c r="Y122" s="125">
        <f>Y94-Y24</f>
        <v/>
      </c>
    </row>
    <row r="123">
      <c r="C123" s="71" t="inlineStr">
        <is>
          <t>0918 集計</t>
        </is>
      </c>
      <c r="D123" s="40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73">
        <f>SUM(L123:Q123)</f>
        <v/>
      </c>
      <c r="S123" s="135">
        <f>S95-S25</f>
        <v/>
      </c>
      <c r="T123" s="124">
        <f>T95-T25</f>
        <v/>
      </c>
      <c r="U123" s="124">
        <f>U95-U25</f>
        <v/>
      </c>
      <c r="V123" s="124">
        <f>V95-V25</f>
        <v/>
      </c>
      <c r="W123" s="124">
        <f>W95-W25</f>
        <v/>
      </c>
      <c r="X123" s="124" t="n"/>
      <c r="Y123" s="125">
        <f>Y95-Y25</f>
        <v/>
      </c>
    </row>
    <row r="124">
      <c r="C124" s="71" t="inlineStr">
        <is>
          <t>0919 集計</t>
        </is>
      </c>
      <c r="D124" s="40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73">
        <f>SUM(L124:Q124)</f>
        <v/>
      </c>
      <c r="S124" s="135">
        <f>S96-S26</f>
        <v/>
      </c>
      <c r="T124" s="124">
        <f>T96-T26</f>
        <v/>
      </c>
      <c r="U124" s="124">
        <f>U96-U26</f>
        <v/>
      </c>
      <c r="V124" s="124">
        <f>V96-V26</f>
        <v/>
      </c>
      <c r="W124" s="124">
        <f>W96-W26</f>
        <v/>
      </c>
      <c r="X124" s="124" t="n"/>
      <c r="Y124" s="125">
        <f>Y96-Y26</f>
        <v/>
      </c>
    </row>
    <row r="125">
      <c r="C125" s="71" t="inlineStr">
        <is>
          <t>0930 集計</t>
        </is>
      </c>
      <c r="D125" s="40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73">
        <f>SUM(L125:Q125)</f>
        <v/>
      </c>
      <c r="S125" s="135">
        <f>S97-S27</f>
        <v/>
      </c>
      <c r="T125" s="124">
        <f>T97-T27</f>
        <v/>
      </c>
      <c r="U125" s="124">
        <f>U97-U27</f>
        <v/>
      </c>
      <c r="V125" s="124">
        <f>V97-V27</f>
        <v/>
      </c>
      <c r="W125" s="124">
        <f>W97-W27</f>
        <v/>
      </c>
      <c r="X125" s="124" t="n"/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37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 t="n"/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4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26"/>
  <sheetViews>
    <sheetView tabSelected="1" topLeftCell="A28" workbookViewId="0">
      <pane xSplit="4" topLeftCell="E1" activePane="topRight" state="frozen"/>
      <selection activeCell="D117" sqref="D117"/>
      <selection pane="topRight" activeCell="H41" sqref="H41"/>
    </sheetView>
  </sheetViews>
  <sheetFormatPr baseColWidth="8" defaultRowHeight="18.75"/>
  <cols>
    <col hidden="1" width="13" customWidth="1" style="113" min="1" max="2"/>
    <col width="9.75" bestFit="1" customWidth="1" style="113" min="3" max="3"/>
    <col width="10.125" customWidth="1" style="113" min="5" max="25"/>
  </cols>
  <sheetData>
    <row r="1" ht="24" customHeight="1" s="113">
      <c r="C1" s="8" t="inlineStr">
        <is>
          <t>境港営業所全体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1" t="n">
        <v>2992.321</v>
      </c>
      <c r="F5" s="2" t="n">
        <v>1870.416</v>
      </c>
      <c r="G5" s="2" t="n">
        <v>2624.670000000001</v>
      </c>
      <c r="H5" s="2" t="n">
        <v>2506.235000000001</v>
      </c>
      <c r="I5" s="2" t="n">
        <v>2707.683</v>
      </c>
      <c r="J5" s="2" t="n">
        <v>4067.607000000001</v>
      </c>
      <c r="K5" s="73">
        <f>SUM(E5:J5)</f>
        <v/>
      </c>
      <c r="L5" s="1" t="n">
        <v>548.984</v>
      </c>
      <c r="M5" s="2" t="n">
        <v>363.353</v>
      </c>
      <c r="N5" s="2" t="n">
        <v>510.6379999999999</v>
      </c>
      <c r="O5" s="2" t="n">
        <v>513.4579999999999</v>
      </c>
      <c r="P5" s="2" t="n">
        <v>563.2789999999999</v>
      </c>
      <c r="Q5" s="2" t="n">
        <v>811.5543999999999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1" t="n">
        <v>9457.609</v>
      </c>
      <c r="F6" s="2" t="n">
        <v>33342.444</v>
      </c>
      <c r="G6" s="2" t="n">
        <v>9536.075000000001</v>
      </c>
      <c r="H6" s="2" t="n">
        <v>12322.971</v>
      </c>
      <c r="I6" s="2" t="n">
        <v>8433.195</v>
      </c>
      <c r="J6" s="2" t="n">
        <v>12377.608</v>
      </c>
      <c r="K6" s="73">
        <f>SUM(E6:J6)</f>
        <v/>
      </c>
      <c r="L6" s="1" t="n">
        <v>2013.302</v>
      </c>
      <c r="M6" s="2" t="n">
        <v>6923.813999999999</v>
      </c>
      <c r="N6" s="2" t="n">
        <v>1850.747</v>
      </c>
      <c r="O6" s="2" t="n">
        <v>2403.043</v>
      </c>
      <c r="P6" s="2" t="n">
        <v>1946.27</v>
      </c>
      <c r="Q6" s="2" t="n">
        <v>2430.328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1" t="n">
        <v>7831.518000000001</v>
      </c>
      <c r="F7" s="2" t="n">
        <v>7149.748000000001</v>
      </c>
      <c r="G7" s="2" t="n">
        <v>5762.822999999999</v>
      </c>
      <c r="H7" s="2" t="n">
        <v>8011.724000000001</v>
      </c>
      <c r="I7" s="2" t="n">
        <v>6436.907999999999</v>
      </c>
      <c r="J7" s="2" t="n">
        <v>8821.121000000001</v>
      </c>
      <c r="K7" s="73">
        <f>SUM(E7:J7)</f>
        <v/>
      </c>
      <c r="L7" s="1" t="n">
        <v>1249.792</v>
      </c>
      <c r="M7" s="2" t="n">
        <v>1193.97</v>
      </c>
      <c r="N7" s="2" t="n">
        <v>1008.843</v>
      </c>
      <c r="O7" s="2" t="n">
        <v>1465.948</v>
      </c>
      <c r="P7" s="2" t="n">
        <v>1134.483</v>
      </c>
      <c r="Q7" s="2" t="n">
        <v>1613.746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1" t="n">
        <v>8439.824000000001</v>
      </c>
      <c r="F8" s="2" t="n">
        <v>1787.369</v>
      </c>
      <c r="G8" s="2" t="n">
        <v>1386.514</v>
      </c>
      <c r="H8" s="2" t="n"/>
      <c r="I8" s="2" t="n"/>
      <c r="J8" s="2" t="n"/>
      <c r="K8" s="73">
        <f>SUM(E8:J8)</f>
        <v/>
      </c>
      <c r="L8" s="1" t="n">
        <v>1598.596</v>
      </c>
      <c r="M8" s="2" t="n">
        <v>276.611</v>
      </c>
      <c r="N8" s="2" t="n">
        <v>246.1679999999999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1" t="n">
        <v>9628.221000000001</v>
      </c>
      <c r="F9" s="2" t="n">
        <v>8898.137000000001</v>
      </c>
      <c r="G9" s="2" t="n">
        <v>8938.893000000002</v>
      </c>
      <c r="H9" s="2" t="n">
        <v>8453.325999999999</v>
      </c>
      <c r="I9" s="2" t="n">
        <v>8467.791000000001</v>
      </c>
      <c r="J9" s="2" t="n">
        <v>9049.480000000001</v>
      </c>
      <c r="K9" s="73">
        <f>SUM(E9:J9)</f>
        <v/>
      </c>
      <c r="L9" s="1" t="n">
        <v>1562.079</v>
      </c>
      <c r="M9" s="2" t="n">
        <v>1570.745</v>
      </c>
      <c r="N9" s="2" t="n">
        <v>1489.311</v>
      </c>
      <c r="O9" s="2" t="n">
        <v>1463.971</v>
      </c>
      <c r="P9" s="2" t="n">
        <v>1504.084</v>
      </c>
      <c r="Q9" s="2" t="n">
        <v>1448.511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8795.502999999999</v>
      </c>
      <c r="F10" s="2" t="n">
        <v>11637.292</v>
      </c>
      <c r="G10" s="2" t="n">
        <v>9494.163999999999</v>
      </c>
      <c r="H10" s="2" t="n">
        <v>10083.54</v>
      </c>
      <c r="I10" s="2" t="n">
        <v>18835.421</v>
      </c>
      <c r="J10" s="2" t="n">
        <v>25101.073</v>
      </c>
      <c r="K10" s="73">
        <f>SUM(E10:J10)</f>
        <v/>
      </c>
      <c r="L10" s="1" t="n">
        <v>1505.568</v>
      </c>
      <c r="M10" s="2" t="n">
        <v>1605.192</v>
      </c>
      <c r="N10" s="2" t="n">
        <v>1706.263</v>
      </c>
      <c r="O10" s="2" t="n">
        <v>1787.849</v>
      </c>
      <c r="P10" s="2" t="n">
        <v>4384.139999999999</v>
      </c>
      <c r="Q10" s="2" t="n">
        <v>5731.302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1" t="n">
        <v>462.725</v>
      </c>
      <c r="F11" s="2" t="n">
        <v>2599.656</v>
      </c>
      <c r="G11" s="2" t="n">
        <v>378.6</v>
      </c>
      <c r="H11" s="2" t="n">
        <v>1452.4</v>
      </c>
      <c r="I11" s="2" t="n">
        <v>232.15</v>
      </c>
      <c r="J11" s="2" t="n">
        <v>3240.614</v>
      </c>
      <c r="K11" s="73">
        <f>SUM(E11:J11)</f>
        <v/>
      </c>
      <c r="L11" s="1" t="n">
        <v>127.104</v>
      </c>
      <c r="M11" s="2" t="n">
        <v>474.93</v>
      </c>
      <c r="N11" s="2" t="n">
        <v>89.88</v>
      </c>
      <c r="O11" s="2" t="n">
        <v>218.502</v>
      </c>
      <c r="P11" s="2" t="n">
        <v>73.45</v>
      </c>
      <c r="Q11" s="2" t="n">
        <v>653.405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1" t="n">
        <v>25.21</v>
      </c>
      <c r="F12" s="2" t="n">
        <v>37.986</v>
      </c>
      <c r="G12" s="2" t="n">
        <v>27.305</v>
      </c>
      <c r="H12" s="2" t="n">
        <v>17.22</v>
      </c>
      <c r="I12" s="2" t="n">
        <v>39.02500000000001</v>
      </c>
      <c r="J12" s="2" t="n">
        <v>44.16499999999999</v>
      </c>
      <c r="K12" s="73">
        <f>SUM(E12:J12)</f>
        <v/>
      </c>
      <c r="L12" s="1" t="n">
        <v>5.949</v>
      </c>
      <c r="M12" s="2" t="n">
        <v>8.269</v>
      </c>
      <c r="N12" s="2" t="n">
        <v>6.925000000000001</v>
      </c>
      <c r="O12" s="2" t="n">
        <v>2.97</v>
      </c>
      <c r="P12" s="2" t="n">
        <v>6.324999999999999</v>
      </c>
      <c r="Q12" s="2" t="n">
        <v>12.399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3" t="n">
        <v>0</v>
      </c>
      <c r="F13" s="86" t="n">
        <v>0</v>
      </c>
      <c r="G13" s="86" t="n">
        <v>56.54</v>
      </c>
      <c r="H13" s="86" t="n">
        <v>0</v>
      </c>
      <c r="I13" s="86" t="n">
        <v>0</v>
      </c>
      <c r="J13" s="86" t="n">
        <v>0</v>
      </c>
      <c r="K13" s="73">
        <f>SUM(E13:J13)</f>
        <v/>
      </c>
      <c r="L13" s="83" t="n">
        <v>0</v>
      </c>
      <c r="M13" s="86" t="n">
        <v>0</v>
      </c>
      <c r="N13" s="86" t="n">
        <v>1.751</v>
      </c>
      <c r="O13" s="86" t="n">
        <v>0</v>
      </c>
      <c r="P13" s="86" t="n">
        <v>0</v>
      </c>
      <c r="Q13" s="86" t="n">
        <v>0</v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 t="n">
        <v>2842.845</v>
      </c>
      <c r="F19" s="2" t="n">
        <v>1782.782</v>
      </c>
      <c r="G19" s="2" t="n">
        <v>2650.612</v>
      </c>
      <c r="H19" s="2" t="n">
        <v>2128.284</v>
      </c>
      <c r="I19" s="2" t="n">
        <v>1678.593</v>
      </c>
      <c r="J19" s="2" t="n">
        <v>3222.317</v>
      </c>
      <c r="K19" s="79">
        <f>SUM(E19:J19)</f>
        <v/>
      </c>
      <c r="L19" s="1" t="n">
        <v>549.261</v>
      </c>
      <c r="M19" s="2" t="n">
        <v>400.415</v>
      </c>
      <c r="N19" s="2" t="n">
        <v>592.779</v>
      </c>
      <c r="O19" s="2" t="n">
        <v>470.908</v>
      </c>
      <c r="P19" s="2" t="n">
        <v>329.8500000000001</v>
      </c>
      <c r="Q19" s="2" t="n">
        <v>643.1289999999999</v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 t="n">
        <v>11862.965</v>
      </c>
      <c r="F20" s="2" t="n">
        <v>11689.497</v>
      </c>
      <c r="G20" s="2" t="n">
        <v>7550.568000000001</v>
      </c>
      <c r="H20" s="2" t="n">
        <v>13687.464</v>
      </c>
      <c r="I20" s="2" t="n">
        <v>94774.13499999999</v>
      </c>
      <c r="J20" s="2" t="n">
        <v>40900.17400000001</v>
      </c>
      <c r="K20" s="79">
        <f>SUM(E20:J20)</f>
        <v/>
      </c>
      <c r="L20" s="1" t="n">
        <v>2574.856</v>
      </c>
      <c r="M20" s="2" t="n">
        <v>2531.644000000001</v>
      </c>
      <c r="N20" s="2" t="n">
        <v>1747.441</v>
      </c>
      <c r="O20" s="2" t="n">
        <v>2580.203</v>
      </c>
      <c r="P20" s="2" t="n">
        <v>16143.789</v>
      </c>
      <c r="Q20" s="2" t="n">
        <v>9365.839999999998</v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 t="n">
        <v>7842.768000000001</v>
      </c>
      <c r="F21" s="2" t="n">
        <v>5683.808000000001</v>
      </c>
      <c r="G21" s="2" t="n">
        <v>6360.448</v>
      </c>
      <c r="H21" s="2" t="n">
        <v>12802.674</v>
      </c>
      <c r="I21" s="2" t="n">
        <v>10570.955</v>
      </c>
      <c r="J21" s="2" t="n">
        <v>12015.35</v>
      </c>
      <c r="K21" s="79">
        <f>SUM(E21:J21)</f>
        <v/>
      </c>
      <c r="L21" s="1" t="n">
        <v>1363.778</v>
      </c>
      <c r="M21" s="2" t="n">
        <v>1061.963</v>
      </c>
      <c r="N21" s="2" t="n">
        <v>1284.442</v>
      </c>
      <c r="O21" s="2" t="n">
        <v>2847.084</v>
      </c>
      <c r="P21" s="2" t="n">
        <v>2207.566000000001</v>
      </c>
      <c r="Q21" s="2" t="n">
        <v>2274.845000000001</v>
      </c>
      <c r="R21" s="73">
        <f>SUM(L21:Q21)</f>
        <v/>
      </c>
      <c r="S21" s="123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 t="n">
        <v>2264.573</v>
      </c>
      <c r="F22" s="2" t="n">
        <v>1770.147</v>
      </c>
      <c r="G22" s="2" t="n">
        <v>1664.316</v>
      </c>
      <c r="H22" s="2" t="n"/>
      <c r="I22" s="2" t="n"/>
      <c r="J22" s="2" t="n"/>
      <c r="K22" s="79">
        <f>SUM(E22:J22)</f>
        <v/>
      </c>
      <c r="L22" s="1" t="n">
        <v>450.801</v>
      </c>
      <c r="M22" s="2" t="n">
        <v>345.224</v>
      </c>
      <c r="N22" s="2" t="n">
        <v>314.771</v>
      </c>
      <c r="O22" s="2" t="n"/>
      <c r="P22" s="2" t="n"/>
      <c r="Q22" s="2" t="n"/>
      <c r="R22" s="73">
        <f>SUM(L22:Q22)</f>
        <v/>
      </c>
      <c r="S22" s="123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 t="n">
        <v>10963.509</v>
      </c>
      <c r="F23" s="2" t="n">
        <v>10807.006</v>
      </c>
      <c r="G23" s="2" t="n">
        <v>7331.919000000001</v>
      </c>
      <c r="H23" s="2" t="n">
        <v>10739.124</v>
      </c>
      <c r="I23" s="2" t="n">
        <v>6927.711000000001</v>
      </c>
      <c r="J23" s="2" t="n">
        <v>9685.745000000001</v>
      </c>
      <c r="K23" s="79">
        <f>SUM(E23:J23)</f>
        <v/>
      </c>
      <c r="L23" s="1" t="n">
        <v>1855.471</v>
      </c>
      <c r="M23" s="2" t="n">
        <v>1855.43</v>
      </c>
      <c r="N23" s="2" t="n">
        <v>1341.294</v>
      </c>
      <c r="O23" s="2" t="n">
        <v>1734.601</v>
      </c>
      <c r="P23" s="2" t="n">
        <v>1138.342</v>
      </c>
      <c r="Q23" s="2" t="n">
        <v>1483.015</v>
      </c>
      <c r="R23" s="73">
        <f>SUM(L23:Q23)</f>
        <v/>
      </c>
      <c r="S23" s="123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8829.619000000002</v>
      </c>
      <c r="F24" s="2" t="n">
        <v>8702.497000000001</v>
      </c>
      <c r="G24" s="2" t="n">
        <v>13277.306</v>
      </c>
      <c r="H24" s="2" t="n">
        <v>11551.865</v>
      </c>
      <c r="I24" s="2" t="n">
        <v>8043.705</v>
      </c>
      <c r="J24" s="2" t="n">
        <v>22830.64799999999</v>
      </c>
      <c r="K24" s="79">
        <f>SUM(E24:J24)</f>
        <v/>
      </c>
      <c r="L24" s="1" t="n">
        <v>1721.514</v>
      </c>
      <c r="M24" s="2" t="n">
        <v>1717.424</v>
      </c>
      <c r="N24" s="2" t="n">
        <v>2915.928</v>
      </c>
      <c r="O24" s="2" t="n">
        <v>2832.065</v>
      </c>
      <c r="P24" s="2" t="n">
        <v>1698.655</v>
      </c>
      <c r="Q24" s="2" t="n">
        <v>5392.990999999999</v>
      </c>
      <c r="R24" s="73">
        <f>SUM(L24:Q24)</f>
        <v/>
      </c>
      <c r="S24" s="123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2" t="n">
        <v>1833.894</v>
      </c>
      <c r="F25" s="2" t="n">
        <v>2423.2</v>
      </c>
      <c r="G25" s="2" t="n">
        <v>1376.87</v>
      </c>
      <c r="H25" s="2" t="n">
        <v>604.22</v>
      </c>
      <c r="I25" s="2" t="n">
        <v>21.15</v>
      </c>
      <c r="J25" s="2" t="n">
        <v>693.45</v>
      </c>
      <c r="K25" s="79">
        <f>SUM(E25:J25)</f>
        <v/>
      </c>
      <c r="L25" s="1" t="n">
        <v>326.979</v>
      </c>
      <c r="M25" s="2" t="n">
        <v>339.583</v>
      </c>
      <c r="N25" s="2" t="n">
        <v>289.41</v>
      </c>
      <c r="O25" s="2" t="n">
        <v>117.704</v>
      </c>
      <c r="P25" s="2" t="n">
        <v>5.8</v>
      </c>
      <c r="Q25" s="2" t="n">
        <v>204.995</v>
      </c>
      <c r="R25" s="73">
        <f>SUM(L25:Q25)</f>
        <v/>
      </c>
      <c r="S25" s="123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 t="n">
        <v>33.365</v>
      </c>
      <c r="F26" s="2" t="n">
        <v>30.73</v>
      </c>
      <c r="G26" s="2" t="n">
        <v>37.726</v>
      </c>
      <c r="H26" s="2" t="n">
        <v>17.86</v>
      </c>
      <c r="I26" s="2" t="n">
        <v>32.296</v>
      </c>
      <c r="J26" s="2" t="n">
        <v>30.7</v>
      </c>
      <c r="K26" s="79">
        <f>SUM(E26:J26)</f>
        <v/>
      </c>
      <c r="L26" s="1" t="n">
        <v>6.939</v>
      </c>
      <c r="M26" s="2" t="n">
        <v>6.67</v>
      </c>
      <c r="N26" s="2" t="n">
        <v>7.436</v>
      </c>
      <c r="O26" s="2" t="n">
        <v>3</v>
      </c>
      <c r="P26" s="2" t="n">
        <v>8.956</v>
      </c>
      <c r="Q26" s="2" t="n">
        <v>6.119999999999999</v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86" t="n">
        <v>0</v>
      </c>
      <c r="F27" s="86" t="n">
        <v>87.14</v>
      </c>
      <c r="G27" s="86" t="n">
        <v>0</v>
      </c>
      <c r="H27" s="86" t="n">
        <v>0</v>
      </c>
      <c r="I27" s="86" t="n">
        <v>0</v>
      </c>
      <c r="J27" s="86" t="n">
        <v>0</v>
      </c>
      <c r="K27" s="79">
        <f>SUM(E27:J27)</f>
        <v/>
      </c>
      <c r="L27" s="83" t="n">
        <v>0</v>
      </c>
      <c r="M27" s="86" t="n">
        <v>4.893</v>
      </c>
      <c r="N27" s="86" t="n">
        <v>0</v>
      </c>
      <c r="O27" s="86" t="n">
        <v>0</v>
      </c>
      <c r="P27" s="86" t="n">
        <v>0</v>
      </c>
      <c r="Q27" s="86" t="n">
        <v>0</v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23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23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23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23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23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 customFormat="1" s="43">
      <c r="C47" s="71" t="inlineStr">
        <is>
          <t>0903 集計</t>
        </is>
      </c>
      <c r="D47" s="69" t="inlineStr">
        <is>
          <t>西岡</t>
        </is>
      </c>
      <c r="E47" s="41">
        <f>包装資材!E47+機械!E47</f>
        <v/>
      </c>
      <c r="F47" s="41">
        <f>包装資材!F47+機械!F47</f>
        <v/>
      </c>
      <c r="G47" s="41">
        <f>包装資材!G47+機械!G47</f>
        <v/>
      </c>
      <c r="H47" s="41">
        <f>包装資材!H47+機械!H47</f>
        <v/>
      </c>
      <c r="I47" s="41">
        <f>包装資材!I47+機械!I47</f>
        <v/>
      </c>
      <c r="J47" s="41">
        <f>包装資材!J47+機械!J47</f>
        <v/>
      </c>
      <c r="K47" s="50">
        <f>SUM(E47:J47)</f>
        <v/>
      </c>
      <c r="L47" s="57">
        <f>包装資材!L47+機械!L47</f>
        <v/>
      </c>
      <c r="M47" s="41">
        <f>包装資材!M47+機械!M47</f>
        <v/>
      </c>
      <c r="N47" s="41">
        <f>包装資材!N47+機械!N47</f>
        <v/>
      </c>
      <c r="O47" s="41">
        <f>包装資材!O47+機械!O47</f>
        <v/>
      </c>
      <c r="P47" s="41">
        <f>包装資材!P47+機械!P47</f>
        <v/>
      </c>
      <c r="Q47" s="41">
        <f>包装資材!Q47+機械!Q47</f>
        <v/>
      </c>
      <c r="R47" s="52">
        <f>SUM(L47:Q47)</f>
        <v/>
      </c>
      <c r="S47" s="138">
        <f>IF(E47=0,"***",L47/E47)</f>
        <v/>
      </c>
      <c r="T47" s="139">
        <f>IF(F47=0,"***",M47/F47)</f>
        <v/>
      </c>
      <c r="U47" s="139">
        <f>IF(G47=0,"***",N47/G47)</f>
        <v/>
      </c>
      <c r="V47" s="139">
        <f>IF(H47=0,"***",O47/H47)</f>
        <v/>
      </c>
      <c r="W47" s="139">
        <f>IF(I47=0,"***",P47/I47)</f>
        <v/>
      </c>
      <c r="X47" s="139">
        <f>IF(J47=0,"***",Q47/J47)</f>
        <v/>
      </c>
      <c r="Y47" s="140">
        <f>IF(K47=0,"***",R47/K47)</f>
        <v/>
      </c>
    </row>
    <row r="48" customFormat="1" s="43">
      <c r="C48" s="71" t="inlineStr">
        <is>
          <t>0904 集計</t>
        </is>
      </c>
      <c r="D48" s="69" t="inlineStr">
        <is>
          <t>足立次長</t>
        </is>
      </c>
      <c r="E48" s="41">
        <f>包装資材!E48+機械!E48</f>
        <v/>
      </c>
      <c r="F48" s="41">
        <f>包装資材!F48+機械!F48</f>
        <v/>
      </c>
      <c r="G48" s="41">
        <f>包装資材!G48+機械!G48</f>
        <v/>
      </c>
      <c r="H48" s="41">
        <f>包装資材!H48+機械!H48</f>
        <v/>
      </c>
      <c r="I48" s="41">
        <f>包装資材!I48+機械!I48</f>
        <v/>
      </c>
      <c r="J48" s="41">
        <f>包装資材!J48+機械!J48</f>
        <v/>
      </c>
      <c r="K48" s="50">
        <f>SUM(E48:J48)</f>
        <v/>
      </c>
      <c r="L48" s="57">
        <f>包装資材!L48+機械!L48</f>
        <v/>
      </c>
      <c r="M48" s="41">
        <f>包装資材!M48+機械!M48</f>
        <v/>
      </c>
      <c r="N48" s="41">
        <f>包装資材!N48+機械!N48</f>
        <v/>
      </c>
      <c r="O48" s="41">
        <f>包装資材!O48+機械!O48</f>
        <v/>
      </c>
      <c r="P48" s="41">
        <f>包装資材!P48+機械!P48</f>
        <v/>
      </c>
      <c r="Q48" s="41">
        <f>包装資材!Q48+機械!Q48</f>
        <v/>
      </c>
      <c r="R48" s="52">
        <f>SUM(L48:Q48)</f>
        <v/>
      </c>
      <c r="S48" s="138">
        <f>IF(E48=0,"***",L48/E48)</f>
        <v/>
      </c>
      <c r="T48" s="139">
        <f>IF(F48=0,"***",M48/F48)</f>
        <v/>
      </c>
      <c r="U48" s="139">
        <f>IF(G48=0,"***",N48/G48)</f>
        <v/>
      </c>
      <c r="V48" s="139">
        <f>IF(H48=0,"***",O48/H48)</f>
        <v/>
      </c>
      <c r="W48" s="139">
        <f>IF(I48=0,"***",P48/I48)</f>
        <v/>
      </c>
      <c r="X48" s="139">
        <f>IF(J48=0,"***",Q48/J48)</f>
        <v/>
      </c>
      <c r="Y48" s="140">
        <f>IF(K48=0,"***",R48/K48)</f>
        <v/>
      </c>
    </row>
    <row r="49" customFormat="1" s="43">
      <c r="C49" s="71" t="inlineStr">
        <is>
          <t>0909 集計</t>
        </is>
      </c>
      <c r="D49" s="69" t="inlineStr">
        <is>
          <t>藤波課長</t>
        </is>
      </c>
      <c r="E49" s="41">
        <f>包装資材!E49+機械!E49</f>
        <v/>
      </c>
      <c r="F49" s="41">
        <f>包装資材!F49+機械!F49</f>
        <v/>
      </c>
      <c r="G49" s="41">
        <f>包装資材!G49+機械!G49</f>
        <v/>
      </c>
      <c r="H49" s="41">
        <f>包装資材!H49+機械!H49</f>
        <v/>
      </c>
      <c r="I49" s="41">
        <f>包装資材!I49+機械!I49</f>
        <v/>
      </c>
      <c r="J49" s="41">
        <f>包装資材!J49+機械!J49</f>
        <v/>
      </c>
      <c r="K49" s="50">
        <f>SUM(E49:J49)</f>
        <v/>
      </c>
      <c r="L49" s="57">
        <f>包装資材!L49+機械!L49</f>
        <v/>
      </c>
      <c r="M49" s="41">
        <f>包装資材!M49+機械!M49</f>
        <v/>
      </c>
      <c r="N49" s="41">
        <f>包装資材!N49+機械!N49</f>
        <v/>
      </c>
      <c r="O49" s="41">
        <f>包装資材!O49+機械!O49</f>
        <v/>
      </c>
      <c r="P49" s="41">
        <f>包装資材!P49+機械!P49</f>
        <v/>
      </c>
      <c r="Q49" s="41">
        <f>包装資材!Q49+機械!Q49</f>
        <v/>
      </c>
      <c r="R49" s="52">
        <f>SUM(L49:Q49)</f>
        <v/>
      </c>
      <c r="S49" s="138">
        <f>IF(E49=0,"***",L49/E49)</f>
        <v/>
      </c>
      <c r="T49" s="139">
        <f>IF(F49=0,"***",M49/F49)</f>
        <v/>
      </c>
      <c r="U49" s="139">
        <f>IF(G49=0,"***",N49/G49)</f>
        <v/>
      </c>
      <c r="V49" s="139">
        <f>IF(H49=0,"***",O49/H49)</f>
        <v/>
      </c>
      <c r="W49" s="139">
        <f>IF(I49=0,"***",P49/I49)</f>
        <v/>
      </c>
      <c r="X49" s="139">
        <f>IF(J49=0,"***",Q49/J49)</f>
        <v/>
      </c>
      <c r="Y49" s="140">
        <f>IF(K49=0,"***",R49/K49)</f>
        <v/>
      </c>
    </row>
    <row r="50" customFormat="1" s="43">
      <c r="C50" s="71" t="inlineStr">
        <is>
          <t>0910 集計</t>
        </is>
      </c>
      <c r="D50" s="69" t="inlineStr">
        <is>
          <t>足立課長</t>
        </is>
      </c>
      <c r="E50" s="41">
        <f>包装資材!E50+機械!E50</f>
        <v/>
      </c>
      <c r="F50" s="41">
        <f>包装資材!F50+機械!F50</f>
        <v/>
      </c>
      <c r="G50" s="41">
        <f>包装資材!G50+機械!G50</f>
        <v/>
      </c>
      <c r="H50" s="41">
        <f>包装資材!H50+機械!H50</f>
        <v/>
      </c>
      <c r="I50" s="41">
        <f>包装資材!I50+機械!I50</f>
        <v/>
      </c>
      <c r="J50" s="41">
        <f>包装資材!J50+機械!J50</f>
        <v/>
      </c>
      <c r="K50" s="50">
        <f>SUM(E50:J50)</f>
        <v/>
      </c>
      <c r="L50" s="57">
        <f>包装資材!L50+機械!L50</f>
        <v/>
      </c>
      <c r="M50" s="41">
        <f>包装資材!M50+機械!M50</f>
        <v/>
      </c>
      <c r="N50" s="41">
        <f>包装資材!N50+機械!N50</f>
        <v/>
      </c>
      <c r="O50" s="41">
        <f>包装資材!O50+機械!O50</f>
        <v/>
      </c>
      <c r="P50" s="41">
        <f>包装資材!P50+機械!P50</f>
        <v/>
      </c>
      <c r="Q50" s="41">
        <f>包装資材!Q50+機械!Q50</f>
        <v/>
      </c>
      <c r="R50" s="52">
        <f>SUM(L50:Q50)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 customFormat="1" s="43">
      <c r="C51" s="71" t="inlineStr">
        <is>
          <t>0911 集計</t>
        </is>
      </c>
      <c r="D51" s="69" t="inlineStr">
        <is>
          <t>川邊主任</t>
        </is>
      </c>
      <c r="E51" s="41">
        <f>包装資材!E51+機械!E51</f>
        <v/>
      </c>
      <c r="F51" s="41">
        <f>包装資材!F51+機械!F51</f>
        <v/>
      </c>
      <c r="G51" s="41">
        <f>包装資材!G51+機械!G51</f>
        <v/>
      </c>
      <c r="H51" s="41">
        <f>包装資材!H51+機械!H51</f>
        <v/>
      </c>
      <c r="I51" s="41">
        <f>包装資材!I51+機械!I51</f>
        <v/>
      </c>
      <c r="J51" s="41">
        <f>包装資材!J51+機械!J51</f>
        <v/>
      </c>
      <c r="K51" s="50">
        <f>SUM(E51:J51)</f>
        <v/>
      </c>
      <c r="L51" s="57">
        <f>包装資材!L51+機械!L51</f>
        <v/>
      </c>
      <c r="M51" s="41">
        <f>包装資材!M51+機械!M51</f>
        <v/>
      </c>
      <c r="N51" s="41">
        <f>包装資材!N51+機械!N51</f>
        <v/>
      </c>
      <c r="O51" s="41">
        <f>包装資材!O51+機械!O51</f>
        <v/>
      </c>
      <c r="P51" s="41">
        <f>包装資材!P51+機械!P51</f>
        <v/>
      </c>
      <c r="Q51" s="41">
        <f>包装資材!Q51+機械!Q51</f>
        <v/>
      </c>
      <c r="R51" s="52">
        <f>SUM(L51:Q51)</f>
        <v/>
      </c>
      <c r="S51" s="138">
        <f>IF(E51=0,"***",L51/E51)</f>
        <v/>
      </c>
      <c r="T51" s="139">
        <f>IF(F51=0,"***",M51/F51)</f>
        <v/>
      </c>
      <c r="U51" s="139">
        <f>IF(G51=0,"***",N51/G51)</f>
        <v/>
      </c>
      <c r="V51" s="139">
        <f>IF(H51=0,"***",O51/H51)</f>
        <v/>
      </c>
      <c r="W51" s="139">
        <f>IF(I51=0,"***",P51/I51)</f>
        <v/>
      </c>
      <c r="X51" s="139">
        <f>IF(J51=0,"***",Q51/J51)</f>
        <v/>
      </c>
      <c r="Y51" s="140">
        <f>IF(K51=0,"***",R51/K51)</f>
        <v/>
      </c>
    </row>
    <row r="52" customFormat="1" s="43">
      <c r="C52" s="71" t="inlineStr">
        <is>
          <t>0914 集計</t>
        </is>
      </c>
      <c r="D52" s="40" t="inlineStr">
        <is>
          <t>白根主任</t>
        </is>
      </c>
      <c r="E52" s="41">
        <f>包装資材!E52+機械!E52</f>
        <v/>
      </c>
      <c r="F52" s="41">
        <f>包装資材!F52+機械!F52</f>
        <v/>
      </c>
      <c r="G52" s="41">
        <f>包装資材!G52+機械!G52</f>
        <v/>
      </c>
      <c r="H52" s="41">
        <f>包装資材!H52+機械!H52</f>
        <v/>
      </c>
      <c r="I52" s="41">
        <f>包装資材!I52+機械!I52</f>
        <v/>
      </c>
      <c r="J52" s="41">
        <f>包装資材!J52+機械!J52</f>
        <v/>
      </c>
      <c r="K52" s="50">
        <f>SUM(E52:J52)</f>
        <v/>
      </c>
      <c r="L52" s="57">
        <f>包装資材!L52+機械!L52</f>
        <v/>
      </c>
      <c r="M52" s="41">
        <f>包装資材!M52+機械!M52</f>
        <v/>
      </c>
      <c r="N52" s="41">
        <f>包装資材!N52+機械!N52</f>
        <v/>
      </c>
      <c r="O52" s="41">
        <f>包装資材!O52+機械!O52</f>
        <v/>
      </c>
      <c r="P52" s="41">
        <f>包装資材!P52+機械!P52</f>
        <v/>
      </c>
      <c r="Q52" s="41">
        <f>包装資材!Q52+機械!Q52</f>
        <v/>
      </c>
      <c r="R52" s="52">
        <f>SUM(L52:Q52)</f>
        <v/>
      </c>
      <c r="S52" s="138">
        <f>IF(E52=0,"***",L52/E52)</f>
        <v/>
      </c>
      <c r="T52" s="139">
        <f>IF(F52=0,"***",M52/F52)</f>
        <v/>
      </c>
      <c r="U52" s="139">
        <f>IF(G52=0,"***",N52/G52)</f>
        <v/>
      </c>
      <c r="V52" s="139">
        <f>IF(H52=0,"***",O52/H52)</f>
        <v/>
      </c>
      <c r="W52" s="139">
        <f>IF(I52=0,"***",P52/I52)</f>
        <v/>
      </c>
      <c r="X52" s="139">
        <f>IF(J52=0,"***",Q52/J52)</f>
        <v/>
      </c>
      <c r="Y52" s="140">
        <f>IF(K52=0,"***",R52/K52)</f>
        <v/>
      </c>
    </row>
    <row r="53" customFormat="1" s="43">
      <c r="C53" s="71" t="inlineStr">
        <is>
          <t>0918 集計</t>
        </is>
      </c>
      <c r="D53" s="69" t="inlineStr">
        <is>
          <t>海外</t>
        </is>
      </c>
      <c r="E53" s="41">
        <f>包装資材!E53+機械!E53</f>
        <v/>
      </c>
      <c r="F53" s="41">
        <f>包装資材!F53+機械!F53</f>
        <v/>
      </c>
      <c r="G53" s="41">
        <f>包装資材!G53+機械!G53</f>
        <v/>
      </c>
      <c r="H53" s="41">
        <f>包装資材!H53+機械!H53</f>
        <v/>
      </c>
      <c r="I53" s="41">
        <f>包装資材!I53+機械!I53</f>
        <v/>
      </c>
      <c r="J53" s="41">
        <f>包装資材!J53+機械!J53</f>
        <v/>
      </c>
      <c r="K53" s="50">
        <f>SUM(E53:J53)</f>
        <v/>
      </c>
      <c r="L53" s="57">
        <f>包装資材!L53+機械!L53</f>
        <v/>
      </c>
      <c r="M53" s="41">
        <f>包装資材!M53+機械!M53</f>
        <v/>
      </c>
      <c r="N53" s="41">
        <f>包装資材!N53+機械!N53</f>
        <v/>
      </c>
      <c r="O53" s="41">
        <f>包装資材!O53+機械!O53</f>
        <v/>
      </c>
      <c r="P53" s="41">
        <f>包装資材!P53+機械!P53</f>
        <v/>
      </c>
      <c r="Q53" s="41">
        <f>包装資材!Q53+機械!Q53</f>
        <v/>
      </c>
      <c r="R53" s="52">
        <f>SUM(L53:Q53)</f>
        <v/>
      </c>
      <c r="S53" s="138">
        <f>IF(E53=0,"***",L53/E53)</f>
        <v/>
      </c>
      <c r="T53" s="139">
        <f>IF(F53=0,"***",M53/F53)</f>
        <v/>
      </c>
      <c r="U53" s="139">
        <f>IF(G53=0,"***",N53/G53)</f>
        <v/>
      </c>
      <c r="V53" s="139">
        <f>IF(H53=0,"***",O53/H53)</f>
        <v/>
      </c>
      <c r="W53" s="139">
        <f>IF(I53=0,"***",P53/I53)</f>
        <v/>
      </c>
      <c r="X53" s="139">
        <f>IF(J53=0,"***",Q53/J53)</f>
        <v/>
      </c>
      <c r="Y53" s="140">
        <f>IF(K53=0,"***",R53/K53)</f>
        <v/>
      </c>
    </row>
    <row r="54" customFormat="1" s="43">
      <c r="C54" s="71" t="inlineStr">
        <is>
          <t>0919 集計</t>
        </is>
      </c>
      <c r="D54" s="69" t="inlineStr">
        <is>
          <t>その他</t>
        </is>
      </c>
      <c r="E54" s="41">
        <f>包装資材!E54+機械!E54</f>
        <v/>
      </c>
      <c r="F54" s="41">
        <f>包装資材!F54+機械!F54</f>
        <v/>
      </c>
      <c r="G54" s="41">
        <f>包装資材!G54+機械!G54</f>
        <v/>
      </c>
      <c r="H54" s="41">
        <f>包装資材!H54+機械!H54</f>
        <v/>
      </c>
      <c r="I54" s="41">
        <f>包装資材!I54+機械!I54</f>
        <v/>
      </c>
      <c r="J54" s="41">
        <f>包装資材!J54+機械!J54</f>
        <v/>
      </c>
      <c r="K54" s="50">
        <f>SUM(E54:J54)</f>
        <v/>
      </c>
      <c r="L54" s="57">
        <f>包装資材!L54+機械!L54</f>
        <v/>
      </c>
      <c r="M54" s="41">
        <f>包装資材!M54+機械!M54</f>
        <v/>
      </c>
      <c r="N54" s="41">
        <f>包装資材!N54+機械!N54</f>
        <v/>
      </c>
      <c r="O54" s="41">
        <f>包装資材!O54+機械!O54</f>
        <v/>
      </c>
      <c r="P54" s="41">
        <f>包装資材!P54+機械!P54</f>
        <v/>
      </c>
      <c r="Q54" s="41">
        <f>包装資材!Q54+機械!Q54</f>
        <v/>
      </c>
      <c r="R54" s="52">
        <f>SUM(L54:Q54)</f>
        <v/>
      </c>
      <c r="S54" s="138">
        <f>IF(E54=0,"***",L54/E54)</f>
        <v/>
      </c>
      <c r="T54" s="139">
        <f>IF(F54=0,"***",M54/F54)</f>
        <v/>
      </c>
      <c r="U54" s="139">
        <f>IF(G54=0,"***",N54/G54)</f>
        <v/>
      </c>
      <c r="V54" s="139">
        <f>IF(H54=0,"***",O54/H54)</f>
        <v/>
      </c>
      <c r="W54" s="139">
        <f>IF(I54=0,"***",P54/I54)</f>
        <v/>
      </c>
      <c r="X54" s="139">
        <f>IF(J54=0,"***",Q54/J54)</f>
        <v/>
      </c>
      <c r="Y54" s="140">
        <f>IF(K54=0,"***",R54/K54)</f>
        <v/>
      </c>
    </row>
    <row r="55" customFormat="1" s="43">
      <c r="C55" s="71" t="inlineStr">
        <is>
          <t>0930 集計</t>
        </is>
      </c>
      <c r="D55" s="69" t="inlineStr">
        <is>
          <t>自治体</t>
        </is>
      </c>
      <c r="E55" s="41">
        <f>包装資材!E55+機械!E55</f>
        <v/>
      </c>
      <c r="F55" s="41">
        <f>包装資材!F55+機械!F55</f>
        <v/>
      </c>
      <c r="G55" s="41">
        <f>包装資材!G55+機械!G55</f>
        <v/>
      </c>
      <c r="H55" s="41">
        <f>包装資材!H55+機械!H55</f>
        <v/>
      </c>
      <c r="I55" s="41">
        <f>包装資材!I55+機械!I55</f>
        <v/>
      </c>
      <c r="J55" s="41">
        <f>包装資材!J55+機械!J55</f>
        <v/>
      </c>
      <c r="K55" s="50">
        <f>SUM(E55:J55)</f>
        <v/>
      </c>
      <c r="L55" s="57">
        <f>包装資材!L55+機械!L55</f>
        <v/>
      </c>
      <c r="M55" s="41">
        <f>包装資材!M55+機械!M55</f>
        <v/>
      </c>
      <c r="N55" s="41">
        <f>包装資材!N55+機械!N55</f>
        <v/>
      </c>
      <c r="O55" s="41">
        <f>包装資材!O55+機械!O55</f>
        <v/>
      </c>
      <c r="P55" s="41">
        <f>包装資材!P55+機械!P55</f>
        <v/>
      </c>
      <c r="Q55" s="41">
        <f>包装資材!Q55+機械!Q55</f>
        <v/>
      </c>
      <c r="R55" s="52">
        <f>SUM(L55:Q55)</f>
        <v/>
      </c>
      <c r="S55" s="141" t="n"/>
      <c r="T55" s="142" t="n"/>
      <c r="U55" s="142" t="n"/>
      <c r="V55" s="142" t="n"/>
      <c r="W55" s="142" t="n"/>
      <c r="X55" s="142" t="n"/>
      <c r="Y55" s="143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86" t="n"/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 customFormat="1" s="43">
      <c r="C89" s="71" t="inlineStr">
        <is>
          <t>0903 集計</t>
        </is>
      </c>
      <c r="D89" s="69" t="inlineStr">
        <is>
          <t>西岡</t>
        </is>
      </c>
      <c r="E89" s="41" t="n">
        <v>2546.443</v>
      </c>
      <c r="F89" s="41" t="n">
        <v>3731.251</v>
      </c>
      <c r="G89" s="41" t="n">
        <v>2209.745</v>
      </c>
      <c r="H89" s="80" t="n">
        <v>4001.158</v>
      </c>
      <c r="I89" s="80" t="n">
        <v>1726.807</v>
      </c>
      <c r="J89" s="41" t="n"/>
      <c r="K89" s="50">
        <f>SUM(E89:J89)</f>
        <v/>
      </c>
      <c r="L89" s="57" t="n">
        <v>520.126</v>
      </c>
      <c r="M89" s="41" t="n">
        <v>686.299</v>
      </c>
      <c r="N89" s="41" t="n">
        <v>427.57</v>
      </c>
      <c r="O89" s="80" t="n">
        <v>843.943</v>
      </c>
      <c r="P89" s="80" t="n">
        <v>465.365</v>
      </c>
      <c r="Q89" s="41" t="n"/>
      <c r="R89" s="52">
        <f>SUM(L89:Q89)</f>
        <v/>
      </c>
      <c r="S89" s="138">
        <f>IF(E89=0,"***",L89/E89)</f>
        <v/>
      </c>
      <c r="T89" s="139">
        <f>IF(F89=0,"***",M89/F89)</f>
        <v/>
      </c>
      <c r="U89" s="139">
        <f>IF(G89=0,"***",N89/G89)</f>
        <v/>
      </c>
      <c r="V89" s="139">
        <f>IF(H89=0,"***",O89/H89)</f>
        <v/>
      </c>
      <c r="W89" s="139">
        <f>IF(I89=0,"***",P89/I89)</f>
        <v/>
      </c>
      <c r="X89" s="139">
        <f>IF(J89=0,"***",Q89/J89)</f>
        <v/>
      </c>
      <c r="Y89" s="140">
        <f>IF(K89=0,"***",R89/K89)</f>
        <v/>
      </c>
    </row>
    <row r="90" customFormat="1" s="43">
      <c r="C90" s="71" t="inlineStr">
        <is>
          <t>0904 集計</t>
        </is>
      </c>
      <c r="D90" s="69" t="inlineStr">
        <is>
          <t>足立次長</t>
        </is>
      </c>
      <c r="E90" s="41" t="n">
        <v>11819.231</v>
      </c>
      <c r="F90" s="41" t="n">
        <v>11379.324</v>
      </c>
      <c r="G90" s="41" t="n">
        <v>11256.487</v>
      </c>
      <c r="H90" s="80" t="n">
        <v>16574.086</v>
      </c>
      <c r="I90" s="80" t="n">
        <v>13005.837</v>
      </c>
      <c r="J90" s="41" t="n"/>
      <c r="K90" s="50">
        <f>SUM(E90:J90)</f>
        <v/>
      </c>
      <c r="L90" s="57" t="n">
        <v>2340.125</v>
      </c>
      <c r="M90" s="41" t="n">
        <v>2453.784</v>
      </c>
      <c r="N90" s="41" t="n">
        <v>2520.689</v>
      </c>
      <c r="O90" s="80" t="n">
        <v>3142.911</v>
      </c>
      <c r="P90" s="80" t="n">
        <v>2594.545</v>
      </c>
      <c r="Q90" s="41" t="n"/>
      <c r="R90" s="52">
        <f>SUM(L90:Q90)</f>
        <v/>
      </c>
      <c r="S90" s="138">
        <f>IF(E90=0,"***",L90/E90)</f>
        <v/>
      </c>
      <c r="T90" s="139">
        <f>IF(F90=0,"***",M90/F90)</f>
        <v/>
      </c>
      <c r="U90" s="139">
        <f>IF(G90=0,"***",N90/G90)</f>
        <v/>
      </c>
      <c r="V90" s="139">
        <f>IF(H90=0,"***",O90/H90)</f>
        <v/>
      </c>
      <c r="W90" s="139">
        <f>IF(I90=0,"***",P90/I90)</f>
        <v/>
      </c>
      <c r="X90" s="139">
        <f>IF(J90=0,"***",Q90/J90)</f>
        <v/>
      </c>
      <c r="Y90" s="140">
        <f>IF(K90=0,"***",R90/K90)</f>
        <v/>
      </c>
    </row>
    <row r="91" customFormat="1" s="43">
      <c r="C91" s="71" t="inlineStr">
        <is>
          <t>0909 集計</t>
        </is>
      </c>
      <c r="D91" s="69" t="inlineStr">
        <is>
          <t>藤波課長</t>
        </is>
      </c>
      <c r="E91" s="41" t="n">
        <v>6431.527</v>
      </c>
      <c r="F91" s="41" t="n">
        <v>11141</v>
      </c>
      <c r="G91" s="41" t="n">
        <v>28205.688</v>
      </c>
      <c r="H91" s="80" t="n">
        <v>9716.294</v>
      </c>
      <c r="I91" s="80" t="n">
        <v>8694.421</v>
      </c>
      <c r="J91" s="41" t="n"/>
      <c r="K91" s="50">
        <f>SUM(E91:J91)</f>
        <v/>
      </c>
      <c r="L91" s="57" t="n">
        <v>1088.606</v>
      </c>
      <c r="M91" s="41" t="n">
        <v>2462</v>
      </c>
      <c r="N91" s="41" t="n">
        <v>6703.305</v>
      </c>
      <c r="O91" s="80" t="n">
        <v>1815.052</v>
      </c>
      <c r="P91" s="80" t="n">
        <v>1564.721</v>
      </c>
      <c r="Q91" s="41" t="n"/>
      <c r="R91" s="52">
        <f>SUM(L91:Q91)</f>
        <v/>
      </c>
      <c r="S91" s="138">
        <f>IF(E91=0,"***",L91/E91)</f>
        <v/>
      </c>
      <c r="T91" s="139">
        <f>IF(F91=0,"***",M91/F91)</f>
        <v/>
      </c>
      <c r="U91" s="139">
        <f>IF(G91=0,"***",N91/G91)</f>
        <v/>
      </c>
      <c r="V91" s="139">
        <f>IF(H91=0,"***",O91/H91)</f>
        <v/>
      </c>
      <c r="W91" s="139">
        <f>IF(I91=0,"***",P91/I91)</f>
        <v/>
      </c>
      <c r="X91" s="139">
        <f>IF(J91=0,"***",Q91/J91)</f>
        <v/>
      </c>
      <c r="Y91" s="140">
        <f>IF(K91=0,"***",R91/K91)</f>
        <v/>
      </c>
    </row>
    <row r="92" customFormat="1" s="43">
      <c r="C92" s="71" t="inlineStr">
        <is>
          <t>0910 集計</t>
        </is>
      </c>
      <c r="D92" s="69" t="inlineStr">
        <is>
          <t>足立課長</t>
        </is>
      </c>
      <c r="E92" s="41" t="n">
        <v>4172.414</v>
      </c>
      <c r="F92" s="41" t="n">
        <v>2185.112</v>
      </c>
      <c r="G92" s="41" t="n">
        <v>2680.001</v>
      </c>
      <c r="H92" s="80" t="n">
        <v>0</v>
      </c>
      <c r="I92" s="80" t="n">
        <v>0</v>
      </c>
      <c r="J92" s="41" t="n"/>
      <c r="K92" s="50">
        <f>SUM(E92:J92)</f>
        <v/>
      </c>
      <c r="L92" s="57" t="n">
        <v>817.802</v>
      </c>
      <c r="M92" s="41" t="n">
        <v>516.576</v>
      </c>
      <c r="N92" s="41" t="n">
        <v>508.359</v>
      </c>
      <c r="O92" s="80" t="n">
        <v>0</v>
      </c>
      <c r="P92" s="80" t="n">
        <v>0</v>
      </c>
      <c r="Q92" s="41" t="n"/>
      <c r="R92" s="52">
        <f>SUM(L92:Q92)</f>
        <v/>
      </c>
      <c r="S92" s="138">
        <f>IF(E92=0,"***",L92/E92)</f>
        <v/>
      </c>
      <c r="T92" s="139">
        <f>IF(F92=0,"***",M92/F92)</f>
        <v/>
      </c>
      <c r="U92" s="139">
        <f>IF(G92=0,"***",N92/G92)</f>
        <v/>
      </c>
      <c r="V92" s="139">
        <f>IF(H92=0,"***",O92/H92)</f>
        <v/>
      </c>
      <c r="W92" s="139">
        <f>IF(I92=0,"***",P92/I92)</f>
        <v/>
      </c>
      <c r="X92" s="139">
        <f>IF(J92=0,"***",Q92/J92)</f>
        <v/>
      </c>
      <c r="Y92" s="140">
        <f>IF(K92=0,"***",R92/K92)</f>
        <v/>
      </c>
    </row>
    <row r="93" customFormat="1" s="43">
      <c r="C93" s="71" t="inlineStr">
        <is>
          <t>0911 集計</t>
        </is>
      </c>
      <c r="D93" s="69" t="inlineStr">
        <is>
          <t>川邊主任</t>
        </is>
      </c>
      <c r="E93" s="41" t="n">
        <v>12178.474</v>
      </c>
      <c r="F93" s="41" t="n">
        <v>10681.174</v>
      </c>
      <c r="G93" s="41" t="n">
        <v>11717.856</v>
      </c>
      <c r="H93" s="80" t="n">
        <v>14845.393</v>
      </c>
      <c r="I93" s="80" t="n">
        <v>9474.611999999999</v>
      </c>
      <c r="J93" s="41" t="n"/>
      <c r="K93" s="50">
        <f>SUM(E93:J93)</f>
        <v/>
      </c>
      <c r="L93" s="57" t="n">
        <v>1958.402</v>
      </c>
      <c r="M93" s="41" t="n">
        <v>1759.2</v>
      </c>
      <c r="N93" s="41" t="n">
        <v>1889.211</v>
      </c>
      <c r="O93" s="80" t="n">
        <v>2334.2</v>
      </c>
      <c r="P93" s="80" t="n">
        <v>1573.26</v>
      </c>
      <c r="Q93" s="41" t="n"/>
      <c r="R93" s="52">
        <f>SUM(L93:Q93)</f>
        <v/>
      </c>
      <c r="S93" s="138">
        <f>IF(E93=0,"***",L93/E93)</f>
        <v/>
      </c>
      <c r="T93" s="139">
        <f>IF(F93=0,"***",M93/F93)</f>
        <v/>
      </c>
      <c r="U93" s="139">
        <f>IF(G93=0,"***",N93/G93)</f>
        <v/>
      </c>
      <c r="V93" s="139">
        <f>IF(H93=0,"***",O93/H93)</f>
        <v/>
      </c>
      <c r="W93" s="139">
        <f>IF(I93=0,"***",P93/I93)</f>
        <v/>
      </c>
      <c r="X93" s="139">
        <f>IF(J93=0,"***",Q93/J93)</f>
        <v/>
      </c>
      <c r="Y93" s="140">
        <f>IF(K93=0,"***",R93/K93)</f>
        <v/>
      </c>
    </row>
    <row r="94" customFormat="1" s="43">
      <c r="C94" s="71" t="inlineStr">
        <is>
          <t>0914 集計</t>
        </is>
      </c>
      <c r="D94" s="40" t="inlineStr">
        <is>
          <t>白根主任</t>
        </is>
      </c>
      <c r="E94" s="41" t="n">
        <v>27251.289</v>
      </c>
      <c r="F94" s="41" t="n">
        <v>10272.05</v>
      </c>
      <c r="G94" s="41" t="n">
        <v>9860.912</v>
      </c>
      <c r="H94" s="80" t="n">
        <v>12006.348</v>
      </c>
      <c r="I94" s="80" t="n">
        <v>8513.204</v>
      </c>
      <c r="J94" s="41" t="n"/>
      <c r="K94" s="50">
        <f>SUM(E94:J94)</f>
        <v/>
      </c>
      <c r="L94" s="57" t="n">
        <v>3929.53</v>
      </c>
      <c r="M94" s="41" t="n">
        <v>2665.577</v>
      </c>
      <c r="N94" s="41" t="n">
        <v>2196.369</v>
      </c>
      <c r="O94" s="80" t="n">
        <v>2961.116</v>
      </c>
      <c r="P94" s="80" t="n">
        <v>2123.723</v>
      </c>
      <c r="Q94" s="41" t="n"/>
      <c r="R94" s="52">
        <f>SUM(L94:Q94)</f>
        <v/>
      </c>
      <c r="S94" s="138">
        <f>IF(E94=0,"***",L94/E94)</f>
        <v/>
      </c>
      <c r="T94" s="139">
        <f>IF(F94=0,"***",M94/F94)</f>
        <v/>
      </c>
      <c r="U94" s="139">
        <f>IF(G94=0,"***",N94/G94)</f>
        <v/>
      </c>
      <c r="V94" s="139">
        <f>IF(H94=0,"***",O94/H94)</f>
        <v/>
      </c>
      <c r="W94" s="139">
        <f>IF(I94=0,"***",P94/I94)</f>
        <v/>
      </c>
      <c r="X94" s="139">
        <f>IF(J94=0,"***",Q94/J94)</f>
        <v/>
      </c>
      <c r="Y94" s="140">
        <f>IF(K94=0,"***",R94/K94)</f>
        <v/>
      </c>
    </row>
    <row r="95" customFormat="1" s="43">
      <c r="C95" s="71" t="inlineStr">
        <is>
          <t>0918 集計</t>
        </is>
      </c>
      <c r="D95" s="69" t="inlineStr">
        <is>
          <t>海外</t>
        </is>
      </c>
      <c r="E95" s="41" t="n">
        <v>2165.5</v>
      </c>
      <c r="F95" s="41" t="n">
        <v>5289.97</v>
      </c>
      <c r="G95" s="41" t="n">
        <v>2659.97</v>
      </c>
      <c r="H95" s="80" t="n">
        <v>130.06</v>
      </c>
      <c r="I95" s="80" t="n">
        <v>314.45</v>
      </c>
      <c r="J95" s="41" t="n"/>
      <c r="K95" s="50">
        <f>SUM(E95:J95)</f>
        <v/>
      </c>
      <c r="L95" s="57" t="n">
        <v>413.203</v>
      </c>
      <c r="M95" s="41" t="n">
        <v>806.5359999999999</v>
      </c>
      <c r="N95" s="41" t="n">
        <v>713.36</v>
      </c>
      <c r="O95" s="80" t="n">
        <v>29.11</v>
      </c>
      <c r="P95" s="80" t="n">
        <v>59.63</v>
      </c>
      <c r="Q95" s="41" t="n"/>
      <c r="R95" s="52">
        <f>SUM(L95:Q95)</f>
        <v/>
      </c>
      <c r="S95" s="138">
        <f>IF(E95=0,"***",L95/E95)</f>
        <v/>
      </c>
      <c r="T95" s="139">
        <f>IF(F95=0,"***",M95/F95)</f>
        <v/>
      </c>
      <c r="U95" s="139">
        <f>IF(G95=0,"***",N95/G95)</f>
        <v/>
      </c>
      <c r="V95" s="139">
        <f>IF(H95=0,"***",O95/H95)</f>
        <v/>
      </c>
      <c r="W95" s="139">
        <f>IF(I95=0,"***",P95/I95)</f>
        <v/>
      </c>
      <c r="X95" s="139">
        <f>IF(J95=0,"***",Q95/J95)</f>
        <v/>
      </c>
      <c r="Y95" s="140">
        <f>IF(K95=0,"***",R95/K95)</f>
        <v/>
      </c>
    </row>
    <row r="96" customFormat="1" s="43">
      <c r="C96" s="71" t="inlineStr">
        <is>
          <t>0919 集計</t>
        </is>
      </c>
      <c r="D96" s="69" t="inlineStr">
        <is>
          <t>その他</t>
        </is>
      </c>
      <c r="E96" s="41" t="n">
        <v>74.8</v>
      </c>
      <c r="F96" s="41" t="n">
        <v>30</v>
      </c>
      <c r="G96" s="41" t="n">
        <v>37.578</v>
      </c>
      <c r="H96" s="80" t="n">
        <v>14.91</v>
      </c>
      <c r="I96" s="80" t="n">
        <v>0</v>
      </c>
      <c r="J96" s="41" t="n"/>
      <c r="K96" s="50">
        <f>SUM(E96:J96)</f>
        <v/>
      </c>
      <c r="L96" s="57" t="n">
        <v>13.625</v>
      </c>
      <c r="M96" s="41" t="n">
        <v>6</v>
      </c>
      <c r="N96" s="41" t="n">
        <v>12.358</v>
      </c>
      <c r="O96" s="80" t="n">
        <v>3.7</v>
      </c>
      <c r="P96" s="80" t="n">
        <v>0</v>
      </c>
      <c r="Q96" s="41" t="n"/>
      <c r="R96" s="52">
        <f>SUM(L96:Q96)</f>
        <v/>
      </c>
      <c r="S96" s="138">
        <f>IF(E96=0,"***",L96/E96)</f>
        <v/>
      </c>
      <c r="T96" s="139">
        <f>IF(F96=0,"***",M96/F96)</f>
        <v/>
      </c>
      <c r="U96" s="139">
        <f>IF(G96=0,"***",N96/G96)</f>
        <v/>
      </c>
      <c r="V96" s="139">
        <f>IF(H96=0,"***",O96/H96)</f>
        <v/>
      </c>
      <c r="W96" s="139">
        <f>IF(I96=0,"***",P96/I96)</f>
        <v/>
      </c>
      <c r="X96" s="139">
        <f>IF(J96=0,"***",Q96/J96)</f>
        <v/>
      </c>
      <c r="Y96" s="140">
        <f>IF(K96=0,"***",R96/K96)</f>
        <v/>
      </c>
    </row>
    <row r="97" customFormat="1" s="43">
      <c r="C97" s="71" t="inlineStr">
        <is>
          <t>0930 集計</t>
        </is>
      </c>
      <c r="D97" s="69" t="inlineStr">
        <is>
          <t>自治体</t>
        </is>
      </c>
      <c r="E97" s="41" t="n"/>
      <c r="F97" s="41" t="n"/>
      <c r="G97" s="41" t="n">
        <v>82.104</v>
      </c>
      <c r="H97" s="80" t="n">
        <v>0</v>
      </c>
      <c r="I97" s="80" t="n">
        <v>156</v>
      </c>
      <c r="J97" s="41" t="n"/>
      <c r="K97" s="50">
        <f>SUM(E97:J97)</f>
        <v/>
      </c>
      <c r="L97" s="57" t="n"/>
      <c r="M97" s="41" t="n"/>
      <c r="N97" s="41" t="n">
        <v>2.476</v>
      </c>
      <c r="O97" s="80" t="n">
        <v>0</v>
      </c>
      <c r="P97" s="80" t="n">
        <v>4.8</v>
      </c>
      <c r="Q97" s="41" t="n"/>
      <c r="R97" s="52">
        <f>SUM(L97:Q97)</f>
        <v/>
      </c>
      <c r="S97" s="138">
        <f>IF(E97=0,"***",L97/E97)</f>
        <v/>
      </c>
      <c r="T97" s="139">
        <f>IF(F97=0,"***",M97/F97)</f>
        <v/>
      </c>
      <c r="U97" s="139">
        <f>IF(G97=0,"***",N97/G97)</f>
        <v/>
      </c>
      <c r="V97" s="139">
        <f>IF(H97=0,"***",O97/H97)</f>
        <v/>
      </c>
      <c r="W97" s="139">
        <f>IF(I97=0,"***",P97/I97)</f>
        <v/>
      </c>
      <c r="X97" s="139">
        <f>IF(J97=0,"***",Q97/J97)</f>
        <v/>
      </c>
      <c r="Y97" s="140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 customFormat="1" s="43">
      <c r="C103" s="71" t="inlineStr">
        <is>
          <t>0903 集計</t>
        </is>
      </c>
      <c r="D103" s="69" t="inlineStr">
        <is>
          <t>西岡</t>
        </is>
      </c>
      <c r="E103" s="41">
        <f>E89-E47</f>
        <v/>
      </c>
      <c r="F103" s="41">
        <f>F89-F47</f>
        <v/>
      </c>
      <c r="G103" s="41">
        <f>G89-G47</f>
        <v/>
      </c>
      <c r="H103" s="41">
        <f>H89-H47</f>
        <v/>
      </c>
      <c r="I103" s="41">
        <f>I89-I47</f>
        <v/>
      </c>
      <c r="J103" s="41" t="n"/>
      <c r="K103" s="50">
        <f>SUM(E103:J103)</f>
        <v/>
      </c>
      <c r="L103" s="57">
        <f>L89-L47</f>
        <v/>
      </c>
      <c r="M103" s="41">
        <f>M89-M47</f>
        <v/>
      </c>
      <c r="N103" s="41">
        <f>N89-N47</f>
        <v/>
      </c>
      <c r="O103" s="41">
        <f>O89-O47</f>
        <v/>
      </c>
      <c r="P103" s="41">
        <f>P89-P47</f>
        <v/>
      </c>
      <c r="Q103" s="41" t="n"/>
      <c r="R103" s="52">
        <f>SUM(L103:Q103)</f>
        <v/>
      </c>
      <c r="S103" s="138">
        <f>S89-S47</f>
        <v/>
      </c>
      <c r="T103" s="139">
        <f>T89-T47</f>
        <v/>
      </c>
      <c r="U103" s="139">
        <f>U89-U47</f>
        <v/>
      </c>
      <c r="V103" s="139">
        <f>V89-V47</f>
        <v/>
      </c>
      <c r="W103" s="139">
        <f>W89-W47</f>
        <v/>
      </c>
      <c r="X103" s="139">
        <f>X89-X47</f>
        <v/>
      </c>
      <c r="Y103" s="140">
        <f>Y89-Y47</f>
        <v/>
      </c>
    </row>
    <row r="104" customFormat="1" s="43">
      <c r="C104" s="71" t="inlineStr">
        <is>
          <t>0904 集計</t>
        </is>
      </c>
      <c r="D104" s="69" t="inlineStr">
        <is>
          <t>足立次長</t>
        </is>
      </c>
      <c r="E104" s="41">
        <f>E90-E48</f>
        <v/>
      </c>
      <c r="F104" s="41">
        <f>F90-F48</f>
        <v/>
      </c>
      <c r="G104" s="41">
        <f>G90-G48</f>
        <v/>
      </c>
      <c r="H104" s="41">
        <f>H90-H48</f>
        <v/>
      </c>
      <c r="I104" s="41">
        <f>I90-I48</f>
        <v/>
      </c>
      <c r="J104" s="41" t="n"/>
      <c r="K104" s="50">
        <f>SUM(E104:J104)</f>
        <v/>
      </c>
      <c r="L104" s="57">
        <f>L90-L48</f>
        <v/>
      </c>
      <c r="M104" s="41">
        <f>M90-M48</f>
        <v/>
      </c>
      <c r="N104" s="41">
        <f>N90-N48</f>
        <v/>
      </c>
      <c r="O104" s="41">
        <f>O90-O48</f>
        <v/>
      </c>
      <c r="P104" s="41">
        <f>P90-P48</f>
        <v/>
      </c>
      <c r="Q104" s="41" t="n"/>
      <c r="R104" s="52">
        <f>SUM(L104:Q104)</f>
        <v/>
      </c>
      <c r="S104" s="138">
        <f>S90-S48</f>
        <v/>
      </c>
      <c r="T104" s="139">
        <f>T90-T48</f>
        <v/>
      </c>
      <c r="U104" s="139">
        <f>U90-U48</f>
        <v/>
      </c>
      <c r="V104" s="139">
        <f>V90-V48</f>
        <v/>
      </c>
      <c r="W104" s="139">
        <f>W90-W48</f>
        <v/>
      </c>
      <c r="X104" s="139">
        <f>X90-X48</f>
        <v/>
      </c>
      <c r="Y104" s="140">
        <f>Y90-Y48</f>
        <v/>
      </c>
    </row>
    <row r="105" customFormat="1" s="43">
      <c r="C105" s="71" t="inlineStr">
        <is>
          <t>0909 集計</t>
        </is>
      </c>
      <c r="D105" s="69" t="inlineStr">
        <is>
          <t>藤波課長</t>
        </is>
      </c>
      <c r="E105" s="41">
        <f>E91-E49</f>
        <v/>
      </c>
      <c r="F105" s="41">
        <f>F91-F49</f>
        <v/>
      </c>
      <c r="G105" s="41">
        <f>G91-G49</f>
        <v/>
      </c>
      <c r="H105" s="41">
        <f>H91-H49</f>
        <v/>
      </c>
      <c r="I105" s="41">
        <f>I91-I49</f>
        <v/>
      </c>
      <c r="J105" s="41" t="n"/>
      <c r="K105" s="50">
        <f>SUM(E105:J105)</f>
        <v/>
      </c>
      <c r="L105" s="57">
        <f>L91-L49</f>
        <v/>
      </c>
      <c r="M105" s="41">
        <f>M91-M49</f>
        <v/>
      </c>
      <c r="N105" s="41">
        <f>N91-N49</f>
        <v/>
      </c>
      <c r="O105" s="41">
        <f>O91-O49</f>
        <v/>
      </c>
      <c r="P105" s="41">
        <f>P91-P49</f>
        <v/>
      </c>
      <c r="Q105" s="41" t="n"/>
      <c r="R105" s="52">
        <f>SUM(L105:Q105)</f>
        <v/>
      </c>
      <c r="S105" s="138">
        <f>S91-S49</f>
        <v/>
      </c>
      <c r="T105" s="139">
        <f>T91-T49</f>
        <v/>
      </c>
      <c r="U105" s="139">
        <f>U91-U49</f>
        <v/>
      </c>
      <c r="V105" s="139">
        <f>V91-V49</f>
        <v/>
      </c>
      <c r="W105" s="139">
        <f>W91-W49</f>
        <v/>
      </c>
      <c r="X105" s="139">
        <f>X91-X49</f>
        <v/>
      </c>
      <c r="Y105" s="140">
        <f>Y91-Y49</f>
        <v/>
      </c>
    </row>
    <row r="106" customFormat="1" s="43">
      <c r="C106" s="71" t="inlineStr">
        <is>
          <t>0910 集計</t>
        </is>
      </c>
      <c r="D106" s="69" t="inlineStr">
        <is>
          <t>足立課長</t>
        </is>
      </c>
      <c r="E106" s="41">
        <f>E92-E50</f>
        <v/>
      </c>
      <c r="F106" s="41">
        <f>F92-F50</f>
        <v/>
      </c>
      <c r="G106" s="41">
        <f>G92-G50</f>
        <v/>
      </c>
      <c r="H106" s="41">
        <f>H92-H50</f>
        <v/>
      </c>
      <c r="I106" s="41">
        <f>I92-I50</f>
        <v/>
      </c>
      <c r="J106" s="41" t="n"/>
      <c r="K106" s="50">
        <f>SUM(E106:J106)</f>
        <v/>
      </c>
      <c r="L106" s="57">
        <f>L92-L50</f>
        <v/>
      </c>
      <c r="M106" s="41">
        <f>M92-M50</f>
        <v/>
      </c>
      <c r="N106" s="41">
        <f>N92-N50</f>
        <v/>
      </c>
      <c r="O106" s="41">
        <f>O92-O50</f>
        <v/>
      </c>
      <c r="P106" s="41">
        <f>P92-P50</f>
        <v/>
      </c>
      <c r="Q106" s="41" t="n"/>
      <c r="R106" s="52">
        <f>SUM(L106:Q106)</f>
        <v/>
      </c>
      <c r="S106" s="138">
        <f>S92-S50</f>
        <v/>
      </c>
      <c r="T106" s="139">
        <f>T92-T50</f>
        <v/>
      </c>
      <c r="U106" s="139">
        <f>U92-U50</f>
        <v/>
      </c>
      <c r="V106" s="139">
        <f>V92-V50</f>
        <v/>
      </c>
      <c r="W106" s="139">
        <f>W92-W50</f>
        <v/>
      </c>
      <c r="X106" s="139">
        <f>X92-X50</f>
        <v/>
      </c>
      <c r="Y106" s="140">
        <f>Y92-Y50</f>
        <v/>
      </c>
    </row>
    <row r="107" customFormat="1" s="43">
      <c r="C107" s="71" t="inlineStr">
        <is>
          <t>0911 集計</t>
        </is>
      </c>
      <c r="D107" s="69" t="inlineStr">
        <is>
          <t>川邊主任</t>
        </is>
      </c>
      <c r="E107" s="41">
        <f>E93-E51</f>
        <v/>
      </c>
      <c r="F107" s="41">
        <f>F93-F51</f>
        <v/>
      </c>
      <c r="G107" s="41">
        <f>G93-G51</f>
        <v/>
      </c>
      <c r="H107" s="41">
        <f>H93-H51</f>
        <v/>
      </c>
      <c r="I107" s="41">
        <f>I93-I51</f>
        <v/>
      </c>
      <c r="J107" s="41" t="n"/>
      <c r="K107" s="50">
        <f>SUM(E107:J107)</f>
        <v/>
      </c>
      <c r="L107" s="57">
        <f>L93-L51</f>
        <v/>
      </c>
      <c r="M107" s="41">
        <f>M93-M51</f>
        <v/>
      </c>
      <c r="N107" s="41">
        <f>N93-N51</f>
        <v/>
      </c>
      <c r="O107" s="41">
        <f>O93-O51</f>
        <v/>
      </c>
      <c r="P107" s="41">
        <f>P93-P51</f>
        <v/>
      </c>
      <c r="Q107" s="41" t="n"/>
      <c r="R107" s="52">
        <f>SUM(L107:Q107)</f>
        <v/>
      </c>
      <c r="S107" s="138">
        <f>S93-S51</f>
        <v/>
      </c>
      <c r="T107" s="139">
        <f>T93-T51</f>
        <v/>
      </c>
      <c r="U107" s="139">
        <f>U93-U51</f>
        <v/>
      </c>
      <c r="V107" s="139">
        <f>V93-V51</f>
        <v/>
      </c>
      <c r="W107" s="139">
        <f>W93-W51</f>
        <v/>
      </c>
      <c r="X107" s="139">
        <f>X93-X51</f>
        <v/>
      </c>
      <c r="Y107" s="140">
        <f>Y93-Y51</f>
        <v/>
      </c>
    </row>
    <row r="108" customFormat="1" s="43">
      <c r="C108" s="71" t="inlineStr">
        <is>
          <t>0914 集計</t>
        </is>
      </c>
      <c r="D108" s="40" t="inlineStr">
        <is>
          <t>白根主任</t>
        </is>
      </c>
      <c r="E108" s="41">
        <f>E94-E52</f>
        <v/>
      </c>
      <c r="F108" s="41">
        <f>F94-F52</f>
        <v/>
      </c>
      <c r="G108" s="41">
        <f>G94-G52</f>
        <v/>
      </c>
      <c r="H108" s="41">
        <f>H94-H52</f>
        <v/>
      </c>
      <c r="I108" s="41">
        <f>I94-I52</f>
        <v/>
      </c>
      <c r="J108" s="41" t="n"/>
      <c r="K108" s="50">
        <f>SUM(E108:J108)</f>
        <v/>
      </c>
      <c r="L108" s="57">
        <f>L94-L52</f>
        <v/>
      </c>
      <c r="M108" s="41">
        <f>M94-M52</f>
        <v/>
      </c>
      <c r="N108" s="41">
        <f>N94-N52</f>
        <v/>
      </c>
      <c r="O108" s="41">
        <f>O94-O52</f>
        <v/>
      </c>
      <c r="P108" s="41">
        <f>P94-P52</f>
        <v/>
      </c>
      <c r="Q108" s="41" t="n"/>
      <c r="R108" s="52">
        <f>SUM(L108:Q108)</f>
        <v/>
      </c>
      <c r="S108" s="138">
        <f>S94-S52</f>
        <v/>
      </c>
      <c r="T108" s="139">
        <f>T94-T52</f>
        <v/>
      </c>
      <c r="U108" s="139">
        <f>U94-U52</f>
        <v/>
      </c>
      <c r="V108" s="139">
        <f>V94-V52</f>
        <v/>
      </c>
      <c r="W108" s="139">
        <f>W94-W52</f>
        <v/>
      </c>
      <c r="X108" s="139">
        <f>X94-X52</f>
        <v/>
      </c>
      <c r="Y108" s="140">
        <f>Y94-Y52</f>
        <v/>
      </c>
    </row>
    <row r="109" customFormat="1" s="43">
      <c r="C109" s="71" t="inlineStr">
        <is>
          <t>0918 集計</t>
        </is>
      </c>
      <c r="D109" s="69" t="inlineStr">
        <is>
          <t>海外</t>
        </is>
      </c>
      <c r="E109" s="41">
        <f>E95-E53</f>
        <v/>
      </c>
      <c r="F109" s="41">
        <f>F95-F53</f>
        <v/>
      </c>
      <c r="G109" s="41">
        <f>G95-G53</f>
        <v/>
      </c>
      <c r="H109" s="41">
        <f>H95-H53</f>
        <v/>
      </c>
      <c r="I109" s="41">
        <f>I95-I53</f>
        <v/>
      </c>
      <c r="J109" s="41" t="n"/>
      <c r="K109" s="50">
        <f>SUM(E109:J109)</f>
        <v/>
      </c>
      <c r="L109" s="57">
        <f>L95-L53</f>
        <v/>
      </c>
      <c r="M109" s="41">
        <f>M95-M53</f>
        <v/>
      </c>
      <c r="N109" s="41">
        <f>N95-N53</f>
        <v/>
      </c>
      <c r="O109" s="41">
        <f>O95-O53</f>
        <v/>
      </c>
      <c r="P109" s="41">
        <f>P95-P53</f>
        <v/>
      </c>
      <c r="Q109" s="41" t="n"/>
      <c r="R109" s="52">
        <f>SUM(L109:Q109)</f>
        <v/>
      </c>
      <c r="S109" s="138">
        <f>S95-S53</f>
        <v/>
      </c>
      <c r="T109" s="139">
        <f>T95-T53</f>
        <v/>
      </c>
      <c r="U109" s="139">
        <f>U95-U53</f>
        <v/>
      </c>
      <c r="V109" s="139">
        <f>V95-V53</f>
        <v/>
      </c>
      <c r="W109" s="139">
        <f>W95-W53</f>
        <v/>
      </c>
      <c r="X109" s="139">
        <f>X95-X53</f>
        <v/>
      </c>
      <c r="Y109" s="140">
        <f>Y95-Y53</f>
        <v/>
      </c>
    </row>
    <row r="110" customFormat="1" s="43">
      <c r="C110" s="71" t="inlineStr">
        <is>
          <t>0919 集計</t>
        </is>
      </c>
      <c r="D110" s="69" t="inlineStr">
        <is>
          <t>その他</t>
        </is>
      </c>
      <c r="E110" s="41">
        <f>E96-E54</f>
        <v/>
      </c>
      <c r="F110" s="41">
        <f>F96-F54</f>
        <v/>
      </c>
      <c r="G110" s="41">
        <f>G96-G54</f>
        <v/>
      </c>
      <c r="H110" s="41">
        <f>H96-H54</f>
        <v/>
      </c>
      <c r="I110" s="41">
        <f>I96-I54</f>
        <v/>
      </c>
      <c r="J110" s="41" t="n"/>
      <c r="K110" s="50">
        <f>SUM(E110:J110)</f>
        <v/>
      </c>
      <c r="L110" s="57">
        <f>L96-L54</f>
        <v/>
      </c>
      <c r="M110" s="41">
        <f>M96-M54</f>
        <v/>
      </c>
      <c r="N110" s="41">
        <f>N96-N54</f>
        <v/>
      </c>
      <c r="O110" s="41">
        <f>O96-O54</f>
        <v/>
      </c>
      <c r="P110" s="41">
        <f>P96-P54</f>
        <v/>
      </c>
      <c r="Q110" s="41" t="n"/>
      <c r="R110" s="52">
        <f>SUM(L110:Q110)</f>
        <v/>
      </c>
      <c r="S110" s="138">
        <f>S96-S54</f>
        <v/>
      </c>
      <c r="T110" s="139">
        <f>T96-T54</f>
        <v/>
      </c>
      <c r="U110" s="139">
        <f>U96-U54</f>
        <v/>
      </c>
      <c r="V110" s="139">
        <f>V96-V54</f>
        <v/>
      </c>
      <c r="W110" s="139">
        <f>W96-W54</f>
        <v/>
      </c>
      <c r="X110" s="139">
        <f>X96-X54</f>
        <v/>
      </c>
      <c r="Y110" s="140">
        <f>Y96-Y54</f>
        <v/>
      </c>
    </row>
    <row r="111" customFormat="1" s="43">
      <c r="C111" s="71" t="inlineStr">
        <is>
          <t>0930 集計</t>
        </is>
      </c>
      <c r="D111" s="69" t="inlineStr">
        <is>
          <t>自治体</t>
        </is>
      </c>
      <c r="E111" s="41">
        <f>E97-E55</f>
        <v/>
      </c>
      <c r="F111" s="41">
        <f>F97-F55</f>
        <v/>
      </c>
      <c r="G111" s="41">
        <f>G97-G55</f>
        <v/>
      </c>
      <c r="H111" s="41">
        <f>H97-H55</f>
        <v/>
      </c>
      <c r="I111" s="41">
        <f>I97-I55</f>
        <v/>
      </c>
      <c r="J111" s="41" t="n"/>
      <c r="K111" s="50">
        <f>SUM(E111:J111)</f>
        <v/>
      </c>
      <c r="L111" s="57">
        <f>L97-L55</f>
        <v/>
      </c>
      <c r="M111" s="41">
        <f>M97-M55</f>
        <v/>
      </c>
      <c r="N111" s="41">
        <f>N97-N55</f>
        <v/>
      </c>
      <c r="O111" s="41">
        <f>O97-O55</f>
        <v/>
      </c>
      <c r="P111" s="41">
        <f>P97-P55</f>
        <v/>
      </c>
      <c r="Q111" s="41" t="n"/>
      <c r="R111" s="52">
        <f>SUM(L111:Q111)</f>
        <v/>
      </c>
      <c r="S111" s="138">
        <f>S97-S55</f>
        <v/>
      </c>
      <c r="T111" s="139">
        <f>T97-T55</f>
        <v/>
      </c>
      <c r="U111" s="139">
        <f>U97-U55</f>
        <v/>
      </c>
      <c r="V111" s="139">
        <f>V97-V55</f>
        <v/>
      </c>
      <c r="W111" s="139">
        <f>W97-W55</f>
        <v/>
      </c>
      <c r="X111" s="139">
        <f>X97-X55</f>
        <v/>
      </c>
      <c r="Y111" s="140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SUM(T103:T110)</f>
        <v/>
      </c>
      <c r="U112" s="127">
        <f>SUM(U103:U110)</f>
        <v/>
      </c>
      <c r="V112" s="127">
        <f>SUM(V103:V110)</f>
        <v/>
      </c>
      <c r="W112" s="127">
        <f>SUM(W103:W110)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 customFormat="1" s="43">
      <c r="C117" s="71" t="inlineStr">
        <is>
          <t>0903 集計</t>
        </is>
      </c>
      <c r="D117" s="69" t="inlineStr">
        <is>
          <t>西岡</t>
        </is>
      </c>
      <c r="E117" s="41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50">
        <f>SUM(E117:J117)</f>
        <v/>
      </c>
      <c r="L117" s="57">
        <f>L89-L19</f>
        <v/>
      </c>
      <c r="M117" s="41">
        <f>M89-M19</f>
        <v/>
      </c>
      <c r="N117" s="41">
        <f>N89-N19</f>
        <v/>
      </c>
      <c r="O117" s="41">
        <f>O89-O19</f>
        <v/>
      </c>
      <c r="P117" s="41">
        <f>P89-P19</f>
        <v/>
      </c>
      <c r="Q117" s="41" t="n"/>
      <c r="R117" s="52">
        <f>SUM(L117:Q117)</f>
        <v/>
      </c>
      <c r="S117" s="138">
        <f>S89-S19</f>
        <v/>
      </c>
      <c r="T117" s="139">
        <f>T89-T19</f>
        <v/>
      </c>
      <c r="U117" s="139">
        <f>U89-U19</f>
        <v/>
      </c>
      <c r="V117" s="139">
        <f>V89-V19</f>
        <v/>
      </c>
      <c r="W117" s="139">
        <f>W89-W19</f>
        <v/>
      </c>
      <c r="X117" s="139">
        <f>X89-X19</f>
        <v/>
      </c>
      <c r="Y117" s="140">
        <f>Y89-Y19</f>
        <v/>
      </c>
    </row>
    <row r="118" customFormat="1" s="43">
      <c r="C118" s="71" t="inlineStr">
        <is>
          <t>0904 集計</t>
        </is>
      </c>
      <c r="D118" s="69" t="inlineStr">
        <is>
          <t>足立次長</t>
        </is>
      </c>
      <c r="E118" s="41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50">
        <f>SUM(E118:J118)</f>
        <v/>
      </c>
      <c r="L118" s="57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52">
        <f>SUM(L118:Q118)</f>
        <v/>
      </c>
      <c r="S118" s="138">
        <f>S90-S20</f>
        <v/>
      </c>
      <c r="T118" s="139">
        <f>T90-T20</f>
        <v/>
      </c>
      <c r="U118" s="139">
        <f>U90-U20</f>
        <v/>
      </c>
      <c r="V118" s="139">
        <f>V90-V20</f>
        <v/>
      </c>
      <c r="W118" s="139">
        <f>W90-W20</f>
        <v/>
      </c>
      <c r="X118" s="139">
        <f>X90-X20</f>
        <v/>
      </c>
      <c r="Y118" s="140">
        <f>Y90-Y20</f>
        <v/>
      </c>
    </row>
    <row r="119" customFormat="1" s="43">
      <c r="C119" s="71" t="inlineStr">
        <is>
          <t>0909 集計</t>
        </is>
      </c>
      <c r="D119" s="69" t="inlineStr">
        <is>
          <t>藤波課長</t>
        </is>
      </c>
      <c r="E119" s="41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50">
        <f>SUM(E119:J119)</f>
        <v/>
      </c>
      <c r="L119" s="57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52">
        <f>SUM(L119:Q119)</f>
        <v/>
      </c>
      <c r="S119" s="138">
        <f>S91-S21</f>
        <v/>
      </c>
      <c r="T119" s="139">
        <f>T91-T21</f>
        <v/>
      </c>
      <c r="U119" s="139">
        <f>U91-U21</f>
        <v/>
      </c>
      <c r="V119" s="139">
        <f>V91-V21</f>
        <v/>
      </c>
      <c r="W119" s="139">
        <f>W91-W21</f>
        <v/>
      </c>
      <c r="X119" s="139">
        <f>X91-X21</f>
        <v/>
      </c>
      <c r="Y119" s="140">
        <f>Y91-Y21</f>
        <v/>
      </c>
    </row>
    <row r="120" customFormat="1" s="43">
      <c r="C120" s="71" t="inlineStr">
        <is>
          <t>0910 集計</t>
        </is>
      </c>
      <c r="D120" s="69" t="inlineStr">
        <is>
          <t>足立課長</t>
        </is>
      </c>
      <c r="E120" s="41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50">
        <f>SUM(E120:J120)</f>
        <v/>
      </c>
      <c r="L120" s="57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52">
        <f>SUM(L120:Q120)</f>
        <v/>
      </c>
      <c r="S120" s="138">
        <f>S92-S22</f>
        <v/>
      </c>
      <c r="T120" s="139">
        <f>T92-T22</f>
        <v/>
      </c>
      <c r="U120" s="139">
        <f>U92-U22</f>
        <v/>
      </c>
      <c r="V120" s="139">
        <f>V92-V22</f>
        <v/>
      </c>
      <c r="W120" s="139">
        <f>W92-W22</f>
        <v/>
      </c>
      <c r="X120" s="139">
        <f>X92-X22</f>
        <v/>
      </c>
      <c r="Y120" s="140">
        <f>Y92-Y22</f>
        <v/>
      </c>
    </row>
    <row r="121" customFormat="1" s="43">
      <c r="C121" s="71" t="inlineStr">
        <is>
          <t>0911 集計</t>
        </is>
      </c>
      <c r="D121" s="69" t="inlineStr">
        <is>
          <t>川邊主任</t>
        </is>
      </c>
      <c r="E121" s="41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50">
        <f>SUM(E121:J121)</f>
        <v/>
      </c>
      <c r="L121" s="57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52">
        <f>SUM(L121:Q121)</f>
        <v/>
      </c>
      <c r="S121" s="138">
        <f>S93-S23</f>
        <v/>
      </c>
      <c r="T121" s="139">
        <f>T93-T23</f>
        <v/>
      </c>
      <c r="U121" s="139">
        <f>U93-U23</f>
        <v/>
      </c>
      <c r="V121" s="139">
        <f>V93-V23</f>
        <v/>
      </c>
      <c r="W121" s="139">
        <f>W93-W23</f>
        <v/>
      </c>
      <c r="X121" s="139">
        <f>X93-X23</f>
        <v/>
      </c>
      <c r="Y121" s="140">
        <f>Y93-Y23</f>
        <v/>
      </c>
    </row>
    <row r="122" customFormat="1" s="43">
      <c r="C122" s="71" t="inlineStr">
        <is>
          <t>0914 集計</t>
        </is>
      </c>
      <c r="D122" s="40" t="inlineStr">
        <is>
          <t>白根主任</t>
        </is>
      </c>
      <c r="E122" s="41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50">
        <f>SUM(E122:J122)</f>
        <v/>
      </c>
      <c r="L122" s="57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52">
        <f>SUM(L122:Q122)</f>
        <v/>
      </c>
      <c r="S122" s="138">
        <f>S94-S24</f>
        <v/>
      </c>
      <c r="T122" s="139">
        <f>T94-T24</f>
        <v/>
      </c>
      <c r="U122" s="139">
        <f>U94-U24</f>
        <v/>
      </c>
      <c r="V122" s="139">
        <f>V94-V24</f>
        <v/>
      </c>
      <c r="W122" s="139">
        <f>W94-W24</f>
        <v/>
      </c>
      <c r="X122" s="139">
        <f>X94-X24</f>
        <v/>
      </c>
      <c r="Y122" s="140">
        <f>Y94-Y24</f>
        <v/>
      </c>
    </row>
    <row r="123" customFormat="1" s="43">
      <c r="C123" s="71" t="inlineStr">
        <is>
          <t>0918 集計</t>
        </is>
      </c>
      <c r="D123" s="69" t="inlineStr">
        <is>
          <t>海外</t>
        </is>
      </c>
      <c r="E123" s="41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50">
        <f>SUM(E123:J123)</f>
        <v/>
      </c>
      <c r="L123" s="57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52">
        <f>SUM(L123:Q123)</f>
        <v/>
      </c>
      <c r="S123" s="138">
        <f>S95-S25</f>
        <v/>
      </c>
      <c r="T123" s="139">
        <f>T95-T25</f>
        <v/>
      </c>
      <c r="U123" s="139">
        <f>U95-U25</f>
        <v/>
      </c>
      <c r="V123" s="139">
        <f>V95-V25</f>
        <v/>
      </c>
      <c r="W123" s="139">
        <f>W95-W25</f>
        <v/>
      </c>
      <c r="X123" s="139">
        <f>X95-X25</f>
        <v/>
      </c>
      <c r="Y123" s="140">
        <f>Y95-Y25</f>
        <v/>
      </c>
    </row>
    <row r="124" customFormat="1" s="43">
      <c r="C124" s="71" t="inlineStr">
        <is>
          <t>0919 集計</t>
        </is>
      </c>
      <c r="D124" s="69" t="inlineStr">
        <is>
          <t>その他</t>
        </is>
      </c>
      <c r="E124" s="41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50">
        <f>SUM(E124:J124)</f>
        <v/>
      </c>
      <c r="L124" s="57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52">
        <f>SUM(L124:Q124)</f>
        <v/>
      </c>
      <c r="S124" s="138">
        <f>S96-S26</f>
        <v/>
      </c>
      <c r="T124" s="139">
        <f>T96-T26</f>
        <v/>
      </c>
      <c r="U124" s="139">
        <f>U96-U26</f>
        <v/>
      </c>
      <c r="V124" s="139">
        <f>V96-V26</f>
        <v/>
      </c>
      <c r="W124" s="139">
        <f>W96-W26</f>
        <v/>
      </c>
      <c r="X124" s="139">
        <f>X96-X26</f>
        <v/>
      </c>
      <c r="Y124" s="140">
        <f>Y96-Y26</f>
        <v/>
      </c>
    </row>
    <row r="125" customFormat="1" s="43">
      <c r="C125" s="71" t="inlineStr">
        <is>
          <t>0930 集計</t>
        </is>
      </c>
      <c r="D125" s="69" t="inlineStr">
        <is>
          <t>自治体</t>
        </is>
      </c>
      <c r="E125" s="41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50">
        <f>SUM(E125:J125)</f>
        <v/>
      </c>
      <c r="L125" s="57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52">
        <f>SUM(L125:Q125)</f>
        <v/>
      </c>
      <c r="S125" s="138">
        <f>S97-S27</f>
        <v/>
      </c>
      <c r="T125" s="139">
        <f>T97-T27</f>
        <v/>
      </c>
      <c r="U125" s="139">
        <f>U97-U27</f>
        <v/>
      </c>
      <c r="V125" s="139">
        <f>V97-V27</f>
        <v/>
      </c>
      <c r="W125" s="139">
        <f>W97-W27</f>
        <v/>
      </c>
      <c r="X125" s="139">
        <f>X97-X27</f>
        <v/>
      </c>
      <c r="Y125" s="140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6">
        <f>T98-T28</f>
        <v/>
      </c>
      <c r="U126" s="127">
        <f>SUM(U117:U124)</f>
        <v/>
      </c>
      <c r="V126" s="127">
        <f>SUM(V117:V124)</f>
        <v/>
      </c>
      <c r="W126" s="127">
        <f>SUM(W117:W124)</f>
        <v/>
      </c>
      <c r="X126" s="127">
        <f>X98-X28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S31:Y31"/>
    <mergeCell ref="E3:K3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E59:K59"/>
    <mergeCell ref="S87:Y87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7"/>
  <sheetViews>
    <sheetView workbookViewId="0">
      <selection activeCell="L16" sqref="L16"/>
    </sheetView>
  </sheetViews>
  <sheetFormatPr baseColWidth="8" defaultRowHeight="18.75"/>
  <cols>
    <col width="1.625" customWidth="1" style="113" min="4" max="5"/>
    <col width="54.375" customWidth="1" style="113" min="21" max="21"/>
  </cols>
  <sheetData>
    <row r="1" ht="21.75" customHeight="1" s="113">
      <c r="D1" s="112" t="inlineStr">
        <is>
          <t>境港営業所第51期下期予算について</t>
        </is>
      </c>
    </row>
    <row r="3">
      <c r="D3" s="20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2" t="n"/>
    </row>
    <row r="4">
      <c r="D4" s="23" t="n"/>
      <c r="U4" s="38" t="n"/>
    </row>
    <row r="5">
      <c r="D5" s="24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7" t="n"/>
    </row>
    <row r="7">
      <c r="D7" s="104" t="n"/>
      <c r="E7" s="117" t="n"/>
      <c r="F7" s="118" t="n"/>
      <c r="G7" s="109" t="inlineStr">
        <is>
          <t>2024年4～9月</t>
        </is>
      </c>
      <c r="H7" s="110" t="n"/>
      <c r="I7" s="111" t="n"/>
      <c r="J7" s="109" t="inlineStr">
        <is>
          <t>2025年4～9月</t>
        </is>
      </c>
      <c r="K7" s="110" t="n"/>
      <c r="L7" s="111" t="n"/>
      <c r="M7" s="109" t="inlineStr">
        <is>
          <t>過年度平均</t>
        </is>
      </c>
      <c r="N7" s="110" t="n"/>
      <c r="O7" s="111" t="n"/>
      <c r="P7" s="115" t="inlineStr">
        <is>
          <t>計画</t>
        </is>
      </c>
      <c r="Q7" s="110" t="n"/>
      <c r="R7" s="110" t="n"/>
      <c r="S7" s="110" t="n"/>
      <c r="T7" s="116" t="n"/>
      <c r="U7" s="115" t="inlineStr">
        <is>
          <t>根拠</t>
        </is>
      </c>
    </row>
    <row r="8">
      <c r="D8" s="119" t="n"/>
      <c r="E8" s="120" t="n"/>
      <c r="F8" s="121" t="n"/>
      <c r="G8" s="32" t="inlineStr">
        <is>
          <t>売上</t>
        </is>
      </c>
      <c r="H8" s="33" t="inlineStr">
        <is>
          <t>粗利益</t>
        </is>
      </c>
      <c r="I8" s="34" t="inlineStr">
        <is>
          <t>粗利益率</t>
        </is>
      </c>
      <c r="J8" s="32" t="inlineStr">
        <is>
          <t>売上</t>
        </is>
      </c>
      <c r="K8" s="33" t="inlineStr">
        <is>
          <t>粗利益</t>
        </is>
      </c>
      <c r="L8" s="34" t="inlineStr">
        <is>
          <t>粗利益率</t>
        </is>
      </c>
      <c r="M8" s="32" t="inlineStr">
        <is>
          <t>売上</t>
        </is>
      </c>
      <c r="N8" s="33" t="inlineStr">
        <is>
          <t>粗利益</t>
        </is>
      </c>
      <c r="O8" s="34" t="inlineStr">
        <is>
          <t>粗利益率</t>
        </is>
      </c>
      <c r="P8" s="32" t="inlineStr">
        <is>
          <t>売上</t>
        </is>
      </c>
      <c r="Q8" s="33" t="inlineStr">
        <is>
          <t>粗利益</t>
        </is>
      </c>
      <c r="R8" s="35" t="inlineStr">
        <is>
          <t>粗利益率</t>
        </is>
      </c>
      <c r="S8" s="35" t="inlineStr">
        <is>
          <t>売上年率</t>
        </is>
      </c>
      <c r="T8" s="34" t="inlineStr">
        <is>
          <t>粗利益年率</t>
        </is>
      </c>
      <c r="U8" s="122" t="n"/>
    </row>
    <row r="9">
      <c r="D9" s="20" t="inlineStr">
        <is>
          <t>境港営業所</t>
        </is>
      </c>
      <c r="E9" s="21" t="n"/>
      <c r="F9" s="22" t="n"/>
      <c r="G9" s="27" t="n">
        <v>303863</v>
      </c>
      <c r="H9" s="28" t="n">
        <v>58108</v>
      </c>
      <c r="I9" s="144">
        <f>H9/G9</f>
        <v/>
      </c>
      <c r="J9" s="27" t="n">
        <v>392659</v>
      </c>
      <c r="K9" s="28" t="n">
        <v>77096</v>
      </c>
      <c r="L9" s="144">
        <f>K9/J9</f>
        <v/>
      </c>
      <c r="M9" s="27">
        <f>(G9+J9)/2</f>
        <v/>
      </c>
      <c r="N9" s="28">
        <f>(H9+K9)/2</f>
        <v/>
      </c>
      <c r="O9" s="144">
        <f>N9/M9</f>
        <v/>
      </c>
      <c r="P9" s="27">
        <f>P10+P13+P14</f>
        <v/>
      </c>
      <c r="Q9" s="28">
        <f>Q10+Q13+Q14</f>
        <v/>
      </c>
      <c r="R9" s="145">
        <f>Q9/P9</f>
        <v/>
      </c>
      <c r="S9" s="145">
        <f>P9/J9-1</f>
        <v/>
      </c>
      <c r="T9" s="144">
        <f>Q9/K9-1</f>
        <v/>
      </c>
      <c r="U9" s="31" t="n"/>
    </row>
    <row r="10">
      <c r="D10" s="23" t="n"/>
      <c r="E10" s="16" t="inlineStr">
        <is>
          <t>営業</t>
        </is>
      </c>
      <c r="F10" s="17" t="n"/>
      <c r="G10" s="1">
        <f>G9-G14-G13</f>
        <v/>
      </c>
      <c r="H10" s="2">
        <f>H9-H14-H13</f>
        <v/>
      </c>
      <c r="I10" s="146">
        <f>H10/G10</f>
        <v/>
      </c>
      <c r="J10" s="1">
        <f>J9-J14-J13</f>
        <v/>
      </c>
      <c r="K10" s="2">
        <f>K9-K14-K13</f>
        <v/>
      </c>
      <c r="L10" s="146">
        <f>K10/J10</f>
        <v/>
      </c>
      <c r="M10" s="1">
        <f>(G10+J10)/2</f>
        <v/>
      </c>
      <c r="N10" s="2">
        <f>(H10+K10)/2</f>
        <v/>
      </c>
      <c r="O10" s="146">
        <f>N10/M10</f>
        <v/>
      </c>
      <c r="P10" s="1">
        <f>P11+P12</f>
        <v/>
      </c>
      <c r="Q10" s="2">
        <f>Q11+Q12</f>
        <v/>
      </c>
      <c r="R10" s="147">
        <f>Q10/P10</f>
        <v/>
      </c>
      <c r="S10" s="147">
        <f>P10/J10-1</f>
        <v/>
      </c>
      <c r="T10" s="146">
        <f>Q10/K10-1</f>
        <v/>
      </c>
      <c r="U10" s="11" t="n"/>
    </row>
    <row r="11">
      <c r="D11" s="23" t="n"/>
      <c r="E11" s="18" t="n"/>
      <c r="F11" s="15" t="inlineStr">
        <is>
          <t>包装資材</t>
        </is>
      </c>
      <c r="G11" s="1">
        <f>G10-G12</f>
        <v/>
      </c>
      <c r="H11" s="2">
        <f>H10-H12</f>
        <v/>
      </c>
      <c r="I11" s="146">
        <f>H11/G11</f>
        <v/>
      </c>
      <c r="J11" s="1">
        <f>J10-J12</f>
        <v/>
      </c>
      <c r="K11" s="2">
        <f>K10-K12</f>
        <v/>
      </c>
      <c r="L11" s="146">
        <f>K11/J11</f>
        <v/>
      </c>
      <c r="M11" s="1">
        <f>(G11+J11)/2</f>
        <v/>
      </c>
      <c r="N11" s="2">
        <f>(H11+K11)/2</f>
        <v/>
      </c>
      <c r="O11" s="146">
        <f>N11/M11</f>
        <v/>
      </c>
      <c r="P11" s="1" t="n">
        <v>279390</v>
      </c>
      <c r="Q11" s="2" t="n">
        <v>54430</v>
      </c>
      <c r="R11" s="147">
        <f>Q11/P11</f>
        <v/>
      </c>
      <c r="S11" s="147">
        <f>P11/J11-1</f>
        <v/>
      </c>
      <c r="T11" s="146">
        <f>Q11/K11-1</f>
        <v/>
      </c>
      <c r="U11" s="54" t="n"/>
    </row>
    <row r="12">
      <c r="D12" s="23" t="n"/>
      <c r="E12" s="18" t="n"/>
      <c r="F12" s="19" t="inlineStr">
        <is>
          <t>機械</t>
        </is>
      </c>
      <c r="G12" s="83" t="n">
        <v>51572</v>
      </c>
      <c r="H12" s="86" t="n">
        <v>11000</v>
      </c>
      <c r="I12" s="148">
        <f>H12/G12</f>
        <v/>
      </c>
      <c r="J12" s="83" t="n">
        <v>138794</v>
      </c>
      <c r="K12" s="86" t="n">
        <v>28492</v>
      </c>
      <c r="L12" s="148">
        <f>K12/J12</f>
        <v/>
      </c>
      <c r="M12" s="83">
        <f>(G12+J12)/2</f>
        <v/>
      </c>
      <c r="N12" s="86">
        <f>(H12+K12)/2</f>
        <v/>
      </c>
      <c r="O12" s="148">
        <f>N12/M12</f>
        <v/>
      </c>
      <c r="P12" s="83">
        <f>H26</f>
        <v/>
      </c>
      <c r="Q12" s="86" t="n">
        <v>19730</v>
      </c>
      <c r="R12" s="149">
        <f>Q12/P12</f>
        <v/>
      </c>
      <c r="S12" s="149">
        <f>P12/J12-1</f>
        <v/>
      </c>
      <c r="T12" s="148">
        <f>Q12/K12-1</f>
        <v/>
      </c>
      <c r="U12" s="11" t="n"/>
    </row>
    <row r="13">
      <c r="D13" s="23" t="n"/>
      <c r="E13" s="99" t="inlineStr">
        <is>
          <t>自治体</t>
        </is>
      </c>
      <c r="F13" s="100" t="n"/>
      <c r="G13" s="1" t="n">
        <v>57</v>
      </c>
      <c r="H13" s="2" t="n">
        <v>2</v>
      </c>
      <c r="I13" s="148">
        <f>H13/G13</f>
        <v/>
      </c>
      <c r="J13" s="1" t="n">
        <v>87</v>
      </c>
      <c r="K13" s="2" t="n">
        <v>5</v>
      </c>
      <c r="L13" s="148">
        <f>K13/J13</f>
        <v/>
      </c>
      <c r="M13" s="83">
        <f>(G13+J13)/2</f>
        <v/>
      </c>
      <c r="N13" s="86">
        <f>(H13+K13)/2</f>
        <v/>
      </c>
      <c r="O13" s="148">
        <f>N13/M13</f>
        <v/>
      </c>
      <c r="P13" s="1" t="n">
        <v>0</v>
      </c>
      <c r="Q13" s="2" t="n">
        <v>0</v>
      </c>
      <c r="R13" s="149">
        <f>Q13/P13</f>
        <v/>
      </c>
      <c r="S13" s="149">
        <f>P13/J13-1</f>
        <v/>
      </c>
      <c r="T13" s="148">
        <f>Q13/K13-1</f>
        <v/>
      </c>
      <c r="U13" s="98" t="n"/>
    </row>
    <row r="14">
      <c r="D14" s="24" t="n"/>
      <c r="E14" s="25" t="inlineStr">
        <is>
          <t>海外</t>
        </is>
      </c>
      <c r="F14" s="26" t="n"/>
      <c r="G14" s="3" t="n">
        <v>8366</v>
      </c>
      <c r="H14" s="4" t="n">
        <v>1637</v>
      </c>
      <c r="I14" s="150">
        <f>H14/G14</f>
        <v/>
      </c>
      <c r="J14" s="3" t="n">
        <v>6953</v>
      </c>
      <c r="K14" s="4" t="n">
        <v>1284</v>
      </c>
      <c r="L14" s="150">
        <f>K14/J14</f>
        <v/>
      </c>
      <c r="M14" s="3">
        <f>(G14+J14)/2</f>
        <v/>
      </c>
      <c r="N14" s="4">
        <f>(H14+K14)/2</f>
        <v/>
      </c>
      <c r="O14" s="150">
        <f>N14/M14</f>
        <v/>
      </c>
      <c r="P14" s="3" t="n">
        <v>8610</v>
      </c>
      <c r="Q14" s="4" t="n">
        <v>1640</v>
      </c>
      <c r="R14" s="151">
        <f>Q14/P14</f>
        <v/>
      </c>
      <c r="S14" s="151">
        <f>P14/J14-1</f>
        <v/>
      </c>
      <c r="T14" s="150">
        <f>Q14/K14-1</f>
        <v/>
      </c>
      <c r="U14" s="12" t="n"/>
    </row>
    <row r="15">
      <c r="G15" s="6" t="n"/>
      <c r="H15" s="6" t="n"/>
      <c r="I15" s="6" t="n"/>
      <c r="J15" s="6" t="n"/>
      <c r="K15" s="6" t="n"/>
      <c r="L15" s="6" t="n"/>
      <c r="M15" s="6" t="n"/>
    </row>
    <row r="17">
      <c r="F17" s="114" t="inlineStr">
        <is>
          <t>包材：期初計画 年率11.5％　粗利率：段ボールも含め値上げで苦戦するので約1％程度改善で計画。</t>
        </is>
      </c>
    </row>
    <row r="18">
      <c r="F18" s="114" t="inlineStr">
        <is>
          <t xml:space="preserve">　　　上期2月末実績では前年比+3,800（年率1.6％）で特定の顧客の増加があり売上が増えているので難しいが＋5％で計画。</t>
        </is>
      </c>
    </row>
    <row r="19">
      <c r="F19" s="114" t="inlineStr">
        <is>
          <t>機械：受注案件金額と個人別過年度平均にて個別に計画策定</t>
        </is>
      </c>
    </row>
    <row r="20">
      <c r="G20" s="114" t="inlineStr">
        <is>
          <t>秋田さん</t>
        </is>
      </c>
      <c r="H20" s="101" t="n">
        <v>1200</v>
      </c>
      <c r="I20" s="114" t="inlineStr">
        <is>
          <t>過年度平均は723千円/6か月　200千円/月で1,200千円/6ヶ月で計画。浅井SAと一緒に大新、環境プラントの機械案件に取り組む</t>
        </is>
      </c>
    </row>
    <row r="21">
      <c r="G21" s="114" t="inlineStr">
        <is>
          <t>足立次長</t>
        </is>
      </c>
      <c r="H21" s="101" t="n">
        <v>30000</v>
      </c>
      <c r="I21" s="114" t="inlineStr">
        <is>
          <t>昨年実績は特殊（弓ヶ浜、岡野農場）だったので前々年実績（28,600千円）を参照し約5％UPの30,000千円で計画</t>
        </is>
      </c>
    </row>
    <row r="22">
      <c r="G22" s="114" t="inlineStr">
        <is>
          <t>藤波課長</t>
        </is>
      </c>
      <c r="H22" s="6" t="n">
        <v>22200</v>
      </c>
      <c r="I22" s="114" t="inlineStr">
        <is>
          <t>過年度平均4,200千円にモリイ食品の包装機18,000千円（6月）を足して22,200千円で計画</t>
        </is>
      </c>
    </row>
    <row r="23">
      <c r="G23" s="114" t="inlineStr">
        <is>
          <t>足立課長</t>
        </is>
      </c>
      <c r="H23" s="6" t="n">
        <v>6000</v>
      </c>
      <c r="I23" s="114" t="inlineStr">
        <is>
          <t>過年度平均が5,000千円で、大型機械案件がないので過年度平均並みで計画。澤井珈琲の資材と食品輸出にウェイトを増やす。</t>
        </is>
      </c>
    </row>
    <row r="24">
      <c r="G24" s="114" t="inlineStr">
        <is>
          <t>川邊主任</t>
        </is>
      </c>
      <c r="H24" s="101" t="n">
        <v>4200</v>
      </c>
      <c r="I24" s="114" t="inlineStr">
        <is>
          <t>期内にて大きな機械案件がないので過年度平均に約5％UPで計画。粗利は有償メンテを推進して2％前後改善する。</t>
        </is>
      </c>
    </row>
    <row r="25">
      <c r="G25" s="114" t="inlineStr">
        <is>
          <t>白根主任</t>
        </is>
      </c>
      <c r="H25" s="101" t="n">
        <v>28000</v>
      </c>
      <c r="I25" s="114" t="inlineStr">
        <is>
          <t>過年度＋白雪食品の包装機が19,000千円（4月納品）で計画</t>
        </is>
      </c>
    </row>
    <row r="26">
      <c r="G26" s="114" t="inlineStr">
        <is>
          <t>合計</t>
        </is>
      </c>
      <c r="H26" s="101">
        <f>SUM(H20:H25)</f>
        <v/>
      </c>
      <c r="I26" s="114" t="inlineStr">
        <is>
          <t>前々期（2024年4月～9月）と比較すると約40,000千円の増加にて計画。粗利は機械メンテ有償化推進にて2％UPを計画</t>
        </is>
      </c>
    </row>
    <row r="27">
      <c r="F27" s="114" t="inlineStr">
        <is>
          <t>海外：過年度平均に食品輸出を約15％盛り込み計画。機械については案件がないので400千円/月で計算。</t>
        </is>
      </c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2026-09-05T01:26:03Z</dcterms:modified>
  <cp:lastModifiedBy>ma-takahashi</cp:lastModifiedBy>
  <cp:lastPrinted>2026-03-23T00:44:08Z</cp:lastPrinted>
</cp:coreProperties>
</file>