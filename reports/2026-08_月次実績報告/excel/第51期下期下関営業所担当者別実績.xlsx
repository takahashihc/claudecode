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'包装資材'!$C$1:$Y$108</definedName>
    <definedName name="_xlnm.Print_Area" localSheetId="1">'機械'!$C$1:$Y$96</definedName>
    <definedName name="_xlnm.Print_Area" localSheetId="2">'全体'!$C$1:$Y$108</definedName>
    <definedName name="_xlnm.Print_Area" localSheetId="3">'総括'!$D$1:$U$15</definedName>
  </definedNames>
  <calcPr calcId="191029" fullCalcOnLoad="1"/>
</workbook>
</file>

<file path=xl/styles.xml><?xml version="1.0" encoding="utf-8"?>
<styleSheet xmlns="http://schemas.openxmlformats.org/spreadsheetml/2006/main">
  <numFmts count="1">
    <numFmt numFmtId="164" formatCode="0.0%"/>
  </numFmts>
  <fonts count="7">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1"/>
      <sz val="9"/>
      <scheme val="minor"/>
    </font>
    <font>
      <name val="游ゴシック"/>
      <charset val="128"/>
      <family val="2"/>
      <color theme="1"/>
      <sz val="10"/>
      <scheme val="minor"/>
    </font>
  </fonts>
  <fills count="5">
    <fill>
      <patternFill/>
    </fill>
    <fill>
      <patternFill patternType="gray125"/>
    </fill>
    <fill>
      <patternFill patternType="solid">
        <fgColor rgb="FFFFFF00"/>
        <bgColor indexed="64"/>
      </patternFill>
    </fill>
    <fill>
      <patternFill patternType="gray0625"/>
    </fill>
    <fill>
      <patternFill patternType="gray0625">
        <bgColor rgb="FFFFFF00"/>
      </patternFill>
    </fill>
  </fills>
  <borders count="49">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20">
    <xf numFmtId="0" fontId="0" fillId="0" borderId="0" applyAlignment="1" pivotButton="0" quotePrefix="0" xfId="0">
      <alignment vertical="center"/>
    </xf>
    <xf numFmtId="0" fontId="0" fillId="0" borderId="1"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3" borderId="8" applyAlignment="1" pivotButton="0" quotePrefix="0" xfId="0">
      <alignmen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55" fontId="3" fillId="0" borderId="17" applyAlignment="1" pivotButton="0" quotePrefix="0" xfId="0">
      <alignment horizontal="center" vertical="center"/>
    </xf>
    <xf numFmtId="38" fontId="0" fillId="3" borderId="7" applyAlignment="1" pivotButton="0" quotePrefix="0" xfId="0">
      <alignment vertical="center"/>
    </xf>
    <xf numFmtId="38" fontId="0" fillId="4" borderId="9" applyAlignment="1" pivotButton="0" quotePrefix="0" xfId="1">
      <alignment vertical="center"/>
    </xf>
    <xf numFmtId="55" fontId="3" fillId="0" borderId="2" applyAlignment="1" pivotButton="0" quotePrefix="0" xfId="0">
      <alignment horizontal="center" vertical="center"/>
    </xf>
    <xf numFmtId="0" fontId="0" fillId="2" borderId="3" applyAlignment="1" pivotButton="0" quotePrefix="0" xfId="0">
      <alignment horizontal="center" vertical="center"/>
    </xf>
    <xf numFmtId="0" fontId="0" fillId="2" borderId="2" applyAlignment="1" pivotButton="0" quotePrefix="0" xfId="0">
      <alignment horizontal="center" vertical="center"/>
    </xf>
    <xf numFmtId="55" fontId="3" fillId="0" borderId="1" applyAlignment="1" pivotButton="0" quotePrefix="0" xfId="0">
      <alignment horizontal="center" vertical="center"/>
    </xf>
    <xf numFmtId="0" fontId="0" fillId="2" borderId="41" applyAlignment="1" pivotButton="0" quotePrefix="0" xfId="0">
      <alignment horizontal="center" vertical="center"/>
    </xf>
    <xf numFmtId="38" fontId="0" fillId="2" borderId="6"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27" applyAlignment="1" pivotButton="0" quotePrefix="0" xfId="1">
      <alignment vertical="center"/>
    </xf>
    <xf numFmtId="38" fontId="0" fillId="4" borderId="28" applyAlignment="1" pivotButton="0" quotePrefix="0" xfId="1">
      <alignment vertical="center"/>
    </xf>
    <xf numFmtId="0" fontId="5" fillId="0" borderId="22" applyAlignment="1" pivotButton="0" quotePrefix="0" xfId="0">
      <alignment vertical="center"/>
    </xf>
    <xf numFmtId="38" fontId="0" fillId="0" borderId="18" applyAlignment="1" pivotButton="0" quotePrefix="0" xfId="1">
      <alignment vertical="center"/>
    </xf>
    <xf numFmtId="10" fontId="0" fillId="0" borderId="5" applyAlignment="1" pivotButton="0" quotePrefix="0" xfId="2">
      <alignment vertical="center"/>
    </xf>
    <xf numFmtId="164" fontId="0" fillId="0" borderId="0" applyAlignment="1" pivotButton="0" quotePrefix="0" xfId="2">
      <alignment vertical="center"/>
    </xf>
    <xf numFmtId="164" fontId="0" fillId="2" borderId="6" applyAlignment="1" pivotButton="0" quotePrefix="0" xfId="2">
      <alignment horizontal="right" vertical="center"/>
    </xf>
    <xf numFmtId="164" fontId="0" fillId="4" borderId="9" applyAlignment="1" pivotButton="0" quotePrefix="0" xfId="2">
      <alignment horizontal="right" vertical="center"/>
    </xf>
    <xf numFmtId="38" fontId="0" fillId="3" borderId="19" applyAlignment="1" pivotButton="0" quotePrefix="0" xfId="0">
      <alignment vertical="center"/>
    </xf>
    <xf numFmtId="0" fontId="0" fillId="0" borderId="5" applyAlignment="1" pivotButton="0" quotePrefix="0" xfId="0">
      <alignment vertical="center"/>
    </xf>
    <xf numFmtId="38" fontId="0" fillId="0" borderId="42" applyAlignment="1" pivotButton="0" quotePrefix="0" xfId="1">
      <alignment vertical="center"/>
    </xf>
    <xf numFmtId="38" fontId="0" fillId="0" borderId="5" applyAlignment="1" pivotButton="0" quotePrefix="0" xfId="2">
      <alignment vertical="center"/>
    </xf>
    <xf numFmtId="38" fontId="0" fillId="0" borderId="4" applyAlignment="1" pivotButton="0" quotePrefix="1" xfId="1">
      <alignment vertical="center"/>
    </xf>
    <xf numFmtId="0" fontId="0" fillId="0" borderId="4" applyAlignment="1" pivotButton="0" quotePrefix="0" xfId="0">
      <alignment vertical="center"/>
    </xf>
    <xf numFmtId="38" fontId="0" fillId="0" borderId="43" applyAlignment="1" pivotButton="0" quotePrefix="0" xfId="1">
      <alignment vertical="center"/>
    </xf>
    <xf numFmtId="38" fontId="0" fillId="0" borderId="44" applyAlignment="1" pivotButton="0" quotePrefix="0" xfId="1">
      <alignment vertical="center"/>
    </xf>
    <xf numFmtId="164" fontId="0" fillId="0" borderId="10" applyAlignment="1" pivotButton="0" quotePrefix="0" xfId="2">
      <alignment vertical="center"/>
    </xf>
    <xf numFmtId="0" fontId="0" fillId="0" borderId="45" applyAlignment="1" pivotButton="0" quotePrefix="0" xfId="0">
      <alignment vertical="center"/>
    </xf>
    <xf numFmtId="40" fontId="0" fillId="0" borderId="0" applyAlignment="1" pivotButton="0" quotePrefix="0" xfId="1">
      <alignment vertical="center"/>
    </xf>
    <xf numFmtId="0" fontId="6" fillId="0" borderId="22" applyAlignment="1" pivotButton="0" quotePrefix="0" xfId="0">
      <alignment vertical="center"/>
    </xf>
    <xf numFmtId="0" fontId="0" fillId="0" borderId="0" pivotButton="0" quotePrefix="0" xfId="0"/>
    <xf numFmtId="38" fontId="1" fillId="0" borderId="5" applyAlignment="1" pivotButton="0" quotePrefix="0" xfId="1">
      <alignment vertical="center"/>
    </xf>
    <xf numFmtId="38" fontId="1" fillId="0" borderId="18" applyAlignment="1" pivotButton="0" quotePrefix="0" xfId="1">
      <alignment vertical="center"/>
    </xf>
    <xf numFmtId="38" fontId="1" fillId="0" borderId="4" applyAlignment="1" pivotButton="0" quotePrefix="0" xfId="1">
      <alignment vertical="center"/>
    </xf>
    <xf numFmtId="38" fontId="0" fillId="0" borderId="46" applyAlignment="1" pivotButton="0" quotePrefix="0" xfId="1">
      <alignment horizontal="center" vertical="center"/>
    </xf>
    <xf numFmtId="0" fontId="0" fillId="0" borderId="13" pivotButton="0" quotePrefix="0" xfId="0"/>
    <xf numFmtId="0" fontId="0" fillId="0" borderId="14" pivotButton="0" quotePrefix="0" xfId="0"/>
    <xf numFmtId="0" fontId="0" fillId="0" borderId="46"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0" applyAlignment="1" pivotButton="0" quotePrefix="0" xfId="2">
      <alignmen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10"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108"/>
  <sheetViews>
    <sheetView workbookViewId="0">
      <pane xSplit="4" ySplit="1" topLeftCell="E32" activePane="bottomRight" state="frozen"/>
      <selection activeCell="E99" sqref="E99:Y100"/>
      <selection pane="topRight" activeCell="E99" sqref="E99:Y100"/>
      <selection pane="bottomLeft" activeCell="E99" sqref="E99:Y100"/>
      <selection pane="bottomRight" activeCell="M78" sqref="M78"/>
    </sheetView>
  </sheetViews>
  <sheetFormatPr baseColWidth="8" defaultRowHeight="18.75"/>
  <cols>
    <col width="9" customWidth="1" style="93" min="1" max="4"/>
    <col width="10.125" customWidth="1" style="93" min="5" max="25"/>
  </cols>
  <sheetData>
    <row r="1">
      <c r="C1" s="17" t="inlineStr">
        <is>
          <t>下関営業所包装資材</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2">
        <f>全体!E5-機械!E5</f>
        <v/>
      </c>
      <c r="F5" s="3">
        <f>全体!F5-機械!F5</f>
        <v/>
      </c>
      <c r="G5" s="3">
        <f>全体!G5-機械!G5</f>
        <v/>
      </c>
      <c r="H5" s="3">
        <f>全体!H5-機械!H5</f>
        <v/>
      </c>
      <c r="I5" s="3">
        <f>全体!I5-機械!I5</f>
        <v/>
      </c>
      <c r="J5" s="3">
        <f>全体!J5-機械!J5</f>
        <v/>
      </c>
      <c r="K5" s="56">
        <f>SUM(E5:J5)</f>
        <v/>
      </c>
      <c r="L5" s="2">
        <f>全体!L5-機械!L5</f>
        <v/>
      </c>
      <c r="M5" s="3">
        <f>全体!M5-機械!M5</f>
        <v/>
      </c>
      <c r="N5" s="3">
        <f>全体!N5-機械!N5</f>
        <v/>
      </c>
      <c r="O5" s="3">
        <f>全体!O5-機械!O5</f>
        <v/>
      </c>
      <c r="P5" s="3">
        <f>全体!P5-機械!P5</f>
        <v/>
      </c>
      <c r="Q5" s="3">
        <f>全体!Q5-機械!Q5</f>
        <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2">
        <f>全体!E6-機械!E6</f>
        <v/>
      </c>
      <c r="F6" s="3">
        <f>全体!F6-機械!F6</f>
        <v/>
      </c>
      <c r="G6" s="3">
        <f>全体!G6-機械!G6</f>
        <v/>
      </c>
      <c r="H6" s="3">
        <f>全体!H6-機械!H6</f>
        <v/>
      </c>
      <c r="I6" s="3">
        <f>全体!I6-機械!I6</f>
        <v/>
      </c>
      <c r="J6" s="3">
        <f>全体!J6-機械!J6</f>
        <v/>
      </c>
      <c r="K6" s="56">
        <f>SUM(E6:J6)</f>
        <v/>
      </c>
      <c r="L6" s="2">
        <f>全体!L6-機械!L6</f>
        <v/>
      </c>
      <c r="M6" s="3">
        <f>全体!M6-機械!M6</f>
        <v/>
      </c>
      <c r="N6" s="3">
        <f>全体!N6-機械!N6</f>
        <v/>
      </c>
      <c r="O6" s="3">
        <f>全体!O6-機械!O6</f>
        <v/>
      </c>
      <c r="P6" s="3">
        <f>全体!P6-機械!P6</f>
        <v/>
      </c>
      <c r="Q6" s="3">
        <f>全体!Q6-機械!Q6</f>
        <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2">
        <f>全体!E7-機械!E7</f>
        <v/>
      </c>
      <c r="F7" s="3">
        <f>全体!F7-機械!F7</f>
        <v/>
      </c>
      <c r="G7" s="3">
        <f>全体!G7-機械!G7</f>
        <v/>
      </c>
      <c r="H7" s="3">
        <f>全体!H7-機械!H7</f>
        <v/>
      </c>
      <c r="I7" s="3">
        <f>全体!I7-機械!I7</f>
        <v/>
      </c>
      <c r="J7" s="3">
        <f>全体!J7-機械!J7</f>
        <v/>
      </c>
      <c r="K7" s="56">
        <f>SUM(E7:J7)</f>
        <v/>
      </c>
      <c r="L7" s="2">
        <f>全体!L7-機械!L7</f>
        <v/>
      </c>
      <c r="M7" s="3">
        <f>全体!M7-機械!M7</f>
        <v/>
      </c>
      <c r="N7" s="3">
        <f>全体!N7-機械!N7</f>
        <v/>
      </c>
      <c r="O7" s="3">
        <f>全体!O7-機械!O7</f>
        <v/>
      </c>
      <c r="P7" s="3">
        <f>全体!P7-機械!P7</f>
        <v/>
      </c>
      <c r="Q7" s="3">
        <f>全体!Q7-機械!Q7</f>
        <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2">
        <f>全体!E8-機械!E8</f>
        <v/>
      </c>
      <c r="F8" s="3">
        <f>全体!F8-機械!F8</f>
        <v/>
      </c>
      <c r="G8" s="3">
        <f>全体!G8-機械!G8</f>
        <v/>
      </c>
      <c r="H8" s="3">
        <f>全体!H8-機械!H8</f>
        <v/>
      </c>
      <c r="I8" s="3">
        <f>全体!I8-機械!I8</f>
        <v/>
      </c>
      <c r="J8" s="3">
        <f>全体!J8-機械!J8</f>
        <v/>
      </c>
      <c r="K8" s="56">
        <f>SUM(E8:J8)</f>
        <v/>
      </c>
      <c r="L8" s="2">
        <f>全体!L8-機械!L8</f>
        <v/>
      </c>
      <c r="M8" s="3">
        <f>全体!M8-機械!M8</f>
        <v/>
      </c>
      <c r="N8" s="3">
        <f>全体!N8-機械!N8</f>
        <v/>
      </c>
      <c r="O8" s="3">
        <f>全体!O8-機械!O8</f>
        <v/>
      </c>
      <c r="P8" s="3">
        <f>全体!P8-機械!P8</f>
        <v/>
      </c>
      <c r="Q8" s="3">
        <f>全体!Q8-機械!Q8</f>
        <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2">
        <f>全体!E9-機械!E9</f>
        <v/>
      </c>
      <c r="F9" s="3">
        <f>全体!F9-機械!F9</f>
        <v/>
      </c>
      <c r="G9" s="3">
        <f>全体!G9-機械!G9</f>
        <v/>
      </c>
      <c r="H9" s="3">
        <f>全体!H9-機械!H9</f>
        <v/>
      </c>
      <c r="I9" s="3">
        <f>全体!I9-機械!I9</f>
        <v/>
      </c>
      <c r="J9" s="3">
        <f>全体!J9-機械!J9</f>
        <v/>
      </c>
      <c r="K9" s="56">
        <f>SUM(E9:J9)</f>
        <v/>
      </c>
      <c r="L9" s="2">
        <f>全体!L9-機械!L9</f>
        <v/>
      </c>
      <c r="M9" s="3">
        <f>全体!M9-機械!M9</f>
        <v/>
      </c>
      <c r="N9" s="3">
        <f>全体!N9-機械!N9</f>
        <v/>
      </c>
      <c r="O9" s="3">
        <f>全体!O9-機械!O9</f>
        <v/>
      </c>
      <c r="P9" s="3">
        <f>全体!P9-機械!P9</f>
        <v/>
      </c>
      <c r="Q9" s="3">
        <f>全体!Q9-機械!Q9</f>
        <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2" t="n"/>
      <c r="F10" s="3" t="n"/>
      <c r="G10" s="3" t="n"/>
      <c r="H10" s="3" t="n"/>
      <c r="I10" s="3" t="n"/>
      <c r="J10" s="3" t="n"/>
      <c r="K10" s="56"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2">
        <f>全体!E11-機械!E11</f>
        <v/>
      </c>
      <c r="F11" s="3">
        <f>全体!F11-機械!F11</f>
        <v/>
      </c>
      <c r="G11" s="3">
        <f>全体!G11-機械!G11</f>
        <v/>
      </c>
      <c r="H11" s="3">
        <f>全体!H11-機械!H11</f>
        <v/>
      </c>
      <c r="I11" s="3">
        <f>全体!I11-機械!I11</f>
        <v/>
      </c>
      <c r="J11" s="3">
        <f>全体!J11-機械!J11</f>
        <v/>
      </c>
      <c r="K11" s="56">
        <f>SUM(E11:J11)</f>
        <v/>
      </c>
      <c r="L11" s="2">
        <f>全体!L11-機械!L11</f>
        <v/>
      </c>
      <c r="M11" s="3">
        <f>全体!M11-機械!M11</f>
        <v/>
      </c>
      <c r="N11" s="3">
        <f>全体!N11-機械!N11</f>
        <v/>
      </c>
      <c r="O11" s="3">
        <f>全体!O11-機械!O11</f>
        <v/>
      </c>
      <c r="P11" s="3">
        <f>全体!P11-機械!P11</f>
        <v/>
      </c>
      <c r="Q11" s="3">
        <f>全体!Q11-機械!Q11</f>
        <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49">
        <f>SUM(E5:E11)</f>
        <v/>
      </c>
      <c r="F12" s="6">
        <f>SUM(F5:F11)</f>
        <v/>
      </c>
      <c r="G12" s="6">
        <f>SUM(G5:G11)</f>
        <v/>
      </c>
      <c r="H12" s="6">
        <f>SUM(H5:H11)</f>
        <v/>
      </c>
      <c r="I12" s="6">
        <f>SUM(I5:I11)</f>
        <v/>
      </c>
      <c r="J12" s="6">
        <f>SUM(J5:J11)</f>
        <v/>
      </c>
      <c r="K12" s="5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3"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2" t="inlineStr">
        <is>
          <t>合計</t>
        </is>
      </c>
      <c r="L16" s="48" t="n">
        <v>45748</v>
      </c>
      <c r="M16" s="51" t="n">
        <v>45778</v>
      </c>
      <c r="N16" s="51" t="n">
        <v>45809</v>
      </c>
      <c r="O16" s="51" t="n">
        <v>45839</v>
      </c>
      <c r="P16" s="51" t="n">
        <v>45870</v>
      </c>
      <c r="Q16" s="51" t="n">
        <v>45901</v>
      </c>
      <c r="R16" s="53" t="inlineStr">
        <is>
          <t>合計</t>
        </is>
      </c>
      <c r="S16" s="51"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2">
        <f>全体!E17-機械!E17</f>
        <v/>
      </c>
      <c r="F17" s="3">
        <f>全体!F17-機械!F17</f>
        <v/>
      </c>
      <c r="G17" s="3">
        <f>全体!G17-機械!G17</f>
        <v/>
      </c>
      <c r="H17" s="3">
        <f>全体!H17-機械!H17</f>
        <v/>
      </c>
      <c r="I17" s="3">
        <f>全体!I17-機械!I17</f>
        <v/>
      </c>
      <c r="J17" s="3">
        <f>全体!J17-機械!J17</f>
        <v/>
      </c>
      <c r="K17" s="56">
        <f>SUM(E17:J17)</f>
        <v/>
      </c>
      <c r="L17" s="2">
        <f>全体!L17-機械!L17</f>
        <v/>
      </c>
      <c r="M17" s="3">
        <f>全体!M17-機械!M17</f>
        <v/>
      </c>
      <c r="N17" s="3">
        <f>全体!N17-機械!N17</f>
        <v/>
      </c>
      <c r="O17" s="3">
        <f>全体!O17-機械!O17</f>
        <v/>
      </c>
      <c r="P17" s="3">
        <f>全体!P17-機械!P17</f>
        <v/>
      </c>
      <c r="Q17" s="3">
        <f>全体!Q17-機械!Q17</f>
        <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2">
        <f>全体!E18-機械!E18</f>
        <v/>
      </c>
      <c r="F18" s="3">
        <f>全体!F18-機械!F18</f>
        <v/>
      </c>
      <c r="G18" s="3">
        <f>全体!G18-機械!G18</f>
        <v/>
      </c>
      <c r="H18" s="3">
        <f>全体!H18-機械!H18</f>
        <v/>
      </c>
      <c r="I18" s="3">
        <f>全体!I18-機械!I18</f>
        <v/>
      </c>
      <c r="J18" s="3">
        <f>全体!J18-機械!J18</f>
        <v/>
      </c>
      <c r="K18" s="56">
        <f>SUM(E18:J18)</f>
        <v/>
      </c>
      <c r="L18" s="2">
        <f>全体!L18-機械!L18</f>
        <v/>
      </c>
      <c r="M18" s="3">
        <f>全体!M18-機械!M18</f>
        <v/>
      </c>
      <c r="N18" s="3">
        <f>全体!N18-機械!N18</f>
        <v/>
      </c>
      <c r="O18" s="3">
        <f>全体!O18-機械!O18</f>
        <v/>
      </c>
      <c r="P18" s="3">
        <f>全体!P18-機械!P18</f>
        <v/>
      </c>
      <c r="Q18" s="3">
        <f>全体!Q18-機械!Q18</f>
        <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2">
        <f>全体!E19-機械!E19</f>
        <v/>
      </c>
      <c r="F19" s="3">
        <f>全体!F19-機械!F19</f>
        <v/>
      </c>
      <c r="G19" s="3">
        <f>全体!G19-機械!G19</f>
        <v/>
      </c>
      <c r="H19" s="3">
        <f>全体!H19-機械!H19</f>
        <v/>
      </c>
      <c r="I19" s="3">
        <f>全体!I19-機械!I19</f>
        <v/>
      </c>
      <c r="J19" s="3">
        <f>全体!J19-機械!J19</f>
        <v/>
      </c>
      <c r="K19" s="56">
        <f>SUM(E19:J19)</f>
        <v/>
      </c>
      <c r="L19" s="2">
        <f>全体!L19-機械!L19</f>
        <v/>
      </c>
      <c r="M19" s="3">
        <f>全体!M19-機械!M19</f>
        <v/>
      </c>
      <c r="N19" s="3">
        <f>全体!N19-機械!N19</f>
        <v/>
      </c>
      <c r="O19" s="3">
        <f>全体!O19-機械!O19</f>
        <v/>
      </c>
      <c r="P19" s="3">
        <f>全体!P19-機械!P19</f>
        <v/>
      </c>
      <c r="Q19" s="3">
        <f>全体!Q19-機械!Q19</f>
        <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2">
        <f>全体!E20-機械!E20</f>
        <v/>
      </c>
      <c r="F20" s="3">
        <f>全体!F20-機械!F20</f>
        <v/>
      </c>
      <c r="G20" s="3">
        <f>全体!G20-機械!G20</f>
        <v/>
      </c>
      <c r="H20" s="3">
        <f>全体!H20-機械!H20</f>
        <v/>
      </c>
      <c r="I20" s="3">
        <f>全体!I20-機械!I20</f>
        <v/>
      </c>
      <c r="J20" s="3">
        <f>全体!J20-機械!J20</f>
        <v/>
      </c>
      <c r="K20" s="56">
        <f>SUM(E20:J20)</f>
        <v/>
      </c>
      <c r="L20" s="2">
        <f>全体!L20-機械!L20</f>
        <v/>
      </c>
      <c r="M20" s="3">
        <f>全体!M20-機械!M20</f>
        <v/>
      </c>
      <c r="N20" s="3">
        <f>全体!N20-機械!N20</f>
        <v/>
      </c>
      <c r="O20" s="3">
        <f>全体!O20-機械!O20</f>
        <v/>
      </c>
      <c r="P20" s="3">
        <f>全体!P20-機械!P20</f>
        <v/>
      </c>
      <c r="Q20" s="3">
        <f>全体!Q20-機械!Q20</f>
        <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2">
        <f>全体!E21-機械!E21</f>
        <v/>
      </c>
      <c r="F21" s="3">
        <f>全体!F21-機械!F21</f>
        <v/>
      </c>
      <c r="G21" s="3">
        <f>全体!G21-機械!G21</f>
        <v/>
      </c>
      <c r="H21" s="3">
        <f>全体!H21-機械!H21</f>
        <v/>
      </c>
      <c r="I21" s="3">
        <f>全体!I21-機械!I21</f>
        <v/>
      </c>
      <c r="J21" s="3">
        <f>全体!J21-機械!J21</f>
        <v/>
      </c>
      <c r="K21" s="56">
        <f>SUM(E21:J21)</f>
        <v/>
      </c>
      <c r="L21" s="2">
        <f>全体!L21-機械!L21</f>
        <v/>
      </c>
      <c r="M21" s="3">
        <f>全体!M21-機械!M21</f>
        <v/>
      </c>
      <c r="N21" s="3">
        <f>全体!N21-機械!N21</f>
        <v/>
      </c>
      <c r="O21" s="3">
        <f>全体!O21-機械!O21</f>
        <v/>
      </c>
      <c r="P21" s="3">
        <f>全体!P21-機械!P21</f>
        <v/>
      </c>
      <c r="Q21" s="3">
        <f>全体!Q21-機械!Q21</f>
        <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2" t="n"/>
      <c r="F22" s="3" t="n"/>
      <c r="G22" s="3" t="n"/>
      <c r="H22" s="3" t="n"/>
      <c r="I22" s="3" t="n"/>
      <c r="J22" s="3" t="n"/>
      <c r="K22" s="56" t="n"/>
      <c r="L22" s="2" t="n"/>
      <c r="M22" s="3" t="n"/>
      <c r="N22" s="3" t="n"/>
      <c r="O22" s="3" t="n"/>
      <c r="P22" s="3" t="n"/>
      <c r="Q22" s="3" t="n"/>
      <c r="R22" s="56" t="n"/>
      <c r="S22" s="103" t="n"/>
      <c r="T22" s="104" t="n"/>
      <c r="U22" s="104" t="n"/>
      <c r="V22" s="104" t="n"/>
      <c r="W22" s="104" t="n"/>
      <c r="X22" s="104" t="n"/>
      <c r="Y22" s="105" t="n"/>
    </row>
    <row r="23">
      <c r="C23" s="2" t="inlineStr">
        <is>
          <t>0029 集計</t>
        </is>
      </c>
      <c r="D23" s="15" t="inlineStr">
        <is>
          <t>その他</t>
        </is>
      </c>
      <c r="E23" s="2">
        <f>全体!E23-機械!E23</f>
        <v/>
      </c>
      <c r="F23" s="3">
        <f>全体!F23-機械!F23</f>
        <v/>
      </c>
      <c r="G23" s="3">
        <f>全体!G23-機械!G23</f>
        <v/>
      </c>
      <c r="H23" s="3">
        <f>全体!H23-機械!H23</f>
        <v/>
      </c>
      <c r="I23" s="3">
        <f>全体!I23-機械!I23</f>
        <v/>
      </c>
      <c r="J23" s="3">
        <f>全体!J23-機械!J23</f>
        <v/>
      </c>
      <c r="K23" s="56">
        <f>SUM(E23:J23)</f>
        <v/>
      </c>
      <c r="L23" s="2">
        <f>全体!L23-機械!L23</f>
        <v/>
      </c>
      <c r="M23" s="3">
        <f>全体!M23-機械!M23</f>
        <v/>
      </c>
      <c r="N23" s="3">
        <f>全体!N23-機械!N23</f>
        <v/>
      </c>
      <c r="O23" s="3">
        <f>全体!O23-機械!O23</f>
        <v/>
      </c>
      <c r="P23" s="3">
        <f>全体!P23-機械!P23</f>
        <v/>
      </c>
      <c r="Q23" s="3">
        <f>全体!Q23-機械!Q23</f>
        <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49">
        <f>SUM(E17:E23)</f>
        <v/>
      </c>
      <c r="F24" s="6">
        <f>SUM(F17:F23)</f>
        <v/>
      </c>
      <c r="G24" s="6">
        <f>SUM(G17:G23)</f>
        <v/>
      </c>
      <c r="H24" s="6">
        <f>SUM(H17:H23)</f>
        <v/>
      </c>
      <c r="I24" s="6">
        <f>SUM(I17:I23)</f>
        <v/>
      </c>
      <c r="J24" s="6">
        <f>SUM(J17:J23)</f>
        <v/>
      </c>
      <c r="K24" s="5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3"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2" t="inlineStr">
        <is>
          <t>合計</t>
        </is>
      </c>
      <c r="L28" s="48" t="n">
        <v>45748</v>
      </c>
      <c r="M28" s="51" t="n">
        <v>45778</v>
      </c>
      <c r="N28" s="51" t="n">
        <v>45809</v>
      </c>
      <c r="O28" s="51" t="n">
        <v>45839</v>
      </c>
      <c r="P28" s="51" t="n">
        <v>45870</v>
      </c>
      <c r="Q28" s="51" t="n">
        <v>45901</v>
      </c>
      <c r="R28" s="53" t="inlineStr">
        <is>
          <t>合計</t>
        </is>
      </c>
      <c r="S28" s="51"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6">
        <f>SUM(E29:J29)</f>
        <v/>
      </c>
      <c r="L29" s="6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6">
        <f>SUM(E30:J30)</f>
        <v/>
      </c>
      <c r="L30" s="6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6">
        <f>SUM(E31:J31)</f>
        <v/>
      </c>
      <c r="L31" s="6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6">
        <f>SUM(E32:J32)</f>
        <v/>
      </c>
      <c r="L32" s="6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6">
        <f>SUM(E33:J33)</f>
        <v/>
      </c>
      <c r="L33" s="6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6" t="n"/>
      <c r="L34" s="6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6">
        <f>SUM(E35:J35)</f>
        <v/>
      </c>
      <c r="L35" s="6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50">
        <f>SUM(E36:J36)</f>
        <v/>
      </c>
      <c r="L36" s="67">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2">
        <f>全体!E41-機械!E41</f>
        <v/>
      </c>
      <c r="F41" s="3">
        <f>全体!F41-機械!F41</f>
        <v/>
      </c>
      <c r="G41" s="3">
        <f>全体!G41-機械!G41</f>
        <v/>
      </c>
      <c r="H41" s="3">
        <f>全体!H41-機械!H41</f>
        <v/>
      </c>
      <c r="I41" s="3">
        <f>全体!I41-機械!I41</f>
        <v/>
      </c>
      <c r="J41" s="3">
        <f>全体!J41-機械!J41</f>
        <v/>
      </c>
      <c r="K41" s="56">
        <f>SUM(E41:J41)</f>
        <v/>
      </c>
      <c r="L41" s="2">
        <f>全体!L41-機械!L41</f>
        <v/>
      </c>
      <c r="M41" s="3">
        <f>全体!M41-機械!M41</f>
        <v/>
      </c>
      <c r="N41" s="3">
        <f>全体!N41-機械!N41</f>
        <v/>
      </c>
      <c r="O41" s="3">
        <f>全体!O41-機械!O41</f>
        <v/>
      </c>
      <c r="P41" s="3">
        <f>全体!P41-機械!P41</f>
        <v/>
      </c>
      <c r="Q41" s="3">
        <f>全体!Q41-機械!Q41</f>
        <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2">
        <f>全体!E42-機械!E42</f>
        <v/>
      </c>
      <c r="F42" s="3">
        <f>全体!F42-機械!F42</f>
        <v/>
      </c>
      <c r="G42" s="3">
        <f>全体!G42-機械!G42</f>
        <v/>
      </c>
      <c r="H42" s="3">
        <f>全体!H42-機械!H42</f>
        <v/>
      </c>
      <c r="I42" s="3">
        <f>全体!I42-機械!I42</f>
        <v/>
      </c>
      <c r="J42" s="3">
        <f>全体!J42-機械!J42</f>
        <v/>
      </c>
      <c r="K42" s="56">
        <f>SUM(E42:J42)</f>
        <v/>
      </c>
      <c r="L42" s="2">
        <f>全体!L42-機械!L42</f>
        <v/>
      </c>
      <c r="M42" s="3">
        <f>全体!M42-機械!M42</f>
        <v/>
      </c>
      <c r="N42" s="3">
        <f>全体!N42-機械!N42</f>
        <v/>
      </c>
      <c r="O42" s="3">
        <f>全体!O42-機械!O42</f>
        <v/>
      </c>
      <c r="P42" s="3">
        <f>全体!P42-機械!P42</f>
        <v/>
      </c>
      <c r="Q42" s="3">
        <f>全体!Q42-機械!Q42</f>
        <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2">
        <f>全体!E43-機械!E43</f>
        <v/>
      </c>
      <c r="F43" s="3">
        <f>全体!F43-機械!F43</f>
        <v/>
      </c>
      <c r="G43" s="3">
        <f>全体!G43-機械!G43</f>
        <v/>
      </c>
      <c r="H43" s="3">
        <f>全体!H43-機械!H43</f>
        <v/>
      </c>
      <c r="I43" s="3">
        <f>全体!I43-機械!I43</f>
        <v/>
      </c>
      <c r="J43" s="3">
        <f>全体!J43-機械!J43</f>
        <v/>
      </c>
      <c r="K43" s="56">
        <f>SUM(E43:J43)</f>
        <v/>
      </c>
      <c r="L43" s="2">
        <f>全体!L43-機械!L43</f>
        <v/>
      </c>
      <c r="M43" s="3">
        <f>全体!M43-機械!M43</f>
        <v/>
      </c>
      <c r="N43" s="3">
        <f>全体!N43-機械!N43</f>
        <v/>
      </c>
      <c r="O43" s="3">
        <f>全体!O43-機械!O43</f>
        <v/>
      </c>
      <c r="P43" s="3">
        <f>全体!P43-機械!P43</f>
        <v/>
      </c>
      <c r="Q43" s="3">
        <f>全体!Q43-機械!Q43</f>
        <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2">
        <f>全体!E44-機械!E44</f>
        <v/>
      </c>
      <c r="F44" s="3">
        <f>全体!F44-機械!F44</f>
        <v/>
      </c>
      <c r="G44" s="3">
        <f>全体!G44-機械!G44</f>
        <v/>
      </c>
      <c r="H44" s="3">
        <f>全体!H44-機械!H44</f>
        <v/>
      </c>
      <c r="I44" s="3">
        <f>全体!I44-機械!I44</f>
        <v/>
      </c>
      <c r="J44" s="3">
        <f>全体!J44-機械!J44</f>
        <v/>
      </c>
      <c r="K44" s="56">
        <f>SUM(E44:J44)</f>
        <v/>
      </c>
      <c r="L44" s="2">
        <f>全体!L44-機械!L44</f>
        <v/>
      </c>
      <c r="M44" s="3">
        <f>全体!M44-機械!M44</f>
        <v/>
      </c>
      <c r="N44" s="3">
        <f>全体!N44-機械!N44</f>
        <v/>
      </c>
      <c r="O44" s="3">
        <f>全体!O44-機械!O44</f>
        <v/>
      </c>
      <c r="P44" s="3">
        <f>全体!P44-機械!P44</f>
        <v/>
      </c>
      <c r="Q44" s="3">
        <f>全体!Q44-機械!Q44</f>
        <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2">
        <f>全体!E45-機械!E45</f>
        <v/>
      </c>
      <c r="F45" s="3">
        <f>全体!F45-機械!F45</f>
        <v/>
      </c>
      <c r="G45" s="3">
        <f>全体!G45-機械!G45</f>
        <v/>
      </c>
      <c r="H45" s="3">
        <f>全体!H45-機械!H45</f>
        <v/>
      </c>
      <c r="I45" s="3">
        <f>全体!I45-機械!I45</f>
        <v/>
      </c>
      <c r="J45" s="3">
        <f>全体!J45-機械!J45</f>
        <v/>
      </c>
      <c r="K45" s="56">
        <f>SUM(E45:J45)</f>
        <v/>
      </c>
      <c r="L45" s="62">
        <f>全体!L45-機械!L45</f>
        <v/>
      </c>
      <c r="M45" s="62">
        <f>全体!M45-機械!M45</f>
        <v/>
      </c>
      <c r="N45" s="62">
        <f>全体!N45-機械!N45</f>
        <v/>
      </c>
      <c r="O45" s="62">
        <f>全体!O45-機械!O45</f>
        <v/>
      </c>
      <c r="P45" s="62">
        <f>全体!P45-機械!P45</f>
        <v/>
      </c>
      <c r="Q45" s="62">
        <f>全体!Q45-機械!Q45</f>
        <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2">
        <f>全体!E46-機械!E46</f>
        <v/>
      </c>
      <c r="F46" s="3">
        <f>全体!F46-機械!F46</f>
        <v/>
      </c>
      <c r="G46" s="3">
        <f>全体!G46-機械!G46</f>
        <v/>
      </c>
      <c r="H46" s="3">
        <f>全体!H46-機械!H46</f>
        <v/>
      </c>
      <c r="I46" s="3">
        <f>全体!I46-機械!I46</f>
        <v/>
      </c>
      <c r="J46" s="3">
        <f>全体!J46-機械!J46</f>
        <v/>
      </c>
      <c r="K46" s="56">
        <f>SUM(E46:J46)</f>
        <v/>
      </c>
      <c r="L46" s="62">
        <f>全体!L46-機械!L46</f>
        <v/>
      </c>
      <c r="M46" s="62">
        <f>全体!M46-機械!M46</f>
        <v/>
      </c>
      <c r="N46" s="62">
        <f>全体!N46-機械!N46</f>
        <v/>
      </c>
      <c r="O46" s="62">
        <f>全体!O46-機械!O46</f>
        <v/>
      </c>
      <c r="P46" s="62">
        <f>全体!P46-機械!P46</f>
        <v/>
      </c>
      <c r="Q46" s="62">
        <f>全体!Q46-機械!Q46</f>
        <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2">
        <f>全体!E47-機械!E47</f>
        <v/>
      </c>
      <c r="F47" s="3">
        <f>全体!F47-機械!F47</f>
        <v/>
      </c>
      <c r="G47" s="3">
        <f>全体!G47-機械!G47</f>
        <v/>
      </c>
      <c r="H47" s="3">
        <f>全体!H47-機械!H47</f>
        <v/>
      </c>
      <c r="I47" s="3">
        <f>全体!I47-機械!I47</f>
        <v/>
      </c>
      <c r="J47" s="3">
        <f>全体!J47-機械!J47</f>
        <v/>
      </c>
      <c r="K47" s="56">
        <f>SUM(E47:J47)</f>
        <v/>
      </c>
      <c r="L47" s="2">
        <f>全体!L47-機械!L47</f>
        <v/>
      </c>
      <c r="M47" s="3">
        <f>全体!M47-機械!M47</f>
        <v/>
      </c>
      <c r="N47" s="3">
        <f>全体!N47-機械!N47</f>
        <v/>
      </c>
      <c r="O47" s="3">
        <f>全体!O47-機械!O47</f>
        <v/>
      </c>
      <c r="P47" s="3">
        <f>全体!P47-機械!P47</f>
        <v/>
      </c>
      <c r="Q47" s="3">
        <f>全体!Q47-機械!Q47</f>
        <v/>
      </c>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49">
        <f>SUM(E41:E47)</f>
        <v/>
      </c>
      <c r="F48" s="6">
        <f>SUM(F41:F47)</f>
        <v/>
      </c>
      <c r="G48" s="6">
        <f>SUM(G41:G47)</f>
        <v/>
      </c>
      <c r="H48" s="6">
        <f>SUM(H41:H47)</f>
        <v/>
      </c>
      <c r="I48" s="6">
        <f>SUM(I41:I47)</f>
        <v/>
      </c>
      <c r="J48" s="6">
        <f>SUM(J41:J47)</f>
        <v/>
      </c>
      <c r="K48" s="5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0" t="n"/>
      <c r="F49" s="110" t="n"/>
      <c r="G49" s="110" t="n"/>
      <c r="H49" s="110" t="n"/>
      <c r="I49" s="110" t="n"/>
      <c r="J49" s="110" t="n"/>
      <c r="K49" s="12" t="n"/>
      <c r="L49" s="110" t="n"/>
      <c r="M49" s="110" t="n"/>
      <c r="N49" s="110" t="n"/>
      <c r="O49" s="110" t="n"/>
      <c r="P49" s="110" t="n"/>
      <c r="Q49" s="110"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2">
        <f>E41-E17</f>
        <v/>
      </c>
      <c r="F53" s="3">
        <f>F41-F17</f>
        <v/>
      </c>
      <c r="G53" s="3">
        <f>G41-G17</f>
        <v/>
      </c>
      <c r="H53" s="3">
        <f>H41-H17</f>
        <v/>
      </c>
      <c r="I53" s="3">
        <f>I41-I17</f>
        <v/>
      </c>
      <c r="J53" s="3">
        <f>J41-J17</f>
        <v/>
      </c>
      <c r="K53" s="56">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2">
        <f>E42-E18</f>
        <v/>
      </c>
      <c r="F54" s="3">
        <f>F42-F18</f>
        <v/>
      </c>
      <c r="G54" s="3">
        <f>G42-G18</f>
        <v/>
      </c>
      <c r="H54" s="3">
        <f>H42-H18</f>
        <v/>
      </c>
      <c r="I54" s="3">
        <f>I42-I18</f>
        <v/>
      </c>
      <c r="J54" s="3">
        <f>J42-J18</f>
        <v/>
      </c>
      <c r="K54" s="56">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2">
        <f>E43-E19</f>
        <v/>
      </c>
      <c r="F55" s="3">
        <f>F43-F19</f>
        <v/>
      </c>
      <c r="G55" s="3">
        <f>G43-G19</f>
        <v/>
      </c>
      <c r="H55" s="3">
        <f>H43-H19</f>
        <v/>
      </c>
      <c r="I55" s="3">
        <f>I43-I19</f>
        <v/>
      </c>
      <c r="J55" s="3">
        <f>J43-J19</f>
        <v/>
      </c>
      <c r="K55" s="56">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2">
        <f>E44-E20</f>
        <v/>
      </c>
      <c r="F56" s="3">
        <f>F44-F20</f>
        <v/>
      </c>
      <c r="G56" s="3">
        <f>G44-G20</f>
        <v/>
      </c>
      <c r="H56" s="3">
        <f>H44-H20</f>
        <v/>
      </c>
      <c r="I56" s="3">
        <f>I44-I20</f>
        <v/>
      </c>
      <c r="J56" s="3">
        <f>J44-J20</f>
        <v/>
      </c>
      <c r="K56" s="56">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2">
        <f>E45-E21</f>
        <v/>
      </c>
      <c r="F57" s="3">
        <f>F45-F21</f>
        <v/>
      </c>
      <c r="G57" s="3">
        <f>G45-G21</f>
        <v/>
      </c>
      <c r="H57" s="3">
        <f>H45-H21</f>
        <v/>
      </c>
      <c r="I57" s="3">
        <f>I45-I21</f>
        <v/>
      </c>
      <c r="J57" s="3">
        <f>J45-J21</f>
        <v/>
      </c>
      <c r="K57" s="56">
        <f>SUM(E57:J57)</f>
        <v/>
      </c>
      <c r="L57" s="2">
        <f>L45-L21</f>
        <v/>
      </c>
      <c r="M57" s="3">
        <f>M45-M21</f>
        <v/>
      </c>
      <c r="N57" s="3">
        <f>N45-N21</f>
        <v/>
      </c>
      <c r="O57" s="3">
        <f>O45-O21</f>
        <v/>
      </c>
      <c r="P57" s="3">
        <f>P45-P21</f>
        <v/>
      </c>
      <c r="Q57" s="3">
        <f>Q45-Q21</f>
        <v/>
      </c>
      <c r="R57" s="56">
        <f>SUM(L57:Q57)</f>
        <v/>
      </c>
      <c r="S57" s="103" t="n"/>
      <c r="T57" s="104" t="n"/>
      <c r="U57" s="104" t="n"/>
      <c r="V57" s="104" t="n"/>
      <c r="W57" s="104" t="n"/>
      <c r="X57" s="104" t="n"/>
      <c r="Y57" s="105" t="n"/>
    </row>
    <row r="58" hidden="1" s="93">
      <c r="C58" s="71" t="inlineStr">
        <is>
          <t>0028 集計</t>
        </is>
      </c>
      <c r="D58" s="15" t="inlineStr">
        <is>
          <t>自治体</t>
        </is>
      </c>
      <c r="E58" s="2">
        <f>E46-E22</f>
        <v/>
      </c>
      <c r="F58" s="3">
        <f>F46-F22</f>
        <v/>
      </c>
      <c r="G58" s="3">
        <f>G46-G22</f>
        <v/>
      </c>
      <c r="H58" s="3">
        <f>H46-H22</f>
        <v/>
      </c>
      <c r="I58" s="3">
        <f>I46-I22</f>
        <v/>
      </c>
      <c r="J58" s="3">
        <f>J46-J22</f>
        <v/>
      </c>
      <c r="K58" s="56">
        <f>SUM(E58:J58)</f>
        <v/>
      </c>
      <c r="L58" s="2">
        <f>L46-L22</f>
        <v/>
      </c>
      <c r="M58" s="3">
        <f>M46-M22</f>
        <v/>
      </c>
      <c r="N58" s="3">
        <f>N46-N22</f>
        <v/>
      </c>
      <c r="O58" s="3">
        <f>O46-O22</f>
        <v/>
      </c>
      <c r="P58" s="3">
        <f>P46-P22</f>
        <v/>
      </c>
      <c r="Q58" s="3">
        <f>Q46-Q22</f>
        <v/>
      </c>
      <c r="R58" s="56">
        <f>SUM(L58:Q58)</f>
        <v/>
      </c>
      <c r="S58" s="103" t="n"/>
      <c r="T58" s="104" t="n"/>
      <c r="U58" s="104" t="n"/>
      <c r="V58" s="104" t="n"/>
      <c r="W58" s="104" t="n"/>
      <c r="X58" s="104" t="n"/>
      <c r="Y58" s="105" t="n"/>
    </row>
    <row r="59" hidden="1" s="93">
      <c r="C59" s="2" t="inlineStr">
        <is>
          <t>0029 集計</t>
        </is>
      </c>
      <c r="D59" s="15" t="inlineStr">
        <is>
          <t>その他</t>
        </is>
      </c>
      <c r="E59" s="2">
        <f>E47-E23</f>
        <v/>
      </c>
      <c r="F59" s="3">
        <f>F47-F23</f>
        <v/>
      </c>
      <c r="G59" s="3">
        <f>G47-G23</f>
        <v/>
      </c>
      <c r="H59" s="3">
        <f>H47-H23</f>
        <v/>
      </c>
      <c r="I59" s="3">
        <f>I47-I23</f>
        <v/>
      </c>
      <c r="J59" s="3">
        <f>J47-J23</f>
        <v/>
      </c>
      <c r="K59" s="56">
        <f>SUM(E59:J59)</f>
        <v/>
      </c>
      <c r="L59" s="2">
        <f>L47-L23</f>
        <v/>
      </c>
      <c r="M59" s="3">
        <f>M47-M23</f>
        <v/>
      </c>
      <c r="N59" s="3">
        <f>N47-N23</f>
        <v/>
      </c>
      <c r="O59" s="3">
        <f>O47-O23</f>
        <v/>
      </c>
      <c r="P59" s="3">
        <f>P47-P23</f>
        <v/>
      </c>
      <c r="Q59" s="3">
        <f>Q47-Q23</f>
        <v/>
      </c>
      <c r="R59" s="56">
        <f>SUM(L59:Q59)</f>
        <v/>
      </c>
      <c r="S59" s="103" t="n"/>
      <c r="T59" s="104" t="n"/>
      <c r="U59" s="104" t="n"/>
      <c r="V59" s="104" t="n"/>
      <c r="W59" s="104" t="n"/>
      <c r="X59" s="104" t="n"/>
      <c r="Y59" s="105" t="n"/>
    </row>
    <row r="60" hidden="1" s="93">
      <c r="C60" s="4" t="inlineStr">
        <is>
          <t>合計</t>
        </is>
      </c>
      <c r="D60" s="16" t="n"/>
      <c r="E60" s="49">
        <f>SUM(E53:E59)</f>
        <v/>
      </c>
      <c r="F60" s="6">
        <f>SUM(F53:F59)</f>
        <v/>
      </c>
      <c r="G60" s="6">
        <f>SUM(G53:G59)</f>
        <v/>
      </c>
      <c r="H60" s="6">
        <f>SUM(H53:H59)</f>
        <v/>
      </c>
      <c r="I60" s="6">
        <f>SUM(I53:I59)</f>
        <v/>
      </c>
      <c r="J60" s="6">
        <f>SUM(J53:J59)</f>
        <v/>
      </c>
      <c r="K60" s="5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2">
        <f>E41-E29</f>
        <v/>
      </c>
      <c r="F65" s="3">
        <f>F41-F29</f>
        <v/>
      </c>
      <c r="G65" s="3">
        <f>G41-G29</f>
        <v/>
      </c>
      <c r="H65" s="3">
        <f>H41-H29</f>
        <v/>
      </c>
      <c r="I65" s="3">
        <f>I41-I29</f>
        <v/>
      </c>
      <c r="J65" s="3">
        <f>J41-J29</f>
        <v/>
      </c>
      <c r="K65" s="56">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2">
        <f>E42-E30</f>
        <v/>
      </c>
      <c r="F66" s="3">
        <f>F42-F30</f>
        <v/>
      </c>
      <c r="G66" s="3">
        <f>G42-G30</f>
        <v/>
      </c>
      <c r="H66" s="3">
        <f>H42-H30</f>
        <v/>
      </c>
      <c r="I66" s="3">
        <f>I42-I30</f>
        <v/>
      </c>
      <c r="J66" s="3">
        <f>J42-J30</f>
        <v/>
      </c>
      <c r="K66" s="56">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2">
        <f>E43-E31</f>
        <v/>
      </c>
      <c r="F67" s="3">
        <f>F43-F31</f>
        <v/>
      </c>
      <c r="G67" s="3">
        <f>G43-G31</f>
        <v/>
      </c>
      <c r="H67" s="3">
        <f>H43-H31</f>
        <v/>
      </c>
      <c r="I67" s="3">
        <f>I43-I31</f>
        <v/>
      </c>
      <c r="J67" s="3">
        <f>J43-J31</f>
        <v/>
      </c>
      <c r="K67" s="56">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2">
        <f>E44-E32</f>
        <v/>
      </c>
      <c r="F68" s="3">
        <f>F44-F32</f>
        <v/>
      </c>
      <c r="G68" s="3">
        <f>G44-G32</f>
        <v/>
      </c>
      <c r="H68" s="3">
        <f>H44-H32</f>
        <v/>
      </c>
      <c r="I68" s="3">
        <f>I44-I32</f>
        <v/>
      </c>
      <c r="J68" s="3">
        <f>J44-J32</f>
        <v/>
      </c>
      <c r="K68" s="56">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2">
        <f>E45-E33</f>
        <v/>
      </c>
      <c r="F69" s="3">
        <f>F45-F33</f>
        <v/>
      </c>
      <c r="G69" s="3">
        <f>G45-G33</f>
        <v/>
      </c>
      <c r="H69" s="3">
        <f>H45-H33</f>
        <v/>
      </c>
      <c r="I69" s="3">
        <f>I45-I33</f>
        <v/>
      </c>
      <c r="J69" s="3">
        <f>J45-J33</f>
        <v/>
      </c>
      <c r="K69" s="56">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2">
        <f>E46-E34</f>
        <v/>
      </c>
      <c r="F70" s="3">
        <f>F46-F34</f>
        <v/>
      </c>
      <c r="G70" s="3">
        <f>G46-G34</f>
        <v/>
      </c>
      <c r="H70" s="3">
        <f>H46-H34</f>
        <v/>
      </c>
      <c r="I70" s="3">
        <f>I46-I34</f>
        <v/>
      </c>
      <c r="J70" s="3">
        <f>J46-J34</f>
        <v/>
      </c>
      <c r="K70" s="56">
        <f>SUM(E70:J70)</f>
        <v/>
      </c>
      <c r="L70" s="2">
        <f>L46-L34</f>
        <v/>
      </c>
      <c r="M70" s="3">
        <f>M46-M34</f>
        <v/>
      </c>
      <c r="N70" s="3">
        <f>N46-N34</f>
        <v/>
      </c>
      <c r="O70" s="3">
        <f>O46-O34</f>
        <v/>
      </c>
      <c r="P70" s="3">
        <f>P46-P34</f>
        <v/>
      </c>
      <c r="Q70" s="3">
        <f>Q46-Q34</f>
        <v/>
      </c>
      <c r="R70" s="56">
        <f>SUM(L70:Q70)</f>
        <v/>
      </c>
      <c r="S70" s="103" t="n"/>
      <c r="T70" s="104" t="n"/>
      <c r="U70" s="104" t="n"/>
      <c r="V70" s="104" t="n"/>
      <c r="W70" s="104" t="n"/>
      <c r="X70" s="104" t="n"/>
      <c r="Y70" s="105" t="n"/>
    </row>
    <row r="71" hidden="1" s="93">
      <c r="C71" s="2" t="inlineStr">
        <is>
          <t>0029 集計</t>
        </is>
      </c>
      <c r="D71" s="15" t="inlineStr">
        <is>
          <t>その他</t>
        </is>
      </c>
      <c r="E71" s="2">
        <f>E47-E35</f>
        <v/>
      </c>
      <c r="F71" s="3">
        <f>F47-F35</f>
        <v/>
      </c>
      <c r="G71" s="3">
        <f>G47-G35</f>
        <v/>
      </c>
      <c r="H71" s="3">
        <f>H47-H35</f>
        <v/>
      </c>
      <c r="I71" s="3">
        <f>I47-I35</f>
        <v/>
      </c>
      <c r="J71" s="3">
        <f>J47-J35</f>
        <v/>
      </c>
      <c r="K71" s="56">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49">
        <f>SUM(E65:E71)</f>
        <v/>
      </c>
      <c r="F72" s="6">
        <f>SUM(F65:F71)</f>
        <v/>
      </c>
      <c r="G72" s="6">
        <f>SUM(G65:G71)</f>
        <v/>
      </c>
      <c r="H72" s="6">
        <f>SUM(H65:H71)</f>
        <v/>
      </c>
      <c r="I72" s="6">
        <f>SUM(I65:I71)</f>
        <v/>
      </c>
      <c r="J72" s="6">
        <f>SUM(J65:J71)</f>
        <v/>
      </c>
      <c r="K72" s="5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2">
        <f>全体!E77-機械!E77</f>
        <v/>
      </c>
      <c r="F77" s="3">
        <f>全体!F77-機械!F77</f>
        <v/>
      </c>
      <c r="G77" s="80">
        <f>全体!G77-機械!G77</f>
        <v/>
      </c>
      <c r="H77" s="3">
        <f>全体!H77-機械!H77</f>
        <v/>
      </c>
      <c r="I77" s="3">
        <f>全体!I77-機械!I77</f>
        <v/>
      </c>
      <c r="J77" s="3" t="n"/>
      <c r="K77" s="56">
        <f>SUM(E77:J77)</f>
        <v/>
      </c>
      <c r="L77" s="2">
        <f>全体!L77-機械!L77</f>
        <v/>
      </c>
      <c r="M77" s="80">
        <f>全体!M77-機械!M77</f>
        <v/>
      </c>
      <c r="N77" s="80">
        <f>全体!N77-機械!N77</f>
        <v/>
      </c>
      <c r="O77" s="3">
        <f>全体!O77-機械!O77</f>
        <v/>
      </c>
      <c r="P77" s="3">
        <f>全体!P77-機械!P77</f>
        <v/>
      </c>
      <c r="Q77" s="62" t="n"/>
      <c r="R77" s="56">
        <f>SUM(L77:Q77)</f>
        <v/>
      </c>
      <c r="S77" s="103">
        <f>IF(E77=0,"***",L77/E77)</f>
        <v/>
      </c>
      <c r="T77" s="104">
        <f>IF(F77=0,"***",全体!M77/F77)</f>
        <v/>
      </c>
      <c r="U77" s="104">
        <f>IF(G77=0,"***",N77/G77)</f>
        <v/>
      </c>
      <c r="V77" s="104">
        <f>IF(H77=0,"***",O77/H77)</f>
        <v/>
      </c>
      <c r="W77" s="104">
        <f>IF(I77=0,"***",P77/I77)</f>
        <v/>
      </c>
      <c r="X77" s="104">
        <f>IF(J77=0,"***",Q77/J77)</f>
        <v/>
      </c>
      <c r="Y77" s="105">
        <f>IF(K77=0,"***",R77/K77)</f>
        <v/>
      </c>
    </row>
    <row r="78">
      <c r="C78" s="2" t="inlineStr">
        <is>
          <t>0024 集計</t>
        </is>
      </c>
      <c r="D78" s="15" t="inlineStr">
        <is>
          <t>東野</t>
        </is>
      </c>
      <c r="E78" s="2">
        <f>全体!E78-機械!E78</f>
        <v/>
      </c>
      <c r="F78" s="3">
        <f>全体!F78-機械!F78</f>
        <v/>
      </c>
      <c r="G78" s="80">
        <f>全体!G78-機械!G78</f>
        <v/>
      </c>
      <c r="H78" s="3">
        <f>全体!H78-機械!H78</f>
        <v/>
      </c>
      <c r="I78" s="3">
        <f>全体!I78-機械!I78</f>
        <v/>
      </c>
      <c r="J78" s="3" t="n"/>
      <c r="K78" s="56">
        <f>SUM(E78:J78)</f>
        <v/>
      </c>
      <c r="L78" s="2">
        <f>全体!L78-機械!L78</f>
        <v/>
      </c>
      <c r="M78" s="80">
        <f>全体!M78-機械!M78</f>
        <v/>
      </c>
      <c r="N78" s="80">
        <f>全体!N78-機械!N78</f>
        <v/>
      </c>
      <c r="O78" s="3">
        <f>全体!O78-機械!O78</f>
        <v/>
      </c>
      <c r="P78" s="3">
        <f>全体!P78-機械!P78</f>
        <v/>
      </c>
      <c r="Q78" s="62" t="n"/>
      <c r="R78" s="56">
        <f>SUM(L78:Q78)</f>
        <v/>
      </c>
      <c r="S78" s="103">
        <f>IF(E78=0,"***",L78/E78)</f>
        <v/>
      </c>
      <c r="T78" s="104">
        <f>IF(F78=0,"***",全体!M78/F78)</f>
        <v/>
      </c>
      <c r="U78" s="104">
        <f>IF(G78=0,"***",N78/G78)</f>
        <v/>
      </c>
      <c r="V78" s="104">
        <f>IF(H78=0,"***",O78/H78)</f>
        <v/>
      </c>
      <c r="W78" s="104">
        <f>IF(I78=0,"***",P78/I78)</f>
        <v/>
      </c>
      <c r="X78" s="104">
        <f>IF(J78=0,"***",Q78/J78)</f>
        <v/>
      </c>
      <c r="Y78" s="105">
        <f>IF(K78=0,"***",R78/K78)</f>
        <v/>
      </c>
    </row>
    <row r="79">
      <c r="C79" s="2" t="inlineStr">
        <is>
          <t>0025 集計</t>
        </is>
      </c>
      <c r="D79" s="15" t="inlineStr">
        <is>
          <t>橋本課長</t>
        </is>
      </c>
      <c r="E79" s="2">
        <f>全体!E79-機械!E79</f>
        <v/>
      </c>
      <c r="F79" s="3">
        <f>全体!F79-機械!F79</f>
        <v/>
      </c>
      <c r="G79" s="80">
        <f>全体!G79-機械!G79</f>
        <v/>
      </c>
      <c r="H79" s="3">
        <f>全体!H79-機械!H79</f>
        <v/>
      </c>
      <c r="I79" s="3">
        <f>全体!I79-機械!I79</f>
        <v/>
      </c>
      <c r="J79" s="3" t="n"/>
      <c r="K79" s="56">
        <f>SUM(E79:J79)</f>
        <v/>
      </c>
      <c r="L79" s="2">
        <f>全体!L79-機械!L79</f>
        <v/>
      </c>
      <c r="M79" s="80">
        <f>全体!M79-機械!M79</f>
        <v/>
      </c>
      <c r="N79" s="80">
        <f>全体!N79-機械!N79</f>
        <v/>
      </c>
      <c r="O79" s="3">
        <f>全体!O79-機械!O79</f>
        <v/>
      </c>
      <c r="P79" s="3">
        <f>全体!P79-機械!P79</f>
        <v/>
      </c>
      <c r="Q79" s="62" t="n"/>
      <c r="R79" s="56">
        <f>SUM(L79:Q79)</f>
        <v/>
      </c>
      <c r="S79" s="103">
        <f>IF(E79=0,"***",L79/E79)</f>
        <v/>
      </c>
      <c r="T79" s="104">
        <f>IF(F79=0,"***",全体!M79/F79)</f>
        <v/>
      </c>
      <c r="U79" s="104">
        <f>IF(G79=0,"***",N79/G79)</f>
        <v/>
      </c>
      <c r="V79" s="104">
        <f>IF(H79=0,"***",O79/H79)</f>
        <v/>
      </c>
      <c r="W79" s="104">
        <f>IF(I79=0,"***",P79/I79)</f>
        <v/>
      </c>
      <c r="X79" s="104">
        <f>IF(J79=0,"***",Q79/J79)</f>
        <v/>
      </c>
      <c r="Y79" s="105">
        <f>IF(K79=0,"***",R79/K79)</f>
        <v/>
      </c>
    </row>
    <row r="80">
      <c r="C80" s="2" t="inlineStr">
        <is>
          <t>0026 集計</t>
        </is>
      </c>
      <c r="D80" s="15" t="inlineStr">
        <is>
          <t>井上課長</t>
        </is>
      </c>
      <c r="E80" s="2">
        <f>全体!E80-機械!E80</f>
        <v/>
      </c>
      <c r="F80" s="3">
        <f>全体!F80-機械!F80</f>
        <v/>
      </c>
      <c r="G80" s="80">
        <f>全体!G80-機械!G80</f>
        <v/>
      </c>
      <c r="H80" s="3">
        <f>全体!H80-機械!H80</f>
        <v/>
      </c>
      <c r="I80" s="3">
        <f>全体!I80-機械!I80</f>
        <v/>
      </c>
      <c r="J80" s="3" t="n"/>
      <c r="K80" s="56">
        <f>SUM(E80:J80)</f>
        <v/>
      </c>
      <c r="L80" s="2">
        <f>全体!L80-機械!L80</f>
        <v/>
      </c>
      <c r="M80" s="80">
        <f>全体!M80-機械!M80</f>
        <v/>
      </c>
      <c r="N80" s="80">
        <f>全体!N80-機械!N80</f>
        <v/>
      </c>
      <c r="O80" s="3">
        <f>全体!O80-機械!O80</f>
        <v/>
      </c>
      <c r="P80" s="3">
        <f>全体!P80-機械!P80</f>
        <v/>
      </c>
      <c r="Q80" s="62" t="n"/>
      <c r="R80" s="56">
        <f>SUM(L80:Q80)</f>
        <v/>
      </c>
      <c r="S80" s="103">
        <f>IF(E80=0,"***",L80/E80)</f>
        <v/>
      </c>
      <c r="T80" s="104">
        <f>IF(F80=0,"***",全体!M80/F80)</f>
        <v/>
      </c>
      <c r="U80" s="104">
        <f>IF(G80=0,"***",N80/G80)</f>
        <v/>
      </c>
      <c r="V80" s="104">
        <f>IF(H80=0,"***",O80/H80)</f>
        <v/>
      </c>
      <c r="W80" s="104">
        <f>IF(I80=0,"***",P80/I80)</f>
        <v/>
      </c>
      <c r="X80" s="104">
        <f>IF(J80=0,"***",Q80/J80)</f>
        <v/>
      </c>
      <c r="Y80" s="105">
        <f>IF(K80=0,"***",R80/K80)</f>
        <v/>
      </c>
    </row>
    <row r="81">
      <c r="C81" s="2" t="inlineStr">
        <is>
          <t>0027 集計</t>
        </is>
      </c>
      <c r="D81" s="15" t="inlineStr">
        <is>
          <t>中国</t>
        </is>
      </c>
      <c r="E81" s="82">
        <f>全体!E81-機械!E81</f>
        <v/>
      </c>
      <c r="F81" s="80">
        <f>全体!F81-機械!F81</f>
        <v/>
      </c>
      <c r="G81" s="80">
        <f>全体!G81-機械!G81</f>
        <v/>
      </c>
      <c r="H81" s="3">
        <f>全体!H81-機械!H81</f>
        <v/>
      </c>
      <c r="I81" s="3">
        <f>全体!I81-機械!I81</f>
        <v/>
      </c>
      <c r="J81" s="63" t="n"/>
      <c r="K81" s="56">
        <f>SUM(E81:J81)</f>
        <v/>
      </c>
      <c r="L81" s="82">
        <f>全体!L81-機械!L81</f>
        <v/>
      </c>
      <c r="M81" s="80">
        <f>全体!M81-機械!M81</f>
        <v/>
      </c>
      <c r="N81" s="80">
        <f>全体!N81-機械!N81</f>
        <v/>
      </c>
      <c r="O81" s="3">
        <f>全体!O81-機械!O81</f>
        <v/>
      </c>
      <c r="P81" s="3">
        <f>全体!P81-機械!P81</f>
        <v/>
      </c>
      <c r="Q81" s="62"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82">
        <f>全体!E82-機械!E82</f>
        <v/>
      </c>
      <c r="F82" s="80">
        <f>全体!F82-機械!F82</f>
        <v/>
      </c>
      <c r="G82" s="80">
        <f>全体!G82-機械!G82</f>
        <v/>
      </c>
      <c r="H82" s="3">
        <f>全体!H82-機械!H82</f>
        <v/>
      </c>
      <c r="I82" s="3">
        <f>全体!I82-機械!I82</f>
        <v/>
      </c>
      <c r="J82" s="63" t="n"/>
      <c r="K82" s="63">
        <f>SUM(E82:J82)</f>
        <v/>
      </c>
      <c r="L82" s="82">
        <f>全体!L82-機械!L82</f>
        <v/>
      </c>
      <c r="M82" s="80">
        <f>全体!M82-機械!M82</f>
        <v/>
      </c>
      <c r="N82" s="80">
        <f>全体!N82-機械!N82</f>
        <v/>
      </c>
      <c r="O82" s="3">
        <f>全体!O82-機械!O82</f>
        <v/>
      </c>
      <c r="P82" s="3">
        <f>全体!P82-機械!P82</f>
        <v/>
      </c>
      <c r="Q82" s="62" t="n"/>
      <c r="R82" s="62">
        <f>SUM(L82:Q82)</f>
        <v/>
      </c>
      <c r="S82" s="103" t="n"/>
      <c r="T82" s="104" t="n"/>
      <c r="U82" s="104" t="n"/>
      <c r="V82" s="104" t="n"/>
      <c r="W82" s="104" t="n"/>
      <c r="X82" s="104" t="n"/>
      <c r="Y82" s="105" t="n"/>
    </row>
    <row r="83">
      <c r="C83" s="2" t="inlineStr">
        <is>
          <t>0029 集計</t>
        </is>
      </c>
      <c r="D83" s="15" t="inlineStr">
        <is>
          <t>その他</t>
        </is>
      </c>
      <c r="E83" s="82">
        <f>全体!E83-機械!E83</f>
        <v/>
      </c>
      <c r="F83" s="80">
        <f>全体!F83-機械!F83</f>
        <v/>
      </c>
      <c r="G83" s="80">
        <f>全体!G83-機械!G83</f>
        <v/>
      </c>
      <c r="H83" s="3">
        <f>全体!H83-機械!H83</f>
        <v/>
      </c>
      <c r="I83" s="3">
        <f>全体!I83-機械!I83</f>
        <v/>
      </c>
      <c r="J83" s="3" t="n"/>
      <c r="K83" s="56">
        <f>SUM(E83:J83)</f>
        <v/>
      </c>
      <c r="L83" s="82">
        <f>全体!L83-機械!L83</f>
        <v/>
      </c>
      <c r="M83" s="80">
        <f>全体!M83-機械!M83</f>
        <v/>
      </c>
      <c r="N83" s="80">
        <f>全体!N83-機械!N83</f>
        <v/>
      </c>
      <c r="O83" s="3">
        <f>全体!O83-機械!O83</f>
        <v/>
      </c>
      <c r="P83" s="3">
        <f>全体!P83-機械!P83</f>
        <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49">
        <f>SUM(E77:E83)</f>
        <v/>
      </c>
      <c r="F84" s="6">
        <f>SUM(F77:F83)</f>
        <v/>
      </c>
      <c r="G84" s="6">
        <f>SUM(G77:G83)</f>
        <v/>
      </c>
      <c r="H84" s="6">
        <f>SUM(H77:H83)</f>
        <v/>
      </c>
      <c r="I84" s="6">
        <f>SUM(I77:I83)</f>
        <v/>
      </c>
      <c r="J84" s="6">
        <f>SUM(J77:J83)</f>
        <v/>
      </c>
      <c r="K84" s="5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2">
        <f>E77-E41</f>
        <v/>
      </c>
      <c r="F89" s="3">
        <f>F77-F41</f>
        <v/>
      </c>
      <c r="G89" s="80">
        <f>G77-G41</f>
        <v/>
      </c>
      <c r="H89" s="3">
        <f>H77-H41</f>
        <v/>
      </c>
      <c r="I89" s="3">
        <f>I77-I41</f>
        <v/>
      </c>
      <c r="J89" s="3" t="n"/>
      <c r="K89" s="56">
        <f>SUM(E89:J89)</f>
        <v/>
      </c>
      <c r="L89" s="62">
        <f>L77-L41</f>
        <v/>
      </c>
      <c r="M89" s="62">
        <f>M77-M41</f>
        <v/>
      </c>
      <c r="N89" s="81">
        <f>N77-N41</f>
        <v/>
      </c>
      <c r="O89" s="62">
        <f>O77-O41</f>
        <v/>
      </c>
      <c r="P89" s="62">
        <f>P77-P41</f>
        <v/>
      </c>
      <c r="Q89" s="62"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2">
        <f>E78-E42</f>
        <v/>
      </c>
      <c r="F90" s="3">
        <f>F78-F42</f>
        <v/>
      </c>
      <c r="G90" s="80">
        <f>G78-G42</f>
        <v/>
      </c>
      <c r="H90" s="3">
        <f>H78-H42</f>
        <v/>
      </c>
      <c r="I90" s="3">
        <f>I78-I42</f>
        <v/>
      </c>
      <c r="J90" s="3" t="n"/>
      <c r="K90" s="56">
        <f>SUM(E90:J90)</f>
        <v/>
      </c>
      <c r="L90" s="62">
        <f>L78-L42</f>
        <v/>
      </c>
      <c r="M90" s="62">
        <f>M78-M42</f>
        <v/>
      </c>
      <c r="N90" s="81">
        <f>N78-N42</f>
        <v/>
      </c>
      <c r="O90" s="62">
        <f>O78-O42</f>
        <v/>
      </c>
      <c r="P90" s="62">
        <f>P78-P42</f>
        <v/>
      </c>
      <c r="Q90" s="62"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2">
        <f>E79-E43</f>
        <v/>
      </c>
      <c r="F91" s="3">
        <f>F79-F43</f>
        <v/>
      </c>
      <c r="G91" s="80">
        <f>G79-G43</f>
        <v/>
      </c>
      <c r="H91" s="3">
        <f>H79-H43</f>
        <v/>
      </c>
      <c r="I91" s="3">
        <f>I79-I43</f>
        <v/>
      </c>
      <c r="J91" s="3" t="n"/>
      <c r="K91" s="56">
        <f>SUM(E91:J91)</f>
        <v/>
      </c>
      <c r="L91" s="62">
        <f>L79-L43</f>
        <v/>
      </c>
      <c r="M91" s="62">
        <f>M79-M43</f>
        <v/>
      </c>
      <c r="N91" s="81">
        <f>N79-N43</f>
        <v/>
      </c>
      <c r="O91" s="62">
        <f>O79-O43</f>
        <v/>
      </c>
      <c r="P91" s="62">
        <f>P79-P43</f>
        <v/>
      </c>
      <c r="Q91" s="62"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2">
        <f>E80-E44</f>
        <v/>
      </c>
      <c r="F92" s="3">
        <f>F80-F44</f>
        <v/>
      </c>
      <c r="G92" s="80">
        <f>G80-G44</f>
        <v/>
      </c>
      <c r="H92" s="3">
        <f>H80-H44</f>
        <v/>
      </c>
      <c r="I92" s="3">
        <f>I80-I44</f>
        <v/>
      </c>
      <c r="J92" s="3" t="n"/>
      <c r="K92" s="56">
        <f>SUM(E92:J92)</f>
        <v/>
      </c>
      <c r="L92" s="62">
        <f>L80-L44</f>
        <v/>
      </c>
      <c r="M92" s="62">
        <f>M80-M44</f>
        <v/>
      </c>
      <c r="N92" s="81">
        <f>N80-N44</f>
        <v/>
      </c>
      <c r="O92" s="62">
        <f>O80-O44</f>
        <v/>
      </c>
      <c r="P92" s="62">
        <f>P80-P44</f>
        <v/>
      </c>
      <c r="Q92" s="62"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69">
        <f>E81-E45</f>
        <v/>
      </c>
      <c r="F93" s="3">
        <f>F81-F45</f>
        <v/>
      </c>
      <c r="G93" s="80">
        <f>G81-G45</f>
        <v/>
      </c>
      <c r="H93" s="3">
        <f>H81-H45</f>
        <v/>
      </c>
      <c r="I93" s="3">
        <f>I81-I45</f>
        <v/>
      </c>
      <c r="J93" s="63" t="n"/>
      <c r="K93" s="56">
        <f>SUM(E93:J93)</f>
        <v/>
      </c>
      <c r="L93" s="62">
        <f>L81-L45</f>
        <v/>
      </c>
      <c r="M93" s="62">
        <f>M81-M45</f>
        <v/>
      </c>
      <c r="N93" s="81">
        <f>N81-N45</f>
        <v/>
      </c>
      <c r="O93" s="62">
        <f>O81-O45</f>
        <v/>
      </c>
      <c r="P93" s="62">
        <f>P81-P45</f>
        <v/>
      </c>
      <c r="Q93" s="62"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69">
        <f>E82-E46</f>
        <v/>
      </c>
      <c r="F94" s="3">
        <f>F82-F46</f>
        <v/>
      </c>
      <c r="G94" s="80">
        <f>G82-G46</f>
        <v/>
      </c>
      <c r="H94" s="3">
        <f>H82-H46</f>
        <v/>
      </c>
      <c r="I94" s="3">
        <f>I82-I46</f>
        <v/>
      </c>
      <c r="J94" s="63" t="n"/>
      <c r="K94" s="56">
        <f>SUM(E94:J94)</f>
        <v/>
      </c>
      <c r="L94" s="62">
        <f>L82-L46</f>
        <v/>
      </c>
      <c r="M94" s="62">
        <f>M82-M46</f>
        <v/>
      </c>
      <c r="N94" s="81">
        <f>N82-N46</f>
        <v/>
      </c>
      <c r="O94" s="62">
        <f>O82-O46</f>
        <v/>
      </c>
      <c r="P94" s="62">
        <f>P82-P46</f>
        <v/>
      </c>
      <c r="Q94" s="62" t="n"/>
      <c r="R94" s="56">
        <f>SUM(L94:Q94)</f>
        <v/>
      </c>
      <c r="S94" s="103" t="n"/>
      <c r="T94" s="104" t="n"/>
      <c r="U94" s="104" t="n"/>
      <c r="V94" s="104" t="n"/>
      <c r="W94" s="104" t="n"/>
      <c r="X94" s="104" t="n"/>
      <c r="Y94" s="105" t="n"/>
    </row>
    <row r="95">
      <c r="C95" s="2" t="inlineStr">
        <is>
          <t>0029 集計</t>
        </is>
      </c>
      <c r="D95" s="15" t="inlineStr">
        <is>
          <t>その他</t>
        </is>
      </c>
      <c r="E95" s="2">
        <f>E83-E47</f>
        <v/>
      </c>
      <c r="F95" s="3">
        <f>F83-F47</f>
        <v/>
      </c>
      <c r="G95" s="80">
        <f>G83-G47</f>
        <v/>
      </c>
      <c r="H95" s="3">
        <f>H83-H47</f>
        <v/>
      </c>
      <c r="I95" s="3">
        <f>I83-I47</f>
        <v/>
      </c>
      <c r="J95" s="3" t="n"/>
      <c r="K95" s="56">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49">
        <f>SUM(E89:E95)</f>
        <v/>
      </c>
      <c r="F96" s="6">
        <f>SUM(F89:F95)</f>
        <v/>
      </c>
      <c r="G96" s="6">
        <f>SUM(G89:G95)</f>
        <v/>
      </c>
      <c r="H96" s="6">
        <f>SUM(H89:H95)</f>
        <v/>
      </c>
      <c r="I96" s="6">
        <f>SUM(I89:I95)</f>
        <v/>
      </c>
      <c r="J96" s="6">
        <f>SUM(J89:J95)</f>
        <v/>
      </c>
      <c r="K96" s="5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2">
        <f>E77-E17</f>
        <v/>
      </c>
      <c r="F101" s="3">
        <f>F77-F17</f>
        <v/>
      </c>
      <c r="G101" s="80">
        <f>G77-G17</f>
        <v/>
      </c>
      <c r="H101" s="3">
        <f>H77-H17</f>
        <v/>
      </c>
      <c r="I101" s="3">
        <f>I77-I17</f>
        <v/>
      </c>
      <c r="J101" s="3" t="n"/>
      <c r="K101" s="56">
        <f>SUM(E101:J101)</f>
        <v/>
      </c>
      <c r="L101" s="62">
        <f>L77-L17</f>
        <v/>
      </c>
      <c r="M101" s="62">
        <f>M77-M17</f>
        <v/>
      </c>
      <c r="N101" s="81">
        <f>N77-N17</f>
        <v/>
      </c>
      <c r="O101" s="62">
        <f>O77-O17</f>
        <v/>
      </c>
      <c r="P101" s="62">
        <f>P77-P17</f>
        <v/>
      </c>
      <c r="Q101" s="62"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2">
        <f>E78-E18</f>
        <v/>
      </c>
      <c r="F102" s="3">
        <f>F78-F18</f>
        <v/>
      </c>
      <c r="G102" s="80">
        <f>G78-G18</f>
        <v/>
      </c>
      <c r="H102" s="3">
        <f>H78-H18</f>
        <v/>
      </c>
      <c r="I102" s="3">
        <f>I78-I18</f>
        <v/>
      </c>
      <c r="J102" s="3" t="n"/>
      <c r="K102" s="56">
        <f>SUM(E102:J102)</f>
        <v/>
      </c>
      <c r="L102" s="62">
        <f>L78-L18</f>
        <v/>
      </c>
      <c r="M102" s="62">
        <f>M78-M18</f>
        <v/>
      </c>
      <c r="N102" s="81">
        <f>N78-N18</f>
        <v/>
      </c>
      <c r="O102" s="62">
        <f>O78-O18</f>
        <v/>
      </c>
      <c r="P102" s="62">
        <f>P78-P18</f>
        <v/>
      </c>
      <c r="Q102" s="62"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2">
        <f>E79-E19</f>
        <v/>
      </c>
      <c r="F103" s="3">
        <f>F79-F19</f>
        <v/>
      </c>
      <c r="G103" s="80">
        <f>G79-G19</f>
        <v/>
      </c>
      <c r="H103" s="3">
        <f>H79-H19</f>
        <v/>
      </c>
      <c r="I103" s="3">
        <f>I79-I19</f>
        <v/>
      </c>
      <c r="J103" s="3" t="n"/>
      <c r="K103" s="56">
        <f>SUM(E103:J103)</f>
        <v/>
      </c>
      <c r="L103" s="62">
        <f>L79-L19</f>
        <v/>
      </c>
      <c r="M103" s="62">
        <f>M79-M19</f>
        <v/>
      </c>
      <c r="N103" s="81">
        <f>N79-N19</f>
        <v/>
      </c>
      <c r="O103" s="62">
        <f>O79-O19</f>
        <v/>
      </c>
      <c r="P103" s="62">
        <f>P79-P19</f>
        <v/>
      </c>
      <c r="Q103" s="62"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2">
        <f>E80-E20</f>
        <v/>
      </c>
      <c r="F104" s="3">
        <f>F80-F20</f>
        <v/>
      </c>
      <c r="G104" s="80">
        <f>G80-G20</f>
        <v/>
      </c>
      <c r="H104" s="3">
        <f>H80-H20</f>
        <v/>
      </c>
      <c r="I104" s="3">
        <f>I80-I20</f>
        <v/>
      </c>
      <c r="J104" s="3" t="n"/>
      <c r="K104" s="56">
        <f>SUM(E104:J104)</f>
        <v/>
      </c>
      <c r="L104" s="62">
        <f>L80-L20</f>
        <v/>
      </c>
      <c r="M104" s="62">
        <f>M80-M20</f>
        <v/>
      </c>
      <c r="N104" s="81">
        <f>N80-N20</f>
        <v/>
      </c>
      <c r="O104" s="62">
        <f>O80-O20</f>
        <v/>
      </c>
      <c r="P104" s="62">
        <f>P80-P20</f>
        <v/>
      </c>
      <c r="Q104" s="62"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2">
        <f>E81-E21</f>
        <v/>
      </c>
      <c r="F105" s="70">
        <f>F81-F21</f>
        <v/>
      </c>
      <c r="G105" s="80">
        <f>G81-G21</f>
        <v/>
      </c>
      <c r="H105" s="3">
        <f>H81-H21</f>
        <v/>
      </c>
      <c r="I105" s="3">
        <f>I81-I21</f>
        <v/>
      </c>
      <c r="J105" s="63" t="n"/>
      <c r="K105" s="56">
        <f>SUM(E105:J105)</f>
        <v/>
      </c>
      <c r="L105" s="62">
        <f>L81-L21</f>
        <v/>
      </c>
      <c r="M105" s="62">
        <f>M81-M21</f>
        <v/>
      </c>
      <c r="N105" s="81">
        <f>N81-N21</f>
        <v/>
      </c>
      <c r="O105" s="62">
        <f>O81-O21</f>
        <v/>
      </c>
      <c r="P105" s="62">
        <f>P81-P21</f>
        <v/>
      </c>
      <c r="Q105" s="62"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2">
        <f>E82-E22</f>
        <v/>
      </c>
      <c r="F106" s="70">
        <f>F82-F22</f>
        <v/>
      </c>
      <c r="G106" s="80">
        <f>G82-G22</f>
        <v/>
      </c>
      <c r="H106" s="3">
        <f>H82-H22</f>
        <v/>
      </c>
      <c r="I106" s="3">
        <f>I82-I22</f>
        <v/>
      </c>
      <c r="J106" s="63" t="n"/>
      <c r="K106" s="56">
        <f>SUM(E106:J106)</f>
        <v/>
      </c>
      <c r="L106" s="62">
        <f>L82-L22</f>
        <v/>
      </c>
      <c r="M106" s="62">
        <f>M82-M22</f>
        <v/>
      </c>
      <c r="N106" s="81">
        <f>N82-N22</f>
        <v/>
      </c>
      <c r="O106" s="62">
        <f>O82-O22</f>
        <v/>
      </c>
      <c r="P106" s="62">
        <f>P82-P22</f>
        <v/>
      </c>
      <c r="Q106" s="62" t="n"/>
      <c r="R106" s="56">
        <f>SUM(L106:Q106)</f>
        <v/>
      </c>
      <c r="S106" s="103" t="n"/>
      <c r="T106" s="104" t="n"/>
      <c r="U106" s="104" t="n"/>
      <c r="V106" s="104" t="n"/>
      <c r="W106" s="104" t="n"/>
      <c r="X106" s="104" t="n"/>
      <c r="Y106" s="111" t="n"/>
    </row>
    <row r="107">
      <c r="C107" s="2" t="inlineStr">
        <is>
          <t>0029 集計</t>
        </is>
      </c>
      <c r="D107" s="15" t="inlineStr">
        <is>
          <t>その他</t>
        </is>
      </c>
      <c r="E107" s="2">
        <f>E83-E23</f>
        <v/>
      </c>
      <c r="F107" s="3">
        <f>F83-F23</f>
        <v/>
      </c>
      <c r="G107" s="80">
        <f>G83-G23</f>
        <v/>
      </c>
      <c r="H107" s="3">
        <f>H83-H23</f>
        <v/>
      </c>
      <c r="I107" s="3">
        <f>I83-I23</f>
        <v/>
      </c>
      <c r="J107" s="3" t="n"/>
      <c r="K107" s="56">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49">
        <f>SUM(E101:E107)</f>
        <v/>
      </c>
      <c r="F108" s="6">
        <f>SUM(F101:F107)</f>
        <v/>
      </c>
      <c r="G108" s="6">
        <f>SUM(G101:G107)</f>
        <v/>
      </c>
      <c r="H108" s="6">
        <f>SUM(H101:H107)</f>
        <v/>
      </c>
      <c r="I108" s="6">
        <f>SUM(I101:I107)</f>
        <v/>
      </c>
      <c r="J108" s="6">
        <f>SUM(J101:J107)</f>
        <v/>
      </c>
      <c r="K108" s="5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2.xml><?xml version="1.0" encoding="utf-8"?>
<worksheet xmlns="http://schemas.openxmlformats.org/spreadsheetml/2006/main">
  <sheetPr>
    <tabColor theme="8" tint="-0.249977111117893"/>
    <outlinePr summaryBelow="1" summaryRight="1"/>
    <pageSetUpPr fitToPage="1"/>
  </sheetPr>
  <dimension ref="C1:Y108"/>
  <sheetViews>
    <sheetView tabSelected="1" zoomScaleNormal="100" workbookViewId="0">
      <pane xSplit="4" ySplit="1" topLeftCell="E2" activePane="bottomRight" state="frozen"/>
      <selection activeCell="E89" sqref="E89"/>
      <selection pane="topRight" activeCell="E89" sqref="E89"/>
      <selection pane="bottomLeft" activeCell="E89" sqref="E89"/>
      <selection pane="bottomRight" activeCell="L8" sqref="L8"/>
    </sheetView>
  </sheetViews>
  <sheetFormatPr baseColWidth="8" defaultRowHeight="18.75"/>
  <cols>
    <col width="9.75" bestFit="1" customWidth="1" style="93" min="3" max="3"/>
    <col width="10.125" customWidth="1" style="93" min="5" max="25"/>
  </cols>
  <sheetData>
    <row r="1">
      <c r="C1" s="17" t="inlineStr">
        <is>
          <t>下関営業所機械</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114</v>
      </c>
      <c r="F5" s="3" t="n">
        <v>827</v>
      </c>
      <c r="G5" s="3" t="n">
        <v>107</v>
      </c>
      <c r="H5" s="3" t="n">
        <v>107</v>
      </c>
      <c r="I5" s="3" t="n">
        <v>93</v>
      </c>
      <c r="J5" s="3" t="n">
        <v>44</v>
      </c>
      <c r="K5" s="59">
        <f>SUM(E5:J5)</f>
        <v/>
      </c>
      <c r="L5" s="2" t="n">
        <v>17</v>
      </c>
      <c r="M5" s="3" t="n">
        <v>195</v>
      </c>
      <c r="N5" s="3" t="n">
        <v>15</v>
      </c>
      <c r="O5" s="3" t="n">
        <v>15</v>
      </c>
      <c r="P5" s="3" t="n">
        <v>17</v>
      </c>
      <c r="Q5" s="3" t="n">
        <v>22</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225</v>
      </c>
      <c r="F6" s="3" t="n">
        <v>66</v>
      </c>
      <c r="G6" s="3" t="n">
        <v>68</v>
      </c>
      <c r="H6" s="3" t="n">
        <v>94</v>
      </c>
      <c r="I6" s="3" t="n">
        <v>0</v>
      </c>
      <c r="J6" s="3" t="n">
        <v>60</v>
      </c>
      <c r="K6" s="59">
        <f>SUM(E6:J6)</f>
        <v/>
      </c>
      <c r="L6" s="2" t="n">
        <v>42</v>
      </c>
      <c r="M6" s="3" t="n">
        <v>10</v>
      </c>
      <c r="N6" s="3" t="n">
        <v>-56</v>
      </c>
      <c r="O6" s="3" t="n">
        <v>6</v>
      </c>
      <c r="P6" s="3" t="n">
        <v>0</v>
      </c>
      <c r="Q6" s="3" t="n">
        <v>12</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60</v>
      </c>
      <c r="F7" s="3" t="n">
        <v>844</v>
      </c>
      <c r="G7" s="3" t="n">
        <v>0</v>
      </c>
      <c r="H7" s="3" t="n">
        <v>0</v>
      </c>
      <c r="I7" s="3" t="n">
        <v>38</v>
      </c>
      <c r="J7" s="3" t="n">
        <v>4</v>
      </c>
      <c r="K7" s="59">
        <f>SUM(E7:J7)</f>
        <v/>
      </c>
      <c r="L7" s="2" t="n">
        <v>12</v>
      </c>
      <c r="M7" s="3" t="n">
        <v>113</v>
      </c>
      <c r="N7" s="3" t="n">
        <v>0</v>
      </c>
      <c r="O7" s="3" t="n">
        <v>0</v>
      </c>
      <c r="P7" s="3" t="n">
        <v>5</v>
      </c>
      <c r="Q7" s="3" t="n">
        <v>1</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66</v>
      </c>
      <c r="F8" s="3" t="n">
        <v>67</v>
      </c>
      <c r="G8" s="3" t="n">
        <v>50</v>
      </c>
      <c r="H8" s="3" t="n">
        <v>241</v>
      </c>
      <c r="I8" s="3" t="n">
        <v>42</v>
      </c>
      <c r="J8" s="3" t="n">
        <v>259</v>
      </c>
      <c r="K8" s="59">
        <f>SUM(E8:J8)</f>
        <v/>
      </c>
      <c r="L8" s="2" t="n">
        <v>10</v>
      </c>
      <c r="M8" s="3" t="n">
        <v>16</v>
      </c>
      <c r="N8" s="3" t="n">
        <v>8</v>
      </c>
      <c r="O8" s="3" t="n">
        <v>51</v>
      </c>
      <c r="P8" s="3" t="n">
        <v>6</v>
      </c>
      <c r="Q8" s="3" t="n">
        <v>38</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c r="F9" s="3" t="n"/>
      <c r="G9" s="3" t="n"/>
      <c r="H9" s="3" t="n"/>
      <c r="I9" s="3" t="n"/>
      <c r="J9" s="3" t="n"/>
      <c r="K9" s="59">
        <f>SUM(E9:J9)</f>
        <v/>
      </c>
      <c r="L9" s="2" t="n"/>
      <c r="M9" s="3" t="n"/>
      <c r="N9" s="3" t="n"/>
      <c r="O9" s="3" t="n"/>
      <c r="P9" s="3" t="n"/>
      <c r="Q9" s="3" t="n"/>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c r="F11" s="3" t="n"/>
      <c r="G11" s="3" t="n"/>
      <c r="H11" s="3" t="n"/>
      <c r="I11" s="3" t="n"/>
      <c r="J11" s="3" t="n"/>
      <c r="K11" s="59">
        <f>SUM(E11:J11)</f>
        <v/>
      </c>
      <c r="L11" s="2" t="n"/>
      <c r="M11" s="3" t="n"/>
      <c r="N11" s="3" t="n"/>
      <c r="O11" s="3" t="n"/>
      <c r="P11" s="3" t="n"/>
      <c r="Q11" s="3" t="n"/>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72" t="n">
        <v>88</v>
      </c>
      <c r="F17" s="68" t="n">
        <v>12</v>
      </c>
      <c r="G17" s="68" t="n">
        <v>12</v>
      </c>
      <c r="H17" s="68" t="n">
        <v>284</v>
      </c>
      <c r="I17" s="68" t="n">
        <v>12</v>
      </c>
      <c r="J17" s="68" t="n">
        <v>0</v>
      </c>
      <c r="K17" s="59">
        <f>SUM(E17:J17)</f>
        <v/>
      </c>
      <c r="L17" s="72" t="n">
        <v>16</v>
      </c>
      <c r="M17" s="68" t="n">
        <v>1</v>
      </c>
      <c r="N17" s="68" t="n">
        <v>1</v>
      </c>
      <c r="O17" s="68" t="n">
        <v>49</v>
      </c>
      <c r="P17" s="68" t="n">
        <v>1</v>
      </c>
      <c r="Q17" s="68" t="n">
        <v>0</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72" t="n">
        <v>103</v>
      </c>
      <c r="F18" s="68" t="n">
        <v>182</v>
      </c>
      <c r="G18" s="68" t="n">
        <v>53</v>
      </c>
      <c r="H18" s="68" t="n">
        <v>119</v>
      </c>
      <c r="I18" s="68" t="n">
        <v>78</v>
      </c>
      <c r="J18" s="68" t="n">
        <v>36</v>
      </c>
      <c r="K18" s="59">
        <f>SUM(E18:J18)</f>
        <v/>
      </c>
      <c r="L18" s="72" t="n">
        <v>23</v>
      </c>
      <c r="M18" s="68" t="n">
        <v>37</v>
      </c>
      <c r="N18" s="68" t="n">
        <v>7</v>
      </c>
      <c r="O18" s="68" t="n">
        <v>108</v>
      </c>
      <c r="P18" s="68" t="n">
        <v>17</v>
      </c>
      <c r="Q18" s="68" t="n">
        <v>4</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72" t="n">
        <v>1916</v>
      </c>
      <c r="F19" s="68" t="n">
        <v>18</v>
      </c>
      <c r="G19" s="68" t="n">
        <v>54</v>
      </c>
      <c r="H19" s="68" t="n">
        <v>0</v>
      </c>
      <c r="I19" s="68" t="n">
        <v>0</v>
      </c>
      <c r="J19" s="68" t="n">
        <v>108</v>
      </c>
      <c r="K19" s="59">
        <f>SUM(E19:J19)</f>
        <v/>
      </c>
      <c r="L19" s="72" t="n">
        <v>196</v>
      </c>
      <c r="M19" s="68" t="n">
        <v>3</v>
      </c>
      <c r="N19" s="68" t="n">
        <v>5</v>
      </c>
      <c r="O19" s="68" t="n">
        <v>0</v>
      </c>
      <c r="P19" s="68" t="n">
        <v>0</v>
      </c>
      <c r="Q19" s="68" t="n">
        <v>22</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72" t="n">
        <v>538</v>
      </c>
      <c r="F20" s="68" t="n">
        <v>86</v>
      </c>
      <c r="G20" s="68" t="n">
        <v>147</v>
      </c>
      <c r="H20" s="68" t="n">
        <v>116</v>
      </c>
      <c r="I20" s="68" t="n">
        <v>94</v>
      </c>
      <c r="J20" s="68" t="n">
        <v>311</v>
      </c>
      <c r="K20" s="59">
        <f>SUM(E20:J20)</f>
        <v/>
      </c>
      <c r="L20" s="72" t="n">
        <v>55</v>
      </c>
      <c r="M20" s="68" t="n">
        <v>10</v>
      </c>
      <c r="N20" s="68" t="n">
        <v>27</v>
      </c>
      <c r="O20" s="68" t="n">
        <v>15</v>
      </c>
      <c r="P20" s="68" t="n">
        <v>9</v>
      </c>
      <c r="Q20" s="68" t="n">
        <v>17</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c r="F21" s="3" t="n"/>
      <c r="G21" s="3" t="n"/>
      <c r="H21" s="3" t="n"/>
      <c r="I21" s="3" t="n"/>
      <c r="J21" s="3" t="n"/>
      <c r="K21" s="59">
        <f>SUM(E21:J21)</f>
        <v/>
      </c>
      <c r="L21" s="2" t="n"/>
      <c r="M21" s="3" t="n"/>
      <c r="N21" s="3" t="n"/>
      <c r="O21" s="3" t="n"/>
      <c r="P21" s="3" t="n"/>
      <c r="Q21" s="3" t="n"/>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c r="F22" s="3" t="n"/>
      <c r="G22" s="3" t="n"/>
      <c r="H22" s="3" t="n"/>
      <c r="I22" s="3" t="n"/>
      <c r="J22" s="3" t="n"/>
      <c r="K22" s="59">
        <f>SUM(E22:J22)</f>
        <v/>
      </c>
      <c r="L22" s="2" t="n"/>
      <c r="M22" s="3" t="n"/>
      <c r="N22" s="3" t="n"/>
      <c r="O22" s="3" t="n"/>
      <c r="P22" s="3" t="n"/>
      <c r="Q22" s="3" t="n"/>
      <c r="R22" s="56">
        <f>SUM(L22:Q22)</f>
        <v/>
      </c>
      <c r="S22" s="103" t="n"/>
      <c r="T22" s="104" t="n"/>
      <c r="U22" s="104" t="n"/>
      <c r="V22" s="104" t="n"/>
      <c r="W22" s="104" t="n"/>
      <c r="X22" s="104" t="n"/>
      <c r="Y22" s="105" t="n"/>
    </row>
    <row r="23">
      <c r="C23" s="2" t="inlineStr">
        <is>
          <t>0029 集計</t>
        </is>
      </c>
      <c r="D23" s="15" t="inlineStr">
        <is>
          <t>その他</t>
        </is>
      </c>
      <c r="E23" s="3" t="n"/>
      <c r="F23" s="3" t="n"/>
      <c r="G23" s="3" t="n"/>
      <c r="H23" s="3" t="n"/>
      <c r="I23" s="3" t="n"/>
      <c r="J23" s="3" t="n"/>
      <c r="K23" s="59">
        <f>SUM(E23:J23)</f>
        <v/>
      </c>
      <c r="L23" s="2" t="n"/>
      <c r="M23" s="3" t="n"/>
      <c r="N23" s="3" t="n"/>
      <c r="O23" s="3" t="n"/>
      <c r="P23" s="3" t="n"/>
      <c r="Q23" s="3" t="n"/>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9" t="n"/>
      <c r="L34" s="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150</v>
      </c>
      <c r="F41" s="3" t="n">
        <v>150</v>
      </c>
      <c r="G41" s="3" t="n">
        <v>150</v>
      </c>
      <c r="H41" s="3" t="n">
        <v>150</v>
      </c>
      <c r="I41" s="3" t="n">
        <v>150</v>
      </c>
      <c r="J41" s="3" t="n">
        <v>150</v>
      </c>
      <c r="K41" s="59">
        <f>SUM(E41:J41)</f>
        <v/>
      </c>
      <c r="L41" s="2" t="n">
        <v>25</v>
      </c>
      <c r="M41" s="3" t="n">
        <v>25</v>
      </c>
      <c r="N41" s="3" t="n">
        <v>25</v>
      </c>
      <c r="O41" s="3" t="n">
        <v>25</v>
      </c>
      <c r="P41" s="3" t="n">
        <v>25</v>
      </c>
      <c r="Q41" s="3" t="n">
        <v>25</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3240</v>
      </c>
      <c r="F42" s="3" t="n"/>
      <c r="G42" s="3" t="n"/>
      <c r="H42" s="3" t="n"/>
      <c r="I42" s="3" t="n"/>
      <c r="J42" s="3" t="n"/>
      <c r="K42" s="59">
        <f>SUM(E42:J42)</f>
        <v/>
      </c>
      <c r="L42" s="2" t="n">
        <v>430</v>
      </c>
      <c r="M42" s="3" t="n"/>
      <c r="N42" s="3" t="n"/>
      <c r="O42" s="3" t="n"/>
      <c r="P42" s="3" t="n"/>
      <c r="Q42" s="3" t="n"/>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150</v>
      </c>
      <c r="F43" s="3" t="n">
        <v>150</v>
      </c>
      <c r="G43" s="3" t="n">
        <v>150</v>
      </c>
      <c r="H43" s="3" t="n">
        <v>150</v>
      </c>
      <c r="I43" s="3" t="n">
        <v>150</v>
      </c>
      <c r="J43" s="3" t="n">
        <v>150</v>
      </c>
      <c r="K43" s="59">
        <f>SUM(E43:J43)</f>
        <v/>
      </c>
      <c r="L43" s="2" t="n">
        <v>25</v>
      </c>
      <c r="M43" s="3" t="n">
        <v>25</v>
      </c>
      <c r="N43" s="3" t="n">
        <v>25</v>
      </c>
      <c r="O43" s="3" t="n">
        <v>25</v>
      </c>
      <c r="P43" s="3" t="n">
        <v>25</v>
      </c>
      <c r="Q43" s="3" t="n">
        <v>25</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200</v>
      </c>
      <c r="F44" s="3" t="n">
        <v>200</v>
      </c>
      <c r="G44" s="3" t="n"/>
      <c r="H44" s="3" t="n"/>
      <c r="I44" s="3" t="n"/>
      <c r="J44" s="3" t="n">
        <v>10000</v>
      </c>
      <c r="K44" s="59">
        <f>SUM(E44:J44)</f>
        <v/>
      </c>
      <c r="L44" s="2" t="n">
        <v>40</v>
      </c>
      <c r="M44" s="3" t="n">
        <v>40</v>
      </c>
      <c r="N44" s="3" t="n"/>
      <c r="O44" s="3" t="n"/>
      <c r="P44" s="3" t="n"/>
      <c r="Q44" s="3" t="n">
        <v>1430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c r="F45" s="3" t="n"/>
      <c r="G45" s="3" t="n"/>
      <c r="H45" s="3" t="n"/>
      <c r="I45" s="3" t="n"/>
      <c r="J45" s="3" t="n"/>
      <c r="K45" s="59">
        <f>SUM(E45:J45)</f>
        <v/>
      </c>
      <c r="L45" s="2" t="n"/>
      <c r="M45" s="3" t="n"/>
      <c r="N45" s="3" t="n"/>
      <c r="O45" s="3" t="n"/>
      <c r="P45" s="3" t="n"/>
      <c r="Q45" s="3" t="n"/>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12" t="n"/>
      <c r="L49" s="11" t="n"/>
      <c r="M49" s="11" t="n"/>
      <c r="N49" s="11" t="n"/>
      <c r="O49" s="11" t="n"/>
      <c r="P49" s="11" t="n"/>
      <c r="Q49" s="11"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87.5</v>
      </c>
      <c r="F77" s="3" t="n">
        <v>27</v>
      </c>
      <c r="G77" s="80" t="n">
        <v>68.3</v>
      </c>
      <c r="H77" s="3" t="n">
        <v>93.3</v>
      </c>
      <c r="I77" s="3" t="n">
        <v>39.5</v>
      </c>
      <c r="J77" s="3" t="n"/>
      <c r="K77" s="59">
        <f>SUM(E77:J77)</f>
        <v/>
      </c>
      <c r="L77" s="2" t="n">
        <v>13</v>
      </c>
      <c r="M77" s="3" t="n">
        <v>4.05</v>
      </c>
      <c r="N77" s="80" t="n">
        <v>11.37</v>
      </c>
      <c r="O77" s="3" t="n">
        <v>17.735</v>
      </c>
      <c r="P77" s="3" t="n">
        <v>8.25</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29.8</v>
      </c>
      <c r="F78" s="3" t="n">
        <v>3381.3</v>
      </c>
      <c r="G78" s="80" t="n">
        <v>49.6</v>
      </c>
      <c r="H78" s="3" t="n">
        <v>583.3200000000001</v>
      </c>
      <c r="I78" s="3" t="n">
        <v>313</v>
      </c>
      <c r="J78" s="3" t="n"/>
      <c r="K78" s="59">
        <f>SUM(E78:J78)</f>
        <v/>
      </c>
      <c r="L78" s="2" t="n">
        <v>1.49</v>
      </c>
      <c r="M78" s="3" t="n">
        <v>444.769</v>
      </c>
      <c r="N78" s="80" t="n">
        <v>7.94</v>
      </c>
      <c r="O78" s="3" t="n">
        <v>64.078</v>
      </c>
      <c r="P78" s="3" t="n">
        <v>61.68</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c r="F79" s="3" t="n">
        <v>81</v>
      </c>
      <c r="G79" s="3" t="n"/>
      <c r="H79" s="3" t="n">
        <v>54</v>
      </c>
      <c r="I79" s="3" t="n">
        <v>0</v>
      </c>
      <c r="J79" s="3" t="n"/>
      <c r="K79" s="59">
        <f>SUM(E79:J79)</f>
        <v/>
      </c>
      <c r="L79" s="2" t="n"/>
      <c r="M79" s="3" t="n">
        <v>12.96</v>
      </c>
      <c r="N79" s="3" t="n"/>
      <c r="O79" s="3" t="n">
        <v>5</v>
      </c>
      <c r="P79" s="3" t="n">
        <v>0</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568.65</v>
      </c>
      <c r="F80" s="3" t="n">
        <v>195.37</v>
      </c>
      <c r="G80" s="80" t="n">
        <v>52.05</v>
      </c>
      <c r="H80" s="3" t="n">
        <v>450.75</v>
      </c>
      <c r="I80" s="3" t="n">
        <v>249.91</v>
      </c>
      <c r="J80" s="3" t="n"/>
      <c r="K80" s="59">
        <f>SUM(E80:J80)</f>
        <v/>
      </c>
      <c r="L80" s="2" t="n">
        <v>90</v>
      </c>
      <c r="M80" s="3" t="n">
        <v>15.69</v>
      </c>
      <c r="N80" s="80" t="n">
        <v>9.51</v>
      </c>
      <c r="O80" s="3" t="n">
        <v>84.63</v>
      </c>
      <c r="P80" s="3" t="n">
        <v>40.47</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3" t="n"/>
      <c r="H82" s="3" t="n"/>
      <c r="I82" s="3" t="n">
        <v>0</v>
      </c>
      <c r="J82" s="3" t="n"/>
      <c r="K82" s="3">
        <f>SUM(E82:J82)</f>
        <v/>
      </c>
      <c r="L82" s="2" t="n"/>
      <c r="M82" s="3" t="n"/>
      <c r="N82" s="3" t="n"/>
      <c r="O82" s="3" t="n"/>
      <c r="P82" s="3" t="n">
        <v>0</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4"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72"/>
</worksheet>
</file>

<file path=xl/worksheets/sheet3.xml><?xml version="1.0" encoding="utf-8"?>
<worksheet xmlns="http://schemas.openxmlformats.org/spreadsheetml/2006/main">
  <sheetPr>
    <outlinePr summaryBelow="1" summaryRight="1"/>
    <pageSetUpPr fitToPage="1"/>
  </sheetPr>
  <dimension ref="C1:Y108"/>
  <sheetViews>
    <sheetView topLeftCell="A43" zoomScaleNormal="100" workbookViewId="0">
      <pane xSplit="4" topLeftCell="E1" activePane="topRight" state="frozen"/>
      <selection activeCell="E89" sqref="E89"/>
      <selection pane="topRight" activeCell="N82" sqref="N82"/>
    </sheetView>
  </sheetViews>
  <sheetFormatPr baseColWidth="8" defaultRowHeight="18.75"/>
  <cols>
    <col width="9.75" bestFit="1" customWidth="1" style="93" min="3" max="3"/>
    <col width="10.125" customWidth="1" style="93" min="5" max="25"/>
  </cols>
  <sheetData>
    <row r="1" ht="24" customHeight="1" s="93">
      <c r="C1" s="17" t="inlineStr">
        <is>
          <t>下関営業所全体</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11753.171</v>
      </c>
      <c r="F5" s="3" t="n">
        <v>10563.879</v>
      </c>
      <c r="G5" s="3" t="n">
        <v>9223.070000000002</v>
      </c>
      <c r="H5" s="3" t="n">
        <v>10595.855</v>
      </c>
      <c r="I5" s="3" t="n">
        <v>10776.385</v>
      </c>
      <c r="J5" s="3" t="n">
        <v>8638.655999999999</v>
      </c>
      <c r="K5" s="59">
        <f>SUM(E5:J5)</f>
        <v/>
      </c>
      <c r="L5" s="2" t="n">
        <v>2624.741</v>
      </c>
      <c r="M5" s="3" t="n">
        <v>2364.820999999999</v>
      </c>
      <c r="N5" s="3" t="n">
        <v>2014.608</v>
      </c>
      <c r="O5" s="3" t="n">
        <v>2326.429</v>
      </c>
      <c r="P5" s="3" t="n">
        <v>2387.037</v>
      </c>
      <c r="Q5" s="3" t="n">
        <v>2072.398</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13328.239</v>
      </c>
      <c r="F6" s="3" t="n">
        <v>10428.931</v>
      </c>
      <c r="G6" s="3" t="n">
        <v>11991.208</v>
      </c>
      <c r="H6" s="3" t="n">
        <v>13843.186</v>
      </c>
      <c r="I6" s="3" t="n">
        <v>11383.003</v>
      </c>
      <c r="J6" s="3" t="n">
        <v>14024.166</v>
      </c>
      <c r="K6" s="59">
        <f>SUM(E6:J6)</f>
        <v/>
      </c>
      <c r="L6" s="2" t="n">
        <v>2832.923</v>
      </c>
      <c r="M6" s="3" t="n">
        <v>2155.516</v>
      </c>
      <c r="N6" s="3" t="n">
        <v>2459.638</v>
      </c>
      <c r="O6" s="3" t="n">
        <v>2954.298</v>
      </c>
      <c r="P6" s="3" t="n">
        <v>2296.569</v>
      </c>
      <c r="Q6" s="3" t="n">
        <v>2908.856000000001</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9755.117999999999</v>
      </c>
      <c r="F7" s="3" t="n">
        <v>8922.02</v>
      </c>
      <c r="G7" s="3" t="n">
        <v>7512.022999999999</v>
      </c>
      <c r="H7" s="3" t="n">
        <v>8068.27</v>
      </c>
      <c r="I7" s="3" t="n">
        <v>8839.392000000002</v>
      </c>
      <c r="J7" s="3" t="n">
        <v>9951.129000000001</v>
      </c>
      <c r="K7" s="59">
        <f>SUM(E7:J7)</f>
        <v/>
      </c>
      <c r="L7" s="2" t="n">
        <v>1820.776</v>
      </c>
      <c r="M7" s="3" t="n">
        <v>1584.587</v>
      </c>
      <c r="N7" s="3" t="n">
        <v>1260.419</v>
      </c>
      <c r="O7" s="3" t="n">
        <v>1425.398</v>
      </c>
      <c r="P7" s="3" t="n">
        <v>1569.458</v>
      </c>
      <c r="Q7" s="3" t="n">
        <v>1621.124</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13260.614</v>
      </c>
      <c r="F8" s="3" t="n">
        <v>11607.928</v>
      </c>
      <c r="G8" s="3" t="n">
        <v>11655.598</v>
      </c>
      <c r="H8" s="3" t="n">
        <v>12809.026</v>
      </c>
      <c r="I8" s="3" t="n">
        <v>11252.949</v>
      </c>
      <c r="J8" s="3" t="n">
        <v>11636.983</v>
      </c>
      <c r="K8" s="59">
        <f>SUM(E8:J8)</f>
        <v/>
      </c>
      <c r="L8" s="2" t="n">
        <v>2517.61</v>
      </c>
      <c r="M8" s="3" t="n">
        <v>2235.196</v>
      </c>
      <c r="N8" s="3" t="n">
        <v>2179.799</v>
      </c>
      <c r="O8" s="3" t="n">
        <v>2431.708</v>
      </c>
      <c r="P8" s="3" t="n">
        <v>2204.012</v>
      </c>
      <c r="Q8" s="3" t="n">
        <v>2268.755</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v>3244.418</v>
      </c>
      <c r="F9" s="3" t="n">
        <v>0</v>
      </c>
      <c r="G9" s="3" t="n">
        <v>0</v>
      </c>
      <c r="H9" s="3" t="n">
        <v>0</v>
      </c>
      <c r="I9" s="3" t="n">
        <v>0</v>
      </c>
      <c r="J9" s="3" t="n">
        <v>2238.475</v>
      </c>
      <c r="K9" s="59">
        <f>SUM(E9:J9)</f>
        <v/>
      </c>
      <c r="L9" s="2" t="n">
        <v>177.043</v>
      </c>
      <c r="M9" s="3" t="n">
        <v>0</v>
      </c>
      <c r="N9" s="3" t="n">
        <v>0</v>
      </c>
      <c r="O9" s="3" t="n">
        <v>0</v>
      </c>
      <c r="P9" s="3" t="n">
        <v>0</v>
      </c>
      <c r="Q9" s="3" t="n">
        <v>136.78</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v>75.2</v>
      </c>
      <c r="F11" s="3" t="n">
        <v>1.8</v>
      </c>
      <c r="G11" s="3" t="n">
        <v>0</v>
      </c>
      <c r="H11" s="3" t="n">
        <v>0</v>
      </c>
      <c r="I11" s="3" t="n">
        <v>0</v>
      </c>
      <c r="J11" s="3" t="n">
        <v>0</v>
      </c>
      <c r="K11" s="59">
        <f>SUM(E11:J11)</f>
        <v/>
      </c>
      <c r="L11" s="2" t="n">
        <v>16.72</v>
      </c>
      <c r="M11" s="3" t="n">
        <v>0.525</v>
      </c>
      <c r="N11" s="3" t="n">
        <v>0</v>
      </c>
      <c r="O11" s="3" t="n">
        <v>0</v>
      </c>
      <c r="P11" s="3" t="n">
        <v>0</v>
      </c>
      <c r="Q11" s="3" t="n">
        <v>0</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3" t="n">
        <v>12613.22</v>
      </c>
      <c r="F17" s="3" t="n">
        <v>8701.223999999998</v>
      </c>
      <c r="G17" s="3" t="n">
        <v>8907.097000000002</v>
      </c>
      <c r="H17" s="3" t="n">
        <v>11991.28</v>
      </c>
      <c r="I17" s="3" t="n">
        <v>8473.623000000001</v>
      </c>
      <c r="J17" s="3" t="n">
        <v>10873.978</v>
      </c>
      <c r="K17" s="59">
        <f>SUM(E17:J17)</f>
        <v/>
      </c>
      <c r="L17" s="2" t="n">
        <v>3055.373</v>
      </c>
      <c r="M17" s="3" t="n">
        <v>1995.807</v>
      </c>
      <c r="N17" s="3" t="n">
        <v>2147.106</v>
      </c>
      <c r="O17" s="3" t="n">
        <v>2808.03</v>
      </c>
      <c r="P17" s="3" t="n">
        <v>1948.398</v>
      </c>
      <c r="Q17" s="3" t="n">
        <v>2467.586</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3" t="n">
        <v>14217.865</v>
      </c>
      <c r="F18" s="3" t="n">
        <v>12444.771</v>
      </c>
      <c r="G18" s="3" t="n">
        <v>11689.779</v>
      </c>
      <c r="H18" s="3" t="n">
        <v>14073.076</v>
      </c>
      <c r="I18" s="3" t="n">
        <v>11761.85</v>
      </c>
      <c r="J18" s="3" t="n">
        <v>12710.688</v>
      </c>
      <c r="K18" s="59">
        <f>SUM(E18:J18)</f>
        <v/>
      </c>
      <c r="L18" s="2" t="n">
        <v>2955.326</v>
      </c>
      <c r="M18" s="3" t="n">
        <v>2676.657</v>
      </c>
      <c r="N18" s="3" t="n">
        <v>2394.003</v>
      </c>
      <c r="O18" s="3" t="n">
        <v>2966.271999999999</v>
      </c>
      <c r="P18" s="3" t="n">
        <v>2500.065000000001</v>
      </c>
      <c r="Q18" s="3" t="n">
        <v>2549.72</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3" t="n">
        <v>9524.192000000001</v>
      </c>
      <c r="F19" s="3" t="n">
        <v>7397.388999999999</v>
      </c>
      <c r="G19" s="3" t="n">
        <v>6553.114999999999</v>
      </c>
      <c r="H19" s="3" t="n">
        <v>7484.947000000001</v>
      </c>
      <c r="I19" s="3" t="n">
        <v>7106.066</v>
      </c>
      <c r="J19" s="3" t="n">
        <v>9966.924999999999</v>
      </c>
      <c r="K19" s="59">
        <f>SUM(E19:J19)</f>
        <v/>
      </c>
      <c r="L19" s="2" t="n">
        <v>1605.049</v>
      </c>
      <c r="M19" s="3" t="n">
        <v>1501.787</v>
      </c>
      <c r="N19" s="3" t="n">
        <v>1231.215</v>
      </c>
      <c r="O19" s="3" t="n">
        <v>1371.167</v>
      </c>
      <c r="P19" s="3" t="n">
        <v>1453.381</v>
      </c>
      <c r="Q19" s="3" t="n">
        <v>1870.951</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3" t="n">
        <v>14053.099</v>
      </c>
      <c r="F20" s="3" t="n">
        <v>12472.69</v>
      </c>
      <c r="G20" s="3" t="n">
        <v>11107.365</v>
      </c>
      <c r="H20" s="3" t="n">
        <v>12987.361</v>
      </c>
      <c r="I20" s="3" t="n">
        <v>11939.249</v>
      </c>
      <c r="J20" s="3" t="n">
        <v>11811.983</v>
      </c>
      <c r="K20" s="59">
        <f>SUM(E20:J20)</f>
        <v/>
      </c>
      <c r="L20" s="2" t="n">
        <v>2683.704</v>
      </c>
      <c r="M20" s="3" t="n">
        <v>2345.139</v>
      </c>
      <c r="N20" s="3" t="n">
        <v>2120.899</v>
      </c>
      <c r="O20" s="3" t="n">
        <v>2561.005</v>
      </c>
      <c r="P20" s="3" t="n">
        <v>2364.696</v>
      </c>
      <c r="Q20" s="3" t="n">
        <v>2326.408</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v>0</v>
      </c>
      <c r="F21" s="3" t="n">
        <v>0</v>
      </c>
      <c r="G21" s="3" t="n">
        <v>0</v>
      </c>
      <c r="H21" s="3" t="n">
        <v>0</v>
      </c>
      <c r="I21" s="3" t="n">
        <v>0</v>
      </c>
      <c r="J21" s="3" t="n">
        <v>0</v>
      </c>
      <c r="K21" s="59">
        <f>SUM(E21:J21)</f>
        <v/>
      </c>
      <c r="L21" s="2" t="n">
        <v>0</v>
      </c>
      <c r="M21" s="3" t="n">
        <v>0</v>
      </c>
      <c r="N21" s="3" t="n">
        <v>0</v>
      </c>
      <c r="O21" s="3" t="n">
        <v>0</v>
      </c>
      <c r="P21" s="3" t="n">
        <v>0</v>
      </c>
      <c r="Q21" s="3" t="n">
        <v>0</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v>0</v>
      </c>
      <c r="F22" s="3" t="n">
        <v>0</v>
      </c>
      <c r="G22" s="3" t="n">
        <v>0</v>
      </c>
      <c r="H22" s="3" t="n">
        <v>107.5</v>
      </c>
      <c r="I22" s="3" t="n">
        <v>0</v>
      </c>
      <c r="J22" s="3" t="n">
        <v>0</v>
      </c>
      <c r="K22" s="59">
        <f>SUM(E22:J22)</f>
        <v/>
      </c>
      <c r="L22" s="2" t="n">
        <v>0</v>
      </c>
      <c r="M22" s="3" t="n">
        <v>0</v>
      </c>
      <c r="N22" s="3" t="n">
        <v>0</v>
      </c>
      <c r="O22" s="3" t="n">
        <v>3.6</v>
      </c>
      <c r="P22" s="3" t="n">
        <v>0</v>
      </c>
      <c r="Q22" s="3" t="n">
        <v>0</v>
      </c>
      <c r="R22" s="56">
        <f>SUM(L22:Q22)</f>
        <v/>
      </c>
      <c r="S22" s="103">
        <f>IF(E22=0,"***",L22/E22)</f>
        <v/>
      </c>
      <c r="T22" s="104">
        <f>IF(F22=0,"***",M22/F22)</f>
        <v/>
      </c>
      <c r="U22" s="104">
        <f>IF(G22=0,"***",N22/G22)</f>
        <v/>
      </c>
      <c r="V22" s="104">
        <f>IF(H22=0,"***",O22/H22)</f>
        <v/>
      </c>
      <c r="W22" s="104">
        <f>IF(I22=0,"***",P22/I22)</f>
        <v/>
      </c>
      <c r="X22" s="104">
        <f>IF(J22=0,"***",Q22/J22)</f>
        <v/>
      </c>
      <c r="Y22" s="105">
        <f>IF(K22=0,"***",R22/K22)</f>
        <v/>
      </c>
    </row>
    <row r="23">
      <c r="C23" s="2" t="inlineStr">
        <is>
          <t>0029 集計</t>
        </is>
      </c>
      <c r="D23" s="15" t="inlineStr">
        <is>
          <t>その他</t>
        </is>
      </c>
      <c r="E23" s="3" t="n">
        <v>0</v>
      </c>
      <c r="F23" s="3" t="n">
        <v>0</v>
      </c>
      <c r="G23" s="3" t="n">
        <v>125</v>
      </c>
      <c r="H23" s="3" t="n">
        <v>0</v>
      </c>
      <c r="I23" s="3" t="n">
        <v>4.8</v>
      </c>
      <c r="J23" s="3" t="n">
        <v>0</v>
      </c>
      <c r="K23" s="59">
        <f>SUM(E23:J23)</f>
        <v/>
      </c>
      <c r="L23" s="2" t="n">
        <v>0</v>
      </c>
      <c r="M23" s="3" t="n">
        <v>0</v>
      </c>
      <c r="N23" s="3" t="n">
        <v>20.2</v>
      </c>
      <c r="O23" s="3" t="n">
        <v>0</v>
      </c>
      <c r="P23" s="3" t="n">
        <v>1.38</v>
      </c>
      <c r="Q23" s="3" t="n">
        <v>0</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f>(E22+E10)/2</f>
        <v/>
      </c>
      <c r="F34" s="3">
        <f>(F22+F10)/2</f>
        <v/>
      </c>
      <c r="G34" s="3">
        <f>(G22+G10)/2</f>
        <v/>
      </c>
      <c r="H34" s="3">
        <f>(H22+H10)/2</f>
        <v/>
      </c>
      <c r="I34" s="3">
        <f>(I22+I10)/2</f>
        <v/>
      </c>
      <c r="J34" s="3">
        <f>(J22+J10)/2</f>
        <v/>
      </c>
      <c r="K34" s="59">
        <f>SUM(E34:J34)</f>
        <v/>
      </c>
      <c r="L34" s="2">
        <f>(L22+L10)/2</f>
        <v/>
      </c>
      <c r="M34" s="3">
        <f>(M22+M10)/2</f>
        <v/>
      </c>
      <c r="N34" s="3">
        <f>(N22+N10)/2</f>
        <v/>
      </c>
      <c r="O34" s="3">
        <f>(O22+O10)/2</f>
        <v/>
      </c>
      <c r="P34" s="3">
        <f>(P22+P10)/2</f>
        <v/>
      </c>
      <c r="Q34" s="3">
        <f>(Q22+Q10)/2</f>
        <v/>
      </c>
      <c r="R34" s="56">
        <f>SUM(L34:Q34)</f>
        <v/>
      </c>
      <c r="S34" s="103">
        <f>IF(E34=0,"***",L34/E34)</f>
        <v/>
      </c>
      <c r="T34" s="104">
        <f>IF(F34=0,"***",M34/F34)</f>
        <v/>
      </c>
      <c r="U34" s="104">
        <f>IF(G34=0,"***",N34/G34)</f>
        <v/>
      </c>
      <c r="V34" s="104">
        <f>IF(H34=0,"***",O34/H34)</f>
        <v/>
      </c>
      <c r="W34" s="104">
        <f>IF(I34=0,"***",P34/I34)</f>
        <v/>
      </c>
      <c r="X34" s="104">
        <f>IF(J34=0,"***",Q34/J34)</f>
        <v/>
      </c>
      <c r="Y34" s="105">
        <f>IF(K34=0,"***",R34/K34)</f>
        <v/>
      </c>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c r="E38" s="12" t="n"/>
      <c r="F38" s="12" t="n"/>
      <c r="G38" s="12" t="n"/>
      <c r="H38" s="12" t="n"/>
      <c r="I38" s="12" t="n"/>
      <c r="J38" s="12" t="n"/>
      <c r="K38" s="11" t="n"/>
      <c r="L38" s="12" t="n"/>
      <c r="M38" s="12" t="n"/>
      <c r="N38" s="12" t="n"/>
      <c r="O38" s="12" t="n"/>
      <c r="P38" s="12" t="n"/>
      <c r="Q38" s="12" t="n"/>
      <c r="R38" s="12" t="n"/>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12500</v>
      </c>
      <c r="F41" s="3" t="n">
        <v>9500</v>
      </c>
      <c r="G41" s="3" t="n">
        <v>9500</v>
      </c>
      <c r="H41" s="3" t="n">
        <v>11000</v>
      </c>
      <c r="I41" s="3" t="n">
        <v>11000</v>
      </c>
      <c r="J41" s="3" t="n">
        <v>11800</v>
      </c>
      <c r="K41" s="59">
        <f>SUM(E41:J41)</f>
        <v/>
      </c>
      <c r="L41" s="2" t="n">
        <v>2900</v>
      </c>
      <c r="M41" s="3" t="n">
        <v>2200</v>
      </c>
      <c r="N41" s="3" t="n">
        <v>2200</v>
      </c>
      <c r="O41" s="3" t="n">
        <v>2550</v>
      </c>
      <c r="P41" s="3" t="n">
        <v>2550</v>
      </c>
      <c r="Q41" s="3" t="n">
        <v>2750</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17000</v>
      </c>
      <c r="F42" s="3" t="n">
        <v>13000</v>
      </c>
      <c r="G42" s="3" t="n">
        <v>12200</v>
      </c>
      <c r="H42" s="3" t="n">
        <v>14500</v>
      </c>
      <c r="I42" s="3" t="n">
        <v>12200</v>
      </c>
      <c r="J42" s="3" t="n">
        <v>13200</v>
      </c>
      <c r="K42" s="59">
        <f>SUM(E42:J42)</f>
        <v/>
      </c>
      <c r="L42" s="2" t="n">
        <v>3400</v>
      </c>
      <c r="M42" s="3" t="n">
        <v>2700</v>
      </c>
      <c r="N42" s="3" t="n">
        <v>2500</v>
      </c>
      <c r="O42" s="3" t="n">
        <v>3000</v>
      </c>
      <c r="P42" s="3" t="n">
        <v>2550</v>
      </c>
      <c r="Q42" s="3" t="n">
        <v>2750</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10000</v>
      </c>
      <c r="F43" s="3" t="n">
        <v>7800</v>
      </c>
      <c r="G43" s="3" t="n">
        <v>7100</v>
      </c>
      <c r="H43" s="3" t="n">
        <v>8000</v>
      </c>
      <c r="I43" s="3" t="n">
        <v>8000</v>
      </c>
      <c r="J43" s="3" t="n">
        <v>10500</v>
      </c>
      <c r="K43" s="59">
        <f>SUM(E43:J43)</f>
        <v/>
      </c>
      <c r="L43" s="2" t="n">
        <v>1850</v>
      </c>
      <c r="M43" s="3" t="n">
        <v>1450</v>
      </c>
      <c r="N43" s="3" t="n">
        <v>1350</v>
      </c>
      <c r="O43" s="3" t="n">
        <v>1550</v>
      </c>
      <c r="P43" s="3" t="n">
        <v>1550</v>
      </c>
      <c r="Q43" s="3" t="n">
        <v>2000</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14000</v>
      </c>
      <c r="F44" s="3" t="n">
        <v>12500</v>
      </c>
      <c r="G44" s="3" t="n">
        <v>11500</v>
      </c>
      <c r="H44" s="3" t="n">
        <v>13500</v>
      </c>
      <c r="I44" s="3" t="n">
        <v>12500</v>
      </c>
      <c r="J44" s="3" t="n">
        <v>21000</v>
      </c>
      <c r="K44" s="59">
        <f>SUM(E44:J44)</f>
        <v/>
      </c>
      <c r="L44" s="2" t="n">
        <v>2650</v>
      </c>
      <c r="M44" s="3" t="n">
        <v>2400</v>
      </c>
      <c r="N44" s="3" t="n">
        <v>2250</v>
      </c>
      <c r="O44" s="3" t="n">
        <v>2650</v>
      </c>
      <c r="P44" s="3" t="n">
        <v>2450</v>
      </c>
      <c r="Q44" s="3" t="n">
        <v>3800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v>0</v>
      </c>
      <c r="F45" s="3" t="n">
        <v>0</v>
      </c>
      <c r="G45" s="3" t="n">
        <v>0</v>
      </c>
      <c r="H45" s="3" t="n">
        <v>0</v>
      </c>
      <c r="I45" s="3" t="n">
        <v>0</v>
      </c>
      <c r="J45" s="3" t="n">
        <v>0</v>
      </c>
      <c r="K45" s="59">
        <f>SUM(E45:J45)</f>
        <v/>
      </c>
      <c r="L45" s="2" t="n">
        <v>0</v>
      </c>
      <c r="M45" s="3" t="n">
        <v>0</v>
      </c>
      <c r="N45" s="3" t="n">
        <v>0</v>
      </c>
      <c r="O45" s="3" t="n">
        <v>0</v>
      </c>
      <c r="P45" s="3" t="n">
        <v>0</v>
      </c>
      <c r="Q45" s="3" t="n">
        <v>0</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77" t="n"/>
      <c r="L49" s="11" t="n"/>
      <c r="M49" s="11" t="n"/>
      <c r="N49" s="11" t="n"/>
      <c r="O49" s="11" t="n"/>
      <c r="P49" s="11" t="n"/>
      <c r="Q49" s="11" t="n"/>
      <c r="R49" s="77"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15744.501</v>
      </c>
      <c r="F77" s="3" t="n">
        <v>10976.27</v>
      </c>
      <c r="G77" s="80" t="n">
        <v>9450.687</v>
      </c>
      <c r="H77" s="3" t="n">
        <v>9629.106</v>
      </c>
      <c r="I77" s="3" t="n">
        <v>7893.202</v>
      </c>
      <c r="J77" s="3" t="n"/>
      <c r="K77" s="59">
        <f>SUM(E77:J77)</f>
        <v/>
      </c>
      <c r="L77" s="2" t="n">
        <v>3925.653</v>
      </c>
      <c r="M77" s="62" t="n">
        <v>2266.876</v>
      </c>
      <c r="N77" s="80" t="n">
        <v>1926.086</v>
      </c>
      <c r="O77" s="3" t="n">
        <v>2120.834</v>
      </c>
      <c r="P77" s="3" t="n">
        <v>1748.686</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12689.175</v>
      </c>
      <c r="F78" s="3" t="n">
        <v>18266.703</v>
      </c>
      <c r="G78" s="80" t="n">
        <v>19128.594</v>
      </c>
      <c r="H78" s="3" t="n">
        <v>16378.021</v>
      </c>
      <c r="I78" s="3" t="n">
        <v>13478.139</v>
      </c>
      <c r="J78" s="3" t="n"/>
      <c r="K78" s="59">
        <f>SUM(E78:J78)</f>
        <v/>
      </c>
      <c r="L78" s="2" t="n">
        <v>2483.551</v>
      </c>
      <c r="M78" s="62" t="n">
        <v>3112.73</v>
      </c>
      <c r="N78" s="80" t="n">
        <v>3824.482</v>
      </c>
      <c r="O78" s="3" t="n">
        <v>3200.535</v>
      </c>
      <c r="P78" s="3" t="n">
        <v>2715.531</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v>9403.611000000001</v>
      </c>
      <c r="F79" s="3" t="n">
        <v>9079.715</v>
      </c>
      <c r="G79" s="80" t="n">
        <v>8615.483</v>
      </c>
      <c r="H79" s="3" t="n">
        <v>9858.799000000001</v>
      </c>
      <c r="I79" s="3" t="n">
        <v>9650.882</v>
      </c>
      <c r="J79" s="3" t="n"/>
      <c r="K79" s="59">
        <f>SUM(E79:J79)</f>
        <v/>
      </c>
      <c r="L79" s="2" t="n">
        <v>1990.233</v>
      </c>
      <c r="M79" s="62" t="n">
        <v>2007.683</v>
      </c>
      <c r="N79" s="80" t="n">
        <v>1874.108</v>
      </c>
      <c r="O79" s="3" t="n">
        <v>2151.642</v>
      </c>
      <c r="P79" s="3" t="n">
        <v>1952.649</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14052.193</v>
      </c>
      <c r="F80" s="3" t="n">
        <v>11657.203</v>
      </c>
      <c r="G80" s="80" t="n">
        <v>11564.469</v>
      </c>
      <c r="H80" s="3" t="n">
        <v>14695.665</v>
      </c>
      <c r="I80" s="3" t="n">
        <v>13183.796</v>
      </c>
      <c r="J80" s="3" t="n"/>
      <c r="K80" s="59">
        <f>SUM(E80:J80)</f>
        <v/>
      </c>
      <c r="L80" s="2" t="n">
        <v>2789.712</v>
      </c>
      <c r="M80" s="62" t="n">
        <v>2337.45</v>
      </c>
      <c r="N80" s="80" t="n">
        <v>2603.699</v>
      </c>
      <c r="O80" s="3" t="n">
        <v>3150.701</v>
      </c>
      <c r="P80" s="3" t="n">
        <v>2770.063</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80" t="n">
        <v>94.2</v>
      </c>
      <c r="H82" s="3" t="n">
        <v>0</v>
      </c>
      <c r="I82" s="3" t="n">
        <v>69.09999999999999</v>
      </c>
      <c r="J82" s="3" t="n"/>
      <c r="K82" s="3">
        <f>SUM(E82:J82)</f>
        <v/>
      </c>
      <c r="L82" s="2" t="n"/>
      <c r="M82" s="3" t="n"/>
      <c r="N82" s="80" t="n">
        <v>3.15</v>
      </c>
      <c r="O82" s="3" t="n">
        <v>0</v>
      </c>
      <c r="P82" s="3" t="n">
        <v>2.2</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3">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3">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3">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3">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3">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3"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3">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6">
        <f>T84-T48</f>
        <v/>
      </c>
      <c r="U96" s="106">
        <f>U84-U48</f>
        <v/>
      </c>
      <c r="V96" s="106">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4.xml><?xml version="1.0" encoding="utf-8"?>
<worksheet xmlns="http://schemas.openxmlformats.org/spreadsheetml/2006/main">
  <sheetPr>
    <outlinePr summaryBelow="1" summaryRight="1"/>
    <pageSetUpPr fitToPage="1"/>
  </sheetPr>
  <dimension ref="D1:U14"/>
  <sheetViews>
    <sheetView topLeftCell="C1" zoomScaleNormal="100" workbookViewId="0">
      <selection activeCell="N12" sqref="N12"/>
    </sheetView>
  </sheetViews>
  <sheetFormatPr baseColWidth="8" defaultRowHeight="18.75"/>
  <cols>
    <col width="1.625" customWidth="1" style="93" min="4" max="5"/>
    <col width="54.375" customWidth="1" style="93" min="21" max="21"/>
  </cols>
  <sheetData>
    <row r="1" ht="21.75" customHeight="1" s="93">
      <c r="D1" s="92" t="inlineStr">
        <is>
          <t>下関営業所第51期下期予算について</t>
        </is>
      </c>
    </row>
    <row r="3">
      <c r="D3" s="29" t="inlineStr">
        <is>
          <t>管理職の業務は数字責任と人材育成です。なので営業所全体の目標達成に取り組みます。</t>
        </is>
      </c>
      <c r="E3" s="30" t="n"/>
      <c r="F3" s="30" t="n"/>
      <c r="G3" s="30" t="n"/>
      <c r="H3" s="30" t="n"/>
      <c r="I3" s="30" t="n"/>
      <c r="J3" s="30" t="n"/>
      <c r="K3" s="30" t="n"/>
      <c r="L3" s="30" t="n"/>
      <c r="M3" s="30" t="n"/>
      <c r="N3" s="30" t="n"/>
      <c r="O3" s="30" t="n"/>
      <c r="P3" s="30" t="n"/>
      <c r="Q3" s="30" t="n"/>
      <c r="R3" s="30" t="n"/>
      <c r="S3" s="30" t="n"/>
      <c r="T3" s="30" t="n"/>
      <c r="U3" s="31" t="n"/>
    </row>
    <row r="4">
      <c r="D4" s="32" t="inlineStr">
        <is>
          <t>所長は予算の過年度平均増加分の人員からは外した上で、営業所全体で計画を作成ます。その営業所全体の予算から所長含めて営業担当に配分するようにお願いします。</t>
        </is>
      </c>
      <c r="U4" s="47" t="n"/>
    </row>
    <row r="5">
      <c r="D5" s="33" t="n"/>
      <c r="E5" s="45" t="n"/>
      <c r="F5" s="45" t="n"/>
      <c r="G5" s="45" t="n"/>
      <c r="H5" s="45" t="n"/>
      <c r="I5" s="45" t="n"/>
      <c r="J5" s="45" t="n"/>
      <c r="K5" s="45" t="n"/>
      <c r="L5" s="45" t="n"/>
      <c r="M5" s="45" t="n"/>
      <c r="N5" s="45" t="n"/>
      <c r="O5" s="45" t="n"/>
      <c r="P5" s="45" t="n"/>
      <c r="Q5" s="45" t="n"/>
      <c r="R5" s="45" t="n"/>
      <c r="S5" s="45" t="n"/>
      <c r="T5" s="45" t="n"/>
      <c r="U5" s="46" t="n"/>
    </row>
    <row r="7">
      <c r="D7" s="86" t="n"/>
      <c r="E7" s="97" t="n"/>
      <c r="F7" s="98" t="n"/>
      <c r="G7" s="89" t="inlineStr">
        <is>
          <t>2024年4～9月</t>
        </is>
      </c>
      <c r="H7" s="90" t="n"/>
      <c r="I7" s="91" t="n"/>
      <c r="J7" s="89" t="inlineStr">
        <is>
          <t>2025年4～9月</t>
        </is>
      </c>
      <c r="K7" s="90" t="n"/>
      <c r="L7" s="91" t="n"/>
      <c r="M7" s="89" t="inlineStr">
        <is>
          <t>過年度平均</t>
        </is>
      </c>
      <c r="N7" s="90" t="n"/>
      <c r="O7" s="91" t="n"/>
      <c r="P7" s="95" t="inlineStr">
        <is>
          <t>計画</t>
        </is>
      </c>
      <c r="Q7" s="90" t="n"/>
      <c r="R7" s="90" t="n"/>
      <c r="S7" s="90" t="n"/>
      <c r="T7" s="96" t="n"/>
      <c r="U7" s="95" t="inlineStr">
        <is>
          <t>根拠</t>
        </is>
      </c>
    </row>
    <row r="8">
      <c r="D8" s="99" t="n"/>
      <c r="E8" s="100" t="n"/>
      <c r="F8" s="101" t="n"/>
      <c r="G8" s="41" t="inlineStr">
        <is>
          <t>売上</t>
        </is>
      </c>
      <c r="H8" s="42" t="inlineStr">
        <is>
          <t>粗利益</t>
        </is>
      </c>
      <c r="I8" s="43" t="inlineStr">
        <is>
          <t>粗利益率</t>
        </is>
      </c>
      <c r="J8" s="41" t="inlineStr">
        <is>
          <t>売上</t>
        </is>
      </c>
      <c r="K8" s="42" t="inlineStr">
        <is>
          <t>粗利益</t>
        </is>
      </c>
      <c r="L8" s="43" t="inlineStr">
        <is>
          <t>粗利益率</t>
        </is>
      </c>
      <c r="M8" s="41" t="inlineStr">
        <is>
          <t>売上</t>
        </is>
      </c>
      <c r="N8" s="42" t="inlineStr">
        <is>
          <t>粗利益</t>
        </is>
      </c>
      <c r="O8" s="43" t="inlineStr">
        <is>
          <t>粗利益率</t>
        </is>
      </c>
      <c r="P8" s="41" t="inlineStr">
        <is>
          <t>売上</t>
        </is>
      </c>
      <c r="Q8" s="42" t="inlineStr">
        <is>
          <t>粗利益</t>
        </is>
      </c>
      <c r="R8" s="44" t="inlineStr">
        <is>
          <t>粗利益率</t>
        </is>
      </c>
      <c r="S8" s="44" t="inlineStr">
        <is>
          <t>売上年率</t>
        </is>
      </c>
      <c r="T8" s="43" t="inlineStr">
        <is>
          <t>粗利益年率</t>
        </is>
      </c>
      <c r="U8" s="102" t="n"/>
    </row>
    <row r="9">
      <c r="D9" s="29" t="inlineStr">
        <is>
          <t>下関営業所</t>
        </is>
      </c>
      <c r="E9" s="30" t="n"/>
      <c r="F9" s="31" t="n"/>
      <c r="G9" s="36" t="n">
        <v>267380.692</v>
      </c>
      <c r="H9" s="37" t="n">
        <v>52847.744</v>
      </c>
      <c r="I9" s="113">
        <f>H9/G9</f>
        <v/>
      </c>
      <c r="J9" s="36" t="n">
        <v>261100.132</v>
      </c>
      <c r="K9" s="37" t="n">
        <v>53924.924</v>
      </c>
      <c r="L9" s="113">
        <f>K9/J9</f>
        <v/>
      </c>
      <c r="M9" s="36">
        <f>(G9+J9)/2</f>
        <v/>
      </c>
      <c r="N9" s="37">
        <f>(H9+K9)/2</f>
        <v/>
      </c>
      <c r="O9" s="113">
        <f>N9/M9</f>
        <v/>
      </c>
      <c r="P9" s="36">
        <f>P10+P14+P13</f>
        <v/>
      </c>
      <c r="Q9" s="37">
        <f>Q10+Q14+Q13</f>
        <v/>
      </c>
      <c r="R9" s="114">
        <f>Q9/P9</f>
        <v/>
      </c>
      <c r="S9" s="114">
        <f>P9/J9-1</f>
        <v/>
      </c>
      <c r="T9" s="113">
        <f>Q9/K9-1</f>
        <v/>
      </c>
      <c r="U9" s="40" t="n"/>
    </row>
    <row r="10">
      <c r="D10" s="32" t="n"/>
      <c r="E10" s="25" t="inlineStr">
        <is>
          <t>営業</t>
        </is>
      </c>
      <c r="F10" s="26" t="n"/>
      <c r="G10" s="2">
        <f>G9-G14-G13</f>
        <v/>
      </c>
      <c r="H10" s="3">
        <f>H9-H14-H13</f>
        <v/>
      </c>
      <c r="I10" s="115">
        <f>H10/G10</f>
        <v/>
      </c>
      <c r="J10" s="2">
        <f>J9-J14-J13</f>
        <v/>
      </c>
      <c r="K10" s="3">
        <f>K9-K14-K13</f>
        <v/>
      </c>
      <c r="L10" s="115">
        <f>K10/J10</f>
        <v/>
      </c>
      <c r="M10" s="2">
        <f>(G10+J10)/2</f>
        <v/>
      </c>
      <c r="N10" s="3">
        <f>(H10+K10)/2</f>
        <v/>
      </c>
      <c r="O10" s="115">
        <f>N10/M10</f>
        <v/>
      </c>
      <c r="P10" s="2">
        <f>P11+P12</f>
        <v/>
      </c>
      <c r="Q10" s="3">
        <f>Q11+Q12</f>
        <v/>
      </c>
      <c r="R10" s="116">
        <f>Q10/P10</f>
        <v/>
      </c>
      <c r="S10" s="116">
        <f>P10/J10-1</f>
        <v/>
      </c>
      <c r="T10" s="115">
        <f>Q10/K10-1</f>
        <v/>
      </c>
      <c r="U10" s="20" t="n"/>
    </row>
    <row r="11">
      <c r="D11" s="32" t="n"/>
      <c r="E11" s="27" t="n"/>
      <c r="F11" s="24" t="inlineStr">
        <is>
          <t>包装資材</t>
        </is>
      </c>
      <c r="G11" s="2">
        <f>G10-G12</f>
        <v/>
      </c>
      <c r="H11" s="3">
        <f>H10-H12</f>
        <v/>
      </c>
      <c r="I11" s="115">
        <f>H11/G11</f>
        <v/>
      </c>
      <c r="J11" s="2">
        <f>J10-J12</f>
        <v/>
      </c>
      <c r="K11" s="3">
        <f>K10-K12</f>
        <v/>
      </c>
      <c r="L11" s="115">
        <f>K11/J11</f>
        <v/>
      </c>
      <c r="M11" s="2">
        <f>(G11+J11)/2</f>
        <v/>
      </c>
      <c r="N11" s="3">
        <f>(H11+K11)/2</f>
        <v/>
      </c>
      <c r="O11" s="115">
        <f>N11/M11</f>
        <v/>
      </c>
      <c r="P11" s="2">
        <f>包装資材!K48-全体!K46</f>
        <v/>
      </c>
      <c r="Q11" s="3">
        <f>包装資材!R48-全体!R46</f>
        <v/>
      </c>
      <c r="R11" s="116">
        <f>Q11/P11</f>
        <v/>
      </c>
      <c r="S11" s="116">
        <f>P11/J11-1</f>
        <v/>
      </c>
      <c r="T11" s="115">
        <f>Q11/K11-1</f>
        <v/>
      </c>
      <c r="U11" s="61" t="n"/>
    </row>
    <row r="12">
      <c r="D12" s="32" t="n"/>
      <c r="E12" s="27" t="n"/>
      <c r="F12" s="28" t="inlineStr">
        <is>
          <t>機械</t>
        </is>
      </c>
      <c r="G12" s="2" t="n">
        <v>3476</v>
      </c>
      <c r="H12" s="3" t="n">
        <v>555</v>
      </c>
      <c r="I12" s="115">
        <f>H12/G12</f>
        <v/>
      </c>
      <c r="J12" s="2" t="n">
        <v>4367</v>
      </c>
      <c r="K12" s="3" t="n">
        <v>4367</v>
      </c>
      <c r="L12" s="115">
        <f>K12/J12</f>
        <v/>
      </c>
      <c r="M12" s="2">
        <f>(G12+J12)/2</f>
        <v/>
      </c>
      <c r="N12" s="3">
        <f>(H12+K12)/2</f>
        <v/>
      </c>
      <c r="O12" s="115">
        <f>N12/M12</f>
        <v/>
      </c>
      <c r="P12" s="2">
        <f>機械!K48</f>
        <v/>
      </c>
      <c r="Q12" s="3">
        <f>機械!R48</f>
        <v/>
      </c>
      <c r="R12" s="116">
        <f>Q12/P12</f>
        <v/>
      </c>
      <c r="S12" s="116">
        <f>P12/J12-1</f>
        <v/>
      </c>
      <c r="T12" s="115">
        <f>Q12/K12-1</f>
        <v/>
      </c>
      <c r="U12" s="78" t="n"/>
    </row>
    <row r="13">
      <c r="D13" s="32" t="n"/>
      <c r="E13" s="27" t="inlineStr">
        <is>
          <t>自治体</t>
        </is>
      </c>
      <c r="F13" s="26" t="n"/>
      <c r="G13" s="73" t="n">
        <v>0</v>
      </c>
      <c r="H13" s="74" t="n">
        <v>0</v>
      </c>
      <c r="I13" s="117">
        <f>H13/G13</f>
        <v/>
      </c>
      <c r="J13" s="73" t="n">
        <v>107.5</v>
      </c>
      <c r="K13" s="74" t="n">
        <v>3.6</v>
      </c>
      <c r="L13" s="117">
        <f>K13/J13</f>
        <v/>
      </c>
      <c r="M13" s="73" t="n">
        <v>53.75</v>
      </c>
      <c r="N13" s="74" t="n">
        <v>1.8</v>
      </c>
      <c r="O13" s="117">
        <f>N13/M13</f>
        <v/>
      </c>
      <c r="P13" s="73" t="n">
        <v>200</v>
      </c>
      <c r="Q13" s="74" t="n">
        <v>20</v>
      </c>
      <c r="R13" s="116">
        <f>Q13/P13</f>
        <v/>
      </c>
      <c r="S13" s="116">
        <f>P13/J13-1</f>
        <v/>
      </c>
      <c r="T13" s="115">
        <f>Q13/K13-1</f>
        <v/>
      </c>
      <c r="U13" s="76" t="n"/>
    </row>
    <row r="14">
      <c r="D14" s="33" t="n"/>
      <c r="E14" s="34" t="inlineStr">
        <is>
          <t>中国事業</t>
        </is>
      </c>
      <c r="F14" s="35" t="n"/>
      <c r="G14" s="4" t="n">
        <v>5482.893</v>
      </c>
      <c r="H14" s="5" t="n">
        <v>313.823</v>
      </c>
      <c r="I14" s="118">
        <f>H14/G14</f>
        <v/>
      </c>
      <c r="J14" s="4" t="n">
        <v>0</v>
      </c>
      <c r="K14" s="5" t="n">
        <v>0</v>
      </c>
      <c r="L14" s="118">
        <f>K14/J14</f>
        <v/>
      </c>
      <c r="M14" s="4">
        <f>(G14+J14)/2</f>
        <v/>
      </c>
      <c r="N14" s="5">
        <f>(H14+K14)/2</f>
        <v/>
      </c>
      <c r="O14" s="118">
        <f>N14/M14</f>
        <v/>
      </c>
      <c r="P14" s="4" t="n">
        <v>0</v>
      </c>
      <c r="Q14" s="5" t="n">
        <v>0</v>
      </c>
      <c r="R14" s="119">
        <f>Q14/P14</f>
        <v/>
      </c>
      <c r="S14" s="119">
        <f>P14/J14-1</f>
        <v/>
      </c>
      <c r="T14" s="118">
        <f>Q14/K14-1</f>
        <v/>
      </c>
      <c r="U14" s="21"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2026-09-05T01:09:00Z</dcterms:modified>
  <cp:lastModifiedBy>ma-takahashi</cp:lastModifiedBy>
  <cp:lastPrinted>2025-05-02T03:13:19Z</cp:lastPrinted>
</cp:coreProperties>
</file>