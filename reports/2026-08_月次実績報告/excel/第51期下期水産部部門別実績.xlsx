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包装資材" sheetId="1" state="visible" r:id="rId1"/>
    <sheet xmlns:r="http://schemas.openxmlformats.org/officeDocument/2006/relationships" name="機械" sheetId="2" state="visible" r:id="rId2"/>
    <sheet xmlns:r="http://schemas.openxmlformats.org/officeDocument/2006/relationships" name="全体" sheetId="3" state="visible" r:id="rId3"/>
    <sheet xmlns:r="http://schemas.openxmlformats.org/officeDocument/2006/relationships" name="総括" sheetId="4" state="visible" r:id="rId4"/>
  </sheets>
  <definedNames>
    <definedName name="_xlnm.Print_Area" localSheetId="0">'包装資材'!$C$1:$Y$100</definedName>
    <definedName name="_xlnm.Print_Area" localSheetId="1">'機械'!$C$1:$Y$100</definedName>
    <definedName name="_xlnm.Print_Area" localSheetId="2">'全体'!$C$1:$Y$100</definedName>
    <definedName name="_xlnm.Print_Area" localSheetId="3">'総括'!$D$1:$U$23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0"/>
      <scheme val="minor"/>
    </font>
    <font>
      <name val="HGP創英角ｺﾞｼｯｸUB"/>
      <charset val="128"/>
      <family val="3"/>
      <color theme="1"/>
      <sz val="16"/>
    </font>
    <font>
      <name val="游ゴシック"/>
      <charset val="128"/>
      <family val="2"/>
      <color theme="1"/>
      <sz val="9"/>
      <scheme val="minor"/>
    </font>
    <font>
      <name val="游ゴシック"/>
      <charset val="128"/>
      <family val="2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gray0625"/>
    </fill>
    <fill>
      <patternFill patternType="gray0625">
        <bgColor rgb="FFFFFF00"/>
      </patternFill>
    </fill>
    <fill>
      <patternFill patternType="solid">
        <fgColor indexed="65"/>
        <bgColor theme="0"/>
      </patternFill>
    </fill>
    <fill>
      <patternFill patternType="gray0625">
        <fgColor theme="0"/>
      </patternFill>
    </fill>
    <fill>
      <patternFill patternType="gray0625">
        <fgColor theme="0"/>
        <bgColor rgb="FFFFFF00"/>
      </patternFill>
    </fill>
  </fills>
  <borders count="54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9" fontId="1" fillId="0" borderId="0" applyAlignment="1">
      <alignment vertical="center"/>
    </xf>
  </cellStyleXfs>
  <cellXfs count="164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55" fontId="3" fillId="0" borderId="2" applyAlignment="1" pivotButton="0" quotePrefix="0" xfId="0">
      <alignment horizontal="center" vertical="center"/>
    </xf>
    <xf numFmtId="38" fontId="0" fillId="0" borderId="4" applyAlignment="1" pivotButton="0" quotePrefix="0" xfId="1">
      <alignment vertical="center"/>
    </xf>
    <xf numFmtId="38" fontId="0" fillId="0" borderId="5" applyAlignment="1" pivotButton="0" quotePrefix="0" xfId="1">
      <alignment vertical="center"/>
    </xf>
    <xf numFmtId="38" fontId="0" fillId="0" borderId="7" applyAlignment="1" pivotButton="0" quotePrefix="0" xfId="1">
      <alignment vertical="center"/>
    </xf>
    <xf numFmtId="38" fontId="0" fillId="0" borderId="8" applyAlignment="1" pivotButton="0" quotePrefix="0" xfId="1">
      <alignment vertical="center"/>
    </xf>
    <xf numFmtId="38" fontId="0" fillId="2" borderId="5" applyAlignment="1" pivotButton="0" quotePrefix="0" xfId="1">
      <alignment vertical="center"/>
    </xf>
    <xf numFmtId="38" fontId="0" fillId="3" borderId="8" applyAlignment="1" pivotButton="0" quotePrefix="0" xfId="0">
      <alignment vertical="center"/>
    </xf>
    <xf numFmtId="38" fontId="0" fillId="4" borderId="8" applyAlignment="1" pivotButton="0" quotePrefix="0" xfId="1">
      <alignment vertical="center"/>
    </xf>
    <xf numFmtId="0" fontId="0" fillId="2" borderId="3" applyAlignment="1" pivotButton="0" quotePrefix="0" xfId="0">
      <alignment horizontal="center" vertical="center"/>
    </xf>
    <xf numFmtId="164" fontId="0" fillId="0" borderId="5" applyAlignment="1" pivotButton="0" quotePrefix="0" xfId="2">
      <alignment horizontal="right" vertical="center"/>
    </xf>
    <xf numFmtId="164" fontId="0" fillId="2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38" fontId="0" fillId="0" borderId="0" applyAlignment="1" pivotButton="0" quotePrefix="0" xfId="0">
      <alignment vertical="center"/>
    </xf>
    <xf numFmtId="38" fontId="0" fillId="0" borderId="0" applyAlignment="1" pivotButton="0" quotePrefix="0" xfId="1">
      <alignment vertical="center"/>
    </xf>
    <xf numFmtId="164" fontId="0" fillId="0" borderId="0" applyAlignment="1" pivotButton="0" quotePrefix="0" xfId="2">
      <alignment horizontal="right" vertical="center"/>
    </xf>
    <xf numFmtId="38" fontId="0" fillId="0" borderId="17" applyAlignment="1" pivotButton="0" quotePrefix="0" xfId="1">
      <alignment vertical="center"/>
    </xf>
    <xf numFmtId="0" fontId="0" fillId="0" borderId="3" applyAlignment="1" pivotButton="0" quotePrefix="0" xfId="0">
      <alignment vertical="center"/>
    </xf>
    <xf numFmtId="38" fontId="0" fillId="0" borderId="6" applyAlignment="1" pivotButton="0" quotePrefix="0" xfId="1">
      <alignment vertical="center"/>
    </xf>
    <xf numFmtId="0" fontId="0" fillId="0" borderId="9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4" fontId="0" fillId="0" borderId="6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0" fontId="0" fillId="0" borderId="19" applyAlignment="1" pivotButton="0" quotePrefix="0" xfId="0">
      <alignment vertical="center"/>
    </xf>
    <xf numFmtId="0" fontId="0" fillId="0" borderId="20" applyAlignment="1" pivotButton="0" quotePrefix="0" xfId="0">
      <alignment vertical="center"/>
    </xf>
    <xf numFmtId="164" fontId="0" fillId="0" borderId="23" applyAlignment="1" pivotButton="0" quotePrefix="0" xfId="2">
      <alignment vertical="center"/>
    </xf>
    <xf numFmtId="164" fontId="0" fillId="0" borderId="24" applyAlignment="1" pivotButton="0" quotePrefix="0" xfId="2">
      <alignment vertical="center"/>
    </xf>
    <xf numFmtId="0" fontId="0" fillId="0" borderId="6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38" fontId="0" fillId="0" borderId="31" applyAlignment="1" pivotButton="0" quotePrefix="0" xfId="1">
      <alignment vertical="center"/>
    </xf>
    <xf numFmtId="38" fontId="0" fillId="0" borderId="32" applyAlignment="1" pivotButton="0" quotePrefix="0" xfId="1">
      <alignment vertical="center"/>
    </xf>
    <xf numFmtId="164" fontId="0" fillId="0" borderId="33" applyAlignment="1" pivotButton="0" quotePrefix="0" xfId="2">
      <alignment vertical="center"/>
    </xf>
    <xf numFmtId="164" fontId="0" fillId="0" borderId="34" applyAlignment="1" pivotButton="0" quotePrefix="0" xfId="2">
      <alignment vertical="center"/>
    </xf>
    <xf numFmtId="0" fontId="0" fillId="0" borderId="35" applyAlignment="1" pivotButton="0" quotePrefix="0" xfId="0">
      <alignment vertical="center"/>
    </xf>
    <xf numFmtId="38" fontId="0" fillId="0" borderId="7" applyAlignment="1" pivotButton="0" quotePrefix="0" xfId="1">
      <alignment horizontal="center" vertical="center"/>
    </xf>
    <xf numFmtId="38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38" fontId="0" fillId="3" borderId="7" applyAlignment="1" pivotButton="0" quotePrefix="0" xfId="1">
      <alignment vertical="center"/>
    </xf>
    <xf numFmtId="0" fontId="0" fillId="3" borderId="9" applyAlignment="1" pivotButton="0" quotePrefix="0" xfId="0">
      <alignment vertical="center"/>
    </xf>
    <xf numFmtId="0" fontId="0" fillId="0" borderId="37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0" fontId="0" fillId="0" borderId="38" applyAlignment="1" pivotButton="0" quotePrefix="0" xfId="0">
      <alignment vertical="center"/>
    </xf>
    <xf numFmtId="38" fontId="0" fillId="0" borderId="1" applyAlignment="1" pivotButton="0" quotePrefix="0" xfId="1">
      <alignment vertical="center"/>
    </xf>
    <xf numFmtId="38" fontId="0" fillId="0" borderId="2" applyAlignment="1" pivotButton="0" quotePrefix="0" xfId="1">
      <alignment vertical="center"/>
    </xf>
    <xf numFmtId="0" fontId="0" fillId="0" borderId="4" applyAlignment="1" pivotButton="0" quotePrefix="0" xfId="0">
      <alignment vertical="center"/>
    </xf>
    <xf numFmtId="55" fontId="3" fillId="0" borderId="1" applyAlignment="1" pivotButton="0" quotePrefix="0" xfId="0">
      <alignment horizontal="center" vertical="center"/>
    </xf>
    <xf numFmtId="38" fontId="0" fillId="2" borderId="6" applyAlignment="1" pivotButton="0" quotePrefix="0" xfId="1">
      <alignment vertical="center"/>
    </xf>
    <xf numFmtId="38" fontId="0" fillId="3" borderId="7" applyAlignment="1" pivotButton="0" quotePrefix="0" xfId="0">
      <alignment vertical="center"/>
    </xf>
    <xf numFmtId="38" fontId="0" fillId="4" borderId="9" applyAlignment="1" pivotButton="0" quotePrefix="0" xfId="1">
      <alignment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0" fontId="0" fillId="2" borderId="40" applyAlignment="1" pivotButton="0" quotePrefix="0" xfId="0">
      <alignment horizontal="center" vertical="center"/>
    </xf>
    <xf numFmtId="38" fontId="0" fillId="2" borderId="23" applyAlignment="1" pivotButton="0" quotePrefix="0" xfId="1">
      <alignment vertical="center"/>
    </xf>
    <xf numFmtId="38" fontId="0" fillId="4" borderId="24" applyAlignment="1" pivotButton="0" quotePrefix="0" xfId="1">
      <alignment vertical="center"/>
    </xf>
    <xf numFmtId="0" fontId="5" fillId="0" borderId="19" applyAlignment="1" pivotButton="0" quotePrefix="0" xfId="0">
      <alignment vertical="center"/>
    </xf>
    <xf numFmtId="38" fontId="6" fillId="0" borderId="17" applyAlignment="1" pivotButton="0" quotePrefix="0" xfId="1">
      <alignment vertical="center"/>
    </xf>
    <xf numFmtId="38" fontId="6" fillId="2" borderId="5" applyAlignment="1" pivotButton="0" quotePrefix="0" xfId="1">
      <alignment vertical="center"/>
    </xf>
    <xf numFmtId="38" fontId="6" fillId="0" borderId="5" applyAlignment="1" pivotButton="0" quotePrefix="0" xfId="1">
      <alignment vertical="center"/>
    </xf>
    <xf numFmtId="38" fontId="0" fillId="5" borderId="7" applyAlignment="1" pivotButton="0" quotePrefix="0" xfId="1">
      <alignment vertical="center"/>
    </xf>
    <xf numFmtId="0" fontId="0" fillId="5" borderId="9" applyAlignment="1" pivotButton="0" quotePrefix="0" xfId="0">
      <alignment vertical="center"/>
    </xf>
    <xf numFmtId="38" fontId="0" fillId="6" borderId="8" applyAlignment="1" pivotButton="0" quotePrefix="0" xfId="0">
      <alignment vertical="center"/>
    </xf>
    <xf numFmtId="38" fontId="0" fillId="7" borderId="24" applyAlignment="1" pivotButton="0" quotePrefix="0" xfId="1">
      <alignment vertical="center"/>
    </xf>
    <xf numFmtId="38" fontId="0" fillId="6" borderId="7" applyAlignment="1" pivotButton="0" quotePrefix="0" xfId="0">
      <alignment vertical="center"/>
    </xf>
    <xf numFmtId="164" fontId="0" fillId="6" borderId="7" applyAlignment="1" pivotButton="0" quotePrefix="0" xfId="2">
      <alignment horizontal="right" vertical="center"/>
    </xf>
    <xf numFmtId="164" fontId="0" fillId="6" borderId="8" applyAlignment="1" pivotButton="0" quotePrefix="0" xfId="2">
      <alignment horizontal="right" vertical="center"/>
    </xf>
    <xf numFmtId="164" fontId="0" fillId="7" borderId="9" applyAlignment="1" pivotButton="0" quotePrefix="0" xfId="2">
      <alignment horizontal="right" vertical="center"/>
    </xf>
    <xf numFmtId="0" fontId="0" fillId="0" borderId="41" applyAlignment="1" pivotButton="0" quotePrefix="0" xfId="0">
      <alignment vertical="center"/>
    </xf>
    <xf numFmtId="38" fontId="0" fillId="0" borderId="10" applyAlignment="1" pivotButton="0" quotePrefix="0" xfId="1">
      <alignment vertical="center"/>
    </xf>
    <xf numFmtId="38" fontId="0" fillId="0" borderId="42" applyAlignment="1" pivotButton="0" quotePrefix="0" xfId="1">
      <alignment vertical="center"/>
    </xf>
    <xf numFmtId="38" fontId="0" fillId="2" borderId="43" applyAlignment="1" pivotButton="0" quotePrefix="0" xfId="1">
      <alignment vertical="center"/>
    </xf>
    <xf numFmtId="164" fontId="0" fillId="0" borderId="43" applyAlignment="1" pivotButton="0" quotePrefix="0" xfId="2">
      <alignment horizontal="right" vertical="center"/>
    </xf>
    <xf numFmtId="164" fontId="0" fillId="2" borderId="43" applyAlignment="1" pivotButton="0" quotePrefix="0" xfId="2">
      <alignment horizontal="right" vertical="center"/>
    </xf>
    <xf numFmtId="38" fontId="0" fillId="0" borderId="41" applyAlignment="1" pivotButton="0" quotePrefix="0" xfId="1">
      <alignment vertical="center"/>
    </xf>
    <xf numFmtId="38" fontId="0" fillId="2" borderId="10" applyAlignment="1" pivotButton="0" quotePrefix="0" xfId="1">
      <alignment vertical="center"/>
    </xf>
    <xf numFmtId="164" fontId="0" fillId="2" borderId="10" applyAlignment="1" pivotButton="0" quotePrefix="0" xfId="2">
      <alignment horizontal="right" vertical="center"/>
    </xf>
    <xf numFmtId="164" fontId="0" fillId="3" borderId="44" applyAlignment="1" pivotButton="0" quotePrefix="0" xfId="2">
      <alignment horizontal="right" vertical="center"/>
    </xf>
    <xf numFmtId="38" fontId="6" fillId="0" borderId="42" applyAlignment="1" pivotButton="0" quotePrefix="0" xfId="1">
      <alignment vertical="center"/>
    </xf>
    <xf numFmtId="38" fontId="6" fillId="2" borderId="43" applyAlignment="1" pivotButton="0" quotePrefix="0" xfId="1">
      <alignment vertical="center"/>
    </xf>
    <xf numFmtId="38" fontId="6" fillId="0" borderId="43" applyAlignment="1" pivotButton="0" quotePrefix="0" xfId="1">
      <alignment vertical="center"/>
    </xf>
    <xf numFmtId="55" fontId="3" fillId="0" borderId="45" applyAlignment="1" pivotButton="0" quotePrefix="0" xfId="0">
      <alignment horizontal="center" vertical="center"/>
    </xf>
    <xf numFmtId="164" fontId="0" fillId="0" borderId="17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38" fontId="0" fillId="0" borderId="44" applyAlignment="1" pivotButton="0" quotePrefix="0" xfId="1">
      <alignment vertical="center"/>
    </xf>
    <xf numFmtId="38" fontId="0" fillId="2" borderId="9" applyAlignment="1" pivotButton="0" quotePrefix="0" xfId="1">
      <alignment vertical="center"/>
    </xf>
    <xf numFmtId="164" fontId="0" fillId="0" borderId="7" applyAlignment="1" pivotButton="0" quotePrefix="0" xfId="2">
      <alignment horizontal="right" vertical="center"/>
    </xf>
    <xf numFmtId="164" fontId="0" fillId="0" borderId="8" applyAlignment="1" pivotButton="0" quotePrefix="0" xfId="2">
      <alignment horizontal="right" vertical="center"/>
    </xf>
    <xf numFmtId="164" fontId="0" fillId="2" borderId="9" applyAlignment="1" pivotButton="0" quotePrefix="0" xfId="2">
      <alignment horizontal="right" vertical="center"/>
    </xf>
    <xf numFmtId="38" fontId="0" fillId="2" borderId="8" applyAlignment="1" pivotButton="0" quotePrefix="0" xfId="1">
      <alignment vertical="center"/>
    </xf>
    <xf numFmtId="38" fontId="0" fillId="3" borderId="44" applyAlignment="1" pivotButton="0" quotePrefix="0" xfId="0">
      <alignment vertical="center"/>
    </xf>
    <xf numFmtId="164" fontId="0" fillId="0" borderId="44" applyAlignment="1" pivotButton="0" quotePrefix="0" xfId="2">
      <alignment horizontal="right" vertical="center"/>
    </xf>
    <xf numFmtId="38" fontId="0" fillId="2" borderId="24" applyAlignment="1" pivotButton="0" quotePrefix="0" xfId="1">
      <alignment vertical="center"/>
    </xf>
    <xf numFmtId="38" fontId="0" fillId="2" borderId="46" applyAlignment="1" pivotButton="0" quotePrefix="0" xfId="1">
      <alignment vertical="center"/>
    </xf>
    <xf numFmtId="0" fontId="0" fillId="0" borderId="0" pivotButton="0" quotePrefix="0" xfId="0"/>
    <xf numFmtId="38" fontId="1" fillId="0" borderId="17" applyAlignment="1" pivotButton="0" quotePrefix="0" xfId="1">
      <alignment vertical="center"/>
    </xf>
    <xf numFmtId="38" fontId="1" fillId="0" borderId="5" applyAlignment="1" pivotButton="0" quotePrefix="0" xfId="1">
      <alignment vertical="center"/>
    </xf>
    <xf numFmtId="38" fontId="6" fillId="0" borderId="49" applyAlignment="1" pivotButton="0" quotePrefix="0" xfId="1">
      <alignment vertical="center"/>
    </xf>
    <xf numFmtId="38" fontId="6" fillId="0" borderId="50" applyAlignment="1" pivotButton="0" quotePrefix="0" xfId="1">
      <alignment vertical="center"/>
    </xf>
    <xf numFmtId="38" fontId="0" fillId="6" borderId="51" applyAlignment="1" pivotButton="0" quotePrefix="0" xfId="0">
      <alignment vertical="center"/>
    </xf>
    <xf numFmtId="38" fontId="0" fillId="7" borderId="52" applyAlignment="1" pivotButton="0" quotePrefix="0" xfId="1">
      <alignment vertical="center"/>
    </xf>
    <xf numFmtId="38" fontId="1" fillId="6" borderId="8" applyAlignment="1" pivotButton="0" quotePrefix="0" xfId="0">
      <alignment vertical="center"/>
    </xf>
    <xf numFmtId="164" fontId="0" fillId="0" borderId="51" applyAlignment="1" pivotButton="0" quotePrefix="0" xfId="2">
      <alignment horizontal="right" vertical="center"/>
    </xf>
    <xf numFmtId="0" fontId="0" fillId="0" borderId="47" applyAlignment="1" pivotButton="0" quotePrefix="0" xfId="0">
      <alignment horizontal="center" vertical="center"/>
    </xf>
    <xf numFmtId="0" fontId="0" fillId="0" borderId="14" pivotButton="0" quotePrefix="0" xfId="0"/>
    <xf numFmtId="38" fontId="0" fillId="0" borderId="14" applyAlignment="1" pivotButton="0" quotePrefix="0" xfId="1">
      <alignment horizontal="center" vertical="center"/>
    </xf>
    <xf numFmtId="0" fontId="0" fillId="0" borderId="13" pivotButton="0" quotePrefix="0" xfId="0"/>
    <xf numFmtId="38" fontId="0" fillId="0" borderId="47" applyAlignment="1" pivotButton="0" quotePrefix="0" xfId="1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48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1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29" pivotButton="0" quotePrefix="0" xfId="0"/>
    <xf numFmtId="0" fontId="0" fillId="0" borderId="30" pivotButton="0" quotePrefix="0" xfId="0"/>
    <xf numFmtId="0" fontId="0" fillId="0" borderId="15" pivotButton="0" quotePrefix="0" xfId="0"/>
    <xf numFmtId="0" fontId="0" fillId="0" borderId="11" pivotButton="0" quotePrefix="0" xfId="0"/>
    <xf numFmtId="0" fontId="0" fillId="0" borderId="16" pivotButton="0" quotePrefix="0" xfId="0"/>
    <xf numFmtId="0" fontId="0" fillId="0" borderId="39" pivotButton="0" quotePrefix="0" xfId="0"/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44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164" fontId="0" fillId="0" borderId="44" applyAlignment="1" pivotButton="0" quotePrefix="0" xfId="2">
      <alignment horizontal="right" vertical="center"/>
    </xf>
    <xf numFmtId="164" fontId="0" fillId="0" borderId="8" applyAlignment="1" pivotButton="0" quotePrefix="0" xfId="2">
      <alignment horizontal="right" vertical="center"/>
    </xf>
    <xf numFmtId="164" fontId="0" fillId="2" borderId="9" applyAlignment="1" pivotButton="0" quotePrefix="0" xfId="2">
      <alignment horizontal="right" vertical="center"/>
    </xf>
    <xf numFmtId="164" fontId="0" fillId="0" borderId="0" applyAlignment="1" pivotButton="0" quotePrefix="0" xfId="2">
      <alignment horizontal="right"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164" fontId="0" fillId="2" borderId="5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164" fontId="0" fillId="0" borderId="43" applyAlignment="1" pivotButton="0" quotePrefix="0" xfId="2">
      <alignment horizontal="right" vertical="center"/>
    </xf>
    <xf numFmtId="164" fontId="0" fillId="2" borderId="43" applyAlignment="1" pivotButton="0" quotePrefix="0" xfId="2">
      <alignment horizontal="right" vertical="center"/>
    </xf>
    <xf numFmtId="164" fontId="0" fillId="4" borderId="8" applyAlignment="1" pivotButton="0" quotePrefix="0" xfId="2">
      <alignment horizontal="right" vertical="center"/>
    </xf>
    <xf numFmtId="164" fontId="0" fillId="6" borderId="7" applyAlignment="1" pivotButton="0" quotePrefix="0" xfId="2">
      <alignment horizontal="right" vertical="center"/>
    </xf>
    <xf numFmtId="164" fontId="0" fillId="6" borderId="8" applyAlignment="1" pivotButton="0" quotePrefix="0" xfId="2">
      <alignment horizontal="right" vertical="center"/>
    </xf>
    <xf numFmtId="164" fontId="0" fillId="7" borderId="9" applyAlignment="1" pivotButton="0" quotePrefix="0" xfId="2">
      <alignment horizontal="right" vertical="center"/>
    </xf>
    <xf numFmtId="164" fontId="0" fillId="2" borderId="10" applyAlignment="1" pivotButton="0" quotePrefix="0" xfId="2">
      <alignment horizontal="right" vertical="center"/>
    </xf>
    <xf numFmtId="164" fontId="0" fillId="0" borderId="7" applyAlignment="1" pivotButton="0" quotePrefix="0" xfId="2">
      <alignment horizontal="right" vertical="center"/>
    </xf>
    <xf numFmtId="164" fontId="0" fillId="0" borderId="51" applyAlignment="1" pivotButton="0" quotePrefix="0" xfId="2">
      <alignment horizontal="right" vertical="center"/>
    </xf>
    <xf numFmtId="164" fontId="0" fillId="0" borderId="33" applyAlignment="1" pivotButton="0" quotePrefix="0" xfId="2">
      <alignment vertical="center"/>
    </xf>
    <xf numFmtId="164" fontId="0" fillId="0" borderId="34" applyAlignment="1" pivotButton="0" quotePrefix="0" xfId="2">
      <alignment vertical="center"/>
    </xf>
    <xf numFmtId="164" fontId="0" fillId="0" borderId="6" applyAlignment="1" pivotButton="0" quotePrefix="0" xfId="2">
      <alignment vertical="center"/>
    </xf>
    <xf numFmtId="164" fontId="0" fillId="0" borderId="23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164" fontId="0" fillId="0" borderId="24" applyAlignment="1" pivotButton="0" quotePrefix="0" xfId="2">
      <alignment vertical="center"/>
    </xf>
  </cellXfs>
  <cellStyles count="3">
    <cellStyle name="標準" xfId="0" builtinId="0"/>
    <cellStyle name="桁区切り" xfId="1" builtinId="6"/>
    <cellStyle name="パーセント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opLeftCell="B1" workbookViewId="0">
      <pane xSplit="3" ySplit="1" topLeftCell="E108" activePane="bottomRight" state="frozen"/>
      <selection activeCell="E47" sqref="E47"/>
      <selection pane="topRight" activeCell="E47" sqref="E47"/>
      <selection pane="bottomLeft" activeCell="E47" sqref="E47"/>
      <selection pane="bottomRight" activeCell="V116" sqref="V116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水産部包装資材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19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19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61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10" t="inlineStr">
        <is>
          <t>合計</t>
        </is>
      </c>
      <c r="L4" s="95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95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3">
        <f>全体!E5-機械!E5</f>
        <v/>
      </c>
      <c r="F5" s="4">
        <f>全体!F5-機械!F5</f>
        <v/>
      </c>
      <c r="G5" s="4">
        <f>全体!G5-機械!G5</f>
        <v/>
      </c>
      <c r="H5" s="4">
        <f>全体!H5-機械!H5</f>
        <v/>
      </c>
      <c r="I5" s="4">
        <f>全体!I5-機械!I5</f>
        <v/>
      </c>
      <c r="J5" s="4">
        <f>全体!J5-機械!J5</f>
        <v/>
      </c>
      <c r="K5" s="62">
        <f>SUM(E5:J5)</f>
        <v/>
      </c>
      <c r="L5" s="20">
        <f>全体!L5-機械!L5</f>
        <v/>
      </c>
      <c r="M5" s="4">
        <f>全体!M5-機械!M5</f>
        <v/>
      </c>
      <c r="N5" s="4">
        <f>全体!N5-機械!N5</f>
        <v/>
      </c>
      <c r="O5" s="4">
        <f>全体!O5-機械!O5</f>
        <v/>
      </c>
      <c r="P5" s="4">
        <f>全体!P5-機械!P5</f>
        <v/>
      </c>
      <c r="Q5" s="4">
        <f>全体!Q5-機械!Q5</f>
        <v/>
      </c>
      <c r="R5" s="62">
        <f>SUM(L5:Q5)</f>
        <v/>
      </c>
      <c r="S5" s="135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3">
        <f>全体!E6-機械!E6</f>
        <v/>
      </c>
      <c r="F6" s="4">
        <f>全体!F6-機械!F6</f>
        <v/>
      </c>
      <c r="G6" s="4">
        <f>全体!G6-機械!G6</f>
        <v/>
      </c>
      <c r="H6" s="4">
        <f>全体!H6-機械!H6</f>
        <v/>
      </c>
      <c r="I6" s="4">
        <f>全体!I6-機械!I6</f>
        <v/>
      </c>
      <c r="J6" s="4">
        <f>全体!J6-機械!J6</f>
        <v/>
      </c>
      <c r="K6" s="62">
        <f>SUM(E6:J6)</f>
        <v/>
      </c>
      <c r="L6" s="20">
        <f>全体!L6-機械!L6</f>
        <v/>
      </c>
      <c r="M6" s="4">
        <f>全体!M6-機械!M6</f>
        <v/>
      </c>
      <c r="N6" s="4">
        <f>全体!N6-機械!N6</f>
        <v/>
      </c>
      <c r="O6" s="4">
        <f>全体!O6-機械!O6</f>
        <v/>
      </c>
      <c r="P6" s="4">
        <f>全体!P6-機械!P6</f>
        <v/>
      </c>
      <c r="Q6" s="4">
        <f>全体!Q6-機械!Q6</f>
        <v/>
      </c>
      <c r="R6" s="62">
        <f>SUM(L6:Q6)</f>
        <v/>
      </c>
      <c r="S6" s="135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3">
        <f>全体!E7-機械!E7</f>
        <v/>
      </c>
      <c r="F7" s="4">
        <f>全体!F7-機械!F7</f>
        <v/>
      </c>
      <c r="G7" s="4">
        <f>全体!G7-機械!G7</f>
        <v/>
      </c>
      <c r="H7" s="4">
        <f>全体!H7-機械!H7</f>
        <v/>
      </c>
      <c r="I7" s="4">
        <f>全体!I7-機械!I7</f>
        <v/>
      </c>
      <c r="J7" s="4">
        <f>全体!J7-機械!J7</f>
        <v/>
      </c>
      <c r="K7" s="62">
        <f>SUM(E7:J7)</f>
        <v/>
      </c>
      <c r="L7" s="20">
        <f>全体!L7-機械!L7</f>
        <v/>
      </c>
      <c r="M7" s="4">
        <f>全体!M7-機械!M7</f>
        <v/>
      </c>
      <c r="N7" s="4">
        <f>全体!N7-機械!N7</f>
        <v/>
      </c>
      <c r="O7" s="4">
        <f>全体!O7-機械!O7</f>
        <v/>
      </c>
      <c r="P7" s="4">
        <f>全体!P7-機械!P7</f>
        <v/>
      </c>
      <c r="Q7" s="4">
        <f>全体!Q7-機械!Q7</f>
        <v/>
      </c>
      <c r="R7" s="62">
        <f>SUM(L7:Q7)</f>
        <v/>
      </c>
      <c r="S7" s="135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3">
        <f>全体!E8-機械!E8</f>
        <v/>
      </c>
      <c r="F8" s="4">
        <f>全体!F8-機械!F8</f>
        <v/>
      </c>
      <c r="G8" s="4">
        <f>全体!G8-機械!G8</f>
        <v/>
      </c>
      <c r="H8" s="4">
        <f>全体!H8-機械!H8</f>
        <v/>
      </c>
      <c r="I8" s="4">
        <f>全体!I8-機械!I8</f>
        <v/>
      </c>
      <c r="J8" s="4">
        <f>全体!J8-機械!J8</f>
        <v/>
      </c>
      <c r="K8" s="62">
        <f>SUM(E8:J8)</f>
        <v/>
      </c>
      <c r="L8" s="20">
        <f>全体!L8-機械!L8</f>
        <v/>
      </c>
      <c r="M8" s="4">
        <f>全体!M8-機械!M8</f>
        <v/>
      </c>
      <c r="N8" s="4">
        <f>全体!N8-機械!N8</f>
        <v/>
      </c>
      <c r="O8" s="4">
        <f>全体!O8-機械!O8</f>
        <v/>
      </c>
      <c r="P8" s="4">
        <f>全体!P8-機械!P8</f>
        <v/>
      </c>
      <c r="Q8" s="4">
        <f>全体!Q8-機械!Q8</f>
        <v/>
      </c>
      <c r="R8" s="62">
        <f>SUM(L8:Q8)</f>
        <v/>
      </c>
      <c r="S8" s="135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3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62">
        <f>SUM(K5:K8)</f>
        <v/>
      </c>
      <c r="L9" s="20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62">
        <f>SUM(R5:R8)</f>
        <v/>
      </c>
      <c r="S9" s="135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3">
        <f>全体!E10-機械!E10</f>
        <v/>
      </c>
      <c r="F10" s="4">
        <f>全体!F10-機械!F10</f>
        <v/>
      </c>
      <c r="G10" s="4">
        <f>全体!G10-機械!G10</f>
        <v/>
      </c>
      <c r="H10" s="4">
        <f>全体!H10-機械!H10</f>
        <v/>
      </c>
      <c r="I10" s="4">
        <f>全体!I10-機械!I10</f>
        <v/>
      </c>
      <c r="J10" s="4">
        <f>全体!J10-機械!J10</f>
        <v/>
      </c>
      <c r="K10" s="62">
        <f>SUM(E10:J10)</f>
        <v/>
      </c>
      <c r="L10" s="20">
        <f>全体!L10-機械!L10</f>
        <v/>
      </c>
      <c r="M10" s="4">
        <f>全体!M10-機械!M10</f>
        <v/>
      </c>
      <c r="N10" s="4">
        <f>全体!N10-機械!N10</f>
        <v/>
      </c>
      <c r="O10" s="4">
        <f>全体!O10-機械!O10</f>
        <v/>
      </c>
      <c r="P10" s="4">
        <f>全体!P10-機械!P10</f>
        <v/>
      </c>
      <c r="Q10" s="4">
        <f>全体!Q10-機械!Q10</f>
        <v/>
      </c>
      <c r="R10" s="62">
        <f>SUM(L10:Q10)</f>
        <v/>
      </c>
      <c r="S10" s="135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3">
        <f>全体!E11-機械!E11</f>
        <v/>
      </c>
      <c r="F11" s="4">
        <f>全体!F11-機械!F11</f>
        <v/>
      </c>
      <c r="G11" s="4">
        <f>全体!G11-機械!G11</f>
        <v/>
      </c>
      <c r="H11" s="4">
        <f>全体!H11-機械!H11</f>
        <v/>
      </c>
      <c r="I11" s="4">
        <f>全体!I11-機械!I11</f>
        <v/>
      </c>
      <c r="J11" s="4">
        <f>全体!J11-機械!J11</f>
        <v/>
      </c>
      <c r="K11" s="62">
        <f>SUM(E11:J11)</f>
        <v/>
      </c>
      <c r="L11" s="20">
        <f>全体!L11-機械!L11</f>
        <v/>
      </c>
      <c r="M11" s="4">
        <f>全体!M11-機械!M11</f>
        <v/>
      </c>
      <c r="N11" s="4">
        <f>全体!N11-機械!N11</f>
        <v/>
      </c>
      <c r="O11" s="4">
        <f>全体!O11-機械!O11</f>
        <v/>
      </c>
      <c r="P11" s="4">
        <f>全体!P11-機械!P11</f>
        <v/>
      </c>
      <c r="Q11" s="4">
        <f>全体!Q11-機械!Q11</f>
        <v/>
      </c>
      <c r="R11" s="62">
        <f>SUM(L11:Q11)</f>
        <v/>
      </c>
      <c r="S11" s="135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3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62">
        <f>K10+K11</f>
        <v/>
      </c>
      <c r="L12" s="20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62">
        <f>R10+R11</f>
        <v/>
      </c>
      <c r="S12" s="135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3">
        <f>全体!E13-機械!E13</f>
        <v/>
      </c>
      <c r="F13" s="20">
        <f>全体!F13-機械!F13</f>
        <v/>
      </c>
      <c r="G13" s="20">
        <f>全体!G13-機械!G13</f>
        <v/>
      </c>
      <c r="H13" s="20">
        <f>全体!H13-機械!H13</f>
        <v/>
      </c>
      <c r="I13" s="20">
        <f>全体!I13-機械!I13</f>
        <v/>
      </c>
      <c r="J13" s="20">
        <f>全体!J13-機械!J13</f>
        <v/>
      </c>
      <c r="K13" s="62">
        <f>SUM(E13:J13)</f>
        <v/>
      </c>
      <c r="L13" s="20">
        <f>全体!L13-機械!L13</f>
        <v/>
      </c>
      <c r="M13" s="20">
        <f>全体!M13-機械!M13</f>
        <v/>
      </c>
      <c r="N13" s="20">
        <f>全体!N13-機械!N13</f>
        <v/>
      </c>
      <c r="O13" s="20">
        <f>全体!O13-機械!O13</f>
        <v/>
      </c>
      <c r="P13" s="20">
        <f>全体!P13-機械!P13</f>
        <v/>
      </c>
      <c r="Q13" s="20">
        <f>全体!Q13-機械!Q13</f>
        <v/>
      </c>
      <c r="R13" s="62">
        <f>SUM(L13:Q13)</f>
        <v/>
      </c>
      <c r="S13" s="135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8">
        <f>全体!E14-機械!E14</f>
        <v/>
      </c>
      <c r="F14" s="84">
        <f>全体!F14-機械!F14</f>
        <v/>
      </c>
      <c r="G14" s="84">
        <f>全体!G14-機械!G14</f>
        <v/>
      </c>
      <c r="H14" s="84">
        <f>全体!H14-機械!H14</f>
        <v/>
      </c>
      <c r="I14" s="84">
        <f>全体!I14-機械!I14</f>
        <v/>
      </c>
      <c r="J14" s="84">
        <f>全体!J14-機械!J14</f>
        <v/>
      </c>
      <c r="K14" s="62">
        <f>SUM(E14:J14)</f>
        <v/>
      </c>
      <c r="L14" s="84">
        <f>全体!L14-機械!L14</f>
        <v/>
      </c>
      <c r="M14" s="84">
        <f>全体!M14-機械!M14</f>
        <v/>
      </c>
      <c r="N14" s="84">
        <f>全体!N14-機械!N14</f>
        <v/>
      </c>
      <c r="O14" s="84">
        <f>全体!O14-機械!O14</f>
        <v/>
      </c>
      <c r="P14" s="84">
        <f>全体!P14-機械!P14</f>
        <v/>
      </c>
      <c r="Q14" s="84">
        <f>全体!Q14-機械!Q14</f>
        <v/>
      </c>
      <c r="R14" s="62">
        <f>SUM(L14:Q14)</f>
        <v/>
      </c>
      <c r="S14" s="135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8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9">
        <f>K13+K14</f>
        <v/>
      </c>
      <c r="L15" s="84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9">
        <f>R13+R14</f>
        <v/>
      </c>
      <c r="S15" s="135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63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64">
        <f>K9+K12+K15</f>
        <v/>
      </c>
      <c r="L16" s="104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64">
        <f>R9+R12+R15</f>
        <v/>
      </c>
      <c r="S16" s="138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5" t="n"/>
      <c r="F17" s="98" t="n">
        <v>8671.294</v>
      </c>
      <c r="G17" s="98" t="n"/>
      <c r="H17" s="98" t="n"/>
      <c r="I17" s="98" t="n"/>
      <c r="J17" s="98" t="n"/>
      <c r="K17" s="99">
        <f>SUM(E17:J17)</f>
        <v/>
      </c>
      <c r="L17" s="98" t="n"/>
      <c r="M17" s="98" t="n">
        <v>3581.357</v>
      </c>
      <c r="N17" s="98" t="n"/>
      <c r="O17" s="98" t="n"/>
      <c r="P17" s="98" t="n"/>
      <c r="Q17" s="98" t="n"/>
      <c r="R17" s="99">
        <f>SUM(L17:Q17)</f>
        <v/>
      </c>
      <c r="S17" s="141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>
        <f>全体!E22-機械!E22</f>
        <v/>
      </c>
      <c r="F22" s="4">
        <f>全体!F22-機械!F22</f>
        <v/>
      </c>
      <c r="G22" s="4">
        <f>全体!G22-機械!G22</f>
        <v/>
      </c>
      <c r="H22" s="4">
        <f>全体!H22-機械!H22</f>
        <v/>
      </c>
      <c r="I22" s="4">
        <f>全体!I22-機械!I22</f>
        <v/>
      </c>
      <c r="J22" s="4">
        <f>全体!J22-機械!J22</f>
        <v/>
      </c>
      <c r="K22" s="62">
        <f>SUM(E22:J22)</f>
        <v/>
      </c>
      <c r="L22" s="20">
        <f>全体!L22-機械!L22</f>
        <v/>
      </c>
      <c r="M22" s="4">
        <f>全体!M22-機械!M22</f>
        <v/>
      </c>
      <c r="N22" s="4">
        <f>全体!N22-機械!N22</f>
        <v/>
      </c>
      <c r="O22" s="4">
        <f>全体!O22-機械!O22</f>
        <v/>
      </c>
      <c r="P22" s="4">
        <f>全体!P22-機械!P22</f>
        <v/>
      </c>
      <c r="Q22" s="4">
        <f>全体!Q22-機械!Q22</f>
        <v/>
      </c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>
        <f>全体!E23-機械!E23</f>
        <v/>
      </c>
      <c r="F23" s="4">
        <f>全体!F23-機械!F23</f>
        <v/>
      </c>
      <c r="G23" s="4">
        <f>全体!G23-機械!G23</f>
        <v/>
      </c>
      <c r="H23" s="4">
        <f>全体!H23-機械!H23</f>
        <v/>
      </c>
      <c r="I23" s="4">
        <f>全体!I23-機械!I23</f>
        <v/>
      </c>
      <c r="J23" s="4">
        <f>全体!J23-機械!J23</f>
        <v/>
      </c>
      <c r="K23" s="62">
        <f>SUM(E23:J23)</f>
        <v/>
      </c>
      <c r="L23" s="20">
        <f>全体!L23-機械!L23</f>
        <v/>
      </c>
      <c r="M23" s="4">
        <f>全体!M23-機械!M23</f>
        <v/>
      </c>
      <c r="N23" s="4">
        <f>全体!N23-機械!N23</f>
        <v/>
      </c>
      <c r="O23" s="4">
        <f>全体!O23-機械!O23</f>
        <v/>
      </c>
      <c r="P23" s="4">
        <f>全体!P23-機械!P23</f>
        <v/>
      </c>
      <c r="Q23" s="4">
        <f>全体!Q23-機械!Q23</f>
        <v/>
      </c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>
        <f>全体!E24-機械!E24</f>
        <v/>
      </c>
      <c r="F24" s="4">
        <f>全体!F24-機械!F24</f>
        <v/>
      </c>
      <c r="G24" s="4">
        <f>全体!G24-機械!G24</f>
        <v/>
      </c>
      <c r="H24" s="4">
        <f>全体!H24-機械!H24</f>
        <v/>
      </c>
      <c r="I24" s="4">
        <f>全体!I24-機械!I24</f>
        <v/>
      </c>
      <c r="J24" s="4">
        <f>全体!J24-機械!J24</f>
        <v/>
      </c>
      <c r="K24" s="62">
        <f>SUM(E24:J24)</f>
        <v/>
      </c>
      <c r="L24" s="20">
        <f>全体!L24-機械!L24</f>
        <v/>
      </c>
      <c r="M24" s="4">
        <f>全体!M24-機械!M24</f>
        <v/>
      </c>
      <c r="N24" s="4">
        <f>全体!N24-機械!N24</f>
        <v/>
      </c>
      <c r="O24" s="4">
        <f>全体!O24-機械!O24</f>
        <v/>
      </c>
      <c r="P24" s="4">
        <f>全体!P24-機械!P24</f>
        <v/>
      </c>
      <c r="Q24" s="4">
        <f>全体!Q24-機械!Q24</f>
        <v/>
      </c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>
        <f>全体!E25-機械!E25</f>
        <v/>
      </c>
      <c r="F25" s="4">
        <f>全体!F25-機械!F25</f>
        <v/>
      </c>
      <c r="G25" s="4">
        <f>全体!G25-機械!G25</f>
        <v/>
      </c>
      <c r="H25" s="4">
        <f>全体!H25-機械!H25</f>
        <v/>
      </c>
      <c r="I25" s="4">
        <f>全体!I25-機械!I25</f>
        <v/>
      </c>
      <c r="J25" s="4">
        <f>全体!J25-機械!J25</f>
        <v/>
      </c>
      <c r="K25" s="62">
        <f>SUM(E25:J25)</f>
        <v/>
      </c>
      <c r="L25" s="20">
        <f>全体!L25-機械!L25</f>
        <v/>
      </c>
      <c r="M25" s="4">
        <f>全体!M25-機械!M25</f>
        <v/>
      </c>
      <c r="N25" s="4">
        <f>全体!N25-機械!N25</f>
        <v/>
      </c>
      <c r="O25" s="4">
        <f>全体!O25-機械!O25</f>
        <v/>
      </c>
      <c r="P25" s="4">
        <f>全体!P25-機械!P25</f>
        <v/>
      </c>
      <c r="Q25" s="4">
        <f>全体!Q25-機械!Q25</f>
        <v/>
      </c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SUM(K22:K25)</f>
        <v/>
      </c>
      <c r="L26" s="20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SUM(R22:R25)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>
        <f>全体!E27-機械!E27</f>
        <v/>
      </c>
      <c r="F27" s="4">
        <f>全体!F27-機械!F27</f>
        <v/>
      </c>
      <c r="G27" s="4">
        <f>全体!G27-機械!G27</f>
        <v/>
      </c>
      <c r="H27" s="4">
        <f>全体!H27-機械!H27</f>
        <v/>
      </c>
      <c r="I27" s="4">
        <f>全体!I27-機械!I27</f>
        <v/>
      </c>
      <c r="J27" s="4">
        <f>全体!J27-機械!J27</f>
        <v/>
      </c>
      <c r="K27" s="62">
        <f>SUM(E27:J27)</f>
        <v/>
      </c>
      <c r="L27" s="20">
        <f>全体!L27-機械!L27</f>
        <v/>
      </c>
      <c r="M27" s="4">
        <f>全体!M27-機械!M27</f>
        <v/>
      </c>
      <c r="N27" s="4">
        <f>全体!N27-機械!N27</f>
        <v/>
      </c>
      <c r="O27" s="4">
        <f>全体!O27-機械!O27</f>
        <v/>
      </c>
      <c r="P27" s="4">
        <f>全体!P27-機械!P27</f>
        <v/>
      </c>
      <c r="Q27" s="4">
        <f>全体!Q27-機械!Q27</f>
        <v/>
      </c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>
        <f>全体!E28-機械!E28</f>
        <v/>
      </c>
      <c r="F28" s="4">
        <f>全体!F28-機械!F28</f>
        <v/>
      </c>
      <c r="G28" s="4">
        <f>全体!G28-機械!G28</f>
        <v/>
      </c>
      <c r="H28" s="4">
        <f>全体!H28-機械!H28</f>
        <v/>
      </c>
      <c r="I28" s="4">
        <f>全体!I28-機械!I28</f>
        <v/>
      </c>
      <c r="J28" s="4">
        <f>全体!J28-機械!J28</f>
        <v/>
      </c>
      <c r="K28" s="62">
        <f>SUM(E28:J28)</f>
        <v/>
      </c>
      <c r="L28" s="20">
        <f>全体!L28-機械!L28</f>
        <v/>
      </c>
      <c r="M28" s="4">
        <f>全体!M28-機械!M28</f>
        <v/>
      </c>
      <c r="N28" s="4">
        <f>全体!N28-機械!N28</f>
        <v/>
      </c>
      <c r="O28" s="4">
        <f>全体!O28-機械!O28</f>
        <v/>
      </c>
      <c r="P28" s="4">
        <f>全体!P28-機械!P28</f>
        <v/>
      </c>
      <c r="Q28" s="4">
        <f>全体!Q28-機械!Q28</f>
        <v/>
      </c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E27+E28</f>
        <v/>
      </c>
      <c r="F29" s="20">
        <f>F27+F28</f>
        <v/>
      </c>
      <c r="G29" s="20">
        <f>G27+G28</f>
        <v/>
      </c>
      <c r="H29" s="20">
        <f>H27+H28</f>
        <v/>
      </c>
      <c r="I29" s="20">
        <f>I27+I28</f>
        <v/>
      </c>
      <c r="J29" s="20">
        <f>J27+J28</f>
        <v/>
      </c>
      <c r="K29" s="62">
        <f>K27+K28</f>
        <v/>
      </c>
      <c r="L29" s="20">
        <f>L27+L28</f>
        <v/>
      </c>
      <c r="M29" s="20">
        <f>M27+M28</f>
        <v/>
      </c>
      <c r="N29" s="20">
        <f>N27+N28</f>
        <v/>
      </c>
      <c r="O29" s="20">
        <f>O27+O28</f>
        <v/>
      </c>
      <c r="P29" s="20">
        <f>P27+P28</f>
        <v/>
      </c>
      <c r="Q29" s="20">
        <f>Q27+Q28</f>
        <v/>
      </c>
      <c r="R29" s="62">
        <f>R27+R28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>
        <f>全体!E30-機械!E30</f>
        <v/>
      </c>
      <c r="F30" s="20">
        <f>全体!F30-機械!F30</f>
        <v/>
      </c>
      <c r="G30" s="20">
        <f>全体!G30-機械!G30</f>
        <v/>
      </c>
      <c r="H30" s="20">
        <f>全体!H30-機械!H30</f>
        <v/>
      </c>
      <c r="I30" s="20">
        <f>全体!I30-機械!I30</f>
        <v/>
      </c>
      <c r="J30" s="20">
        <f>全体!J30-機械!J30</f>
        <v/>
      </c>
      <c r="K30" s="62">
        <f>SUM(E30:J30)</f>
        <v/>
      </c>
      <c r="L30" s="20">
        <f>全体!L30-機械!L30</f>
        <v/>
      </c>
      <c r="M30" s="20">
        <f>全体!M30-機械!M30</f>
        <v/>
      </c>
      <c r="N30" s="20">
        <f>全体!N30-機械!N30</f>
        <v/>
      </c>
      <c r="O30" s="20">
        <f>全体!O30-機械!O30</f>
        <v/>
      </c>
      <c r="P30" s="20">
        <f>全体!P30-機械!P30</f>
        <v/>
      </c>
      <c r="Q30" s="20">
        <f>全体!Q30-機械!Q30</f>
        <v/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>
        <f>全体!E31-機械!E31</f>
        <v/>
      </c>
      <c r="F31" s="84">
        <f>全体!F31-機械!F31</f>
        <v/>
      </c>
      <c r="G31" s="84">
        <f>全体!G31-機械!G31</f>
        <v/>
      </c>
      <c r="H31" s="84">
        <f>全体!H31-機械!H31</f>
        <v/>
      </c>
      <c r="I31" s="84">
        <f>全体!I31-機械!I31</f>
        <v/>
      </c>
      <c r="J31" s="84">
        <f>全体!J31-機械!J31</f>
        <v/>
      </c>
      <c r="K31" s="62">
        <f>SUM(E31:J31)</f>
        <v/>
      </c>
      <c r="L31" s="84">
        <f>全体!L31-機械!L31</f>
        <v/>
      </c>
      <c r="M31" s="84">
        <f>全体!M31-機械!M31</f>
        <v/>
      </c>
      <c r="N31" s="84">
        <f>全体!N31-機械!N31</f>
        <v/>
      </c>
      <c r="O31" s="84">
        <f>全体!O31-機械!O31</f>
        <v/>
      </c>
      <c r="P31" s="84">
        <f>全体!P31-機械!P31</f>
        <v/>
      </c>
      <c r="Q31" s="84">
        <f>全体!Q31-機械!Q31</f>
        <v/>
      </c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8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89">
        <f>K30+K31</f>
        <v/>
      </c>
      <c r="L32" s="84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89">
        <f>R30+R31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63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K26+K29+K32</f>
        <v/>
      </c>
      <c r="L33" s="104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R26+R29+R32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5" t="n"/>
      <c r="F34" s="98" t="n">
        <v>8671.294</v>
      </c>
      <c r="G34" s="98" t="n"/>
      <c r="H34" s="98" t="n"/>
      <c r="I34" s="98" t="n"/>
      <c r="J34" s="98" t="n"/>
      <c r="K34" s="99">
        <f>SUM(E34:J34)</f>
        <v/>
      </c>
      <c r="L34" s="98" t="n"/>
      <c r="M34" s="98" t="n">
        <v>3581.357</v>
      </c>
      <c r="N34" s="98" t="n"/>
      <c r="O34" s="98" t="n"/>
      <c r="P34" s="98" t="n"/>
      <c r="Q34" s="98" t="n"/>
      <c r="R34" s="99">
        <f>SUM(L34:Q34)</f>
        <v/>
      </c>
      <c r="S34" s="142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21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10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61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7">
        <f>SUM(E39:J39)</f>
        <v/>
      </c>
      <c r="L39" s="4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7">
        <f>SUM(L39:Q39)</f>
        <v/>
      </c>
      <c r="S39" s="136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7">
        <f>SUM(E40:J40)</f>
        <v/>
      </c>
      <c r="L40" s="4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7">
        <f>SUM(L40:Q40)</f>
        <v/>
      </c>
      <c r="S40" s="136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7">
        <f>SUM(E41:J41)</f>
        <v/>
      </c>
      <c r="L41" s="4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7">
        <f>SUM(L41:Q41)</f>
        <v/>
      </c>
      <c r="S41" s="136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7">
        <f>SUM(E42:J42)</f>
        <v/>
      </c>
      <c r="L42" s="4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7">
        <f>SUM(L42:Q42)</f>
        <v/>
      </c>
      <c r="S42" s="136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7">
        <f>SUM(E43:J43)</f>
        <v/>
      </c>
      <c r="L43" s="4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7">
        <f>SUM(L43:Q43)</f>
        <v/>
      </c>
      <c r="S43" s="136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7">
        <f>SUM(E44:J44)</f>
        <v/>
      </c>
      <c r="L44" s="4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7">
        <f>SUM(L44:Q44)</f>
        <v/>
      </c>
      <c r="S44" s="136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7">
        <f>SUM(E45:J45)</f>
        <v/>
      </c>
      <c r="L45" s="4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7">
        <f>SUM(L45:Q45)</f>
        <v/>
      </c>
      <c r="S45" s="136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7">
        <f>SUM(K44:K45)</f>
        <v/>
      </c>
      <c r="L46" s="20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7">
        <f>SUM(R44:R45)</f>
        <v/>
      </c>
      <c r="S46" s="136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7">
        <f>SUM(E47:J47)</f>
        <v/>
      </c>
      <c r="L47" s="20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7">
        <f>SUM(L47:Q47)</f>
        <v/>
      </c>
      <c r="S47" s="136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7">
        <f>SUM(E48:J48)</f>
        <v/>
      </c>
      <c r="L48" s="20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7">
        <f>SUM(L48:Q48)</f>
        <v/>
      </c>
      <c r="S48" s="136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7">
        <f>SUM(E49:J49)</f>
        <v/>
      </c>
      <c r="L49" s="20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7">
        <f>SUM(L49:Q49)</f>
        <v/>
      </c>
      <c r="S49" s="136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8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4">
        <f>K43+K46+K47</f>
        <v/>
      </c>
      <c r="L50" s="8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9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3">
        <f>SUM(E51:J51)</f>
        <v/>
      </c>
      <c r="L51" s="98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103">
        <f>SUM(L51:Q51)</f>
        <v/>
      </c>
      <c r="S51" s="142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>
        <v>8690</v>
      </c>
      <c r="F56" s="20" t="n">
        <v>4400</v>
      </c>
      <c r="G56" s="20" t="n">
        <v>2060</v>
      </c>
      <c r="H56" s="20" t="n">
        <v>2600</v>
      </c>
      <c r="I56" s="20" t="n">
        <v>5310</v>
      </c>
      <c r="J56" s="20" t="n">
        <v>8440</v>
      </c>
      <c r="K56" s="62">
        <f>SUM(E56:J56)</f>
        <v/>
      </c>
      <c r="L56" s="20" t="n">
        <v>2370</v>
      </c>
      <c r="M56" s="4" t="n">
        <v>1310</v>
      </c>
      <c r="N56" s="4" t="n">
        <v>540</v>
      </c>
      <c r="O56" s="20" t="n">
        <v>590</v>
      </c>
      <c r="P56" s="4" t="n">
        <v>1460</v>
      </c>
      <c r="Q56" s="4" t="n">
        <v>1690</v>
      </c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>
        <v>3810</v>
      </c>
      <c r="F57" s="20" t="n">
        <v>3300</v>
      </c>
      <c r="G57" s="20" t="n">
        <v>4690</v>
      </c>
      <c r="H57" s="20" t="n">
        <v>3660</v>
      </c>
      <c r="I57" s="20" t="n">
        <v>2900</v>
      </c>
      <c r="J57" s="20" t="n">
        <v>5110</v>
      </c>
      <c r="K57" s="62">
        <f>SUM(E57:J57)</f>
        <v/>
      </c>
      <c r="L57" s="20" t="n">
        <v>1140</v>
      </c>
      <c r="M57" s="4" t="n">
        <v>990</v>
      </c>
      <c r="N57" s="4" t="n">
        <v>1410</v>
      </c>
      <c r="O57" s="20" t="n">
        <v>1100</v>
      </c>
      <c r="P57" s="4" t="n">
        <v>870</v>
      </c>
      <c r="Q57" s="4" t="n">
        <v>1530</v>
      </c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>
        <v>580</v>
      </c>
      <c r="F58" s="20" t="n">
        <v>380</v>
      </c>
      <c r="G58" s="20" t="n">
        <v>50</v>
      </c>
      <c r="H58" s="20" t="n">
        <v>40</v>
      </c>
      <c r="I58" s="20" t="n">
        <v>600</v>
      </c>
      <c r="J58" s="20" t="n">
        <v>520</v>
      </c>
      <c r="K58" s="62">
        <f>SUM(E58:J58)</f>
        <v/>
      </c>
      <c r="L58" s="20" t="n">
        <v>260</v>
      </c>
      <c r="M58" s="4" t="n">
        <v>170</v>
      </c>
      <c r="N58" s="4" t="n">
        <v>20</v>
      </c>
      <c r="O58" s="20" t="n">
        <v>20</v>
      </c>
      <c r="P58" s="4" t="n">
        <v>300</v>
      </c>
      <c r="Q58" s="4" t="n">
        <v>360</v>
      </c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>
        <v>3680</v>
      </c>
      <c r="F59" s="20" t="n">
        <v>5200</v>
      </c>
      <c r="G59" s="20" t="n">
        <v>4720</v>
      </c>
      <c r="H59" s="20" t="n">
        <v>3850</v>
      </c>
      <c r="I59" s="20" t="n">
        <v>2300</v>
      </c>
      <c r="J59" s="20" t="n">
        <v>3540</v>
      </c>
      <c r="K59" s="62">
        <f>SUM(E59:J59)</f>
        <v/>
      </c>
      <c r="L59" s="20" t="n">
        <v>1940</v>
      </c>
      <c r="M59" s="4" t="n">
        <v>2700</v>
      </c>
      <c r="N59" s="4" t="n">
        <v>1890</v>
      </c>
      <c r="O59" s="20" t="n">
        <v>1930</v>
      </c>
      <c r="P59" s="4" t="n">
        <v>1250</v>
      </c>
      <c r="Q59" s="4" t="n">
        <v>1770</v>
      </c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3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>
        <v>5500</v>
      </c>
      <c r="F61" s="20" t="n">
        <v>6400</v>
      </c>
      <c r="G61" s="20" t="n">
        <v>6700</v>
      </c>
      <c r="H61" s="20" t="n">
        <v>4800</v>
      </c>
      <c r="I61" s="20" t="n">
        <v>5700</v>
      </c>
      <c r="J61" s="20" t="n">
        <v>12500</v>
      </c>
      <c r="K61" s="62">
        <f>SUM(E61:J61)</f>
        <v/>
      </c>
      <c r="L61" s="20" t="n">
        <v>1100</v>
      </c>
      <c r="M61" s="4" t="n">
        <v>1570</v>
      </c>
      <c r="N61" s="4" t="n">
        <v>1310</v>
      </c>
      <c r="O61" s="4" t="n">
        <v>750</v>
      </c>
      <c r="P61" s="4" t="n">
        <v>1090</v>
      </c>
      <c r="Q61" s="4" t="n">
        <v>2340</v>
      </c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>
        <v>4110</v>
      </c>
      <c r="F62" s="20" t="n">
        <v>4540</v>
      </c>
      <c r="G62" s="20" t="n">
        <v>4100</v>
      </c>
      <c r="H62" s="20" t="n">
        <v>4410</v>
      </c>
      <c r="I62" s="20" t="n">
        <v>1540</v>
      </c>
      <c r="J62" s="20" t="n">
        <v>4950</v>
      </c>
      <c r="K62" s="62">
        <f>SUM(E62:J62)</f>
        <v/>
      </c>
      <c r="L62" s="20" t="n">
        <v>2690</v>
      </c>
      <c r="M62" s="4" t="n">
        <v>2880</v>
      </c>
      <c r="N62" s="4" t="n">
        <v>2920</v>
      </c>
      <c r="O62" s="4" t="n">
        <v>3130</v>
      </c>
      <c r="P62" s="4" t="n">
        <v>1130</v>
      </c>
      <c r="Q62" s="4" t="n">
        <v>3120</v>
      </c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3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15310</v>
      </c>
      <c r="F64" s="20" t="n">
        <v>22000</v>
      </c>
      <c r="G64" s="20" t="n">
        <v>20240</v>
      </c>
      <c r="H64" s="20" t="n">
        <v>13600</v>
      </c>
      <c r="I64" s="20" t="n">
        <v>10200</v>
      </c>
      <c r="J64" s="20" t="n">
        <v>11000</v>
      </c>
      <c r="K64" s="62">
        <f>SUM(E64:J64)</f>
        <v/>
      </c>
      <c r="L64" s="20" t="n">
        <v>3890</v>
      </c>
      <c r="M64" s="20" t="n">
        <v>4990</v>
      </c>
      <c r="N64" s="20" t="n">
        <v>4250</v>
      </c>
      <c r="O64" s="20" t="n">
        <v>2720</v>
      </c>
      <c r="P64" s="20" t="n">
        <v>2040</v>
      </c>
      <c r="Q64" s="20" t="n">
        <v>2200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>
        <v>30</v>
      </c>
      <c r="F65" s="84" t="n">
        <v>30</v>
      </c>
      <c r="G65" s="84" t="n">
        <v>30</v>
      </c>
      <c r="H65" s="84" t="n">
        <v>30</v>
      </c>
      <c r="I65" s="84" t="n">
        <v>30</v>
      </c>
      <c r="J65" s="84" t="n">
        <v>30</v>
      </c>
      <c r="K65" s="89">
        <f>SUM(E65:J65)</f>
        <v/>
      </c>
      <c r="L65" s="84" t="n">
        <v>10</v>
      </c>
      <c r="M65" s="84" t="n">
        <v>10</v>
      </c>
      <c r="N65" s="84" t="n">
        <v>10</v>
      </c>
      <c r="O65" s="84" t="n">
        <v>10</v>
      </c>
      <c r="P65" s="84" t="n">
        <v>10</v>
      </c>
      <c r="Q65" s="84" t="n">
        <v>10</v>
      </c>
      <c r="R65" s="62">
        <f>SUM(L65:Q65)</f>
        <v/>
      </c>
      <c r="S65" s="135">
        <f>IF(E65=0,"***",L65/E65)</f>
        <v/>
      </c>
      <c r="T65" s="136">
        <f>IF(F65=0,"***",M65/F65)</f>
        <v/>
      </c>
      <c r="U65" s="136">
        <f>IF(G65=0,"***",N65/G65)</f>
        <v/>
      </c>
      <c r="V65" s="136">
        <f>IF(H65=0,"***",O65/H65)</f>
        <v/>
      </c>
      <c r="W65" s="136">
        <f>IF(I65=0,"***",P65/I65)</f>
        <v/>
      </c>
      <c r="X65" s="136">
        <f>IF(J65=0,"***",Q65/J65)</f>
        <v/>
      </c>
      <c r="Y65" s="137">
        <f>IF(K65=0,"***",R65/K65)</f>
        <v/>
      </c>
    </row>
    <row r="66">
      <c r="C66" s="82" t="inlineStr">
        <is>
          <t>境港水産部合計</t>
        </is>
      </c>
      <c r="D66" s="83" t="n"/>
      <c r="E66" s="84">
        <f>E64+E65</f>
        <v/>
      </c>
      <c r="F66" s="84">
        <f>F64+F65</f>
        <v/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4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8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K60+K63+K64</f>
        <v/>
      </c>
      <c r="L67" s="8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R60+R63+R64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3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>
        <v>8671.294</v>
      </c>
      <c r="G69" s="17" t="n"/>
      <c r="H69" s="17" t="n"/>
      <c r="I69" s="17" t="n"/>
      <c r="J69" s="17" t="n"/>
      <c r="K69" s="18" t="n"/>
      <c r="L69" s="17" t="n"/>
      <c r="M69" s="17" t="n">
        <v>3581.357</v>
      </c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4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8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71">
        <f>全体!E105-機械!E105</f>
        <v/>
      </c>
      <c r="F105" s="71">
        <f>全体!F105-機械!F105</f>
        <v/>
      </c>
      <c r="G105" s="71">
        <f>全体!G105-機械!G105</f>
        <v/>
      </c>
      <c r="H105" s="71">
        <f>全体!H105-機械!H105</f>
        <v/>
      </c>
      <c r="I105" s="71">
        <f>全体!I105-機械!I105</f>
        <v/>
      </c>
      <c r="J105" s="71" t="n"/>
      <c r="K105" s="72">
        <f>SUM(E105:J105)</f>
        <v/>
      </c>
      <c r="L105" s="71">
        <f>全体!L105-機械!L105</f>
        <v/>
      </c>
      <c r="M105" s="73">
        <f>全体!M105-機械!M105</f>
        <v/>
      </c>
      <c r="N105" s="73">
        <f>全体!N105-機械!N105</f>
        <v/>
      </c>
      <c r="O105" s="73">
        <f>全体!O105-機械!O105</f>
        <v/>
      </c>
      <c r="P105" s="73">
        <f>全体!P105-機械!P105</f>
        <v/>
      </c>
      <c r="Q105" s="73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71">
        <f>全体!E106-機械!E106</f>
        <v/>
      </c>
      <c r="F106" s="71">
        <f>全体!F106-機械!F106</f>
        <v/>
      </c>
      <c r="G106" s="71">
        <f>全体!G106-機械!G106</f>
        <v/>
      </c>
      <c r="H106" s="71">
        <f>全体!H106-機械!H106</f>
        <v/>
      </c>
      <c r="I106" s="71">
        <f>全体!I106-機械!I106</f>
        <v/>
      </c>
      <c r="J106" s="71" t="n"/>
      <c r="K106" s="72">
        <f>SUM(E106:J106)</f>
        <v/>
      </c>
      <c r="L106" s="71">
        <f>全体!L106-機械!L106</f>
        <v/>
      </c>
      <c r="M106" s="71">
        <f>全体!M106-機械!M106</f>
        <v/>
      </c>
      <c r="N106" s="71">
        <f>全体!N106-機械!N106</f>
        <v/>
      </c>
      <c r="O106" s="71">
        <f>全体!O106-機械!O106</f>
        <v/>
      </c>
      <c r="P106" s="71">
        <f>全体!P106-機械!P106</f>
        <v/>
      </c>
      <c r="Q106" s="73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71">
        <f>全体!E107-機械!E107</f>
        <v/>
      </c>
      <c r="F107" s="71">
        <f>全体!F107-機械!F107</f>
        <v/>
      </c>
      <c r="G107" s="71">
        <f>全体!G107-機械!G107</f>
        <v/>
      </c>
      <c r="H107" s="71">
        <f>全体!H107-機械!H107</f>
        <v/>
      </c>
      <c r="I107" s="71">
        <f>全体!I107-機械!I107</f>
        <v/>
      </c>
      <c r="J107" s="71" t="n"/>
      <c r="K107" s="72">
        <f>SUM(E107:J107)</f>
        <v/>
      </c>
      <c r="L107" s="71">
        <f>全体!L107-機械!L107</f>
        <v/>
      </c>
      <c r="M107" s="71">
        <f>全体!M107-機械!M107</f>
        <v/>
      </c>
      <c r="N107" s="71">
        <f>全体!N107-機械!N107</f>
        <v/>
      </c>
      <c r="O107" s="71">
        <f>全体!O107-機械!O107</f>
        <v/>
      </c>
      <c r="P107" s="71">
        <f>全体!P107-機械!P107</f>
        <v/>
      </c>
      <c r="Q107" s="73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71">
        <f>全体!E108-機械!E108</f>
        <v/>
      </c>
      <c r="F108" s="71">
        <f>全体!F108-機械!F108</f>
        <v/>
      </c>
      <c r="G108" s="71">
        <f>全体!G108-機械!G108</f>
        <v/>
      </c>
      <c r="H108" s="71">
        <f>全体!H108-機械!H108</f>
        <v/>
      </c>
      <c r="I108" s="71">
        <f>全体!I108-機械!I108</f>
        <v/>
      </c>
      <c r="J108" s="71" t="n"/>
      <c r="K108" s="72">
        <f>SUM(E108:J108)</f>
        <v/>
      </c>
      <c r="L108" s="71">
        <f>全体!L108-機械!L108</f>
        <v/>
      </c>
      <c r="M108" s="71">
        <f>全体!M108-機械!M108</f>
        <v/>
      </c>
      <c r="N108" s="71">
        <f>全体!N108-機械!N108</f>
        <v/>
      </c>
      <c r="O108" s="71">
        <f>全体!O108-機械!O108</f>
        <v/>
      </c>
      <c r="P108" s="71">
        <f>全体!P108-機械!P108</f>
        <v/>
      </c>
      <c r="Q108" s="73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73">
        <f>SUM(E105:E108)</f>
        <v/>
      </c>
      <c r="F109" s="73">
        <f>SUM(F105:F108)</f>
        <v/>
      </c>
      <c r="G109" s="73">
        <f>SUM(G105:G108)</f>
        <v/>
      </c>
      <c r="H109" s="73">
        <f>SUM(H105:H108)</f>
        <v/>
      </c>
      <c r="I109" s="73">
        <f>SUM(I105:I108)</f>
        <v/>
      </c>
      <c r="J109" s="73">
        <f>SUM(J105:J108)</f>
        <v/>
      </c>
      <c r="K109" s="72">
        <f>SUM(E109:J109)</f>
        <v/>
      </c>
      <c r="L109" s="73">
        <f>SUM(L105:L108)</f>
        <v/>
      </c>
      <c r="M109" s="73">
        <f>SUM(M105:M108)</f>
        <v/>
      </c>
      <c r="N109" s="73">
        <f>SUM(N105:N108)</f>
        <v/>
      </c>
      <c r="O109" s="73">
        <f>SUM(O105:O108)</f>
        <v/>
      </c>
      <c r="P109" s="73">
        <f>SUM(P105:P108)</f>
        <v/>
      </c>
      <c r="Q109" s="73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71">
        <f>全体!E110-機械!E110</f>
        <v/>
      </c>
      <c r="F110" s="71">
        <f>全体!F110-機械!F110</f>
        <v/>
      </c>
      <c r="G110" s="71">
        <f>全体!G110-機械!G110</f>
        <v/>
      </c>
      <c r="H110" s="71">
        <f>全体!H110-機械!H110</f>
        <v/>
      </c>
      <c r="I110" s="71">
        <f>全体!I110-機械!I110</f>
        <v/>
      </c>
      <c r="J110" s="71" t="n"/>
      <c r="K110" s="72">
        <f>SUM(E110:J110)</f>
        <v/>
      </c>
      <c r="L110" s="71">
        <f>全体!L110-機械!L110</f>
        <v/>
      </c>
      <c r="M110" s="73">
        <f>全体!M110-機械!M110</f>
        <v/>
      </c>
      <c r="N110" s="73">
        <f>全体!N110-機械!N110</f>
        <v/>
      </c>
      <c r="O110" s="73">
        <f>全体!O110-機械!O110</f>
        <v/>
      </c>
      <c r="P110" s="73">
        <f>全体!P110-機械!P110</f>
        <v/>
      </c>
      <c r="Q110" s="73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71">
        <f>全体!E111-機械!E111</f>
        <v/>
      </c>
      <c r="F111" s="71">
        <f>全体!F111-機械!F111</f>
        <v/>
      </c>
      <c r="G111" s="71">
        <f>全体!G111-機械!G111</f>
        <v/>
      </c>
      <c r="H111" s="71">
        <f>全体!H111-機械!H111</f>
        <v/>
      </c>
      <c r="I111" s="71">
        <f>全体!I111-機械!I111</f>
        <v/>
      </c>
      <c r="J111" s="71" t="n"/>
      <c r="K111" s="72">
        <f>SUM(E111:J111)</f>
        <v/>
      </c>
      <c r="L111" s="71">
        <f>全体!L111-機械!L111</f>
        <v/>
      </c>
      <c r="M111" s="71">
        <f>全体!M111-機械!M111</f>
        <v/>
      </c>
      <c r="N111" s="71">
        <f>全体!N111-機械!N111</f>
        <v/>
      </c>
      <c r="O111" s="71">
        <f>全体!O111-機械!O111</f>
        <v/>
      </c>
      <c r="P111" s="71">
        <f>全体!P111-機械!P111</f>
        <v/>
      </c>
      <c r="Q111" s="71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71">
        <f>SUM(E110:E111)</f>
        <v/>
      </c>
      <c r="F112" s="71">
        <f>SUM(F110:F111)</f>
        <v/>
      </c>
      <c r="G112" s="71">
        <f>SUM(G110:G111)</f>
        <v/>
      </c>
      <c r="H112" s="71">
        <f>SUM(H110:H111)</f>
        <v/>
      </c>
      <c r="I112" s="71">
        <f>SUM(I110:I111)</f>
        <v/>
      </c>
      <c r="J112" s="71">
        <f>SUM(J110:J111)</f>
        <v/>
      </c>
      <c r="K112" s="72">
        <f>SUM(K110:K111)</f>
        <v/>
      </c>
      <c r="L112" s="71">
        <f>SUM(L110:L111)</f>
        <v/>
      </c>
      <c r="M112" s="71">
        <f>SUM(M110:M111)</f>
        <v/>
      </c>
      <c r="N112" s="71">
        <f>SUM(N110:N111)</f>
        <v/>
      </c>
      <c r="O112" s="71">
        <f>SUM(O110:O111)</f>
        <v/>
      </c>
      <c r="P112" s="71">
        <f>SUM(P110:P111)</f>
        <v/>
      </c>
      <c r="Q112" s="71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71">
        <f>全体!E113-機械!E113</f>
        <v/>
      </c>
      <c r="F113" s="71">
        <f>全体!F113-機械!F113</f>
        <v/>
      </c>
      <c r="G113" s="71">
        <f>全体!G113-機械!G113</f>
        <v/>
      </c>
      <c r="H113" s="71">
        <f>全体!H113-機械!H113</f>
        <v/>
      </c>
      <c r="I113" s="71">
        <f>全体!I113-機械!I113</f>
        <v/>
      </c>
      <c r="J113" s="71" t="n"/>
      <c r="K113" s="72">
        <f>SUM(E113:J113)</f>
        <v/>
      </c>
      <c r="L113" s="71">
        <f>全体!L113-機械!L113</f>
        <v/>
      </c>
      <c r="M113" s="73">
        <f>全体!M113-機械!M113</f>
        <v/>
      </c>
      <c r="N113" s="73">
        <f>全体!N113-機械!N113</f>
        <v/>
      </c>
      <c r="O113" s="73">
        <f>全体!O113-機械!O113</f>
        <v/>
      </c>
      <c r="P113" s="73">
        <f>全体!P113-機械!P113</f>
        <v/>
      </c>
      <c r="Q113" s="73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71">
        <f>全体!E114-機械!E114</f>
        <v/>
      </c>
      <c r="F114" s="92" t="n">
        <v>0</v>
      </c>
      <c r="G114" s="92">
        <f>全体!G114-機械!G114</f>
        <v/>
      </c>
      <c r="H114" s="92">
        <f>全体!H114-機械!H114</f>
        <v/>
      </c>
      <c r="I114" s="92">
        <f>全体!I114-機械!I114</f>
        <v/>
      </c>
      <c r="J114" s="92" t="n"/>
      <c r="K114" s="92">
        <f>SUM(E114:J114)</f>
        <v/>
      </c>
      <c r="L114" s="71">
        <f>全体!L114-機械!L114</f>
        <v/>
      </c>
      <c r="M114" s="94" t="n">
        <v>0</v>
      </c>
      <c r="N114" s="94">
        <f>全体!N114-機械!N114</f>
        <v/>
      </c>
      <c r="O114" s="94">
        <f>全体!O114-機械!O114</f>
        <v/>
      </c>
      <c r="P114" s="94">
        <f>全体!P114-機械!P114</f>
        <v/>
      </c>
      <c r="Q114" s="94" t="n"/>
      <c r="R114" s="9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111">
        <f>全体!E117-機械!E117</f>
        <v/>
      </c>
      <c r="F117" s="112">
        <f>全体!F117-機械!F117</f>
        <v/>
      </c>
      <c r="G117" s="112">
        <f>全体!G117-機械!G117</f>
        <v/>
      </c>
      <c r="H117" s="113" t="n"/>
      <c r="I117" s="113" t="n"/>
      <c r="J117" s="113" t="n"/>
      <c r="K117" s="114" t="n"/>
      <c r="L117" s="112">
        <f>全体!L117-機械!L117</f>
        <v/>
      </c>
      <c r="M117" s="112">
        <f>全体!M117-機械!M117</f>
        <v/>
      </c>
      <c r="N117" s="112">
        <f>全体!N117-機械!N117</f>
        <v/>
      </c>
      <c r="O117" s="113" t="n"/>
      <c r="P117" s="113" t="n"/>
      <c r="Q117" s="113" t="n"/>
      <c r="R117" s="77">
        <f>SUM(L117:Q117)</f>
        <v/>
      </c>
      <c r="S117" s="152">
        <f>IF(E117=0,"***",L117/E117)</f>
        <v/>
      </c>
      <c r="T117" s="153">
        <f>IF(F117=0,"***",M117/F117)</f>
        <v/>
      </c>
      <c r="U117" s="153">
        <f>IF(G117=0,"***",N117/G117)</f>
        <v/>
      </c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20">
        <f>E105-E56</f>
        <v/>
      </c>
      <c r="F122" s="20">
        <f>F105-F56</f>
        <v/>
      </c>
      <c r="G122" s="109">
        <f>G105-G56</f>
        <v/>
      </c>
      <c r="H122" s="20">
        <f>H105-H56</f>
        <v/>
      </c>
      <c r="I122" s="20">
        <f>I105-I56</f>
        <v/>
      </c>
      <c r="J122" s="20" t="n"/>
      <c r="K122" s="7">
        <f>SUM(E122:J122)</f>
        <v/>
      </c>
      <c r="L122" s="20">
        <f>L105-L56</f>
        <v/>
      </c>
      <c r="M122" s="4">
        <f>M105-M56</f>
        <v/>
      </c>
      <c r="N122" s="110">
        <f>N105-N56</f>
        <v/>
      </c>
      <c r="O122" s="4">
        <f>O105-O56</f>
        <v/>
      </c>
      <c r="P122" s="4">
        <f>P105-P56</f>
        <v/>
      </c>
      <c r="Q122" s="4" t="n"/>
      <c r="R122" s="7">
        <f>SUM(L122:Q122)</f>
        <v/>
      </c>
      <c r="S122" s="136">
        <f>IF(E122=0,"***",L122/E122)</f>
        <v/>
      </c>
      <c r="T122" s="136">
        <f>IF(F122=0,"***",M122/F122)</f>
        <v/>
      </c>
      <c r="U122" s="136">
        <f>IF(G122=0,"***",N122/G122)</f>
        <v/>
      </c>
      <c r="V122" s="136">
        <f>IF(H122=0,"***",O122/H122)</f>
        <v/>
      </c>
      <c r="W122" s="136">
        <f>IF(I122=0,"***",P122/I122)</f>
        <v/>
      </c>
      <c r="X122" s="136">
        <f>IF(J122=0,"***",Q122/J122)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20">
        <f>E106-E57</f>
        <v/>
      </c>
      <c r="F123" s="20">
        <f>F106-F57</f>
        <v/>
      </c>
      <c r="G123" s="109">
        <f>G106-G57</f>
        <v/>
      </c>
      <c r="H123" s="20">
        <f>H106-H57</f>
        <v/>
      </c>
      <c r="I123" s="20">
        <f>I106-I57</f>
        <v/>
      </c>
      <c r="J123" s="20" t="n"/>
      <c r="K123" s="7">
        <f>SUM(E123:J123)</f>
        <v/>
      </c>
      <c r="L123" s="20">
        <f>L106-L57</f>
        <v/>
      </c>
      <c r="M123" s="20">
        <f>M106-M57</f>
        <v/>
      </c>
      <c r="N123" s="109">
        <f>N106-N57</f>
        <v/>
      </c>
      <c r="O123" s="20">
        <f>O106-O57</f>
        <v/>
      </c>
      <c r="P123" s="20">
        <f>P106-P57</f>
        <v/>
      </c>
      <c r="Q123" s="20" t="n"/>
      <c r="R123" s="7">
        <f>SUM(L123:Q123)</f>
        <v/>
      </c>
      <c r="S123" s="136">
        <f>IF(E123=0,"***",L123/E123)</f>
        <v/>
      </c>
      <c r="T123" s="136">
        <f>IF(F123=0,"***",M123/F123)</f>
        <v/>
      </c>
      <c r="U123" s="136">
        <f>IF(G123=0,"***",N123/G123)</f>
        <v/>
      </c>
      <c r="V123" s="136">
        <f>IF(H123=0,"***",O123/H123)</f>
        <v/>
      </c>
      <c r="W123" s="136">
        <f>IF(I123=0,"***",P123/I123)</f>
        <v/>
      </c>
      <c r="X123" s="136">
        <f>IF(J123=0,"***",Q123/J123)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20">
        <f>E107-E58</f>
        <v/>
      </c>
      <c r="F124" s="20">
        <f>F107-F58</f>
        <v/>
      </c>
      <c r="G124" s="109">
        <f>G107-G58</f>
        <v/>
      </c>
      <c r="H124" s="20">
        <f>H107-H58</f>
        <v/>
      </c>
      <c r="I124" s="20">
        <f>I107-I58</f>
        <v/>
      </c>
      <c r="J124" s="20" t="n"/>
      <c r="K124" s="7">
        <f>SUM(E124:J124)</f>
        <v/>
      </c>
      <c r="L124" s="20">
        <f>L107-L58</f>
        <v/>
      </c>
      <c r="M124" s="20">
        <f>M107-M58</f>
        <v/>
      </c>
      <c r="N124" s="109">
        <f>N107-N58</f>
        <v/>
      </c>
      <c r="O124" s="20">
        <f>O107-O58</f>
        <v/>
      </c>
      <c r="P124" s="20">
        <f>P107-P58</f>
        <v/>
      </c>
      <c r="Q124" s="20" t="n"/>
      <c r="R124" s="7">
        <f>SUM(L124:Q124)</f>
        <v/>
      </c>
      <c r="S124" s="136">
        <f>IF(E124=0,"***",L124/E124)</f>
        <v/>
      </c>
      <c r="T124" s="136">
        <f>IF(F124=0,"***",M124/F124)</f>
        <v/>
      </c>
      <c r="U124" s="136">
        <f>IF(G124=0,"***",N124/G124)</f>
        <v/>
      </c>
      <c r="V124" s="136">
        <f>IF(H124=0,"***",O124/H124)</f>
        <v/>
      </c>
      <c r="W124" s="136">
        <f>IF(I124=0,"***",P124/I124)</f>
        <v/>
      </c>
      <c r="X124" s="136">
        <f>IF(J124=0,"***",Q124/J124)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20">
        <f>E108-E59</f>
        <v/>
      </c>
      <c r="F125" s="20">
        <f>F108-F59</f>
        <v/>
      </c>
      <c r="G125" s="109">
        <f>G108-G59</f>
        <v/>
      </c>
      <c r="H125" s="20">
        <f>H108-H59</f>
        <v/>
      </c>
      <c r="I125" s="20">
        <f>I108-I59</f>
        <v/>
      </c>
      <c r="J125" s="20" t="n"/>
      <c r="K125" s="7">
        <f>SUM(E125:J125)</f>
        <v/>
      </c>
      <c r="L125" s="20">
        <f>L108-L59</f>
        <v/>
      </c>
      <c r="M125" s="20">
        <f>M108-M59</f>
        <v/>
      </c>
      <c r="N125" s="109">
        <f>N108-N59</f>
        <v/>
      </c>
      <c r="O125" s="20">
        <f>O108-O59</f>
        <v/>
      </c>
      <c r="P125" s="20">
        <f>P108-P59</f>
        <v/>
      </c>
      <c r="Q125" s="20" t="n"/>
      <c r="R125" s="7">
        <f>SUM(L125:Q125)</f>
        <v/>
      </c>
      <c r="S125" s="136">
        <f>IF(E125=0,"***",L125/E125)</f>
        <v/>
      </c>
      <c r="T125" s="136">
        <f>IF(F125=0,"***",M125/F125)</f>
        <v/>
      </c>
      <c r="U125" s="136">
        <f>IF(G125=0,"***",N125/G125)</f>
        <v/>
      </c>
      <c r="V125" s="136">
        <f>IF(H125=0,"***",O125/H125)</f>
        <v/>
      </c>
      <c r="W125" s="136">
        <f>IF(I125=0,"***",P125/I125)</f>
        <v/>
      </c>
      <c r="X125" s="136">
        <f>IF(J125=0,"***",Q125/J125)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110">
        <f>SUM(G122:G125)</f>
        <v/>
      </c>
      <c r="H126" s="4">
        <f>SUM(H122:H125)</f>
        <v/>
      </c>
      <c r="I126" s="4">
        <f>SUM(I122:I125)</f>
        <v/>
      </c>
      <c r="J126" s="4" t="n"/>
      <c r="K126" s="7">
        <f>SUM(E126:J126)</f>
        <v/>
      </c>
      <c r="L126" s="4">
        <f>SUM(L122:L125)</f>
        <v/>
      </c>
      <c r="M126" s="4">
        <f>SUM(M122:M125)</f>
        <v/>
      </c>
      <c r="N126" s="110">
        <f>SUM(N122:N125)</f>
        <v/>
      </c>
      <c r="O126" s="4">
        <f>SUM(O122:O125)</f>
        <v/>
      </c>
      <c r="P126" s="4">
        <f>SUM(P122:P125)</f>
        <v/>
      </c>
      <c r="Q126" s="4" t="n"/>
      <c r="R126" s="7">
        <f>SUM(L126:Q126)</f>
        <v/>
      </c>
      <c r="S126" s="136">
        <f>IF(E126=0,"***",L126/E126)</f>
        <v/>
      </c>
      <c r="T126" s="136">
        <f>IF(F126=0,"***",M126/F126)</f>
        <v/>
      </c>
      <c r="U126" s="136">
        <f>IF(G126=0,"***",N126/G126)</f>
        <v/>
      </c>
      <c r="V126" s="136">
        <f>IF(H126=0,"***",O126/H126)</f>
        <v/>
      </c>
      <c r="W126" s="136">
        <f>IF(I126=0,"***",P126/I126)</f>
        <v/>
      </c>
      <c r="X126" s="136">
        <f>IF(J126=0,"***",Q126/J126)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20">
        <f>E110-E61</f>
        <v/>
      </c>
      <c r="F127" s="20">
        <f>F110-F61</f>
        <v/>
      </c>
      <c r="G127" s="109">
        <f>G110-G61</f>
        <v/>
      </c>
      <c r="H127" s="20">
        <f>H110-H61</f>
        <v/>
      </c>
      <c r="I127" s="20">
        <f>I110-I61</f>
        <v/>
      </c>
      <c r="J127" s="20" t="n"/>
      <c r="K127" s="7">
        <f>SUM(E127:J127)</f>
        <v/>
      </c>
      <c r="L127" s="20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IF(E127=0,"***",L127/E127)</f>
        <v/>
      </c>
      <c r="T127" s="136">
        <f>IF(F127=0,"***",M127/F127)</f>
        <v/>
      </c>
      <c r="U127" s="136">
        <f>IF(G127=0,"***",N127/G127)</f>
        <v/>
      </c>
      <c r="V127" s="136">
        <f>IF(H127=0,"***",O127/H127)</f>
        <v/>
      </c>
      <c r="W127" s="136">
        <f>IF(I127=0,"***",P127/I127)</f>
        <v/>
      </c>
      <c r="X127" s="136">
        <f>IF(J127=0,"***",Q127/J127)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20">
        <f>E111-E62</f>
        <v/>
      </c>
      <c r="F128" s="20">
        <f>F111-F62</f>
        <v/>
      </c>
      <c r="G128" s="109">
        <f>G111-G62</f>
        <v/>
      </c>
      <c r="H128" s="20">
        <f>H111-H62</f>
        <v/>
      </c>
      <c r="I128" s="20">
        <f>I111-I62</f>
        <v/>
      </c>
      <c r="J128" s="20" t="n"/>
      <c r="K128" s="7">
        <f>SUM(E128:J128)</f>
        <v/>
      </c>
      <c r="L128" s="20">
        <f>L111-L62</f>
        <v/>
      </c>
      <c r="M128" s="20">
        <f>M111-M62</f>
        <v/>
      </c>
      <c r="N128" s="109">
        <f>N111-N62</f>
        <v/>
      </c>
      <c r="O128" s="20">
        <f>O111-O62</f>
        <v/>
      </c>
      <c r="P128" s="20">
        <f>P111-P62</f>
        <v/>
      </c>
      <c r="Q128" s="20" t="n"/>
      <c r="R128" s="7">
        <f>SUM(L128:Q128)</f>
        <v/>
      </c>
      <c r="S128" s="136">
        <f>IF(E128=0,"***",L128/E128)</f>
        <v/>
      </c>
      <c r="T128" s="136">
        <f>IF(F128=0,"***",M128/F128)</f>
        <v/>
      </c>
      <c r="U128" s="136">
        <f>IF(G128=0,"***",N128/G128)</f>
        <v/>
      </c>
      <c r="V128" s="136">
        <f>IF(H128=0,"***",O128/H128)</f>
        <v/>
      </c>
      <c r="W128" s="136">
        <f>IF(I128=0,"***",P128/I128)</f>
        <v/>
      </c>
      <c r="X128" s="136">
        <f>IF(J128=0,"***",Q128/J128)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109">
        <f>SUM(G127:G128)</f>
        <v/>
      </c>
      <c r="H129" s="20">
        <f>SUM(H127:H128)</f>
        <v/>
      </c>
      <c r="I129" s="20">
        <f>SUM(I127:I128)</f>
        <v/>
      </c>
      <c r="J129" s="20" t="n"/>
      <c r="K129" s="7">
        <f>SUM(K127:K128)</f>
        <v/>
      </c>
      <c r="L129" s="20">
        <f>SUM(L127:L128)</f>
        <v/>
      </c>
      <c r="M129" s="20">
        <f>SUM(M127:M128)</f>
        <v/>
      </c>
      <c r="N129" s="109">
        <f>SUM(N127:N128)</f>
        <v/>
      </c>
      <c r="O129" s="20">
        <f>SUM(O127:O128)</f>
        <v/>
      </c>
      <c r="P129" s="20">
        <f>SUM(P127:P128)</f>
        <v/>
      </c>
      <c r="Q129" s="20" t="n"/>
      <c r="R129" s="7">
        <f>SUM(R127:R128)</f>
        <v/>
      </c>
      <c r="S129" s="136">
        <f>IF(E129=0,"***",L129/E129)</f>
        <v/>
      </c>
      <c r="T129" s="136">
        <f>IF(F129=0,"***",M129/F129)</f>
        <v/>
      </c>
      <c r="U129" s="136">
        <f>IF(G129=0,"***",N129/G129)</f>
        <v/>
      </c>
      <c r="V129" s="136">
        <f>IF(H129=0,"***",O129/H129)</f>
        <v/>
      </c>
      <c r="W129" s="136">
        <f>IF(I129=0,"***",P129/I129)</f>
        <v/>
      </c>
      <c r="X129" s="136">
        <f>IF(J129=0,"***",Q129/J129)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4">
        <f>M113-M64</f>
        <v/>
      </c>
      <c r="N130" s="110">
        <f>N113-N64</f>
        <v/>
      </c>
      <c r="O130" s="4">
        <f>O113-O64</f>
        <v/>
      </c>
      <c r="P130" s="4">
        <f>P113-P64</f>
        <v/>
      </c>
      <c r="Q130" s="4" t="n"/>
      <c r="R130" s="7">
        <f>SUM(L130:Q130)</f>
        <v/>
      </c>
      <c r="S130" s="136">
        <f>IF(E130=0,"***",L130/E130)</f>
        <v/>
      </c>
      <c r="T130" s="136">
        <f>IF(F130=0,"***",M130/F130)</f>
        <v/>
      </c>
      <c r="U130" s="136">
        <f>IF(G130=0,"***",N130/G130)</f>
        <v/>
      </c>
      <c r="V130" s="136">
        <f>IF(H130=0,"***",O130/H130)</f>
        <v/>
      </c>
      <c r="W130" s="136">
        <f>IF(I130=0,"***",P130/I130)</f>
        <v/>
      </c>
      <c r="X130" s="136">
        <f>IF(J130=0,"***",Q130/J130)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4">
        <f>M114-M65</f>
        <v/>
      </c>
      <c r="N131" s="110">
        <f>N114-N65</f>
        <v/>
      </c>
      <c r="O131" s="4">
        <f>O114-O65</f>
        <v/>
      </c>
      <c r="P131" s="4">
        <f>P114-P65</f>
        <v/>
      </c>
      <c r="Q131" s="4" t="n"/>
      <c r="R131" s="7">
        <f>SUM(L131:Q131)</f>
        <v/>
      </c>
      <c r="S131" s="136">
        <f>IF(E131=0,"***",L131/E131)</f>
        <v/>
      </c>
      <c r="T131" s="136">
        <f>IF(F131=0,"***",M131/F131)</f>
        <v/>
      </c>
      <c r="U131" s="136">
        <f>IF(G131=0,"***",N131/G131)</f>
        <v/>
      </c>
      <c r="V131" s="136">
        <f>IF(H131=0,"***",O131/H131)</f>
        <v/>
      </c>
      <c r="W131" s="136">
        <f>IF(I131=0,"***",P131/I131)</f>
        <v/>
      </c>
      <c r="X131" s="136">
        <f>IF(J131=0,"***",Q131/J131)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109">
        <f>SUM(G130:G131)</f>
        <v/>
      </c>
      <c r="H132" s="20">
        <f>SUM(H130:H131)</f>
        <v/>
      </c>
      <c r="I132" s="20">
        <f>SUM(I130:I131)</f>
        <v/>
      </c>
      <c r="J132" s="20" t="n"/>
      <c r="K132" s="7">
        <f>SUM(K130:K131)</f>
        <v/>
      </c>
      <c r="L132" s="20">
        <f>SUM(L130:L131)</f>
        <v/>
      </c>
      <c r="M132" s="20">
        <f>SUM(M130:M131)</f>
        <v/>
      </c>
      <c r="N132" s="109">
        <f>SUM(N130:N131)</f>
        <v/>
      </c>
      <c r="O132" s="20">
        <f>SUM(O130:O131)</f>
        <v/>
      </c>
      <c r="P132" s="20">
        <f>SUM(P130:P131)</f>
        <v/>
      </c>
      <c r="Q132" s="20" t="n"/>
      <c r="R132" s="7">
        <f>SUM(R130:R131)</f>
        <v/>
      </c>
      <c r="S132" s="149">
        <f>IF(E132=0,"***",L132/E132)</f>
        <v/>
      </c>
      <c r="T132" s="149">
        <f>IF(F132=0,"***",M132/F132)</f>
        <v/>
      </c>
      <c r="U132" s="149">
        <f>IF(G132=0,"***",N132/G132)</f>
        <v/>
      </c>
      <c r="V132" s="149">
        <f>IF(H132=0,"***",O132/H132)</f>
        <v/>
      </c>
      <c r="W132" s="149">
        <f>IF(I132=0,"***",P132/I132)</f>
        <v/>
      </c>
      <c r="X132" s="149">
        <f>IF(J132=0,"***",Q132/J132)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IF(E133=0,"***",L133/E133)</f>
        <v/>
      </c>
      <c r="T133" s="139">
        <f>IF(F133=0,"***",M133/F133)</f>
        <v/>
      </c>
      <c r="U133" s="139">
        <f>IF(G133=0,"***",N133/G133)</f>
        <v/>
      </c>
      <c r="V133" s="139">
        <f>IF(H133=0,"***",O133/H133)</f>
        <v/>
      </c>
      <c r="W133" s="139">
        <f>IF(I133=0,"***",P133/I133)</f>
        <v/>
      </c>
      <c r="X133" s="139">
        <f>IF(J133=0,"***",Q133/J133)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20">
        <f>E105-E22</f>
        <v/>
      </c>
      <c r="F138" s="20">
        <f>F105-F22</f>
        <v/>
      </c>
      <c r="G138" s="109">
        <f>G105-G22</f>
        <v/>
      </c>
      <c r="H138" s="20">
        <f>H105-H22</f>
        <v/>
      </c>
      <c r="I138" s="20">
        <f>I105-I22</f>
        <v/>
      </c>
      <c r="J138" s="20" t="n"/>
      <c r="K138" s="7">
        <f>SUM(E138:J138)</f>
        <v/>
      </c>
      <c r="L138" s="20">
        <f>L105-L22</f>
        <v/>
      </c>
      <c r="M138" s="4">
        <f>M105-M22</f>
        <v/>
      </c>
      <c r="N138" s="110">
        <f>N105-N22</f>
        <v/>
      </c>
      <c r="O138" s="4">
        <f>O105-O22</f>
        <v/>
      </c>
      <c r="P138" s="4">
        <f>P105-P22</f>
        <v/>
      </c>
      <c r="Q138" s="4" t="n"/>
      <c r="R138" s="7">
        <f>SUM(L138:Q138)</f>
        <v/>
      </c>
      <c r="S138" s="136">
        <f>IF(E138=0,"***",L138/E138)</f>
        <v/>
      </c>
      <c r="T138" s="136">
        <f>IF(F138=0,"***",M138/F138)</f>
        <v/>
      </c>
      <c r="U138" s="136">
        <f>IF(G138=0,"***",N138/G138)</f>
        <v/>
      </c>
      <c r="V138" s="136">
        <f>IF(H138=0,"***",O138/H138)</f>
        <v/>
      </c>
      <c r="W138" s="136">
        <f>IF(I138=0,"***",P138/I138)</f>
        <v/>
      </c>
      <c r="X138" s="136">
        <f>IF(J138=0,"***",Q138/J138)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20">
        <f>E106-E23</f>
        <v/>
      </c>
      <c r="F139" s="20">
        <f>F106-F23</f>
        <v/>
      </c>
      <c r="G139" s="109">
        <f>G106-G23</f>
        <v/>
      </c>
      <c r="H139" s="20">
        <f>H106-H23</f>
        <v/>
      </c>
      <c r="I139" s="20">
        <f>I106-I23</f>
        <v/>
      </c>
      <c r="J139" s="20" t="n"/>
      <c r="K139" s="7">
        <f>SUM(E139:J139)</f>
        <v/>
      </c>
      <c r="L139" s="20">
        <f>L106-L23</f>
        <v/>
      </c>
      <c r="M139" s="20">
        <f>M106-M23</f>
        <v/>
      </c>
      <c r="N139" s="109">
        <f>N106-N23</f>
        <v/>
      </c>
      <c r="O139" s="20">
        <f>O106-O23</f>
        <v/>
      </c>
      <c r="P139" s="20">
        <f>P106-P23</f>
        <v/>
      </c>
      <c r="Q139" s="20" t="n"/>
      <c r="R139" s="7">
        <f>SUM(L139:Q139)</f>
        <v/>
      </c>
      <c r="S139" s="136">
        <f>IF(E139=0,"***",L139/E139)</f>
        <v/>
      </c>
      <c r="T139" s="136">
        <f>IF(F139=0,"***",M139/F139)</f>
        <v/>
      </c>
      <c r="U139" s="136">
        <f>IF(G139=0,"***",N139/G139)</f>
        <v/>
      </c>
      <c r="V139" s="136">
        <f>IF(H139=0,"***",O139/H139)</f>
        <v/>
      </c>
      <c r="W139" s="136">
        <f>IF(I139=0,"***",P139/I139)</f>
        <v/>
      </c>
      <c r="X139" s="136">
        <f>IF(J139=0,"***",Q139/J139)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20">
        <f>E107-E24</f>
        <v/>
      </c>
      <c r="F140" s="20">
        <f>F107-F24</f>
        <v/>
      </c>
      <c r="G140" s="109">
        <f>G107-G24</f>
        <v/>
      </c>
      <c r="H140" s="20">
        <f>H107-H24</f>
        <v/>
      </c>
      <c r="I140" s="20">
        <f>I107-I24</f>
        <v/>
      </c>
      <c r="J140" s="20" t="n"/>
      <c r="K140" s="7">
        <f>SUM(E140:J140)</f>
        <v/>
      </c>
      <c r="L140" s="20">
        <f>L107-L24</f>
        <v/>
      </c>
      <c r="M140" s="20">
        <f>M107-M24</f>
        <v/>
      </c>
      <c r="N140" s="109">
        <f>N107-N24</f>
        <v/>
      </c>
      <c r="O140" s="20">
        <f>O107-O24</f>
        <v/>
      </c>
      <c r="P140" s="20">
        <f>P107-P24</f>
        <v/>
      </c>
      <c r="Q140" s="20" t="n"/>
      <c r="R140" s="7">
        <f>SUM(L140:Q140)</f>
        <v/>
      </c>
      <c r="S140" s="136">
        <f>IF(E140=0,"***",L140/E140)</f>
        <v/>
      </c>
      <c r="T140" s="136">
        <f>IF(F140=0,"***",M140/F140)</f>
        <v/>
      </c>
      <c r="U140" s="136">
        <f>IF(G140=0,"***",N140/G140)</f>
        <v/>
      </c>
      <c r="V140" s="136">
        <f>IF(H140=0,"***",O140/H140)</f>
        <v/>
      </c>
      <c r="W140" s="136">
        <f>IF(I140=0,"***",P140/I140)</f>
        <v/>
      </c>
      <c r="X140" s="136">
        <f>IF(J140=0,"***",Q140/J140)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20">
        <f>E108-E25</f>
        <v/>
      </c>
      <c r="F141" s="20">
        <f>F108-F25</f>
        <v/>
      </c>
      <c r="G141" s="109">
        <f>G108-G25</f>
        <v/>
      </c>
      <c r="H141" s="20">
        <f>H108-H25</f>
        <v/>
      </c>
      <c r="I141" s="20">
        <f>I108-I25</f>
        <v/>
      </c>
      <c r="J141" s="20" t="n"/>
      <c r="K141" s="7">
        <f>SUM(E141:J141)</f>
        <v/>
      </c>
      <c r="L141" s="20">
        <f>L108-L25</f>
        <v/>
      </c>
      <c r="M141" s="20">
        <f>M108-M25</f>
        <v/>
      </c>
      <c r="N141" s="109">
        <f>N108-N25</f>
        <v/>
      </c>
      <c r="O141" s="20">
        <f>O108-O25</f>
        <v/>
      </c>
      <c r="P141" s="20">
        <f>P108-P25</f>
        <v/>
      </c>
      <c r="Q141" s="20" t="n"/>
      <c r="R141" s="7">
        <f>SUM(L141:Q141)</f>
        <v/>
      </c>
      <c r="S141" s="136">
        <f>IF(E141=0,"***",L141/E141)</f>
        <v/>
      </c>
      <c r="T141" s="136">
        <f>IF(F141=0,"***",M141/F141)</f>
        <v/>
      </c>
      <c r="U141" s="136">
        <f>IF(G141=0,"***",N141/G141)</f>
        <v/>
      </c>
      <c r="V141" s="136">
        <f>IF(H141=0,"***",O141/H141)</f>
        <v/>
      </c>
      <c r="W141" s="136">
        <f>IF(I141=0,"***",P141/I141)</f>
        <v/>
      </c>
      <c r="X141" s="136">
        <f>IF(J141=0,"***",Q141/J141)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110">
        <f>SUM(G138:G141)</f>
        <v/>
      </c>
      <c r="H142" s="4">
        <f>SUM(H138:H141)</f>
        <v/>
      </c>
      <c r="I142" s="4">
        <f>SUM(I138:I141)</f>
        <v/>
      </c>
      <c r="J142" s="4" t="n"/>
      <c r="K142" s="7">
        <f>SUM(E142:J142)</f>
        <v/>
      </c>
      <c r="L142" s="4">
        <f>SUM(L138:L141)</f>
        <v/>
      </c>
      <c r="M142" s="4">
        <f>SUM(M138:M141)</f>
        <v/>
      </c>
      <c r="N142" s="110">
        <f>SUM(N138:N141)</f>
        <v/>
      </c>
      <c r="O142" s="4">
        <f>SUM(O138:O141)</f>
        <v/>
      </c>
      <c r="P142" s="4">
        <f>SUM(P138:P141)</f>
        <v/>
      </c>
      <c r="Q142" s="4" t="n"/>
      <c r="R142" s="7">
        <f>SUM(L142:Q142)</f>
        <v/>
      </c>
      <c r="S142" s="136">
        <f>IF(E142=0,"***",L142/E142)</f>
        <v/>
      </c>
      <c r="T142" s="136">
        <f>IF(F142=0,"***",M142/F142)</f>
        <v/>
      </c>
      <c r="U142" s="136">
        <f>IF(G142=0,"***",N142/G142)</f>
        <v/>
      </c>
      <c r="V142" s="136">
        <f>IF(H142=0,"***",O142/H142)</f>
        <v/>
      </c>
      <c r="W142" s="136">
        <f>IF(I142=0,"***",P142/I142)</f>
        <v/>
      </c>
      <c r="X142" s="136">
        <f>IF(J142=0,"***",Q142/J142)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20">
        <f>E110-E27</f>
        <v/>
      </c>
      <c r="F143" s="20">
        <f>F110-F27</f>
        <v/>
      </c>
      <c r="G143" s="109">
        <f>G110-G27</f>
        <v/>
      </c>
      <c r="H143" s="20">
        <f>H110-H27</f>
        <v/>
      </c>
      <c r="I143" s="20">
        <f>I110-I27</f>
        <v/>
      </c>
      <c r="J143" s="20" t="n"/>
      <c r="K143" s="7">
        <f>SUM(E143:J143)</f>
        <v/>
      </c>
      <c r="L143" s="20">
        <f>L110-L27</f>
        <v/>
      </c>
      <c r="M143" s="4">
        <f>M110-M27</f>
        <v/>
      </c>
      <c r="N143" s="110">
        <f>N110-N27</f>
        <v/>
      </c>
      <c r="O143" s="4">
        <f>O110-O27</f>
        <v/>
      </c>
      <c r="P143" s="4">
        <f>P110-P27</f>
        <v/>
      </c>
      <c r="Q143" s="4" t="n"/>
      <c r="R143" s="7">
        <f>SUM(L143:Q143)</f>
        <v/>
      </c>
      <c r="S143" s="136">
        <f>IF(E143=0,"***",L143/E143)</f>
        <v/>
      </c>
      <c r="T143" s="136">
        <f>IF(F143=0,"***",M143/F143)</f>
        <v/>
      </c>
      <c r="U143" s="136">
        <f>IF(G143=0,"***",N143/G143)</f>
        <v/>
      </c>
      <c r="V143" s="136">
        <f>IF(H143=0,"***",O143/H143)</f>
        <v/>
      </c>
      <c r="W143" s="136">
        <f>IF(I143=0,"***",P143/I143)</f>
        <v/>
      </c>
      <c r="X143" s="136">
        <f>IF(J143=0,"***",Q143/J143)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20">
        <f>E111-E28</f>
        <v/>
      </c>
      <c r="F144" s="20">
        <f>F111-F28</f>
        <v/>
      </c>
      <c r="G144" s="109">
        <f>G111-G28</f>
        <v/>
      </c>
      <c r="H144" s="20">
        <f>H111-H28</f>
        <v/>
      </c>
      <c r="I144" s="20">
        <f>I111-I28</f>
        <v/>
      </c>
      <c r="J144" s="20" t="n"/>
      <c r="K144" s="7">
        <f>SUM(E144:J144)</f>
        <v/>
      </c>
      <c r="L144" s="20">
        <f>L111-L28</f>
        <v/>
      </c>
      <c r="M144" s="20">
        <f>M111-M28</f>
        <v/>
      </c>
      <c r="N144" s="109">
        <f>N111-N28</f>
        <v/>
      </c>
      <c r="O144" s="20">
        <f>O111-O28</f>
        <v/>
      </c>
      <c r="P144" s="20">
        <f>P111-P28</f>
        <v/>
      </c>
      <c r="Q144" s="20" t="n"/>
      <c r="R144" s="7">
        <f>SUM(L144:Q144)</f>
        <v/>
      </c>
      <c r="S144" s="136">
        <f>IF(E144=0,"***",L144/E144)</f>
        <v/>
      </c>
      <c r="T144" s="136">
        <f>IF(F144=0,"***",M144/F144)</f>
        <v/>
      </c>
      <c r="U144" s="136">
        <f>IF(G144=0,"***",N144/G144)</f>
        <v/>
      </c>
      <c r="V144" s="136">
        <f>IF(H144=0,"***",O144/H144)</f>
        <v/>
      </c>
      <c r="W144" s="136">
        <f>IF(I144=0,"***",P144/I144)</f>
        <v/>
      </c>
      <c r="X144" s="136">
        <f>IF(J144=0,"***",Q144/J144)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SUM(F143:F144)</f>
        <v/>
      </c>
      <c r="G145" s="109">
        <f>SUM(G143:G144)</f>
        <v/>
      </c>
      <c r="H145" s="20">
        <f>SUM(H143:H144)</f>
        <v/>
      </c>
      <c r="I145" s="20">
        <f>SUM(I143:I144)</f>
        <v/>
      </c>
      <c r="J145" s="20" t="n"/>
      <c r="K145" s="7">
        <f>SUM(K143:K144)</f>
        <v/>
      </c>
      <c r="L145" s="20">
        <f>SUM(L143:L144)</f>
        <v/>
      </c>
      <c r="M145" s="20">
        <f>SUM(M143:M144)</f>
        <v/>
      </c>
      <c r="N145" s="109">
        <f>SUM(N143:N144)</f>
        <v/>
      </c>
      <c r="O145" s="20">
        <f>SUM(O143:O144)</f>
        <v/>
      </c>
      <c r="P145" s="20">
        <f>SUM(P143:P144)</f>
        <v/>
      </c>
      <c r="Q145" s="20" t="n"/>
      <c r="R145" s="7">
        <f>SUM(R143:R144)</f>
        <v/>
      </c>
      <c r="S145" s="136">
        <f>IF(E145=0,"***",L145/E145)</f>
        <v/>
      </c>
      <c r="T145" s="136">
        <f>IF(F145=0,"***",M145/F145)</f>
        <v/>
      </c>
      <c r="U145" s="136">
        <f>IF(G145=0,"***",N145/G145)</f>
        <v/>
      </c>
      <c r="V145" s="136">
        <f>IF(H145=0,"***",O145/H145)</f>
        <v/>
      </c>
      <c r="W145" s="136">
        <f>IF(I145=0,"***",P145/I145)</f>
        <v/>
      </c>
      <c r="X145" s="136">
        <f>IF(J145=0,"***",Q145/J145)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109">
        <f>G113-G30</f>
        <v/>
      </c>
      <c r="H146" s="20">
        <f>H113-H30</f>
        <v/>
      </c>
      <c r="I146" s="20">
        <f>I113-I30</f>
        <v/>
      </c>
      <c r="J146" s="20" t="n"/>
      <c r="K146" s="7">
        <f>SUM(E146:J146)</f>
        <v/>
      </c>
      <c r="L146" s="20">
        <f>L113-L30</f>
        <v/>
      </c>
      <c r="M146" s="4">
        <f>M113-M30</f>
        <v/>
      </c>
      <c r="N146" s="110">
        <f>N113-N30</f>
        <v/>
      </c>
      <c r="O146" s="4">
        <f>O113-O30</f>
        <v/>
      </c>
      <c r="P146" s="4">
        <f>P113-P30</f>
        <v/>
      </c>
      <c r="Q146" s="4" t="n"/>
      <c r="R146" s="7">
        <f>SUM(L146:Q146)</f>
        <v/>
      </c>
      <c r="S146" s="136">
        <f>IF(E146=0,"***",L146/E146)</f>
        <v/>
      </c>
      <c r="T146" s="136">
        <f>IF(F146=0,"***",M146/F146)</f>
        <v/>
      </c>
      <c r="U146" s="136">
        <f>IF(G146=0,"***",N146/G146)</f>
        <v/>
      </c>
      <c r="V146" s="136">
        <f>IF(H146=0,"***",O146/H146)</f>
        <v/>
      </c>
      <c r="W146" s="136">
        <f>IF(I146=0,"***",P146/I146)</f>
        <v/>
      </c>
      <c r="X146" s="136">
        <f>IF(J146=0,"***",Q146/J146)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109">
        <f>G114-G31</f>
        <v/>
      </c>
      <c r="H147" s="20">
        <f>H114-H31</f>
        <v/>
      </c>
      <c r="I147" s="20">
        <f>I114-I31</f>
        <v/>
      </c>
      <c r="J147" s="20" t="n"/>
      <c r="K147" s="20">
        <f>SUM(E147:J147)</f>
        <v/>
      </c>
      <c r="L147" s="20">
        <f>L114-L31</f>
        <v/>
      </c>
      <c r="M147" s="4">
        <f>M114-M31</f>
        <v/>
      </c>
      <c r="N147" s="110">
        <f>N114-N31</f>
        <v/>
      </c>
      <c r="O147" s="4">
        <f>O114-O31</f>
        <v/>
      </c>
      <c r="P147" s="4">
        <f>P114-P31</f>
        <v/>
      </c>
      <c r="Q147" s="4" t="n"/>
      <c r="R147" s="7">
        <f>SUM(L147:Q147)</f>
        <v/>
      </c>
      <c r="S147" s="149">
        <f>IF(E147=0,"***",L147/E147)</f>
        <v/>
      </c>
      <c r="T147" s="149">
        <f>IF(F147=0,"***",M147/F147)</f>
        <v/>
      </c>
      <c r="U147" s="149">
        <f>IF(G147=0,"***",N147/G147)</f>
        <v/>
      </c>
      <c r="V147" s="149">
        <f>IF(H147=0,"***",O147/H147)</f>
        <v/>
      </c>
      <c r="W147" s="149">
        <f>IF(I147=0,"***",P147/I147)</f>
        <v/>
      </c>
      <c r="X147" s="149">
        <f>IF(J147=0,"***",Q147/J147)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109">
        <f>SUM(G146:G147)</f>
        <v/>
      </c>
      <c r="H148" s="20">
        <f>SUM(H146:H147)</f>
        <v/>
      </c>
      <c r="I148" s="20">
        <f>SUM(I146:I147)</f>
        <v/>
      </c>
      <c r="J148" s="20" t="n"/>
      <c r="K148" s="7">
        <f>SUM(K146:K147)</f>
        <v/>
      </c>
      <c r="L148" s="20">
        <f>SUM(L146:L147)</f>
        <v/>
      </c>
      <c r="M148" s="20">
        <f>SUM(M146:M147)</f>
        <v/>
      </c>
      <c r="N148" s="109">
        <f>SUM(N146:N147)</f>
        <v/>
      </c>
      <c r="O148" s="20">
        <f>SUM(O146:O147)</f>
        <v/>
      </c>
      <c r="P148" s="20">
        <f>SUM(P146:P147)</f>
        <v/>
      </c>
      <c r="Q148" s="20" t="n"/>
      <c r="R148" s="7">
        <f>SUM(R146:R147)</f>
        <v/>
      </c>
      <c r="S148" s="149">
        <f>IF(E148=0,"***",L148/E148)</f>
        <v/>
      </c>
      <c r="T148" s="149">
        <f>IF(F148=0,"***",M148/F148)</f>
        <v/>
      </c>
      <c r="U148" s="149">
        <f>IF(G148=0,"***",N148/G148)</f>
        <v/>
      </c>
      <c r="V148" s="149">
        <f>IF(H148=0,"***",O148/H148)</f>
        <v/>
      </c>
      <c r="W148" s="149">
        <f>IF(I148=0,"***",P148/I148)</f>
        <v/>
      </c>
      <c r="X148" s="149">
        <f>IF(J148=0,"***",Q148/J148)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IF(E149=0,"***",L149/E149)</f>
        <v/>
      </c>
      <c r="T149" s="139">
        <f>IF(F149=0,"***",M149/F149)</f>
        <v/>
      </c>
      <c r="U149" s="139">
        <f>IF(G149=0,"***",N149/G149)</f>
        <v/>
      </c>
      <c r="V149" s="139">
        <f>IF(H149=0,"***",O149/H149)</f>
        <v/>
      </c>
      <c r="W149" s="139">
        <f>IF(I149=0,"***",P149/I149)</f>
        <v/>
      </c>
      <c r="X149" s="139">
        <f>IF(J149=0,"***",Q149/J149)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opLeftCell="B1" workbookViewId="0">
      <pane xSplit="3" ySplit="1" topLeftCell="E69" activePane="bottomRight" state="frozen"/>
      <selection activeCell="E155" sqref="E155"/>
      <selection pane="topRight" activeCell="E155" sqref="E155"/>
      <selection pane="bottomLeft" activeCell="E155" sqref="E155"/>
      <selection pane="bottomRight" activeCell="G133" sqref="G133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水産部機械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21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21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2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67" t="inlineStr">
        <is>
          <t>合計</t>
        </is>
      </c>
      <c r="L4" s="61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61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4" t="n"/>
      <c r="F5" s="4" t="n"/>
      <c r="G5" s="4" t="n"/>
      <c r="H5" s="4" t="n">
        <v>2131.8</v>
      </c>
      <c r="I5" s="4" t="n"/>
      <c r="J5" s="4" t="n"/>
      <c r="K5" s="7">
        <f>SUM(E5:J5)</f>
        <v/>
      </c>
      <c r="L5" s="4" t="n"/>
      <c r="M5" s="4" t="n"/>
      <c r="N5" s="4" t="n"/>
      <c r="O5" s="4" t="n">
        <v>428.4</v>
      </c>
      <c r="P5" s="4" t="n"/>
      <c r="Q5" s="4" t="n"/>
      <c r="R5" s="7">
        <f>SUM(L5:Q5)</f>
        <v/>
      </c>
      <c r="S5" s="136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4" t="n"/>
      <c r="F6" s="4" t="n"/>
      <c r="G6" s="4" t="n"/>
      <c r="H6" s="4" t="n"/>
      <c r="I6" s="4" t="n"/>
      <c r="J6" s="4" t="n"/>
      <c r="K6" s="7">
        <f>SUM(E6:J6)</f>
        <v/>
      </c>
      <c r="L6" s="4" t="n"/>
      <c r="M6" s="4" t="n"/>
      <c r="N6" s="4" t="n"/>
      <c r="O6" s="4" t="n"/>
      <c r="P6" s="4" t="n"/>
      <c r="Q6" s="4" t="n"/>
      <c r="R6" s="7">
        <f>SUM(L6:Q6)</f>
        <v/>
      </c>
      <c r="S6" s="136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4" t="n"/>
      <c r="F7" s="4" t="n"/>
      <c r="G7" s="4" t="n"/>
      <c r="H7" s="4" t="n"/>
      <c r="I7" s="4" t="n"/>
      <c r="J7" s="4" t="n"/>
      <c r="K7" s="7">
        <f>SUM(E7:J7)</f>
        <v/>
      </c>
      <c r="L7" s="4" t="n"/>
      <c r="M7" s="4" t="n"/>
      <c r="N7" s="4" t="n"/>
      <c r="O7" s="4" t="n"/>
      <c r="P7" s="4" t="n"/>
      <c r="Q7" s="4" t="n"/>
      <c r="R7" s="7">
        <f>SUM(L7:Q7)</f>
        <v/>
      </c>
      <c r="S7" s="136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4" t="n"/>
      <c r="F8" s="4" t="n"/>
      <c r="G8" s="4" t="n"/>
      <c r="H8" s="4" t="n"/>
      <c r="I8" s="4" t="n"/>
      <c r="J8" s="4" t="n"/>
      <c r="K8" s="7">
        <f>SUM(E8:J8)</f>
        <v/>
      </c>
      <c r="L8" s="4" t="n"/>
      <c r="M8" s="4" t="n"/>
      <c r="N8" s="4" t="n"/>
      <c r="O8" s="4" t="n"/>
      <c r="P8" s="4" t="n"/>
      <c r="Q8" s="4" t="n"/>
      <c r="R8" s="7">
        <f>SUM(L8:Q8)</f>
        <v/>
      </c>
      <c r="S8" s="136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4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7">
        <f>SUM(K5:K8)</f>
        <v/>
      </c>
      <c r="L9" s="4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7">
        <f>SUM(R5:R8)</f>
        <v/>
      </c>
      <c r="S9" s="136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4" t="n"/>
      <c r="F10" s="4" t="n"/>
      <c r="G10" s="4" t="n"/>
      <c r="H10" s="4" t="n"/>
      <c r="I10" s="4" t="n"/>
      <c r="J10" s="4" t="n"/>
      <c r="K10" s="7">
        <f>SUM(E10:J10)</f>
        <v/>
      </c>
      <c r="L10" s="4" t="n"/>
      <c r="M10" s="4" t="n"/>
      <c r="N10" s="4" t="n"/>
      <c r="O10" s="4" t="n"/>
      <c r="P10" s="4" t="n"/>
      <c r="Q10" s="4" t="n"/>
      <c r="R10" s="7">
        <f>SUM(L10:Q10)</f>
        <v/>
      </c>
      <c r="S10" s="136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4" t="n"/>
      <c r="F11" s="4" t="n"/>
      <c r="G11" s="4" t="n"/>
      <c r="H11" s="4" t="n"/>
      <c r="I11" s="4" t="n"/>
      <c r="J11" s="4" t="n"/>
      <c r="K11" s="7">
        <f>SUM(E11:J11)</f>
        <v/>
      </c>
      <c r="L11" s="4" t="n"/>
      <c r="M11" s="4" t="n"/>
      <c r="N11" s="4" t="n"/>
      <c r="O11" s="4" t="n"/>
      <c r="P11" s="4" t="n"/>
      <c r="Q11" s="4" t="n"/>
      <c r="R11" s="7">
        <f>SUM(L11:Q11)</f>
        <v/>
      </c>
      <c r="S11" s="136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20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7">
        <f>K10+K11</f>
        <v/>
      </c>
      <c r="L12" s="20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7">
        <f>R10+R11</f>
        <v/>
      </c>
      <c r="S12" s="136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20" t="n">
        <v>22</v>
      </c>
      <c r="F13" s="20" t="n">
        <v>28</v>
      </c>
      <c r="G13" s="20" t="n">
        <v>39</v>
      </c>
      <c r="H13" s="20" t="n">
        <v>90.76000000000001</v>
      </c>
      <c r="I13" s="20" t="n">
        <v>124.2</v>
      </c>
      <c r="J13" s="20" t="n">
        <v>22</v>
      </c>
      <c r="K13" s="7">
        <f>SUM(E13:J13)</f>
        <v/>
      </c>
      <c r="L13" s="20" t="n">
        <v>2.2</v>
      </c>
      <c r="M13" s="20" t="n">
        <v>2.7</v>
      </c>
      <c r="N13" s="20" t="n">
        <v>3.8</v>
      </c>
      <c r="O13" s="20" t="n">
        <v>12.265</v>
      </c>
      <c r="P13" s="20" t="n">
        <v>17.16</v>
      </c>
      <c r="Q13" s="20" t="n">
        <v>2.2</v>
      </c>
      <c r="R13" s="7">
        <f>SUM(L13:Q13)</f>
        <v/>
      </c>
      <c r="S13" s="136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4" t="n"/>
      <c r="F14" s="84" t="n"/>
      <c r="G14" s="84" t="n"/>
      <c r="H14" s="84" t="n"/>
      <c r="I14" s="84" t="n"/>
      <c r="J14" s="84" t="n"/>
      <c r="K14" s="7">
        <f>SUM(E14:J14)</f>
        <v/>
      </c>
      <c r="L14" s="84" t="n"/>
      <c r="M14" s="84" t="n"/>
      <c r="N14" s="84" t="n"/>
      <c r="O14" s="84" t="n"/>
      <c r="P14" s="84" t="n"/>
      <c r="Q14" s="84" t="n"/>
      <c r="R14" s="7">
        <f>SUM(L14:Q14)</f>
        <v/>
      </c>
      <c r="S14" s="136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4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5">
        <f>K13+K14</f>
        <v/>
      </c>
      <c r="L15" s="84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5">
        <f>R13+R14</f>
        <v/>
      </c>
      <c r="S15" s="136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8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9">
        <f>K9+K12+K15</f>
        <v/>
      </c>
      <c r="L16" s="8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9">
        <f>R9+R12+R15</f>
        <v/>
      </c>
      <c r="S16" s="139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98" t="n"/>
      <c r="F17" s="98" t="n"/>
      <c r="G17" s="98" t="n"/>
      <c r="H17" s="98" t="n"/>
      <c r="I17" s="98" t="n"/>
      <c r="J17" s="98" t="n"/>
      <c r="K17" s="103">
        <f>SUM(E17:J17)</f>
        <v/>
      </c>
      <c r="L17" s="98" t="n"/>
      <c r="M17" s="98" t="n"/>
      <c r="N17" s="98" t="n"/>
      <c r="O17" s="98" t="n"/>
      <c r="P17" s="98" t="n"/>
      <c r="Q17" s="98" t="n"/>
      <c r="R17" s="103">
        <f>SUM(L17:Q17)</f>
        <v/>
      </c>
      <c r="S17" s="142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 ht="22.5" customHeight="1" s="127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 t="n"/>
      <c r="F22" s="4" t="n"/>
      <c r="G22" s="4" t="n"/>
      <c r="H22" s="4" t="n">
        <v>16</v>
      </c>
      <c r="I22" s="4" t="n"/>
      <c r="J22" s="4" t="n"/>
      <c r="K22" s="62">
        <f>SUM(E22:J22)</f>
        <v/>
      </c>
      <c r="L22" s="3" t="n"/>
      <c r="M22" s="4" t="n"/>
      <c r="N22" s="4" t="n"/>
      <c r="O22" s="4" t="n">
        <v>16</v>
      </c>
      <c r="P22" s="4" t="n"/>
      <c r="Q22" s="4" t="n"/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 t="n"/>
      <c r="F23" s="4" t="n">
        <v>110</v>
      </c>
      <c r="G23" s="4" t="n"/>
      <c r="H23" s="4" t="n"/>
      <c r="I23" s="4" t="n"/>
      <c r="J23" s="4" t="n"/>
      <c r="K23" s="62">
        <f>SUM(E23:J23)</f>
        <v/>
      </c>
      <c r="L23" s="3" t="n"/>
      <c r="M23" s="4" t="n">
        <v>27</v>
      </c>
      <c r="N23" s="4" t="n"/>
      <c r="O23" s="4" t="n"/>
      <c r="P23" s="4" t="n"/>
      <c r="Q23" s="4" t="n"/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 t="n"/>
      <c r="F24" s="4" t="n"/>
      <c r="G24" s="4" t="n"/>
      <c r="H24" s="4" t="n"/>
      <c r="I24" s="4" t="n"/>
      <c r="J24" s="4" t="n"/>
      <c r="K24" s="62">
        <f>SUM(E24:J24)</f>
        <v/>
      </c>
      <c r="L24" s="3" t="n"/>
      <c r="M24" s="4" t="n"/>
      <c r="N24" s="4" t="n"/>
      <c r="O24" s="4" t="n"/>
      <c r="P24" s="4" t="n"/>
      <c r="Q24" s="4" t="n"/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 t="n"/>
      <c r="F25" s="4" t="n"/>
      <c r="G25" s="4" t="n"/>
      <c r="H25" s="4" t="n"/>
      <c r="I25" s="4" t="n"/>
      <c r="J25" s="4" t="n"/>
      <c r="K25" s="62">
        <f>SUM(E25:J25)</f>
        <v/>
      </c>
      <c r="L25" s="3" t="n"/>
      <c r="M25" s="4" t="n"/>
      <c r="N25" s="4" t="n"/>
      <c r="O25" s="4" t="n"/>
      <c r="P25" s="4" t="n"/>
      <c r="Q25" s="4" t="n"/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SUM(E26:J26)</f>
        <v/>
      </c>
      <c r="L26" s="3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SUM(L26:Q26)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 t="n"/>
      <c r="F27" s="4" t="n"/>
      <c r="G27" s="4" t="n"/>
      <c r="H27" s="4" t="n"/>
      <c r="I27" s="4" t="n"/>
      <c r="J27" s="4" t="n"/>
      <c r="K27" s="62">
        <f>SUM(E27:J27)</f>
        <v/>
      </c>
      <c r="L27" s="3" t="n"/>
      <c r="M27" s="4" t="n"/>
      <c r="N27" s="4" t="n"/>
      <c r="O27" s="4" t="n"/>
      <c r="P27" s="4" t="n"/>
      <c r="Q27" s="4" t="n"/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 t="n"/>
      <c r="F28" s="4" t="n"/>
      <c r="G28" s="4" t="n"/>
      <c r="H28" s="4" t="n"/>
      <c r="I28" s="4" t="n"/>
      <c r="J28" s="4" t="n"/>
      <c r="K28" s="62">
        <f>SUM(E28:J28)</f>
        <v/>
      </c>
      <c r="L28" s="3" t="n"/>
      <c r="M28" s="4" t="n"/>
      <c r="N28" s="4" t="n"/>
      <c r="O28" s="4" t="n"/>
      <c r="P28" s="4" t="n"/>
      <c r="Q28" s="4" t="n"/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SUM(E27:E28)</f>
        <v/>
      </c>
      <c r="F29" s="20">
        <f>SUM(F27:F28)</f>
        <v/>
      </c>
      <c r="G29" s="20">
        <f>SUM(G27:G28)</f>
        <v/>
      </c>
      <c r="H29" s="20">
        <f>SUM(H27:H28)</f>
        <v/>
      </c>
      <c r="I29" s="20">
        <f>SUM(I27:I28)</f>
        <v/>
      </c>
      <c r="J29" s="20">
        <f>SUM(J27:J28)</f>
        <v/>
      </c>
      <c r="K29" s="62">
        <f>SUM(K27:K28)</f>
        <v/>
      </c>
      <c r="L29" s="3">
        <f>SUM(L27:L28)</f>
        <v/>
      </c>
      <c r="M29" s="20">
        <f>SUM(M27:M28)</f>
        <v/>
      </c>
      <c r="N29" s="20">
        <f>SUM(N27:N28)</f>
        <v/>
      </c>
      <c r="O29" s="20">
        <f>SUM(O27:O28)</f>
        <v/>
      </c>
      <c r="P29" s="20">
        <f>SUM(P27:P28)</f>
        <v/>
      </c>
      <c r="Q29" s="20">
        <f>SUM(Q27:Q28)</f>
        <v/>
      </c>
      <c r="R29" s="62">
        <f>SUM(R27:R28)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 t="n">
        <v>296.05</v>
      </c>
      <c r="F30" s="20" t="n">
        <v>78.5</v>
      </c>
      <c r="G30" s="20" t="n">
        <v>49.2</v>
      </c>
      <c r="H30" s="20" t="n">
        <v>60.3</v>
      </c>
      <c r="I30" s="20" t="n">
        <v>90.48</v>
      </c>
      <c r="J30" s="20" t="n">
        <v>206.326</v>
      </c>
      <c r="K30" s="62">
        <f>SUM(E30:J30)</f>
        <v/>
      </c>
      <c r="L30" s="3" t="n">
        <v>44.57</v>
      </c>
      <c r="M30" s="20" t="n">
        <v>18.9</v>
      </c>
      <c r="N30" s="20" t="n">
        <v>6.5</v>
      </c>
      <c r="O30" s="20" t="n">
        <v>8.699999999999999</v>
      </c>
      <c r="P30" s="20" t="n">
        <v>5.48</v>
      </c>
      <c r="Q30" s="20" t="n">
        <v>47.345</v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 t="n"/>
      <c r="F31" s="84" t="n"/>
      <c r="G31" s="84" t="n"/>
      <c r="H31" s="84" t="n"/>
      <c r="I31" s="84" t="n"/>
      <c r="J31" s="84" t="n"/>
      <c r="K31" s="62">
        <f>SUM(E31:J31)</f>
        <v/>
      </c>
      <c r="L31" s="88" t="n"/>
      <c r="M31" s="84" t="n"/>
      <c r="N31" s="84" t="n"/>
      <c r="O31" s="84" t="n"/>
      <c r="P31" s="84" t="n"/>
      <c r="Q31" s="84" t="n"/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4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62">
        <f>SUM(E32:J32)</f>
        <v/>
      </c>
      <c r="L32" s="84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62">
        <f>SUM(L32:Q32)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8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K26+K29+K30</f>
        <v/>
      </c>
      <c r="L33" s="8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R26+R29+R30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98" t="n"/>
      <c r="F34" s="98" t="n"/>
      <c r="G34" s="98" t="n"/>
      <c r="H34" s="98" t="n"/>
      <c r="I34" s="98" t="n"/>
      <c r="J34" s="98" t="n"/>
      <c r="K34" s="103">
        <f>SUM(E34:J34)</f>
        <v/>
      </c>
      <c r="L34" s="98" t="n"/>
      <c r="M34" s="98" t="n"/>
      <c r="N34" s="98" t="n"/>
      <c r="O34" s="98" t="n"/>
      <c r="P34" s="98" t="n"/>
      <c r="Q34" s="98" t="n"/>
      <c r="R34" s="103">
        <f>SUM(L34:Q34)</f>
        <v/>
      </c>
      <c r="S34" s="142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21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10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61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7">
        <f>SUM(E39:J39)</f>
        <v/>
      </c>
      <c r="L39" s="4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7">
        <f>SUM(L39:Q39)</f>
        <v/>
      </c>
      <c r="S39" s="136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7">
        <f>SUM(E40:J40)</f>
        <v/>
      </c>
      <c r="L40" s="4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7">
        <f>SUM(L40:Q40)</f>
        <v/>
      </c>
      <c r="S40" s="136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7">
        <f>SUM(E41:J41)</f>
        <v/>
      </c>
      <c r="L41" s="4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7">
        <f>SUM(L41:Q41)</f>
        <v/>
      </c>
      <c r="S41" s="136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7">
        <f>SUM(E42:J42)</f>
        <v/>
      </c>
      <c r="L42" s="4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7">
        <f>SUM(L42:Q42)</f>
        <v/>
      </c>
      <c r="S42" s="136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7">
        <f>SUM(E43:J43)</f>
        <v/>
      </c>
      <c r="L43" s="4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7">
        <f>SUM(L43:Q43)</f>
        <v/>
      </c>
      <c r="S43" s="136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7">
        <f>SUM(E44:J44)</f>
        <v/>
      </c>
      <c r="L44" s="4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7">
        <f>SUM(L44:Q44)</f>
        <v/>
      </c>
      <c r="S44" s="136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7">
        <f>SUM(E45:J45)</f>
        <v/>
      </c>
      <c r="L45" s="4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7">
        <f>SUM(L45:Q45)</f>
        <v/>
      </c>
      <c r="S45" s="136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7">
        <f>SUM(K44:K45)</f>
        <v/>
      </c>
      <c r="L46" s="20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7">
        <f>SUM(R44:R45)</f>
        <v/>
      </c>
      <c r="S46" s="136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7">
        <f>SUM(E47:J47)</f>
        <v/>
      </c>
      <c r="L47" s="20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7">
        <f>SUM(L47:Q47)</f>
        <v/>
      </c>
      <c r="S47" s="136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7">
        <f>SUM(E48:J48)</f>
        <v/>
      </c>
      <c r="L48" s="20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7">
        <f>SUM(L48:Q48)</f>
        <v/>
      </c>
      <c r="S48" s="136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7">
        <f>SUM(E49:J49)</f>
        <v/>
      </c>
      <c r="L49" s="20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7">
        <f>SUM(L49:Q49)</f>
        <v/>
      </c>
      <c r="S49" s="136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8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4">
        <f>K43+K46+K47</f>
        <v/>
      </c>
      <c r="L50" s="8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9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3">
        <f>SUM(E51:J51)</f>
        <v/>
      </c>
      <c r="L51" s="98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103">
        <f>SUM(L51:Q51)</f>
        <v/>
      </c>
      <c r="S51" s="142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/>
      <c r="F56" s="4" t="n"/>
      <c r="G56" s="4" t="n"/>
      <c r="H56" s="4" t="n">
        <v>300</v>
      </c>
      <c r="I56" s="4" t="n"/>
      <c r="J56" s="4" t="n"/>
      <c r="K56" s="62">
        <f>SUM(E56:J56)</f>
        <v/>
      </c>
      <c r="L56" s="20" t="n"/>
      <c r="M56" s="4" t="n"/>
      <c r="N56" s="4" t="n"/>
      <c r="O56" s="4" t="n">
        <v>60</v>
      </c>
      <c r="P56" s="4" t="n"/>
      <c r="Q56" s="4" t="n"/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/>
      <c r="F57" s="4" t="n"/>
      <c r="G57" s="4" t="n"/>
      <c r="H57" s="4" t="n"/>
      <c r="I57" s="4" t="n"/>
      <c r="J57" s="4" t="n"/>
      <c r="K57" s="62">
        <f>SUM(E57:J57)</f>
        <v/>
      </c>
      <c r="L57" s="20" t="n"/>
      <c r="M57" s="4" t="n"/>
      <c r="N57" s="4" t="n"/>
      <c r="O57" s="4" t="n"/>
      <c r="P57" s="4" t="n"/>
      <c r="Q57" s="4" t="n"/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/>
      <c r="F58" s="4" t="n"/>
      <c r="G58" s="4" t="n"/>
      <c r="H58" s="4" t="n"/>
      <c r="I58" s="4" t="n"/>
      <c r="J58" s="4" t="n"/>
      <c r="K58" s="62">
        <f>SUM(E58:J58)</f>
        <v/>
      </c>
      <c r="L58" s="20" t="n"/>
      <c r="M58" s="4" t="n"/>
      <c r="N58" s="4" t="n"/>
      <c r="O58" s="4" t="n"/>
      <c r="P58" s="4" t="n"/>
      <c r="Q58" s="4" t="n"/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/>
      <c r="F59" s="4" t="n"/>
      <c r="G59" s="4" t="n"/>
      <c r="H59" s="4" t="n"/>
      <c r="I59" s="4" t="n"/>
      <c r="J59" s="4" t="n"/>
      <c r="K59" s="62">
        <f>SUM(E59:J59)</f>
        <v/>
      </c>
      <c r="L59" s="20" t="n"/>
      <c r="M59" s="4" t="n"/>
      <c r="N59" s="4" t="n"/>
      <c r="O59" s="4" t="n"/>
      <c r="P59" s="4" t="n"/>
      <c r="Q59" s="4" t="n"/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20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/>
      <c r="F61" s="4" t="n"/>
      <c r="G61" s="4" t="n"/>
      <c r="H61" s="4" t="n"/>
      <c r="I61" s="4" t="n"/>
      <c r="J61" s="4" t="n"/>
      <c r="K61" s="62">
        <f>SUM(E61:J61)</f>
        <v/>
      </c>
      <c r="L61" s="20" t="n"/>
      <c r="M61" s="4" t="n"/>
      <c r="N61" s="4" t="n"/>
      <c r="O61" s="4" t="n"/>
      <c r="P61" s="4" t="n"/>
      <c r="Q61" s="4" t="n"/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/>
      <c r="F62" s="4" t="n"/>
      <c r="G62" s="4" t="n"/>
      <c r="H62" s="4" t="n"/>
      <c r="I62" s="4" t="n"/>
      <c r="J62" s="4" t="n"/>
      <c r="K62" s="62">
        <f>SUM(E62:J62)</f>
        <v/>
      </c>
      <c r="L62" s="20" t="n"/>
      <c r="M62" s="4" t="n"/>
      <c r="N62" s="4" t="n"/>
      <c r="O62" s="4" t="n"/>
      <c r="P62" s="4" t="n"/>
      <c r="Q62" s="4" t="n"/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20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90</v>
      </c>
      <c r="F64" s="20" t="n">
        <v>90</v>
      </c>
      <c r="G64" s="20" t="n">
        <v>90</v>
      </c>
      <c r="H64" s="20" t="n">
        <v>90</v>
      </c>
      <c r="I64" s="20" t="n">
        <v>90</v>
      </c>
      <c r="J64" s="20" t="n">
        <v>90</v>
      </c>
      <c r="K64" s="62">
        <f>SUM(E64:J64)</f>
        <v/>
      </c>
      <c r="L64" s="20" t="n">
        <v>20</v>
      </c>
      <c r="M64" s="20" t="n">
        <v>20</v>
      </c>
      <c r="N64" s="20" t="n">
        <v>20</v>
      </c>
      <c r="O64" s="20" t="n">
        <v>20</v>
      </c>
      <c r="P64" s="20" t="n">
        <v>20</v>
      </c>
      <c r="Q64" s="20" t="n">
        <v>20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/>
      <c r="F65" s="84" t="n"/>
      <c r="G65" s="84" t="n"/>
      <c r="H65" s="84" t="n"/>
      <c r="I65" s="84" t="n"/>
      <c r="J65" s="84" t="n"/>
      <c r="K65" s="89" t="n"/>
      <c r="L65" s="84" t="n"/>
      <c r="M65" s="84" t="n"/>
      <c r="N65" s="84" t="n"/>
      <c r="O65" s="84" t="n"/>
      <c r="P65" s="84" t="n"/>
      <c r="Q65" s="84" t="n"/>
      <c r="R65" s="89" t="n"/>
      <c r="S65" s="148" t="n"/>
      <c r="T65" s="149" t="n"/>
      <c r="U65" s="149" t="n"/>
      <c r="V65" s="149" t="n"/>
      <c r="W65" s="149" t="n"/>
      <c r="X65" s="149" t="n"/>
      <c r="Y65" s="155" t="n"/>
    </row>
    <row r="66">
      <c r="C66" s="82" t="inlineStr">
        <is>
          <t>境港水産部合計</t>
        </is>
      </c>
      <c r="D66" s="83" t="n"/>
      <c r="E66" s="84">
        <f>E64+E65</f>
        <v/>
      </c>
      <c r="F66" s="84">
        <f>F64+F65</f>
        <v/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4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8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K60+K63+K64</f>
        <v/>
      </c>
      <c r="L67" s="8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R60+R63+R64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3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/>
      <c r="G69" s="17" t="n"/>
      <c r="H69" s="17" t="n"/>
      <c r="I69" s="17" t="n"/>
      <c r="J69" s="17" t="n"/>
      <c r="K69" s="18" t="n"/>
      <c r="L69" s="17" t="n"/>
      <c r="M69" s="17" t="n"/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4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8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4" t="n">
        <v>8</v>
      </c>
      <c r="F105" s="4" t="n"/>
      <c r="G105" s="4" t="n"/>
      <c r="H105" s="4" t="n"/>
      <c r="I105" s="4" t="n">
        <v>0</v>
      </c>
      <c r="J105" s="4" t="n"/>
      <c r="K105" s="7">
        <f>SUM(E105:J105)</f>
        <v/>
      </c>
      <c r="L105" s="4" t="n">
        <v>8</v>
      </c>
      <c r="M105" s="4" t="n"/>
      <c r="N105" s="4" t="n"/>
      <c r="O105" s="4" t="n"/>
      <c r="P105" s="4" t="n">
        <v>0</v>
      </c>
      <c r="Q105" s="4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4" t="n"/>
      <c r="F106" s="4" t="n"/>
      <c r="G106" s="4" t="n"/>
      <c r="H106" s="4" t="n"/>
      <c r="I106" s="4" t="n">
        <v>0</v>
      </c>
      <c r="J106" s="4" t="n"/>
      <c r="K106" s="7">
        <f>SUM(E106:J106)</f>
        <v/>
      </c>
      <c r="L106" s="4" t="n"/>
      <c r="M106" s="4" t="n"/>
      <c r="N106" s="4" t="n"/>
      <c r="O106" s="4" t="n"/>
      <c r="P106" s="4" t="n">
        <v>0</v>
      </c>
      <c r="Q106" s="4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4" t="n"/>
      <c r="F107" s="4" t="n"/>
      <c r="G107" s="4" t="n"/>
      <c r="H107" s="4" t="n"/>
      <c r="I107" s="4" t="n">
        <v>0</v>
      </c>
      <c r="J107" s="4" t="n"/>
      <c r="K107" s="7">
        <f>SUM(E107:J107)</f>
        <v/>
      </c>
      <c r="L107" s="4" t="n"/>
      <c r="M107" s="4" t="n"/>
      <c r="N107" s="4" t="n"/>
      <c r="O107" s="4" t="n"/>
      <c r="P107" s="4" t="n">
        <v>0</v>
      </c>
      <c r="Q107" s="4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4" t="n"/>
      <c r="F108" s="4" t="n"/>
      <c r="G108" s="4" t="n"/>
      <c r="H108" s="4" t="n"/>
      <c r="I108" s="4" t="n">
        <v>0</v>
      </c>
      <c r="J108" s="4" t="n"/>
      <c r="K108" s="7">
        <f>SUM(E108:J108)</f>
        <v/>
      </c>
      <c r="L108" s="4" t="n"/>
      <c r="M108" s="4" t="n"/>
      <c r="N108" s="4" t="n"/>
      <c r="O108" s="4" t="n"/>
      <c r="P108" s="4" t="n">
        <v>0</v>
      </c>
      <c r="Q108" s="4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4">
        <f>SUM(E105:E108)</f>
        <v/>
      </c>
      <c r="F109" s="4">
        <f>SUM(F105:F108)</f>
        <v/>
      </c>
      <c r="G109" s="4">
        <f>SUM(G105:G108)</f>
        <v/>
      </c>
      <c r="H109" s="4">
        <f>SUM(H105:H108)</f>
        <v/>
      </c>
      <c r="I109" s="4">
        <f>SUM(I105:I108)</f>
        <v/>
      </c>
      <c r="J109" s="4">
        <f>SUM(J105:J108)</f>
        <v/>
      </c>
      <c r="K109" s="7">
        <f>SUM(E109:J109)</f>
        <v/>
      </c>
      <c r="L109" s="4">
        <f>SUM(L105:L108)</f>
        <v/>
      </c>
      <c r="M109" s="4">
        <f>SUM(M105:M108)</f>
        <v/>
      </c>
      <c r="N109" s="4">
        <f>SUM(N105:N108)</f>
        <v/>
      </c>
      <c r="O109" s="4">
        <f>SUM(O105:O108)</f>
        <v/>
      </c>
      <c r="P109" s="4">
        <f>SUM(P105:P108)</f>
        <v/>
      </c>
      <c r="Q109" s="4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4" t="n"/>
      <c r="F110" s="4" t="n"/>
      <c r="G110" s="4" t="n"/>
      <c r="H110" s="4" t="n">
        <v>87.12</v>
      </c>
      <c r="I110" s="4" t="n">
        <v>46.8</v>
      </c>
      <c r="J110" s="4" t="n"/>
      <c r="K110" s="7">
        <f>SUM(E110:J110)</f>
        <v/>
      </c>
      <c r="L110" s="4" t="n"/>
      <c r="M110" s="4" t="n"/>
      <c r="N110" s="4" t="n"/>
      <c r="O110" s="4" t="n">
        <v>15.84</v>
      </c>
      <c r="P110" s="4" t="n">
        <v>7.8</v>
      </c>
      <c r="Q110" s="4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4" t="n"/>
      <c r="F111" s="4" t="n"/>
      <c r="G111" s="4" t="n"/>
      <c r="H111" s="4" t="n"/>
      <c r="I111" s="4" t="n">
        <v>0</v>
      </c>
      <c r="J111" s="4" t="n"/>
      <c r="K111" s="7">
        <f>SUM(E111:J111)</f>
        <v/>
      </c>
      <c r="L111" s="4" t="n"/>
      <c r="M111" s="4" t="n"/>
      <c r="N111" s="4" t="n"/>
      <c r="O111" s="4" t="n"/>
      <c r="P111" s="4" t="n">
        <v>0</v>
      </c>
      <c r="Q111" s="4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20">
        <f>SUM(E110:E111)</f>
        <v/>
      </c>
      <c r="F112" s="20">
        <f>SUM(F110:F111)</f>
        <v/>
      </c>
      <c r="G112" s="20">
        <f>SUM(G110:G111)</f>
        <v/>
      </c>
      <c r="H112" s="20">
        <f>SUM(H110:H111)</f>
        <v/>
      </c>
      <c r="I112" s="20">
        <f>SUM(I110:I111)</f>
        <v/>
      </c>
      <c r="J112" s="20">
        <f>SUM(J110:J111)</f>
        <v/>
      </c>
      <c r="K112" s="7">
        <f>SUM(K110:K111)</f>
        <v/>
      </c>
      <c r="L112" s="20">
        <f>SUM(L110:L111)</f>
        <v/>
      </c>
      <c r="M112" s="20">
        <f>SUM(M110:M111)</f>
        <v/>
      </c>
      <c r="N112" s="20">
        <f>SUM(N110:N111)</f>
        <v/>
      </c>
      <c r="O112" s="20">
        <f>SUM(O110:O111)</f>
        <v/>
      </c>
      <c r="P112" s="20">
        <f>SUM(P110:P111)</f>
        <v/>
      </c>
      <c r="Q112" s="20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20" t="n">
        <v>92</v>
      </c>
      <c r="F113" s="20" t="n">
        <v>205.68</v>
      </c>
      <c r="G113" s="109" t="n">
        <v>526.91</v>
      </c>
      <c r="H113" s="20" t="n">
        <v>155.12</v>
      </c>
      <c r="I113" s="20" t="n">
        <v>3.58</v>
      </c>
      <c r="J113" s="20" t="n"/>
      <c r="K113" s="7">
        <f>SUM(E113:J113)</f>
        <v/>
      </c>
      <c r="L113" s="20" t="n">
        <v>13</v>
      </c>
      <c r="M113" s="20" t="n">
        <v>26.08</v>
      </c>
      <c r="N113" s="109" t="n">
        <v>140.36</v>
      </c>
      <c r="O113" s="20" t="n">
        <v>23.66</v>
      </c>
      <c r="P113" s="20" t="n">
        <v>1.11</v>
      </c>
      <c r="Q113" s="20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84" t="n">
        <v>0</v>
      </c>
      <c r="F114" s="84" t="n"/>
      <c r="G114" s="84" t="n"/>
      <c r="H114" s="84" t="n"/>
      <c r="I114" s="84" t="n">
        <v>0</v>
      </c>
      <c r="J114" s="84" t="n"/>
      <c r="K114" s="84">
        <f>SUM(E114:J114)</f>
        <v/>
      </c>
      <c r="L114" s="84" t="n">
        <v>0</v>
      </c>
      <c r="M114" s="84" t="n"/>
      <c r="N114" s="84" t="n"/>
      <c r="O114" s="84" t="n"/>
      <c r="P114" s="84" t="n">
        <v>0</v>
      </c>
      <c r="Q114" s="84" t="n"/>
      <c r="R114" s="8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76" t="n"/>
      <c r="F117" s="76" t="n"/>
      <c r="G117" s="76" t="n"/>
      <c r="H117" s="76" t="n"/>
      <c r="I117" s="76" t="n"/>
      <c r="J117" s="76" t="n"/>
      <c r="K117" s="77" t="n"/>
      <c r="L117" s="78" t="n"/>
      <c r="M117" s="76" t="n"/>
      <c r="N117" s="76" t="n"/>
      <c r="O117" s="76" t="n"/>
      <c r="P117" s="76" t="n"/>
      <c r="Q117" s="76" t="n"/>
      <c r="R117" s="77">
        <f>SUM(L117:Q117)</f>
        <v/>
      </c>
      <c r="S117" s="152" t="n"/>
      <c r="T117" s="153" t="n"/>
      <c r="U117" s="153" t="n"/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4">
        <f>E105-E56</f>
        <v/>
      </c>
      <c r="F122" s="4">
        <f>F105-F56</f>
        <v/>
      </c>
      <c r="G122" s="110">
        <f>G105-G56</f>
        <v/>
      </c>
      <c r="H122" s="4">
        <f>H105-H56</f>
        <v/>
      </c>
      <c r="I122" s="4">
        <f>I105-I56</f>
        <v/>
      </c>
      <c r="J122" s="4" t="n"/>
      <c r="K122" s="7">
        <f>SUM(E122:J122)</f>
        <v/>
      </c>
      <c r="L122" s="4">
        <f>L105-L56</f>
        <v/>
      </c>
      <c r="M122" s="4">
        <f>M105-M56</f>
        <v/>
      </c>
      <c r="N122" s="110">
        <f>N105-N56</f>
        <v/>
      </c>
      <c r="O122" s="4">
        <f>O105-O56</f>
        <v/>
      </c>
      <c r="P122" s="4">
        <f>P105-P56</f>
        <v/>
      </c>
      <c r="Q122" s="4" t="n"/>
      <c r="R122" s="7">
        <f>SUM(L122:Q122)</f>
        <v/>
      </c>
      <c r="S122" s="136">
        <f>IF(E122=0,"***",L122/E122)</f>
        <v/>
      </c>
      <c r="T122" s="136">
        <f>IF(F122=0,"***",M122/F122)</f>
        <v/>
      </c>
      <c r="U122" s="136">
        <f>IF(G122=0,"***",N122/G122)</f>
        <v/>
      </c>
      <c r="V122" s="136">
        <f>IF(H122=0,"***",O122/H122)</f>
        <v/>
      </c>
      <c r="W122" s="136">
        <f>IF(I122=0,"***",P122/I122)</f>
        <v/>
      </c>
      <c r="X122" s="136">
        <f>IF(J122=0,"***",Q122/J122)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4">
        <f>E106-E57</f>
        <v/>
      </c>
      <c r="F123" s="4">
        <f>F106-F57</f>
        <v/>
      </c>
      <c r="G123" s="110">
        <f>G106-G57</f>
        <v/>
      </c>
      <c r="H123" s="4">
        <f>H106-H57</f>
        <v/>
      </c>
      <c r="I123" s="4">
        <f>I106-I57</f>
        <v/>
      </c>
      <c r="J123" s="4" t="n"/>
      <c r="K123" s="7">
        <f>SUM(E123:J123)</f>
        <v/>
      </c>
      <c r="L123" s="4">
        <f>L106-L57</f>
        <v/>
      </c>
      <c r="M123" s="4">
        <f>M106-M57</f>
        <v/>
      </c>
      <c r="N123" s="110">
        <f>N106-N57</f>
        <v/>
      </c>
      <c r="O123" s="4">
        <f>O106-O57</f>
        <v/>
      </c>
      <c r="P123" s="4">
        <f>P106-P57</f>
        <v/>
      </c>
      <c r="Q123" s="4" t="n"/>
      <c r="R123" s="7">
        <f>SUM(L123:Q123)</f>
        <v/>
      </c>
      <c r="S123" s="136">
        <f>IF(E123=0,"***",L123/E123)</f>
        <v/>
      </c>
      <c r="T123" s="136">
        <f>IF(F123=0,"***",M123/F123)</f>
        <v/>
      </c>
      <c r="U123" s="136">
        <f>IF(G123=0,"***",N123/G123)</f>
        <v/>
      </c>
      <c r="V123" s="136">
        <f>IF(H123=0,"***",O123/H123)</f>
        <v/>
      </c>
      <c r="W123" s="136">
        <f>IF(I123=0,"***",P123/I123)</f>
        <v/>
      </c>
      <c r="X123" s="136">
        <f>IF(J123=0,"***",Q123/J123)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4">
        <f>E107-E58</f>
        <v/>
      </c>
      <c r="F124" s="4">
        <f>F107-F58</f>
        <v/>
      </c>
      <c r="G124" s="110">
        <f>G107-G58</f>
        <v/>
      </c>
      <c r="H124" s="4">
        <f>H107-H58</f>
        <v/>
      </c>
      <c r="I124" s="4">
        <f>I107-I58</f>
        <v/>
      </c>
      <c r="J124" s="4" t="n"/>
      <c r="K124" s="7">
        <f>SUM(E124:J124)</f>
        <v/>
      </c>
      <c r="L124" s="4">
        <f>L107-L58</f>
        <v/>
      </c>
      <c r="M124" s="4">
        <f>M107-M58</f>
        <v/>
      </c>
      <c r="N124" s="110">
        <f>N107-N58</f>
        <v/>
      </c>
      <c r="O124" s="4">
        <f>O107-O58</f>
        <v/>
      </c>
      <c r="P124" s="4">
        <f>P107-P58</f>
        <v/>
      </c>
      <c r="Q124" s="4" t="n"/>
      <c r="R124" s="7">
        <f>SUM(L124:Q124)</f>
        <v/>
      </c>
      <c r="S124" s="136">
        <f>IF(E124=0,"***",L124/E124)</f>
        <v/>
      </c>
      <c r="T124" s="136">
        <f>IF(F124=0,"***",M124/F124)</f>
        <v/>
      </c>
      <c r="U124" s="136">
        <f>IF(G124=0,"***",N124/G124)</f>
        <v/>
      </c>
      <c r="V124" s="136">
        <f>IF(H124=0,"***",O124/H124)</f>
        <v/>
      </c>
      <c r="W124" s="136">
        <f>IF(I124=0,"***",P124/I124)</f>
        <v/>
      </c>
      <c r="X124" s="136">
        <f>IF(J124=0,"***",Q124/J124)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4">
        <f>E108-E59</f>
        <v/>
      </c>
      <c r="F125" s="4">
        <f>F108-F59</f>
        <v/>
      </c>
      <c r="G125" s="110">
        <f>G108-G59</f>
        <v/>
      </c>
      <c r="H125" s="4">
        <f>H108-H59</f>
        <v/>
      </c>
      <c r="I125" s="4">
        <f>I108-I59</f>
        <v/>
      </c>
      <c r="J125" s="4" t="n"/>
      <c r="K125" s="7">
        <f>SUM(E125:J125)</f>
        <v/>
      </c>
      <c r="L125" s="4">
        <f>L108-L59</f>
        <v/>
      </c>
      <c r="M125" s="4">
        <f>M108-M59</f>
        <v/>
      </c>
      <c r="N125" s="110">
        <f>N108-N59</f>
        <v/>
      </c>
      <c r="O125" s="4">
        <f>O108-O59</f>
        <v/>
      </c>
      <c r="P125" s="4">
        <f>P108-P59</f>
        <v/>
      </c>
      <c r="Q125" s="4" t="n"/>
      <c r="R125" s="7">
        <f>SUM(L125:Q125)</f>
        <v/>
      </c>
      <c r="S125" s="136">
        <f>IF(E125=0,"***",L125/E125)</f>
        <v/>
      </c>
      <c r="T125" s="136">
        <f>IF(F125=0,"***",M125/F125)</f>
        <v/>
      </c>
      <c r="U125" s="136">
        <f>IF(G125=0,"***",N125/G125)</f>
        <v/>
      </c>
      <c r="V125" s="136">
        <f>IF(H125=0,"***",O125/H125)</f>
        <v/>
      </c>
      <c r="W125" s="136">
        <f>IF(I125=0,"***",P125/I125)</f>
        <v/>
      </c>
      <c r="X125" s="136">
        <f>IF(J125=0,"***",Q125/J125)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4">
        <f>SUM(G122:G125)</f>
        <v/>
      </c>
      <c r="H126" s="4">
        <f>SUM(H122:H125)</f>
        <v/>
      </c>
      <c r="I126" s="4">
        <f>SUM(I122:I125)</f>
        <v/>
      </c>
      <c r="J126" s="4">
        <f>SUM(J122:J125)</f>
        <v/>
      </c>
      <c r="K126" s="7">
        <f>SUM(E126:J126)</f>
        <v/>
      </c>
      <c r="L126" s="4">
        <f>SUM(L122:L125)</f>
        <v/>
      </c>
      <c r="M126" s="4">
        <f>SUM(M122:M125)</f>
        <v/>
      </c>
      <c r="N126" s="4">
        <f>SUM(N122:N125)</f>
        <v/>
      </c>
      <c r="O126" s="4">
        <f>SUM(O122:O125)</f>
        <v/>
      </c>
      <c r="P126" s="4">
        <f>SUM(P122:P125)</f>
        <v/>
      </c>
      <c r="Q126" s="4">
        <f>SUM(Q122:Q125)</f>
        <v/>
      </c>
      <c r="R126" s="7">
        <f>SUM(L126:Q126)</f>
        <v/>
      </c>
      <c r="S126" s="136">
        <f>IF(E126=0,"***",L126/E126)</f>
        <v/>
      </c>
      <c r="T126" s="136">
        <f>IF(F126=0,"***",M126/F126)</f>
        <v/>
      </c>
      <c r="U126" s="136">
        <f>IF(G126=0,"***",N126/G126)</f>
        <v/>
      </c>
      <c r="V126" s="136">
        <f>IF(H126=0,"***",O126/H126)</f>
        <v/>
      </c>
      <c r="W126" s="136">
        <f>IF(I126=0,"***",P126/I126)</f>
        <v/>
      </c>
      <c r="X126" s="136">
        <f>IF(J126=0,"***",Q126/J126)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4">
        <f>E110-E61</f>
        <v/>
      </c>
      <c r="F127" s="4">
        <f>F110-F61</f>
        <v/>
      </c>
      <c r="G127" s="110">
        <f>G110-G61</f>
        <v/>
      </c>
      <c r="H127" s="4">
        <f>H110-H61</f>
        <v/>
      </c>
      <c r="I127" s="4">
        <f>I110-I61</f>
        <v/>
      </c>
      <c r="J127" s="4" t="n"/>
      <c r="K127" s="7">
        <f>SUM(E127:J127)</f>
        <v/>
      </c>
      <c r="L127" s="4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IF(E127=0,"***",L127/E127)</f>
        <v/>
      </c>
      <c r="T127" s="136">
        <f>IF(F127=0,"***",M127/F127)</f>
        <v/>
      </c>
      <c r="U127" s="136">
        <f>IF(G127=0,"***",N127/G127)</f>
        <v/>
      </c>
      <c r="V127" s="136">
        <f>IF(H127=0,"***",O127/H127)</f>
        <v/>
      </c>
      <c r="W127" s="136">
        <f>IF(I127=0,"***",P127/I127)</f>
        <v/>
      </c>
      <c r="X127" s="136">
        <f>IF(J127=0,"***",Q127/J127)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4">
        <f>E111-E62</f>
        <v/>
      </c>
      <c r="F128" s="4">
        <f>F111-F62</f>
        <v/>
      </c>
      <c r="G128" s="110">
        <f>G111-G62</f>
        <v/>
      </c>
      <c r="H128" s="4">
        <f>H111-H62</f>
        <v/>
      </c>
      <c r="I128" s="4">
        <f>I111-I62</f>
        <v/>
      </c>
      <c r="J128" s="4" t="n"/>
      <c r="K128" s="7">
        <f>SUM(E128:J128)</f>
        <v/>
      </c>
      <c r="L128" s="4">
        <f>L111-L62</f>
        <v/>
      </c>
      <c r="M128" s="4">
        <f>M111-M62</f>
        <v/>
      </c>
      <c r="N128" s="110">
        <f>N111-N62</f>
        <v/>
      </c>
      <c r="O128" s="4">
        <f>O111-O62</f>
        <v/>
      </c>
      <c r="P128" s="4">
        <f>P111-P62</f>
        <v/>
      </c>
      <c r="Q128" s="4" t="n"/>
      <c r="R128" s="7">
        <f>SUM(L128:Q128)</f>
        <v/>
      </c>
      <c r="S128" s="136">
        <f>IF(E128=0,"***",L128/E128)</f>
        <v/>
      </c>
      <c r="T128" s="136">
        <f>IF(F128=0,"***",M128/F128)</f>
        <v/>
      </c>
      <c r="U128" s="136">
        <f>IF(G128=0,"***",N128/G128)</f>
        <v/>
      </c>
      <c r="V128" s="136">
        <f>IF(H128=0,"***",O128/H128)</f>
        <v/>
      </c>
      <c r="W128" s="136">
        <f>IF(I128=0,"***",P128/I128)</f>
        <v/>
      </c>
      <c r="X128" s="136">
        <f>IF(J128=0,"***",Q128/J128)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20">
        <f>SUM(G127:G128)</f>
        <v/>
      </c>
      <c r="H129" s="20">
        <f>SUM(H127:H128)</f>
        <v/>
      </c>
      <c r="I129" s="20">
        <f>SUM(I127:I128)</f>
        <v/>
      </c>
      <c r="J129" s="20">
        <f>SUM(J127:J128)</f>
        <v/>
      </c>
      <c r="K129" s="7">
        <f>SUM(K127:K128)</f>
        <v/>
      </c>
      <c r="L129" s="20">
        <f>SUM(L127:L128)</f>
        <v/>
      </c>
      <c r="M129" s="20">
        <f>SUM(M127:M128)</f>
        <v/>
      </c>
      <c r="N129" s="20">
        <f>SUM(N127:N128)</f>
        <v/>
      </c>
      <c r="O129" s="20">
        <f>SUM(O127:O128)</f>
        <v/>
      </c>
      <c r="P129" s="20">
        <f>SUM(P128:P128)</f>
        <v/>
      </c>
      <c r="Q129" s="20">
        <f>SUM(Q127:Q128)</f>
        <v/>
      </c>
      <c r="R129" s="7">
        <f>SUM(R127:R128)</f>
        <v/>
      </c>
      <c r="S129" s="136">
        <f>IF(E129=0,"***",L129/E129)</f>
        <v/>
      </c>
      <c r="T129" s="136">
        <f>IF(F129=0,"***",M129/F129)</f>
        <v/>
      </c>
      <c r="U129" s="136">
        <f>IF(G129=0,"***",N129/G129)</f>
        <v/>
      </c>
      <c r="V129" s="136">
        <f>IF(H129=0,"***",O129/H129)</f>
        <v/>
      </c>
      <c r="W129" s="136">
        <f>IF(I129=0,"***",P129/I129)</f>
        <v/>
      </c>
      <c r="X129" s="136">
        <f>IF(J129=0,"***",Q129/J129)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20">
        <f>M113-M64</f>
        <v/>
      </c>
      <c r="N130" s="109">
        <f>N113-N64</f>
        <v/>
      </c>
      <c r="O130" s="20">
        <f>O113-O64</f>
        <v/>
      </c>
      <c r="P130" s="20">
        <f>P113-P64</f>
        <v/>
      </c>
      <c r="Q130" s="20" t="n"/>
      <c r="R130" s="7">
        <f>SUM(L130:Q130)</f>
        <v/>
      </c>
      <c r="S130" s="136">
        <f>IF(E130=0,"***",L130/E130)</f>
        <v/>
      </c>
      <c r="T130" s="136">
        <f>IF(F130=0,"***",M130/F130)</f>
        <v/>
      </c>
      <c r="U130" s="136">
        <f>IF(G130=0,"***",N130/G130)</f>
        <v/>
      </c>
      <c r="V130" s="136">
        <f>IF(H130=0,"***",O130/H130)</f>
        <v/>
      </c>
      <c r="W130" s="136">
        <f>IF(I130=0,"***",P130/I130)</f>
        <v/>
      </c>
      <c r="X130" s="136">
        <f>IF(J130=0,"***",Q130/J130)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20">
        <f>M114-M65</f>
        <v/>
      </c>
      <c r="N131" s="109">
        <f>N114-N65</f>
        <v/>
      </c>
      <c r="O131" s="20">
        <f>O114-O65</f>
        <v/>
      </c>
      <c r="P131" s="20">
        <f>P114-P65</f>
        <v/>
      </c>
      <c r="Q131" s="20" t="n"/>
      <c r="R131" s="7">
        <f>SUM(L131:Q131)</f>
        <v/>
      </c>
      <c r="S131" s="136">
        <f>IF(E131=0,"***",L131/E131)</f>
        <v/>
      </c>
      <c r="T131" s="136">
        <f>IF(F131=0,"***",M131/F131)</f>
        <v/>
      </c>
      <c r="U131" s="136">
        <f>IF(G131=0,"***",N131/G131)</f>
        <v/>
      </c>
      <c r="V131" s="136">
        <f>IF(H131=0,"***",O131/H131)</f>
        <v/>
      </c>
      <c r="W131" s="136">
        <f>IF(I131=0,"***",P131/I131)</f>
        <v/>
      </c>
      <c r="X131" s="136">
        <f>IF(J131=0,"***",Q131/J131)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20">
        <f>SUM(G130:G131)</f>
        <v/>
      </c>
      <c r="H132" s="20">
        <f>SUM(H130:H131)</f>
        <v/>
      </c>
      <c r="I132" s="20">
        <f>SUM(I130:I131)</f>
        <v/>
      </c>
      <c r="J132" s="20">
        <f>SUM(J130:J131)</f>
        <v/>
      </c>
      <c r="K132" s="7">
        <f>SUM(K130:K131)</f>
        <v/>
      </c>
      <c r="L132" s="20">
        <f>SUM(L130:L131)</f>
        <v/>
      </c>
      <c r="M132" s="20">
        <f>SUM(M130:M131)</f>
        <v/>
      </c>
      <c r="N132" s="20">
        <f>SUM(N130:N131)</f>
        <v/>
      </c>
      <c r="O132" s="20">
        <f>SUM(O130:O131)</f>
        <v/>
      </c>
      <c r="P132" s="20">
        <f>SUM(P130:P131)</f>
        <v/>
      </c>
      <c r="Q132" s="20">
        <f>SUM(Q130:Q131)</f>
        <v/>
      </c>
      <c r="R132" s="7">
        <f>SUM(R130:R131)</f>
        <v/>
      </c>
      <c r="S132" s="149">
        <f>IF(E132=0,"***",L132/E132)</f>
        <v/>
      </c>
      <c r="T132" s="149">
        <f>IF(F132=0,"***",M132/F132)</f>
        <v/>
      </c>
      <c r="U132" s="149">
        <f>IF(G132=0,"***",N132/G132)</f>
        <v/>
      </c>
      <c r="V132" s="149">
        <f>IF(H132=0,"***",O132/H132)</f>
        <v/>
      </c>
      <c r="W132" s="149">
        <f>IF(I132=0,"***",P132/I132)</f>
        <v/>
      </c>
      <c r="X132" s="149">
        <f>IF(J132=0,"***",Q132/J132)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IF(E133=0,"***",L133/E133)</f>
        <v/>
      </c>
      <c r="T133" s="139">
        <f>IF(F133=0,"***",M133/F133)</f>
        <v/>
      </c>
      <c r="U133" s="139">
        <f>IF(G133=0,"***",N133/G133)</f>
        <v/>
      </c>
      <c r="V133" s="139">
        <f>IF(H133=0,"***",O133/H133)</f>
        <v/>
      </c>
      <c r="W133" s="139">
        <f>IF(I133=0,"***",P133/I133)</f>
        <v/>
      </c>
      <c r="X133" s="139">
        <f>IF(J133=0,"***",Q133/J133)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4">
        <f>E105-E22</f>
        <v/>
      </c>
      <c r="F138" s="4">
        <f>F105-F22</f>
        <v/>
      </c>
      <c r="G138" s="4">
        <f>G105-G22</f>
        <v/>
      </c>
      <c r="H138" s="4">
        <f>H105-H22</f>
        <v/>
      </c>
      <c r="I138" s="4">
        <f>I105-I22</f>
        <v/>
      </c>
      <c r="J138" s="4">
        <f>J105-J22</f>
        <v/>
      </c>
      <c r="K138" s="7">
        <f>SUM(E138:J138)</f>
        <v/>
      </c>
      <c r="L138" s="4">
        <f>L105-L22</f>
        <v/>
      </c>
      <c r="M138" s="4">
        <f>M105-M22</f>
        <v/>
      </c>
      <c r="N138" s="4">
        <f>N105-N22</f>
        <v/>
      </c>
      <c r="O138" s="4">
        <f>O105-O22</f>
        <v/>
      </c>
      <c r="P138" s="4">
        <f>P105-P22</f>
        <v/>
      </c>
      <c r="Q138" s="4">
        <f>Q105-Q22</f>
        <v/>
      </c>
      <c r="R138" s="7">
        <f>SUM(L138:Q138)</f>
        <v/>
      </c>
      <c r="S138" s="136">
        <f>S105-S22</f>
        <v/>
      </c>
      <c r="T138" s="136">
        <f>T105-T22</f>
        <v/>
      </c>
      <c r="U138" s="136">
        <f>U105-U22</f>
        <v/>
      </c>
      <c r="V138" s="136">
        <f>V105-V22</f>
        <v/>
      </c>
      <c r="W138" s="136">
        <f>W105-W22</f>
        <v/>
      </c>
      <c r="X138" s="136">
        <f>X105-X22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4">
        <f>E106-E23</f>
        <v/>
      </c>
      <c r="F139" s="4">
        <f>F106-F23</f>
        <v/>
      </c>
      <c r="G139" s="4">
        <f>G106-G23</f>
        <v/>
      </c>
      <c r="H139" s="4">
        <f>H106-H23</f>
        <v/>
      </c>
      <c r="I139" s="4">
        <f>I106-I23</f>
        <v/>
      </c>
      <c r="J139" s="4">
        <f>J106-J23</f>
        <v/>
      </c>
      <c r="K139" s="7">
        <f>SUM(E139:J139)</f>
        <v/>
      </c>
      <c r="L139" s="4">
        <f>L106-L23</f>
        <v/>
      </c>
      <c r="M139" s="4">
        <f>M106-M23</f>
        <v/>
      </c>
      <c r="N139" s="4">
        <f>N106-N23</f>
        <v/>
      </c>
      <c r="O139" s="4">
        <f>O106-O23</f>
        <v/>
      </c>
      <c r="P139" s="4">
        <f>P106-P23</f>
        <v/>
      </c>
      <c r="Q139" s="4">
        <f>Q106-Q23</f>
        <v/>
      </c>
      <c r="R139" s="7">
        <f>SUM(L139:Q139)</f>
        <v/>
      </c>
      <c r="S139" s="136">
        <f>S106-S23</f>
        <v/>
      </c>
      <c r="T139" s="136">
        <f>T106-T23</f>
        <v/>
      </c>
      <c r="U139" s="136">
        <f>U106-U23</f>
        <v/>
      </c>
      <c r="V139" s="136">
        <f>V106-V23</f>
        <v/>
      </c>
      <c r="W139" s="136">
        <f>W106-W23</f>
        <v/>
      </c>
      <c r="X139" s="136">
        <f>X106-X23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4">
        <f>E107-E24</f>
        <v/>
      </c>
      <c r="F140" s="4">
        <f>F107-F24</f>
        <v/>
      </c>
      <c r="G140" s="4">
        <f>G107-G24</f>
        <v/>
      </c>
      <c r="H140" s="4">
        <f>H107-H24</f>
        <v/>
      </c>
      <c r="I140" s="4">
        <f>I107-I24</f>
        <v/>
      </c>
      <c r="J140" s="4">
        <f>J107-J24</f>
        <v/>
      </c>
      <c r="K140" s="7">
        <f>SUM(E140:J140)</f>
        <v/>
      </c>
      <c r="L140" s="4">
        <f>L107-L24</f>
        <v/>
      </c>
      <c r="M140" s="4">
        <f>M107-M24</f>
        <v/>
      </c>
      <c r="N140" s="4">
        <f>N107-N24</f>
        <v/>
      </c>
      <c r="O140" s="4">
        <f>O107-O24</f>
        <v/>
      </c>
      <c r="P140" s="4">
        <f>P107-P24</f>
        <v/>
      </c>
      <c r="Q140" s="4">
        <f>Q107-Q24</f>
        <v/>
      </c>
      <c r="R140" s="7">
        <f>SUM(L140:Q140)</f>
        <v/>
      </c>
      <c r="S140" s="136">
        <f>S107-S24</f>
        <v/>
      </c>
      <c r="T140" s="136">
        <f>T107-T24</f>
        <v/>
      </c>
      <c r="U140" s="136">
        <f>U107-U24</f>
        <v/>
      </c>
      <c r="V140" s="136">
        <f>V107-V24</f>
        <v/>
      </c>
      <c r="W140" s="136">
        <f>W107-W24</f>
        <v/>
      </c>
      <c r="X140" s="136">
        <f>X107-X24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4">
        <f>E108-E25</f>
        <v/>
      </c>
      <c r="F141" s="4">
        <f>F108-F25</f>
        <v/>
      </c>
      <c r="G141" s="4">
        <f>G108-G25</f>
        <v/>
      </c>
      <c r="H141" s="4">
        <f>H108-H25</f>
        <v/>
      </c>
      <c r="I141" s="4">
        <f>I108-I25</f>
        <v/>
      </c>
      <c r="J141" s="4">
        <f>J108-J25</f>
        <v/>
      </c>
      <c r="K141" s="7">
        <f>SUM(E141:J141)</f>
        <v/>
      </c>
      <c r="L141" s="4">
        <f>L108-L25</f>
        <v/>
      </c>
      <c r="M141" s="4">
        <f>M108-M25</f>
        <v/>
      </c>
      <c r="N141" s="4">
        <f>N108-N25</f>
        <v/>
      </c>
      <c r="O141" s="4">
        <f>O108-O25</f>
        <v/>
      </c>
      <c r="P141" s="4">
        <f>P108-P25</f>
        <v/>
      </c>
      <c r="Q141" s="4">
        <f>Q108-Q25</f>
        <v/>
      </c>
      <c r="R141" s="7">
        <f>SUM(L141:Q141)</f>
        <v/>
      </c>
      <c r="S141" s="136">
        <f>S108-S25</f>
        <v/>
      </c>
      <c r="T141" s="136">
        <f>T108-T25</f>
        <v/>
      </c>
      <c r="U141" s="136">
        <f>U108-U25</f>
        <v/>
      </c>
      <c r="V141" s="136">
        <f>V108-V25</f>
        <v/>
      </c>
      <c r="W141" s="136">
        <f>W108-W25</f>
        <v/>
      </c>
      <c r="X141" s="136">
        <f>X108-X25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4">
        <f>SUM(G138:G141)</f>
        <v/>
      </c>
      <c r="H142" s="4">
        <f>SUM(H138:H141)</f>
        <v/>
      </c>
      <c r="I142" s="4">
        <f>SUM(I138:I141)</f>
        <v/>
      </c>
      <c r="J142" s="4">
        <f>SUM(J138:J141)</f>
        <v/>
      </c>
      <c r="K142" s="7">
        <f>SUM(E142:J142)</f>
        <v/>
      </c>
      <c r="L142" s="4">
        <f>SUM(L138:L141)</f>
        <v/>
      </c>
      <c r="M142" s="4">
        <f>SUM(M138:M141)</f>
        <v/>
      </c>
      <c r="N142" s="4">
        <f>SUM(N138:N141)</f>
        <v/>
      </c>
      <c r="O142" s="4">
        <f>SUM(O138:O141)</f>
        <v/>
      </c>
      <c r="P142" s="4">
        <f>SUM(P138:P141)</f>
        <v/>
      </c>
      <c r="Q142" s="4">
        <f>SUM(Q138:Q141)</f>
        <v/>
      </c>
      <c r="R142" s="7">
        <f>SUM(L142:Q142)</f>
        <v/>
      </c>
      <c r="S142" s="136">
        <f>S109-S26</f>
        <v/>
      </c>
      <c r="T142" s="136">
        <f>T109-T26</f>
        <v/>
      </c>
      <c r="U142" s="136">
        <f>U109-U26</f>
        <v/>
      </c>
      <c r="V142" s="136">
        <f>V109-V26</f>
        <v/>
      </c>
      <c r="W142" s="136">
        <f>W109-W26</f>
        <v/>
      </c>
      <c r="X142" s="136">
        <f>X109-X26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4">
        <f>E110-E27</f>
        <v/>
      </c>
      <c r="F143" s="4">
        <f>F110-F27</f>
        <v/>
      </c>
      <c r="G143" s="4">
        <f>G110-G27</f>
        <v/>
      </c>
      <c r="H143" s="4">
        <f>H110-H27</f>
        <v/>
      </c>
      <c r="I143" s="4">
        <f>I110-I27</f>
        <v/>
      </c>
      <c r="J143" s="4">
        <f>J110-J27</f>
        <v/>
      </c>
      <c r="K143" s="7">
        <f>SUM(E143:J143)</f>
        <v/>
      </c>
      <c r="L143" s="4">
        <f>L110-L27</f>
        <v/>
      </c>
      <c r="M143" s="4">
        <f>M110-M27</f>
        <v/>
      </c>
      <c r="N143" s="4">
        <f>N110-N27</f>
        <v/>
      </c>
      <c r="O143" s="4">
        <f>O110-O27</f>
        <v/>
      </c>
      <c r="P143" s="4">
        <f>P110-P27</f>
        <v/>
      </c>
      <c r="Q143" s="4">
        <f>Q110-Q27</f>
        <v/>
      </c>
      <c r="R143" s="7">
        <f>SUM(L143:Q143)</f>
        <v/>
      </c>
      <c r="S143" s="136">
        <f>S110-S27</f>
        <v/>
      </c>
      <c r="T143" s="136">
        <f>T110-T27</f>
        <v/>
      </c>
      <c r="U143" s="136">
        <f>U110-U27</f>
        <v/>
      </c>
      <c r="V143" s="136">
        <f>V110-V27</f>
        <v/>
      </c>
      <c r="W143" s="136">
        <f>W110-W27</f>
        <v/>
      </c>
      <c r="X143" s="136">
        <f>X110-X27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4">
        <f>E111-E28</f>
        <v/>
      </c>
      <c r="F144" s="4">
        <f>F111-F28</f>
        <v/>
      </c>
      <c r="G144" s="4">
        <f>G111-G28</f>
        <v/>
      </c>
      <c r="H144" s="4">
        <f>H111-H28</f>
        <v/>
      </c>
      <c r="I144" s="4">
        <f>I111-I28</f>
        <v/>
      </c>
      <c r="J144" s="4">
        <f>J111-J28</f>
        <v/>
      </c>
      <c r="K144" s="7">
        <f>SUM(E144:J144)</f>
        <v/>
      </c>
      <c r="L144" s="4">
        <f>L111-L28</f>
        <v/>
      </c>
      <c r="M144" s="4">
        <f>M111-M28</f>
        <v/>
      </c>
      <c r="N144" s="4">
        <f>N111-N28</f>
        <v/>
      </c>
      <c r="O144" s="4">
        <f>O111-O28</f>
        <v/>
      </c>
      <c r="P144" s="4">
        <f>P111-P28</f>
        <v/>
      </c>
      <c r="Q144" s="4">
        <f>Q111-Q28</f>
        <v/>
      </c>
      <c r="R144" s="7">
        <f>SUM(L144:Q144)</f>
        <v/>
      </c>
      <c r="S144" s="136">
        <f>S111-S28</f>
        <v/>
      </c>
      <c r="T144" s="136">
        <f>T111-T28</f>
        <v/>
      </c>
      <c r="U144" s="136">
        <f>U111-U28</f>
        <v/>
      </c>
      <c r="V144" s="136">
        <f>V111-V28</f>
        <v/>
      </c>
      <c r="W144" s="136">
        <f>W111-W28</f>
        <v/>
      </c>
      <c r="X144" s="136">
        <f>X111-X28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SUM(F143:F144)</f>
        <v/>
      </c>
      <c r="G145" s="20">
        <f>SUM(G143:G144)</f>
        <v/>
      </c>
      <c r="H145" s="20">
        <f>SUM(H143:H144)</f>
        <v/>
      </c>
      <c r="I145" s="20">
        <f>SUM(I143:I144)</f>
        <v/>
      </c>
      <c r="J145" s="20">
        <f>SUM(J143:J144)</f>
        <v/>
      </c>
      <c r="K145" s="7">
        <f>SUM(K143:K144)</f>
        <v/>
      </c>
      <c r="L145" s="20">
        <f>SUM(L143:L144)</f>
        <v/>
      </c>
      <c r="M145" s="20">
        <f>SUM(M143:M144)</f>
        <v/>
      </c>
      <c r="N145" s="20">
        <f>SUM(N143:N144)</f>
        <v/>
      </c>
      <c r="O145" s="20">
        <f>SUM(O143:O144)</f>
        <v/>
      </c>
      <c r="P145" s="20">
        <f>SUM(P143:P144)</f>
        <v/>
      </c>
      <c r="Q145" s="20">
        <f>SUM(Q143:Q144)</f>
        <v/>
      </c>
      <c r="R145" s="7">
        <f>SUM(R143:R144)</f>
        <v/>
      </c>
      <c r="S145" s="136">
        <f>S112-S29</f>
        <v/>
      </c>
      <c r="T145" s="136">
        <f>T112-T29</f>
        <v/>
      </c>
      <c r="U145" s="136">
        <f>U112-U29</f>
        <v/>
      </c>
      <c r="V145" s="136">
        <f>V112-V29</f>
        <v/>
      </c>
      <c r="W145" s="136">
        <f>W112-W29</f>
        <v/>
      </c>
      <c r="X145" s="136">
        <f>X112-X29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20">
        <f>G113-G30</f>
        <v/>
      </c>
      <c r="H146" s="20">
        <f>H113-H30</f>
        <v/>
      </c>
      <c r="I146" s="20">
        <f>I113-I30</f>
        <v/>
      </c>
      <c r="J146" s="4">
        <f>J113-J30</f>
        <v/>
      </c>
      <c r="K146" s="7">
        <f>SUM(E146:J146)</f>
        <v/>
      </c>
      <c r="L146" s="20">
        <f>L113-L30</f>
        <v/>
      </c>
      <c r="M146" s="20">
        <f>M113-M30</f>
        <v/>
      </c>
      <c r="N146" s="20">
        <f>N113-N30</f>
        <v/>
      </c>
      <c r="O146" s="20">
        <f>O113-O30</f>
        <v/>
      </c>
      <c r="P146" s="20">
        <f>P113-P30</f>
        <v/>
      </c>
      <c r="Q146" s="20">
        <f>Q113-Q30</f>
        <v/>
      </c>
      <c r="R146" s="7">
        <f>SUM(L146:Q146)</f>
        <v/>
      </c>
      <c r="S146" s="136">
        <f>S113-S30</f>
        <v/>
      </c>
      <c r="T146" s="136">
        <f>T113-T30</f>
        <v/>
      </c>
      <c r="U146" s="136">
        <f>U113-U30</f>
        <v/>
      </c>
      <c r="V146" s="136">
        <f>V113-V30</f>
        <v/>
      </c>
      <c r="W146" s="136">
        <f>W113-W30</f>
        <v/>
      </c>
      <c r="X146" s="136">
        <f>X113-X30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20">
        <f>G114-G31</f>
        <v/>
      </c>
      <c r="H147" s="20">
        <f>H114-H31</f>
        <v/>
      </c>
      <c r="I147" s="20">
        <f>I114-I31</f>
        <v/>
      </c>
      <c r="J147" s="4">
        <f>J114-J31</f>
        <v/>
      </c>
      <c r="K147" s="4">
        <f>SUM(E147:J147)</f>
        <v/>
      </c>
      <c r="L147" s="20">
        <f>L114-L31</f>
        <v/>
      </c>
      <c r="M147" s="20">
        <f>M114-M31</f>
        <v/>
      </c>
      <c r="N147" s="20">
        <f>N114-N31</f>
        <v/>
      </c>
      <c r="O147" s="20">
        <f>O114-O31</f>
        <v/>
      </c>
      <c r="P147" s="20">
        <f>P114-P31</f>
        <v/>
      </c>
      <c r="Q147" s="20">
        <f>Q114-Q31</f>
        <v/>
      </c>
      <c r="R147" s="7">
        <f>SUM(L147:Q147)</f>
        <v/>
      </c>
      <c r="S147" s="149">
        <f>S114-S31</f>
        <v/>
      </c>
      <c r="T147" s="149">
        <f>T114-T31</f>
        <v/>
      </c>
      <c r="U147" s="149">
        <f>U114-U31</f>
        <v/>
      </c>
      <c r="V147" s="149">
        <f>V114-V31</f>
        <v/>
      </c>
      <c r="W147" s="149">
        <f>W114-W31</f>
        <v/>
      </c>
      <c r="X147" s="149">
        <f>X114-X31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20">
        <f>SUM(G146:G147)</f>
        <v/>
      </c>
      <c r="H148" s="20">
        <f>SUM(H146:H147)</f>
        <v/>
      </c>
      <c r="I148" s="20">
        <f>SUM(I146:I147)</f>
        <v/>
      </c>
      <c r="J148" s="20">
        <f>SUM(J146:J147)</f>
        <v/>
      </c>
      <c r="K148" s="7">
        <f>SUM(K146:K147)</f>
        <v/>
      </c>
      <c r="L148" s="20">
        <f>SUM(L146:L147)</f>
        <v/>
      </c>
      <c r="M148" s="20">
        <f>SUM(M146:M147)</f>
        <v/>
      </c>
      <c r="N148" s="20">
        <f>SUM(N146:N147)</f>
        <v/>
      </c>
      <c r="O148" s="20">
        <f>SUM(O146:O147)</f>
        <v/>
      </c>
      <c r="P148" s="20">
        <f>SUM(P146:P147)</f>
        <v/>
      </c>
      <c r="Q148" s="20">
        <f>SUM(Q146:Q147)</f>
        <v/>
      </c>
      <c r="R148" s="7">
        <f>SUM(R146:R147)</f>
        <v/>
      </c>
      <c r="S148" s="149">
        <f>S115-S32</f>
        <v/>
      </c>
      <c r="T148" s="149">
        <f>T115-T32</f>
        <v/>
      </c>
      <c r="U148" s="149">
        <f>U115-U32</f>
        <v/>
      </c>
      <c r="V148" s="149">
        <f>V115-V32</f>
        <v/>
      </c>
      <c r="W148" s="149">
        <f>W115-W32</f>
        <v/>
      </c>
      <c r="X148" s="149">
        <f>X115-X32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S116-S33</f>
        <v/>
      </c>
      <c r="T149" s="139">
        <f>T116-T33</f>
        <v/>
      </c>
      <c r="U149" s="139">
        <f>U116-U33</f>
        <v/>
      </c>
      <c r="V149" s="139">
        <f>V116-V33</f>
        <v/>
      </c>
      <c r="W149" s="139">
        <f>W116-W33</f>
        <v/>
      </c>
      <c r="X149" s="139">
        <f>X116-X33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6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abSelected="1" topLeftCell="A126" zoomScaleNormal="100" workbookViewId="0">
      <pane xSplit="4" topLeftCell="E1" activePane="topRight" state="frozen"/>
      <selection activeCell="E155" sqref="E155"/>
      <selection pane="topRight" activeCell="E133" sqref="E133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水産部全体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21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21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2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67" t="inlineStr">
        <is>
          <t>合計</t>
        </is>
      </c>
      <c r="L4" s="61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61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3" t="n">
        <v>7819.702</v>
      </c>
      <c r="F5" s="4" t="n">
        <v>4795.298000000001</v>
      </c>
      <c r="G5" s="4" t="n">
        <v>1764.909</v>
      </c>
      <c r="H5" s="20" t="n">
        <v>3971.482</v>
      </c>
      <c r="I5" s="4" t="n">
        <v>4586.726</v>
      </c>
      <c r="J5" s="4" t="n">
        <v>7121.093999999999</v>
      </c>
      <c r="K5" s="62">
        <f>SUM(E5:J5)</f>
        <v/>
      </c>
      <c r="L5" s="3" t="n">
        <v>1473.163</v>
      </c>
      <c r="M5" s="4" t="n">
        <v>1047.506</v>
      </c>
      <c r="N5" s="4" t="n">
        <v>403.183</v>
      </c>
      <c r="O5" s="4" t="n">
        <v>766.4290000000001</v>
      </c>
      <c r="P5" s="4" t="n">
        <v>878.057</v>
      </c>
      <c r="Q5" s="4" t="n">
        <v>1267.57</v>
      </c>
      <c r="R5" s="62">
        <f>SUM(L5:Q5)</f>
        <v/>
      </c>
      <c r="S5" s="145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3" t="n">
        <v>1270.335</v>
      </c>
      <c r="F6" s="4" t="n">
        <v>1090.749</v>
      </c>
      <c r="G6" s="4" t="n">
        <v>457.537</v>
      </c>
      <c r="H6" s="20" t="n">
        <v>675.5930000000001</v>
      </c>
      <c r="I6" s="4" t="n">
        <v>2326.831</v>
      </c>
      <c r="J6" s="4" t="n">
        <v>2620.375</v>
      </c>
      <c r="K6" s="62">
        <f>SUM(E6:J6)</f>
        <v/>
      </c>
      <c r="L6" s="3" t="n">
        <v>495.785</v>
      </c>
      <c r="M6" s="4" t="n">
        <v>385.803</v>
      </c>
      <c r="N6" s="4" t="n">
        <v>164.416</v>
      </c>
      <c r="O6" s="4" t="n">
        <v>252.919</v>
      </c>
      <c r="P6" s="4" t="n">
        <v>773.717</v>
      </c>
      <c r="Q6" s="4" t="n">
        <v>827.4960000000001</v>
      </c>
      <c r="R6" s="62">
        <f>SUM(L6:Q6)</f>
        <v/>
      </c>
      <c r="S6" s="145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3" t="n">
        <v>428.701</v>
      </c>
      <c r="F7" s="4" t="n">
        <v>251.499</v>
      </c>
      <c r="G7" s="4" t="n">
        <v>45.225</v>
      </c>
      <c r="H7" s="20" t="n">
        <v>35.355</v>
      </c>
      <c r="I7" s="4" t="n">
        <v>309.957</v>
      </c>
      <c r="J7" s="4" t="n">
        <v>347.305</v>
      </c>
      <c r="K7" s="62">
        <f>SUM(E7:J7)</f>
        <v/>
      </c>
      <c r="L7" s="3" t="n">
        <v>92.5</v>
      </c>
      <c r="M7" s="4" t="n">
        <v>60.83</v>
      </c>
      <c r="N7" s="4" t="n">
        <v>13.472</v>
      </c>
      <c r="O7" s="4" t="n">
        <v>13.477</v>
      </c>
      <c r="P7" s="4" t="n">
        <v>80.497</v>
      </c>
      <c r="Q7" s="4" t="n">
        <v>185.562</v>
      </c>
      <c r="R7" s="62">
        <f>SUM(L7:Q7)</f>
        <v/>
      </c>
      <c r="S7" s="145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3" t="n">
        <v>3888.393</v>
      </c>
      <c r="F8" s="4" t="n">
        <v>5524.833</v>
      </c>
      <c r="G8" s="4" t="n">
        <v>2439.914</v>
      </c>
      <c r="H8" s="20" t="n">
        <v>3134.155999999999</v>
      </c>
      <c r="I8" s="4" t="n">
        <v>5261.74</v>
      </c>
      <c r="J8" s="4" t="n">
        <v>5914.2</v>
      </c>
      <c r="K8" s="62">
        <f>SUM(E8:J8)</f>
        <v/>
      </c>
      <c r="L8" s="3" t="n">
        <v>2019.778</v>
      </c>
      <c r="M8" s="4" t="n">
        <v>2623.905</v>
      </c>
      <c r="N8" s="4" t="n">
        <v>1163.914</v>
      </c>
      <c r="O8" s="20" t="n">
        <v>1742.196</v>
      </c>
      <c r="P8" s="4" t="n">
        <v>2960.678000000001</v>
      </c>
      <c r="Q8" s="4" t="n">
        <v>3437.035000000001</v>
      </c>
      <c r="R8" s="62">
        <f>SUM(L8:Q8)</f>
        <v/>
      </c>
      <c r="S8" s="145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3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62">
        <f>SUM(K5:K8)</f>
        <v/>
      </c>
      <c r="L9" s="3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62">
        <f>SUM(R5:R8)</f>
        <v/>
      </c>
      <c r="S9" s="145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3" t="n">
        <v>8598.528</v>
      </c>
      <c r="F10" s="4" t="n">
        <v>5949.793</v>
      </c>
      <c r="G10" s="4" t="n">
        <v>6712.828</v>
      </c>
      <c r="H10" s="4" t="n">
        <v>2910.08</v>
      </c>
      <c r="I10" s="4" t="n">
        <v>4490.196</v>
      </c>
      <c r="J10" s="4" t="n">
        <v>9948.628000000001</v>
      </c>
      <c r="K10" s="62">
        <f>SUM(E10:J10)</f>
        <v/>
      </c>
      <c r="L10" s="3" t="n">
        <v>1815.375</v>
      </c>
      <c r="M10" s="4" t="n">
        <v>1139.616</v>
      </c>
      <c r="N10" s="4" t="n">
        <v>1080.601</v>
      </c>
      <c r="O10" s="4" t="n">
        <v>447.17</v>
      </c>
      <c r="P10" s="4" t="n">
        <v>851.726</v>
      </c>
      <c r="Q10" s="4" t="n">
        <v>1848.082</v>
      </c>
      <c r="R10" s="62">
        <f>SUM(L10:Q10)</f>
        <v/>
      </c>
      <c r="S10" s="145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3" t="n">
        <v>4686.11</v>
      </c>
      <c r="F11" s="4" t="n">
        <v>3350.13</v>
      </c>
      <c r="G11" s="4" t="n">
        <v>2005.66</v>
      </c>
      <c r="H11" s="4" t="n">
        <v>1250.16</v>
      </c>
      <c r="I11" s="4" t="n">
        <v>1488.54</v>
      </c>
      <c r="J11" s="4" t="n">
        <v>4361.415</v>
      </c>
      <c r="K11" s="62">
        <f>SUM(E11:J11)</f>
        <v/>
      </c>
      <c r="L11" s="3" t="n">
        <v>2882.91</v>
      </c>
      <c r="M11" s="4" t="n">
        <v>2089.067</v>
      </c>
      <c r="N11" s="4" t="n">
        <v>1471.597</v>
      </c>
      <c r="O11" s="4" t="n">
        <v>940.0970000000001</v>
      </c>
      <c r="P11" s="4" t="n">
        <v>1147.04</v>
      </c>
      <c r="Q11" s="4" t="n">
        <v>2488.225</v>
      </c>
      <c r="R11" s="62">
        <f>SUM(L11:Q11)</f>
        <v/>
      </c>
      <c r="S11" s="145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3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62">
        <f>K10+K11</f>
        <v/>
      </c>
      <c r="L12" s="3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62">
        <f>R10+R11</f>
        <v/>
      </c>
      <c r="S12" s="145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3" t="n">
        <v>17463.391</v>
      </c>
      <c r="F13" s="20" t="n">
        <v>17710.987</v>
      </c>
      <c r="G13" s="20" t="n">
        <v>17263.698</v>
      </c>
      <c r="H13" s="20" t="n">
        <v>12230.208</v>
      </c>
      <c r="I13" s="20" t="n">
        <v>8588.548000000001</v>
      </c>
      <c r="J13" s="20" t="n">
        <v>11851.112</v>
      </c>
      <c r="K13" s="62">
        <f>SUM(E13:J13)</f>
        <v/>
      </c>
      <c r="L13" s="3" t="n">
        <v>2785.482</v>
      </c>
      <c r="M13" s="20" t="n">
        <v>2696.668</v>
      </c>
      <c r="N13" s="20" t="n">
        <v>2637.008</v>
      </c>
      <c r="O13" s="20" t="n">
        <v>1924.18</v>
      </c>
      <c r="P13" s="20" t="n">
        <v>1335.401</v>
      </c>
      <c r="Q13" s="20" t="n">
        <v>1767.93</v>
      </c>
      <c r="R13" s="62">
        <f>SUM(L13:Q13)</f>
        <v/>
      </c>
      <c r="S13" s="145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8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62">
        <f>SUM(E14:J14)</f>
        <v/>
      </c>
      <c r="L14" s="88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62">
        <f>SUM(L14:Q14)</f>
        <v/>
      </c>
      <c r="S14" s="145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8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9">
        <f>K13+K14</f>
        <v/>
      </c>
      <c r="L15" s="88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9">
        <f>R13+R14</f>
        <v/>
      </c>
      <c r="S15" s="145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63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64">
        <f>K9+K12+K15</f>
        <v/>
      </c>
      <c r="L16" s="63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64">
        <f>R9+R12+R15</f>
        <v/>
      </c>
      <c r="S16" s="146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5" t="n">
        <v>4919</v>
      </c>
      <c r="F17" s="98" t="n">
        <v>8671.294</v>
      </c>
      <c r="G17" s="98" t="n">
        <v>1764</v>
      </c>
      <c r="H17" s="98" t="n">
        <v>2026</v>
      </c>
      <c r="I17" s="98" t="n">
        <v>5177</v>
      </c>
      <c r="J17" s="98" t="n">
        <v>7426</v>
      </c>
      <c r="K17" s="99">
        <f>SUM(E17:J17)</f>
        <v/>
      </c>
      <c r="L17" s="5" t="n">
        <v>1895</v>
      </c>
      <c r="M17" s="98" t="n">
        <v>3581.357</v>
      </c>
      <c r="N17" s="98" t="n">
        <v>607</v>
      </c>
      <c r="O17" s="98" t="n">
        <v>774</v>
      </c>
      <c r="P17" s="98" t="n">
        <v>1883</v>
      </c>
      <c r="Q17" s="98" t="n">
        <v>2772</v>
      </c>
      <c r="R17" s="99">
        <f>SUM(L17:Q17)</f>
        <v/>
      </c>
      <c r="S17" s="156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 t="n">
        <v>9147.796</v>
      </c>
      <c r="F22" s="4" t="n">
        <v>4444.472</v>
      </c>
      <c r="G22" s="4" t="n">
        <v>2355.602</v>
      </c>
      <c r="H22" s="4" t="n">
        <v>1557.684</v>
      </c>
      <c r="I22" s="4" t="n">
        <v>3298.471</v>
      </c>
      <c r="J22" s="4" t="n">
        <v>7505.23</v>
      </c>
      <c r="K22" s="62">
        <f>SUM(E22:J22)</f>
        <v/>
      </c>
      <c r="L22" s="3" t="n">
        <v>1807.735</v>
      </c>
      <c r="M22" s="4" t="n">
        <v>979.7329999999999</v>
      </c>
      <c r="N22" s="4" t="n">
        <v>613.376</v>
      </c>
      <c r="O22" s="4" t="n">
        <v>497.646</v>
      </c>
      <c r="P22" s="4" t="n">
        <v>716.7760000000001</v>
      </c>
      <c r="Q22" s="4" t="n">
        <v>1539.684</v>
      </c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 t="n">
        <v>643.412</v>
      </c>
      <c r="F23" s="4" t="n">
        <v>793.478</v>
      </c>
      <c r="G23" s="4" t="n">
        <v>1761.134</v>
      </c>
      <c r="H23" s="4" t="n">
        <v>3657.34</v>
      </c>
      <c r="I23" s="4" t="n">
        <v>2898.805</v>
      </c>
      <c r="J23" s="4" t="n">
        <v>5118.363</v>
      </c>
      <c r="K23" s="62">
        <f>SUM(E23:J23)</f>
        <v/>
      </c>
      <c r="L23" s="3" t="n">
        <v>174.632</v>
      </c>
      <c r="M23" s="4" t="n">
        <v>274.091</v>
      </c>
      <c r="N23" s="4" t="n">
        <v>747.894</v>
      </c>
      <c r="O23" s="4" t="n">
        <v>1286.432</v>
      </c>
      <c r="P23" s="4" t="n">
        <v>848.42</v>
      </c>
      <c r="Q23" s="4" t="n">
        <v>1789.332</v>
      </c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 t="n">
        <v>676.904</v>
      </c>
      <c r="F24" s="4" t="n">
        <v>421.593</v>
      </c>
      <c r="G24" s="4" t="n">
        <v>54.482</v>
      </c>
      <c r="H24" s="4" t="n">
        <v>36.714</v>
      </c>
      <c r="I24" s="4" t="n">
        <v>888.853</v>
      </c>
      <c r="J24" s="4" t="n">
        <v>683.032</v>
      </c>
      <c r="K24" s="62">
        <f>SUM(E24:J24)</f>
        <v/>
      </c>
      <c r="L24" s="3" t="n">
        <v>413.214</v>
      </c>
      <c r="M24" s="4" t="n">
        <v>270.704</v>
      </c>
      <c r="N24" s="4" t="n">
        <v>22.481</v>
      </c>
      <c r="O24" s="4" t="n">
        <v>16.864</v>
      </c>
      <c r="P24" s="4" t="n">
        <v>717.357</v>
      </c>
      <c r="Q24" s="4" t="n">
        <v>517.263</v>
      </c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 t="n">
        <v>3178.58</v>
      </c>
      <c r="F25" s="4" t="n">
        <v>4702.828</v>
      </c>
      <c r="G25" s="4" t="n">
        <v>4402.220999999999</v>
      </c>
      <c r="H25" s="4" t="n">
        <v>3998.11</v>
      </c>
      <c r="I25" s="4" t="n">
        <v>1925.62</v>
      </c>
      <c r="J25" s="4" t="n">
        <v>3546.471000000001</v>
      </c>
      <c r="K25" s="62">
        <f>SUM(E25:J25)</f>
        <v/>
      </c>
      <c r="L25" s="3" t="n">
        <v>1743.381</v>
      </c>
      <c r="M25" s="4" t="n">
        <v>2764.778</v>
      </c>
      <c r="N25" s="4" t="n">
        <v>2329.6</v>
      </c>
      <c r="O25" s="4" t="n">
        <v>2041.687</v>
      </c>
      <c r="P25" s="4" t="n">
        <v>944.9979999999998</v>
      </c>
      <c r="Q25" s="4" t="n">
        <v>1949.435</v>
      </c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SUM(E26:J26)</f>
        <v/>
      </c>
      <c r="L26" s="3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SUM(L26:Q26)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 t="n">
        <v>5532.763</v>
      </c>
      <c r="F27" s="4" t="n">
        <v>6604.035</v>
      </c>
      <c r="G27" s="4" t="n">
        <v>7174.526</v>
      </c>
      <c r="H27" s="4" t="n">
        <v>5086.631</v>
      </c>
      <c r="I27" s="4" t="n">
        <v>5913.498</v>
      </c>
      <c r="J27" s="4" t="n">
        <v>12536.989</v>
      </c>
      <c r="K27" s="62">
        <f>SUM(E27:J27)</f>
        <v/>
      </c>
      <c r="L27" s="3" t="n">
        <v>1289.446</v>
      </c>
      <c r="M27" s="4" t="n">
        <v>1627.409</v>
      </c>
      <c r="N27" s="4" t="n">
        <v>1407.741</v>
      </c>
      <c r="O27" s="4" t="n">
        <v>950.385</v>
      </c>
      <c r="P27" s="4" t="n">
        <v>1282.931</v>
      </c>
      <c r="Q27" s="4" t="n">
        <v>2609.847</v>
      </c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 t="n">
        <v>2776.405</v>
      </c>
      <c r="F28" s="4" t="n">
        <v>3884.684999999999</v>
      </c>
      <c r="G28" s="4" t="n">
        <v>4124.21</v>
      </c>
      <c r="H28" s="4" t="n">
        <v>2676.2</v>
      </c>
      <c r="I28" s="4" t="n">
        <v>1446.795</v>
      </c>
      <c r="J28" s="4" t="n">
        <v>4570.595</v>
      </c>
      <c r="K28" s="62">
        <f>SUM(E28:J28)</f>
        <v/>
      </c>
      <c r="L28" s="3" t="n">
        <v>1708.154</v>
      </c>
      <c r="M28" s="4" t="n">
        <v>2438.683</v>
      </c>
      <c r="N28" s="4" t="n">
        <v>3607.46</v>
      </c>
      <c r="O28" s="4" t="n">
        <v>2209.2</v>
      </c>
      <c r="P28" s="4" t="n">
        <v>1173.045</v>
      </c>
      <c r="Q28" s="4" t="n">
        <v>3099.141</v>
      </c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SUM(E27:E28)</f>
        <v/>
      </c>
      <c r="F29" s="20">
        <f>SUM(F27:F28)</f>
        <v/>
      </c>
      <c r="G29" s="20">
        <f>SUM(G27:G28)</f>
        <v/>
      </c>
      <c r="H29" s="20">
        <f>SUM(H27:H28)</f>
        <v/>
      </c>
      <c r="I29" s="20">
        <f>SUM(I27:I28)</f>
        <v/>
      </c>
      <c r="J29" s="20">
        <f>SUM(J27:J28)</f>
        <v/>
      </c>
      <c r="K29" s="62">
        <f>SUM(K27:K28)</f>
        <v/>
      </c>
      <c r="L29" s="3">
        <f>SUM(L27:L28)</f>
        <v/>
      </c>
      <c r="M29" s="20">
        <f>SUM(M27:M28)</f>
        <v/>
      </c>
      <c r="N29" s="20">
        <f>SUM(N27:N28)</f>
        <v/>
      </c>
      <c r="O29" s="20">
        <f>SUM(O27:O28)</f>
        <v/>
      </c>
      <c r="P29" s="20">
        <f>SUM(P27:P28)</f>
        <v/>
      </c>
      <c r="Q29" s="20">
        <f>SUM(Q27:Q28)</f>
        <v/>
      </c>
      <c r="R29" s="62">
        <f>SUM(R27:R28)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 t="n">
        <v>13161.188</v>
      </c>
      <c r="F30" s="20" t="n">
        <v>22618.704</v>
      </c>
      <c r="G30" s="20" t="n">
        <v>20298.313</v>
      </c>
      <c r="H30" s="20" t="n">
        <v>13511.618</v>
      </c>
      <c r="I30" s="20" t="n">
        <v>10177.025</v>
      </c>
      <c r="J30" s="20" t="n">
        <v>10696.536</v>
      </c>
      <c r="K30" s="62">
        <f>SUM(E30:J30)</f>
        <v/>
      </c>
      <c r="L30" s="3" t="n">
        <v>3307.326</v>
      </c>
      <c r="M30" s="20" t="n">
        <v>5138.178</v>
      </c>
      <c r="N30" s="20" t="n">
        <v>4393.382</v>
      </c>
      <c r="O30" s="20" t="n">
        <v>2843.846</v>
      </c>
      <c r="P30" s="20" t="n">
        <v>2115.652</v>
      </c>
      <c r="Q30" s="20" t="n">
        <v>2187.245</v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 t="n">
        <v>2.95</v>
      </c>
      <c r="F31" s="84" t="n">
        <v>0</v>
      </c>
      <c r="G31" s="84" t="n">
        <v>0</v>
      </c>
      <c r="H31" s="84" t="n">
        <v>16.815</v>
      </c>
      <c r="I31" s="84" t="n">
        <v>17.68</v>
      </c>
      <c r="J31" s="84" t="n">
        <v>14.48</v>
      </c>
      <c r="K31" s="62">
        <f>SUM(E31:J31)</f>
        <v/>
      </c>
      <c r="L31" s="88" t="n">
        <v>0.909</v>
      </c>
      <c r="M31" s="84" t="n">
        <v>0</v>
      </c>
      <c r="N31" s="84" t="n">
        <v>0</v>
      </c>
      <c r="O31" s="84" t="n">
        <v>5.181</v>
      </c>
      <c r="P31" s="84" t="n">
        <v>4.536</v>
      </c>
      <c r="Q31" s="84" t="n">
        <v>1.946</v>
      </c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8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62">
        <f>SUM(E32:J32)</f>
        <v/>
      </c>
      <c r="L32" s="88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62">
        <f>SUM(L32:Q32)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63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K26+K29+K32</f>
        <v/>
      </c>
      <c r="L33" s="63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R26+R29+R32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5" t="n">
        <v>2808</v>
      </c>
      <c r="F34" s="98" t="n">
        <v>8671.294</v>
      </c>
      <c r="G34" s="98" t="n">
        <v>3956</v>
      </c>
      <c r="H34" s="98" t="n"/>
      <c r="I34" s="98" t="n"/>
      <c r="J34" s="98" t="n"/>
      <c r="K34" s="99">
        <f>SUM(E34:J34)</f>
        <v/>
      </c>
      <c r="L34" s="5" t="n">
        <v>1068</v>
      </c>
      <c r="M34" s="98" t="n">
        <v>3581.357</v>
      </c>
      <c r="N34" s="98" t="n">
        <v>1431</v>
      </c>
      <c r="O34" s="98" t="n"/>
      <c r="P34" s="98" t="n"/>
      <c r="Q34" s="98" t="n"/>
      <c r="R34" s="99">
        <f>SUM(L34:Q34)</f>
        <v/>
      </c>
      <c r="S34" s="156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19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67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95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68">
        <f>SUM(E39:J39)</f>
        <v/>
      </c>
      <c r="L39" s="3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62">
        <f>SUM(L39:Q39)</f>
        <v/>
      </c>
      <c r="S39" s="135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68">
        <f>SUM(E40:J40)</f>
        <v/>
      </c>
      <c r="L40" s="3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62">
        <f>SUM(L40:Q40)</f>
        <v/>
      </c>
      <c r="S40" s="135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68">
        <f>SUM(E41:J41)</f>
        <v/>
      </c>
      <c r="L41" s="3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62">
        <f>SUM(L41:Q41)</f>
        <v/>
      </c>
      <c r="S41" s="135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68">
        <f>SUM(E42:J42)</f>
        <v/>
      </c>
      <c r="L42" s="3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62">
        <f>SUM(L42:Q42)</f>
        <v/>
      </c>
      <c r="S42" s="135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68">
        <f>SUM(E43:J43)</f>
        <v/>
      </c>
      <c r="L43" s="3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62">
        <f>SUM(L43:Q43)</f>
        <v/>
      </c>
      <c r="S43" s="135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68">
        <f>SUM(E44:J44)</f>
        <v/>
      </c>
      <c r="L44" s="3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62">
        <f>SUM(L44:Q44)</f>
        <v/>
      </c>
      <c r="S44" s="135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68">
        <f>SUM(E45:J45)</f>
        <v/>
      </c>
      <c r="L45" s="3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62">
        <f>SUM(L45:Q45)</f>
        <v/>
      </c>
      <c r="S45" s="135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68">
        <f>SUM(K44:K45)</f>
        <v/>
      </c>
      <c r="L46" s="3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62">
        <f>SUM(R44:R45)</f>
        <v/>
      </c>
      <c r="S46" s="135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68">
        <f>SUM(E47:J47)</f>
        <v/>
      </c>
      <c r="L47" s="3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62">
        <f>SUM(L47:Q47)</f>
        <v/>
      </c>
      <c r="S47" s="135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68">
        <f>SUM(E48:J48)</f>
        <v/>
      </c>
      <c r="L48" s="3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62">
        <f>SUM(L48:Q48)</f>
        <v/>
      </c>
      <c r="S48" s="135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68">
        <f>SUM(E49:J49)</f>
        <v/>
      </c>
      <c r="L49" s="3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62">
        <f>SUM(L49:Q49)</f>
        <v/>
      </c>
      <c r="S49" s="135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63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9">
        <f>K43+K46+K47</f>
        <v/>
      </c>
      <c r="L50" s="63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8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6">
        <f>SUM(E51:J51)</f>
        <v/>
      </c>
      <c r="L51" s="5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99">
        <f>SUM(L51:Q51)</f>
        <v/>
      </c>
      <c r="S51" s="141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>
        <v>8690</v>
      </c>
      <c r="F56" s="20" t="n">
        <v>4400</v>
      </c>
      <c r="G56" s="20" t="n">
        <v>2060</v>
      </c>
      <c r="H56" s="20" t="n">
        <v>2900</v>
      </c>
      <c r="I56" s="20" t="n">
        <v>5310</v>
      </c>
      <c r="J56" s="20" t="n">
        <v>8440</v>
      </c>
      <c r="K56" s="62">
        <f>SUM(E56:J56)</f>
        <v/>
      </c>
      <c r="L56" s="20" t="n">
        <v>2370</v>
      </c>
      <c r="M56" s="4" t="n">
        <v>1310</v>
      </c>
      <c r="N56" s="4" t="n">
        <v>540</v>
      </c>
      <c r="O56" s="20" t="n">
        <v>650</v>
      </c>
      <c r="P56" s="4" t="n">
        <v>1460</v>
      </c>
      <c r="Q56" s="4" t="n">
        <v>1690</v>
      </c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>
        <v>3810</v>
      </c>
      <c r="F57" s="20" t="n">
        <v>3300</v>
      </c>
      <c r="G57" s="20" t="n">
        <v>4690</v>
      </c>
      <c r="H57" s="20" t="n">
        <v>3660</v>
      </c>
      <c r="I57" s="20" t="n">
        <v>2900</v>
      </c>
      <c r="J57" s="20" t="n">
        <v>5110</v>
      </c>
      <c r="K57" s="62">
        <f>SUM(E57:J57)</f>
        <v/>
      </c>
      <c r="L57" s="20" t="n">
        <v>1140</v>
      </c>
      <c r="M57" s="4" t="n">
        <v>990</v>
      </c>
      <c r="N57" s="4" t="n">
        <v>1410</v>
      </c>
      <c r="O57" s="20" t="n">
        <v>1100</v>
      </c>
      <c r="P57" s="4" t="n">
        <v>870</v>
      </c>
      <c r="Q57" s="4" t="n">
        <v>1530</v>
      </c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>
        <v>580</v>
      </c>
      <c r="F58" s="20" t="n">
        <v>380</v>
      </c>
      <c r="G58" s="20" t="n">
        <v>50</v>
      </c>
      <c r="H58" s="20" t="n">
        <v>40</v>
      </c>
      <c r="I58" s="20" t="n">
        <v>600</v>
      </c>
      <c r="J58" s="20" t="n">
        <v>520</v>
      </c>
      <c r="K58" s="62">
        <f>SUM(E58:J58)</f>
        <v/>
      </c>
      <c r="L58" s="20" t="n">
        <v>260</v>
      </c>
      <c r="M58" s="4" t="n">
        <v>170</v>
      </c>
      <c r="N58" s="4" t="n">
        <v>20</v>
      </c>
      <c r="O58" s="20" t="n">
        <v>20</v>
      </c>
      <c r="P58" s="4" t="n">
        <v>300</v>
      </c>
      <c r="Q58" s="4" t="n">
        <v>360</v>
      </c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>
        <v>3680</v>
      </c>
      <c r="F59" s="20" t="n">
        <v>5200</v>
      </c>
      <c r="G59" s="20" t="n">
        <v>4720</v>
      </c>
      <c r="H59" s="20" t="n">
        <v>3850</v>
      </c>
      <c r="I59" s="20" t="n">
        <v>2300</v>
      </c>
      <c r="J59" s="20" t="n">
        <v>3540</v>
      </c>
      <c r="K59" s="62">
        <f>SUM(E59:J59)</f>
        <v/>
      </c>
      <c r="L59" s="20" t="n">
        <v>1940</v>
      </c>
      <c r="M59" s="4" t="n">
        <v>2700</v>
      </c>
      <c r="N59" s="4" t="n">
        <v>1890</v>
      </c>
      <c r="O59" s="20" t="n">
        <v>1930</v>
      </c>
      <c r="P59" s="4" t="n">
        <v>1250</v>
      </c>
      <c r="Q59" s="4" t="n">
        <v>1770</v>
      </c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20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>
        <v>5500</v>
      </c>
      <c r="F61" s="20" t="n">
        <v>6400</v>
      </c>
      <c r="G61" s="20" t="n">
        <v>6700</v>
      </c>
      <c r="H61" s="20" t="n">
        <v>4800</v>
      </c>
      <c r="I61" s="20" t="n">
        <v>5700</v>
      </c>
      <c r="J61" s="20" t="n">
        <v>12500</v>
      </c>
      <c r="K61" s="62">
        <f>SUM(E61:J61)</f>
        <v/>
      </c>
      <c r="L61" s="20" t="n">
        <v>1100</v>
      </c>
      <c r="M61" s="4" t="n">
        <v>1570</v>
      </c>
      <c r="N61" s="4" t="n">
        <v>1310</v>
      </c>
      <c r="O61" s="4" t="n">
        <v>750</v>
      </c>
      <c r="P61" s="4" t="n">
        <v>1090</v>
      </c>
      <c r="Q61" s="4" t="n">
        <v>2340</v>
      </c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>
        <v>4110</v>
      </c>
      <c r="F62" s="20" t="n">
        <v>4540</v>
      </c>
      <c r="G62" s="20" t="n">
        <v>4100</v>
      </c>
      <c r="H62" s="20" t="n">
        <v>4410</v>
      </c>
      <c r="I62" s="20" t="n">
        <v>1540</v>
      </c>
      <c r="J62" s="20" t="n">
        <v>4950</v>
      </c>
      <c r="K62" s="62">
        <f>SUM(E62:J62)</f>
        <v/>
      </c>
      <c r="L62" s="20" t="n">
        <v>2690</v>
      </c>
      <c r="M62" s="4" t="n">
        <v>2880</v>
      </c>
      <c r="N62" s="4" t="n">
        <v>2920</v>
      </c>
      <c r="O62" s="4" t="n">
        <v>3130</v>
      </c>
      <c r="P62" s="4" t="n">
        <v>1130</v>
      </c>
      <c r="Q62" s="4" t="n">
        <v>3120</v>
      </c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20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15400</v>
      </c>
      <c r="F64" s="20" t="n">
        <v>22090</v>
      </c>
      <c r="G64" s="20" t="n">
        <v>20330</v>
      </c>
      <c r="H64" s="20" t="n">
        <v>13690</v>
      </c>
      <c r="I64" s="20" t="n">
        <v>10290</v>
      </c>
      <c r="J64" s="20" t="n">
        <v>11090</v>
      </c>
      <c r="K64" s="62">
        <f>SUM(E64:J64)</f>
        <v/>
      </c>
      <c r="L64" s="20" t="n">
        <v>3910</v>
      </c>
      <c r="M64" s="20" t="n">
        <v>5010</v>
      </c>
      <c r="N64" s="20" t="n">
        <v>4270</v>
      </c>
      <c r="O64" s="20" t="n">
        <v>2740</v>
      </c>
      <c r="P64" s="20" t="n">
        <v>2060</v>
      </c>
      <c r="Q64" s="20" t="n">
        <v>2220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>
        <v>30</v>
      </c>
      <c r="F65" s="84" t="n">
        <v>30</v>
      </c>
      <c r="G65" s="84" t="n">
        <v>30</v>
      </c>
      <c r="H65" s="84" t="n">
        <v>30</v>
      </c>
      <c r="I65" s="84" t="n">
        <v>30</v>
      </c>
      <c r="J65" s="84" t="n">
        <v>30</v>
      </c>
      <c r="K65" s="89" t="n">
        <v>180</v>
      </c>
      <c r="L65" s="84" t="n">
        <v>10</v>
      </c>
      <c r="M65" s="84" t="n">
        <v>10</v>
      </c>
      <c r="N65" s="84" t="n">
        <v>10</v>
      </c>
      <c r="O65" s="84" t="n">
        <v>10</v>
      </c>
      <c r="P65" s="84" t="n">
        <v>10</v>
      </c>
      <c r="Q65" s="84" t="n">
        <v>10</v>
      </c>
      <c r="R65" s="89">
        <f>SUM(L65:Q65)</f>
        <v/>
      </c>
      <c r="S65" s="135">
        <f>IF(E65=0,"***",L65/E65)</f>
        <v/>
      </c>
      <c r="T65" s="136">
        <f>IF(F65=0,"***",M65/F65)</f>
        <v/>
      </c>
      <c r="U65" s="136">
        <f>IF(G65=0,"***",N65/G65)</f>
        <v/>
      </c>
      <c r="V65" s="136">
        <f>IF(H65=0,"***",O65/H65)</f>
        <v/>
      </c>
      <c r="W65" s="136">
        <f>IF(I65=0,"***",P65/I65)</f>
        <v/>
      </c>
      <c r="X65" s="136">
        <f>IF(J65=0,"***",Q65/J65)</f>
        <v/>
      </c>
      <c r="Y65" s="137">
        <f>IF(K65=0,"***",R65/K65)</f>
        <v/>
      </c>
    </row>
    <row r="66">
      <c r="C66" s="82" t="inlineStr">
        <is>
          <t>境港水産部合計</t>
        </is>
      </c>
      <c r="D66" s="83" t="n"/>
      <c r="E66" s="88">
        <f>E64+E65</f>
        <v/>
      </c>
      <c r="F66" s="84" t="n">
        <v>22120</v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8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63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K60+K63+K66</f>
        <v/>
      </c>
      <c r="L67" s="63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R60+R63+R66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7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>
        <v>8671.294</v>
      </c>
      <c r="G69" s="17" t="n"/>
      <c r="H69" s="17" t="n"/>
      <c r="I69" s="17" t="n"/>
      <c r="J69" s="17" t="n"/>
      <c r="K69" s="18" t="n"/>
      <c r="L69" s="17" t="n"/>
      <c r="M69" s="17" t="n">
        <v>3581.357</v>
      </c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8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63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20" t="n">
        <v>7432.895</v>
      </c>
      <c r="F105" s="20" t="n">
        <v>5654</v>
      </c>
      <c r="G105" s="109" t="n">
        <v>2372.437</v>
      </c>
      <c r="H105" s="20" t="n">
        <v>1601.743</v>
      </c>
      <c r="I105" s="20" t="n">
        <v>4563.577</v>
      </c>
      <c r="J105" s="20" t="n"/>
      <c r="K105" s="7">
        <f>SUM(E105:J105)</f>
        <v/>
      </c>
      <c r="L105" s="20" t="n">
        <v>1476.758</v>
      </c>
      <c r="M105" s="4" t="n">
        <v>1043</v>
      </c>
      <c r="N105" s="110" t="n">
        <v>426.527</v>
      </c>
      <c r="O105" s="20" t="n">
        <v>286.418</v>
      </c>
      <c r="P105" s="4" t="n">
        <v>737.38</v>
      </c>
      <c r="Q105" s="4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20" t="n">
        <v>8579.040999999999</v>
      </c>
      <c r="F106" s="20" t="n">
        <v>10766.038</v>
      </c>
      <c r="G106" s="109" t="n">
        <v>8785.306</v>
      </c>
      <c r="H106" s="20" t="n">
        <v>5356.049</v>
      </c>
      <c r="I106" s="20" t="n">
        <v>4693.687</v>
      </c>
      <c r="J106" s="20" t="n"/>
      <c r="K106" s="7">
        <f>SUM(E106:J106)</f>
        <v/>
      </c>
      <c r="L106" s="20" t="n">
        <v>3333.44</v>
      </c>
      <c r="M106" s="4" t="n">
        <v>4060.094</v>
      </c>
      <c r="N106" s="110" t="n">
        <v>3064.809</v>
      </c>
      <c r="O106" s="20" t="n">
        <v>1699.295</v>
      </c>
      <c r="P106" s="4" t="n">
        <v>1571.449</v>
      </c>
      <c r="Q106" s="4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20" t="n">
        <v>706.8049999999999</v>
      </c>
      <c r="F107" s="20" t="n">
        <v>528.396</v>
      </c>
      <c r="G107" s="109" t="n">
        <v>69.48</v>
      </c>
      <c r="H107" s="20" t="n">
        <v>41.977</v>
      </c>
      <c r="I107" s="20" t="n">
        <v>891.601</v>
      </c>
      <c r="J107" s="20" t="n"/>
      <c r="K107" s="7">
        <f>SUM(E107:J107)</f>
        <v/>
      </c>
      <c r="L107" s="20" t="n">
        <v>470.38</v>
      </c>
      <c r="M107" s="4" t="n">
        <v>323.308</v>
      </c>
      <c r="N107" s="110" t="n">
        <v>14.833</v>
      </c>
      <c r="O107" s="20" t="n">
        <v>24.608</v>
      </c>
      <c r="P107" s="4" t="n">
        <v>712.481</v>
      </c>
      <c r="Q107" s="4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20" t="n">
        <v>3727</v>
      </c>
      <c r="F108" s="20" t="n">
        <v>6281.791</v>
      </c>
      <c r="G108" s="109" t="n">
        <v>5189.783</v>
      </c>
      <c r="H108" s="20" t="n">
        <v>4966.143</v>
      </c>
      <c r="I108" s="20" t="n">
        <v>1898.343</v>
      </c>
      <c r="J108" s="20" t="n"/>
      <c r="K108" s="7">
        <f>SUM(E108:J108)</f>
        <v/>
      </c>
      <c r="L108" s="20" t="n">
        <v>1989</v>
      </c>
      <c r="M108" s="4" t="n">
        <v>3436.727</v>
      </c>
      <c r="N108" s="110" t="n">
        <v>2804.344</v>
      </c>
      <c r="O108" s="20" t="n">
        <v>2588.363</v>
      </c>
      <c r="P108" s="4" t="n">
        <v>1068.395</v>
      </c>
      <c r="Q108" s="4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4">
        <f>SUM(E105:E108)</f>
        <v/>
      </c>
      <c r="F109" s="4">
        <f>SUM(F105:F108)</f>
        <v/>
      </c>
      <c r="G109" s="4">
        <f>SUM(G105:G108)</f>
        <v/>
      </c>
      <c r="H109" s="4">
        <f>SUM(H105:H108)</f>
        <v/>
      </c>
      <c r="I109" s="4">
        <f>SUM(I105:I108)</f>
        <v/>
      </c>
      <c r="J109" s="4">
        <f>SUM(J105:J108)</f>
        <v/>
      </c>
      <c r="K109" s="7">
        <f>SUM(E109:J109)</f>
        <v/>
      </c>
      <c r="L109" s="4">
        <f>SUM(L105:L108)</f>
        <v/>
      </c>
      <c r="M109" s="4">
        <f>SUM(M105:M108)</f>
        <v/>
      </c>
      <c r="N109" s="4">
        <f>SUM(N105:N108)</f>
        <v/>
      </c>
      <c r="O109" s="4">
        <f>SUM(O105:O108)</f>
        <v/>
      </c>
      <c r="P109" s="4">
        <f>SUM(P105:P108)</f>
        <v/>
      </c>
      <c r="Q109" s="4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20" t="n">
        <v>9581.916999999999</v>
      </c>
      <c r="F110" s="20" t="n">
        <v>8198.089</v>
      </c>
      <c r="G110" s="109" t="n">
        <v>7791.673</v>
      </c>
      <c r="H110" s="20" t="n">
        <v>4587.709</v>
      </c>
      <c r="I110" s="20" t="n">
        <v>4505.06</v>
      </c>
      <c r="J110" s="20" t="n"/>
      <c r="K110" s="7">
        <f>SUM(E110:J110)</f>
        <v/>
      </c>
      <c r="L110" s="4" t="n">
        <v>2282.322</v>
      </c>
      <c r="M110" s="4" t="n">
        <v>2022.106</v>
      </c>
      <c r="N110" s="110" t="n">
        <v>1573.684</v>
      </c>
      <c r="O110" s="4" t="n">
        <v>868.227</v>
      </c>
      <c r="P110" s="4" t="n">
        <v>973.835</v>
      </c>
      <c r="Q110" s="4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20" t="n">
        <v>4167</v>
      </c>
      <c r="F111" s="20" t="n">
        <v>3870.535</v>
      </c>
      <c r="G111" s="109" t="n">
        <v>2740.64</v>
      </c>
      <c r="H111" s="20" t="n">
        <v>2087.995</v>
      </c>
      <c r="I111" s="20" t="n">
        <v>1503.815</v>
      </c>
      <c r="J111" s="20" t="n"/>
      <c r="K111" s="7">
        <f>SUM(E111:J111)</f>
        <v/>
      </c>
      <c r="L111" s="4" t="n">
        <v>2513</v>
      </c>
      <c r="M111" s="4" t="n">
        <v>2465.249</v>
      </c>
      <c r="N111" s="110" t="n">
        <v>2267.056</v>
      </c>
      <c r="O111" s="4" t="n">
        <v>1594.106</v>
      </c>
      <c r="P111" s="4" t="n">
        <v>1173.421</v>
      </c>
      <c r="Q111" s="4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20">
        <f>SUM(E110:E111)</f>
        <v/>
      </c>
      <c r="F112" s="20">
        <f>SUM(F110:F111)</f>
        <v/>
      </c>
      <c r="G112" s="20">
        <f>SUM(G110:G111)</f>
        <v/>
      </c>
      <c r="H112" s="20">
        <f>SUM(H110:H111)</f>
        <v/>
      </c>
      <c r="I112" s="20">
        <f>SUM(I110:I111)</f>
        <v/>
      </c>
      <c r="J112" s="20">
        <f>SUM(J110:J111)</f>
        <v/>
      </c>
      <c r="K112" s="7">
        <f>SUM(K110:K111)</f>
        <v/>
      </c>
      <c r="L112" s="20">
        <f>SUM(L110:L111)</f>
        <v/>
      </c>
      <c r="M112" s="20">
        <f>SUM(M110:M111)</f>
        <v/>
      </c>
      <c r="N112" s="20">
        <f>SUM(N110:N111)</f>
        <v/>
      </c>
      <c r="O112" s="20">
        <f>SUM(O110:O111)</f>
        <v/>
      </c>
      <c r="P112" s="20">
        <f>SUM(P110:P111)</f>
        <v/>
      </c>
      <c r="Q112" s="20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20" t="n">
        <v>22233.102</v>
      </c>
      <c r="F113" s="20" t="n">
        <v>19353.64</v>
      </c>
      <c r="G113" s="109" t="n">
        <v>29426.041</v>
      </c>
      <c r="H113" s="20" t="n">
        <v>15433.341</v>
      </c>
      <c r="I113" s="20" t="n">
        <v>14647.605</v>
      </c>
      <c r="J113" s="20" t="n"/>
      <c r="K113" s="7">
        <f>SUM(E113:J113)</f>
        <v/>
      </c>
      <c r="L113" s="20" t="n">
        <v>4926.404</v>
      </c>
      <c r="M113" s="20" t="n">
        <v>4136.038</v>
      </c>
      <c r="N113" s="109" t="n">
        <v>6344.651</v>
      </c>
      <c r="O113" s="20" t="n">
        <v>2621.939</v>
      </c>
      <c r="P113" s="20" t="n">
        <v>2539.196</v>
      </c>
      <c r="Q113" s="20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84" t="n">
        <v>0</v>
      </c>
      <c r="F114" s="84" t="n"/>
      <c r="G114" s="84" t="n"/>
      <c r="H114" s="84" t="n"/>
      <c r="I114" s="84" t="n">
        <v>0</v>
      </c>
      <c r="J114" s="84" t="n"/>
      <c r="K114" s="84">
        <f>SUM(E114:J114)</f>
        <v/>
      </c>
      <c r="L114" s="84" t="n">
        <v>0</v>
      </c>
      <c r="M114" s="84" t="n"/>
      <c r="N114" s="84" t="n"/>
      <c r="O114" s="84" t="n"/>
      <c r="P114" s="84" t="n">
        <v>0</v>
      </c>
      <c r="Q114" s="84" t="n"/>
      <c r="R114" s="8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76" t="n">
        <v>6468.262</v>
      </c>
      <c r="F117" s="76" t="n">
        <v>8671.294</v>
      </c>
      <c r="G117" s="115" t="n">
        <v>7118.591</v>
      </c>
      <c r="H117" s="76" t="n">
        <v>3619.471</v>
      </c>
      <c r="I117" s="76" t="n"/>
      <c r="J117" s="76" t="n"/>
      <c r="K117" s="77">
        <f>SUM(E117:J117)</f>
        <v/>
      </c>
      <c r="L117" s="78" t="n">
        <v>2590.049</v>
      </c>
      <c r="M117" s="76" t="n">
        <v>3581.357</v>
      </c>
      <c r="N117" s="115" t="n">
        <v>2702.93</v>
      </c>
      <c r="O117" s="76" t="n">
        <v>1322.609</v>
      </c>
      <c r="P117" s="76" t="n"/>
      <c r="Q117" s="76" t="n"/>
      <c r="R117" s="77">
        <f>SUM(L117:Q117)</f>
        <v/>
      </c>
      <c r="S117" s="157">
        <f>IF(E117=0,"***",L117/E117)</f>
        <v/>
      </c>
      <c r="T117" s="157">
        <f>IF(F117=0,"***",M117/F117)</f>
        <v/>
      </c>
      <c r="U117" s="157">
        <f>IF(G117=0,"***",N117/G117)</f>
        <v/>
      </c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20">
        <f>E105-E56</f>
        <v/>
      </c>
      <c r="F122" s="20">
        <f>F105-F56</f>
        <v/>
      </c>
      <c r="G122" s="109">
        <f>G105-G56</f>
        <v/>
      </c>
      <c r="H122" s="20">
        <f>H105-H56</f>
        <v/>
      </c>
      <c r="I122" s="20">
        <f>I105-I56</f>
        <v/>
      </c>
      <c r="J122" s="20" t="n"/>
      <c r="K122" s="7">
        <f>SUM(E122:J122)</f>
        <v/>
      </c>
      <c r="L122" s="20">
        <f>L105-L56</f>
        <v/>
      </c>
      <c r="M122" s="4">
        <f>M105-M56</f>
        <v/>
      </c>
      <c r="N122" s="110">
        <f>N105-N56</f>
        <v/>
      </c>
      <c r="O122" s="20">
        <f>O105-O56</f>
        <v/>
      </c>
      <c r="P122" s="20">
        <f>P105-P56</f>
        <v/>
      </c>
      <c r="Q122" s="4" t="n"/>
      <c r="R122" s="7">
        <f>SUM(L122:Q122)</f>
        <v/>
      </c>
      <c r="S122" s="136">
        <f>S105-S56</f>
        <v/>
      </c>
      <c r="T122" s="136">
        <f>T105-T56</f>
        <v/>
      </c>
      <c r="U122" s="136">
        <f>U105-U56</f>
        <v/>
      </c>
      <c r="V122" s="136">
        <f>V105-V56</f>
        <v/>
      </c>
      <c r="W122" s="136">
        <f>W105-W56</f>
        <v/>
      </c>
      <c r="X122" s="136">
        <f>X105-X56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20">
        <f>E106-E57</f>
        <v/>
      </c>
      <c r="F123" s="20">
        <f>F106-F57</f>
        <v/>
      </c>
      <c r="G123" s="109">
        <f>G106-G57</f>
        <v/>
      </c>
      <c r="H123" s="20">
        <f>H106-H57</f>
        <v/>
      </c>
      <c r="I123" s="20">
        <f>I106-I57</f>
        <v/>
      </c>
      <c r="J123" s="20" t="n"/>
      <c r="K123" s="7">
        <f>SUM(E123:J123)</f>
        <v/>
      </c>
      <c r="L123" s="20">
        <f>L106-L57</f>
        <v/>
      </c>
      <c r="M123" s="4">
        <f>M106-M57</f>
        <v/>
      </c>
      <c r="N123" s="110">
        <f>N106-N57</f>
        <v/>
      </c>
      <c r="O123" s="20">
        <f>O106-O57</f>
        <v/>
      </c>
      <c r="P123" s="20">
        <f>P106-P57</f>
        <v/>
      </c>
      <c r="Q123" s="4" t="n"/>
      <c r="R123" s="7">
        <f>SUM(L123:Q123)</f>
        <v/>
      </c>
      <c r="S123" s="136">
        <f>S106-S57</f>
        <v/>
      </c>
      <c r="T123" s="136">
        <f>T106-T57</f>
        <v/>
      </c>
      <c r="U123" s="136">
        <f>U106-U57</f>
        <v/>
      </c>
      <c r="V123" s="136">
        <f>V106-V57</f>
        <v/>
      </c>
      <c r="W123" s="136">
        <f>W106-W57</f>
        <v/>
      </c>
      <c r="X123" s="136">
        <f>X106-X57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20">
        <f>E107-E58</f>
        <v/>
      </c>
      <c r="F124" s="20">
        <f>F107-F58</f>
        <v/>
      </c>
      <c r="G124" s="109">
        <f>G107-G58</f>
        <v/>
      </c>
      <c r="H124" s="20">
        <f>H107-H58</f>
        <v/>
      </c>
      <c r="I124" s="20">
        <f>I107-I58</f>
        <v/>
      </c>
      <c r="J124" s="20" t="n"/>
      <c r="K124" s="7">
        <f>SUM(E124:J124)</f>
        <v/>
      </c>
      <c r="L124" s="20">
        <f>L107-L58</f>
        <v/>
      </c>
      <c r="M124" s="4">
        <f>M107-M58</f>
        <v/>
      </c>
      <c r="N124" s="110">
        <f>N107-N58</f>
        <v/>
      </c>
      <c r="O124" s="20">
        <f>O107-O58</f>
        <v/>
      </c>
      <c r="P124" s="20">
        <f>P107-P58</f>
        <v/>
      </c>
      <c r="Q124" s="4" t="n"/>
      <c r="R124" s="7">
        <f>SUM(L124:Q124)</f>
        <v/>
      </c>
      <c r="S124" s="136">
        <f>S107-S58</f>
        <v/>
      </c>
      <c r="T124" s="136">
        <f>T107-T58</f>
        <v/>
      </c>
      <c r="U124" s="136">
        <f>U107-U58</f>
        <v/>
      </c>
      <c r="V124" s="136">
        <f>V107-V58</f>
        <v/>
      </c>
      <c r="W124" s="136">
        <f>W107-W58</f>
        <v/>
      </c>
      <c r="X124" s="136">
        <f>X107-X58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20">
        <f>E108-E59</f>
        <v/>
      </c>
      <c r="F125" s="20">
        <f>F108-F59</f>
        <v/>
      </c>
      <c r="G125" s="109">
        <f>G108-G59</f>
        <v/>
      </c>
      <c r="H125" s="20">
        <f>H108-H59</f>
        <v/>
      </c>
      <c r="I125" s="20">
        <f>I108-I59</f>
        <v/>
      </c>
      <c r="J125" s="20" t="n"/>
      <c r="K125" s="7">
        <f>SUM(E125:J125)</f>
        <v/>
      </c>
      <c r="L125" s="20">
        <f>L108-L59</f>
        <v/>
      </c>
      <c r="M125" s="4">
        <f>M108-M59</f>
        <v/>
      </c>
      <c r="N125" s="110">
        <f>N108-N59</f>
        <v/>
      </c>
      <c r="O125" s="20">
        <f>O108-O59</f>
        <v/>
      </c>
      <c r="P125" s="20">
        <f>P108-P59</f>
        <v/>
      </c>
      <c r="Q125" s="4" t="n"/>
      <c r="R125" s="7">
        <f>SUM(L125:Q125)</f>
        <v/>
      </c>
      <c r="S125" s="136">
        <f>S108-S59</f>
        <v/>
      </c>
      <c r="T125" s="136">
        <f>T108-T59</f>
        <v/>
      </c>
      <c r="U125" s="136">
        <f>U108-U59</f>
        <v/>
      </c>
      <c r="V125" s="136">
        <f>V108-V59</f>
        <v/>
      </c>
      <c r="W125" s="136">
        <f>W108-W59</f>
        <v/>
      </c>
      <c r="X125" s="136">
        <f>X108-X59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4">
        <f>SUM(G122:G125)</f>
        <v/>
      </c>
      <c r="H126" s="4">
        <f>SUM(H122:H125)</f>
        <v/>
      </c>
      <c r="I126" s="4">
        <f>SUM(I122:I125)</f>
        <v/>
      </c>
      <c r="J126" s="4">
        <f>SUM(J122:J125)</f>
        <v/>
      </c>
      <c r="K126" s="7">
        <f>SUM(E126:J126)</f>
        <v/>
      </c>
      <c r="L126" s="4">
        <f>SUM(L122:L125)</f>
        <v/>
      </c>
      <c r="M126" s="4">
        <f>SUM(M122:M125)</f>
        <v/>
      </c>
      <c r="N126" s="4">
        <f>SUM(N122:N125)</f>
        <v/>
      </c>
      <c r="O126" s="4">
        <f>SUM(O122:O125)</f>
        <v/>
      </c>
      <c r="P126" s="4">
        <f>SUM(P122:P125)</f>
        <v/>
      </c>
      <c r="Q126" s="4">
        <f>SUM(Q122:Q125)</f>
        <v/>
      </c>
      <c r="R126" s="7">
        <f>SUM(L126:Q126)</f>
        <v/>
      </c>
      <c r="S126" s="136">
        <f>S109-S60</f>
        <v/>
      </c>
      <c r="T126" s="136">
        <f>T109-T60</f>
        <v/>
      </c>
      <c r="U126" s="136">
        <f>U109-U60</f>
        <v/>
      </c>
      <c r="V126" s="136">
        <f>V109-V60</f>
        <v/>
      </c>
      <c r="W126" s="136">
        <f>W109-W60</f>
        <v/>
      </c>
      <c r="X126" s="136">
        <f>X109-X60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20">
        <f>E110-E61</f>
        <v/>
      </c>
      <c r="F127" s="20">
        <f>F110-F61</f>
        <v/>
      </c>
      <c r="G127" s="109">
        <f>G110-G61</f>
        <v/>
      </c>
      <c r="H127" s="20">
        <f>H110-H61</f>
        <v/>
      </c>
      <c r="I127" s="20">
        <f>I110-I61</f>
        <v/>
      </c>
      <c r="J127" s="20" t="n"/>
      <c r="K127" s="7">
        <f>SUM(E127:J127)</f>
        <v/>
      </c>
      <c r="L127" s="20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S110-S61</f>
        <v/>
      </c>
      <c r="T127" s="136">
        <f>T110-T61</f>
        <v/>
      </c>
      <c r="U127" s="136">
        <f>U110-U61</f>
        <v/>
      </c>
      <c r="V127" s="136">
        <f>V110-V61</f>
        <v/>
      </c>
      <c r="W127" s="136">
        <f>W110-W61</f>
        <v/>
      </c>
      <c r="X127" s="136">
        <f>X110-X61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20">
        <f>E111-E62</f>
        <v/>
      </c>
      <c r="F128" s="20">
        <f>F111-F62</f>
        <v/>
      </c>
      <c r="G128" s="109">
        <f>G111-G62</f>
        <v/>
      </c>
      <c r="H128" s="20">
        <f>H111-H62</f>
        <v/>
      </c>
      <c r="I128" s="20">
        <f>I111-I62</f>
        <v/>
      </c>
      <c r="J128" s="20" t="n"/>
      <c r="K128" s="7">
        <f>SUM(E128:J128)</f>
        <v/>
      </c>
      <c r="L128" s="20">
        <f>L111-L62</f>
        <v/>
      </c>
      <c r="M128" s="4">
        <f>M111-M62</f>
        <v/>
      </c>
      <c r="N128" s="110">
        <f>N111-N62</f>
        <v/>
      </c>
      <c r="O128" s="4">
        <f>O111-O62</f>
        <v/>
      </c>
      <c r="P128" s="4">
        <f>P111-P62</f>
        <v/>
      </c>
      <c r="Q128" s="4" t="n"/>
      <c r="R128" s="7">
        <f>SUM(L128:Q128)</f>
        <v/>
      </c>
      <c r="S128" s="136">
        <f>S111-S62</f>
        <v/>
      </c>
      <c r="T128" s="136">
        <f>T111-T62</f>
        <v/>
      </c>
      <c r="U128" s="136">
        <f>U111-U62</f>
        <v/>
      </c>
      <c r="V128" s="136">
        <f>V111-V62</f>
        <v/>
      </c>
      <c r="W128" s="136">
        <f>W111-W62</f>
        <v/>
      </c>
      <c r="X128" s="136">
        <f>X111-X62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20">
        <f>SUM(G127:G128)</f>
        <v/>
      </c>
      <c r="H129" s="20">
        <f>SUM(H127:H128)</f>
        <v/>
      </c>
      <c r="I129" s="20">
        <f>SUM(I127:I128)</f>
        <v/>
      </c>
      <c r="J129" s="20">
        <f>SUM(J127:J128)</f>
        <v/>
      </c>
      <c r="K129" s="7">
        <f>SUM(K127:K128)</f>
        <v/>
      </c>
      <c r="L129" s="20">
        <f>SUM(L127:L128)</f>
        <v/>
      </c>
      <c r="M129" s="20">
        <f>SUM(M127:M128)</f>
        <v/>
      </c>
      <c r="N129" s="20">
        <f>SUM(N127:N128)</f>
        <v/>
      </c>
      <c r="O129" s="20">
        <f>SUM(O127:O128)</f>
        <v/>
      </c>
      <c r="P129" s="20">
        <f>SUM(P127:P128)</f>
        <v/>
      </c>
      <c r="Q129" s="20">
        <f>SUM(Q127:Q128)</f>
        <v/>
      </c>
      <c r="R129" s="7">
        <f>SUM(R127:R128)</f>
        <v/>
      </c>
      <c r="S129" s="136">
        <f>S112-S63</f>
        <v/>
      </c>
      <c r="T129" s="136">
        <f>T112-T63</f>
        <v/>
      </c>
      <c r="U129" s="136">
        <f>U112-U63</f>
        <v/>
      </c>
      <c r="V129" s="136">
        <f>V112-V63</f>
        <v/>
      </c>
      <c r="W129" s="136">
        <f>W112-W63</f>
        <v/>
      </c>
      <c r="X129" s="136">
        <f>X112-X63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20">
        <f>M113-M64</f>
        <v/>
      </c>
      <c r="N130" s="109">
        <f>N113-N64</f>
        <v/>
      </c>
      <c r="O130" s="20">
        <f>O113-O64</f>
        <v/>
      </c>
      <c r="P130" s="20">
        <f>P113-P64</f>
        <v/>
      </c>
      <c r="Q130" s="20" t="n"/>
      <c r="R130" s="7">
        <f>SUM(L130:Q130)</f>
        <v/>
      </c>
      <c r="S130" s="136">
        <f>S113-S64</f>
        <v/>
      </c>
      <c r="T130" s="136">
        <f>T113-T64</f>
        <v/>
      </c>
      <c r="U130" s="136">
        <f>U113-U64</f>
        <v/>
      </c>
      <c r="V130" s="136">
        <f>V113-V64</f>
        <v/>
      </c>
      <c r="W130" s="136">
        <f>W113-W64</f>
        <v/>
      </c>
      <c r="X130" s="136">
        <f>X113-X64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20">
        <f>M114-M65</f>
        <v/>
      </c>
      <c r="N131" s="109">
        <f>N114-N65</f>
        <v/>
      </c>
      <c r="O131" s="20">
        <f>O114-O65</f>
        <v/>
      </c>
      <c r="P131" s="20">
        <f>P114-P65</f>
        <v/>
      </c>
      <c r="Q131" s="20" t="n"/>
      <c r="R131" s="7">
        <f>SUM(L131:Q131)</f>
        <v/>
      </c>
      <c r="S131" s="136">
        <f>S114-S65</f>
        <v/>
      </c>
      <c r="T131" s="136">
        <f>T114-T65</f>
        <v/>
      </c>
      <c r="U131" s="136">
        <f>U114-U65</f>
        <v/>
      </c>
      <c r="V131" s="136">
        <f>V114-V65</f>
        <v/>
      </c>
      <c r="W131" s="136">
        <f>W114-W65</f>
        <v/>
      </c>
      <c r="X131" s="136">
        <f>X114-X65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20">
        <f>SUM(G130:G131)</f>
        <v/>
      </c>
      <c r="H132" s="20">
        <f>SUM(H130:H131)</f>
        <v/>
      </c>
      <c r="I132" s="20">
        <f>SUM(I130:I131)</f>
        <v/>
      </c>
      <c r="J132" s="20">
        <f>SUM(J130:J131)</f>
        <v/>
      </c>
      <c r="K132" s="7">
        <f>SUM(K130:K131)</f>
        <v/>
      </c>
      <c r="L132" s="20">
        <f>SUM(L130:L131)</f>
        <v/>
      </c>
      <c r="M132" s="20">
        <f>SUM(M130:M131)</f>
        <v/>
      </c>
      <c r="N132" s="20">
        <f>SUM(N130:N131)</f>
        <v/>
      </c>
      <c r="O132" s="20">
        <f>SUM(O130:O131)</f>
        <v/>
      </c>
      <c r="P132" s="20">
        <f>SUM(P130:P131)</f>
        <v/>
      </c>
      <c r="Q132" s="20">
        <f>SUM(Q130:Q131)</f>
        <v/>
      </c>
      <c r="R132" s="7">
        <f>SUM(R130:R131)</f>
        <v/>
      </c>
      <c r="S132" s="149">
        <f>S115-S66</f>
        <v/>
      </c>
      <c r="T132" s="149">
        <f>T115-T66</f>
        <v/>
      </c>
      <c r="U132" s="149">
        <f>U115-U66</f>
        <v/>
      </c>
      <c r="V132" s="149">
        <f>V115-V66</f>
        <v/>
      </c>
      <c r="W132" s="149">
        <f>W115-W66</f>
        <v/>
      </c>
      <c r="X132" s="149">
        <f>X115-X66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S116-S67</f>
        <v/>
      </c>
      <c r="T133" s="139">
        <f>T116-T67</f>
        <v/>
      </c>
      <c r="U133" s="139">
        <f>U116-U67</f>
        <v/>
      </c>
      <c r="V133" s="139">
        <f>V116-V67</f>
        <v/>
      </c>
      <c r="W133" s="139">
        <f>W116-W67</f>
        <v/>
      </c>
      <c r="X133" s="139">
        <f>X116-X67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20">
        <f>E105-E22</f>
        <v/>
      </c>
      <c r="F138" s="20">
        <f>F105-F22</f>
        <v/>
      </c>
      <c r="G138" s="109">
        <f>G105-G22</f>
        <v/>
      </c>
      <c r="H138" s="20">
        <f>H105-H22</f>
        <v/>
      </c>
      <c r="I138" s="20">
        <f>I105-I22</f>
        <v/>
      </c>
      <c r="J138" s="20" t="n"/>
      <c r="K138" s="7">
        <f>SUM(E138:J138)</f>
        <v/>
      </c>
      <c r="L138" s="20">
        <f>L105-L22</f>
        <v/>
      </c>
      <c r="M138" s="20">
        <f>M105-M22</f>
        <v/>
      </c>
      <c r="N138" s="110">
        <f>N105-N22</f>
        <v/>
      </c>
      <c r="O138" s="20">
        <f>O105-O22</f>
        <v/>
      </c>
      <c r="P138" s="20">
        <f>P105-P22</f>
        <v/>
      </c>
      <c r="Q138" s="4" t="n"/>
      <c r="R138" s="7">
        <f>SUM(L138:Q138)</f>
        <v/>
      </c>
      <c r="S138" s="136">
        <f>S105-S22</f>
        <v/>
      </c>
      <c r="T138" s="136">
        <f>T105-T22</f>
        <v/>
      </c>
      <c r="U138" s="136">
        <f>U105-U22</f>
        <v/>
      </c>
      <c r="V138" s="136">
        <f>V105-V22</f>
        <v/>
      </c>
      <c r="W138" s="136">
        <f>W105-W22</f>
        <v/>
      </c>
      <c r="X138" s="136">
        <f>X105-X22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20">
        <f>E106-E23</f>
        <v/>
      </c>
      <c r="F139" s="20">
        <f>F106-F23</f>
        <v/>
      </c>
      <c r="G139" s="109">
        <f>G106-G23</f>
        <v/>
      </c>
      <c r="H139" s="20">
        <f>H106-H23</f>
        <v/>
      </c>
      <c r="I139" s="20">
        <f>I106-I23</f>
        <v/>
      </c>
      <c r="J139" s="20" t="n"/>
      <c r="K139" s="7">
        <f>SUM(E139:J139)</f>
        <v/>
      </c>
      <c r="L139" s="20">
        <f>L106-L23</f>
        <v/>
      </c>
      <c r="M139" s="20">
        <f>M106-M23</f>
        <v/>
      </c>
      <c r="N139" s="110">
        <f>N106-N23</f>
        <v/>
      </c>
      <c r="O139" s="20">
        <f>O106-O23</f>
        <v/>
      </c>
      <c r="P139" s="20">
        <f>P106-P23</f>
        <v/>
      </c>
      <c r="Q139" s="4" t="n"/>
      <c r="R139" s="7">
        <f>SUM(L139:Q139)</f>
        <v/>
      </c>
      <c r="S139" s="136">
        <f>S106-S23</f>
        <v/>
      </c>
      <c r="T139" s="136">
        <f>T106-T23</f>
        <v/>
      </c>
      <c r="U139" s="136">
        <f>U106-U23</f>
        <v/>
      </c>
      <c r="V139" s="136">
        <f>V106-V23</f>
        <v/>
      </c>
      <c r="W139" s="136">
        <f>W106-W23</f>
        <v/>
      </c>
      <c r="X139" s="136">
        <f>X106-X23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20">
        <f>E107-E24</f>
        <v/>
      </c>
      <c r="F140" s="20">
        <f>F107-F24</f>
        <v/>
      </c>
      <c r="G140" s="109">
        <f>G107-G24</f>
        <v/>
      </c>
      <c r="H140" s="20">
        <f>H107-H24</f>
        <v/>
      </c>
      <c r="I140" s="20">
        <f>I107-I24</f>
        <v/>
      </c>
      <c r="J140" s="20" t="n"/>
      <c r="K140" s="7">
        <f>SUM(E140:J140)</f>
        <v/>
      </c>
      <c r="L140" s="20">
        <f>L107-L24</f>
        <v/>
      </c>
      <c r="M140" s="20">
        <f>M107-M24</f>
        <v/>
      </c>
      <c r="N140" s="110">
        <f>N107-N24</f>
        <v/>
      </c>
      <c r="O140" s="20">
        <f>O107-O24</f>
        <v/>
      </c>
      <c r="P140" s="20">
        <f>P107-P24</f>
        <v/>
      </c>
      <c r="Q140" s="4" t="n"/>
      <c r="R140" s="7">
        <f>SUM(L140:Q140)</f>
        <v/>
      </c>
      <c r="S140" s="136">
        <f>S107-S24</f>
        <v/>
      </c>
      <c r="T140" s="136">
        <f>T107-T24</f>
        <v/>
      </c>
      <c r="U140" s="136">
        <f>U107-U24</f>
        <v/>
      </c>
      <c r="V140" s="136">
        <f>V107-V24</f>
        <v/>
      </c>
      <c r="W140" s="136">
        <f>W107-W24</f>
        <v/>
      </c>
      <c r="X140" s="136">
        <f>X107-X24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20">
        <f>E108-E25</f>
        <v/>
      </c>
      <c r="F141" s="20">
        <f>F108-F25</f>
        <v/>
      </c>
      <c r="G141" s="109">
        <f>G108-G25</f>
        <v/>
      </c>
      <c r="H141" s="20">
        <f>H108-H25</f>
        <v/>
      </c>
      <c r="I141" s="20">
        <f>I108-I25</f>
        <v/>
      </c>
      <c r="J141" s="20" t="n"/>
      <c r="K141" s="7">
        <f>SUM(E141:J141)</f>
        <v/>
      </c>
      <c r="L141" s="20">
        <f>L108-L25</f>
        <v/>
      </c>
      <c r="M141" s="20">
        <f>M108-M25</f>
        <v/>
      </c>
      <c r="N141" s="110">
        <f>N108-N25</f>
        <v/>
      </c>
      <c r="O141" s="20">
        <f>O108-O25</f>
        <v/>
      </c>
      <c r="P141" s="20">
        <f>P108-P25</f>
        <v/>
      </c>
      <c r="Q141" s="4" t="n"/>
      <c r="R141" s="7">
        <f>SUM(L141:Q141)</f>
        <v/>
      </c>
      <c r="S141" s="136">
        <f>S108-S25</f>
        <v/>
      </c>
      <c r="T141" s="136">
        <f>T108-T25</f>
        <v/>
      </c>
      <c r="U141" s="136">
        <f>U108-U25</f>
        <v/>
      </c>
      <c r="V141" s="136">
        <f>V108-V25</f>
        <v/>
      </c>
      <c r="W141" s="136">
        <f>W108-W25</f>
        <v/>
      </c>
      <c r="X141" s="136">
        <f>X108-X25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4">
        <f>SUM(G138:G141)</f>
        <v/>
      </c>
      <c r="H142" s="4">
        <f>SUM(H138:H141)</f>
        <v/>
      </c>
      <c r="I142" s="4">
        <f>SUM(I138:I141)</f>
        <v/>
      </c>
      <c r="J142" s="4">
        <f>SUM(J138:J141)</f>
        <v/>
      </c>
      <c r="K142" s="7">
        <f>SUM(E142:J142)</f>
        <v/>
      </c>
      <c r="L142" s="4">
        <f>SUM(L138:L141)</f>
        <v/>
      </c>
      <c r="M142" s="4">
        <f>SUM(M140:M141)</f>
        <v/>
      </c>
      <c r="N142" s="4">
        <f>SUM(N140:N141)</f>
        <v/>
      </c>
      <c r="O142" s="4">
        <f>SUM(O140:O141)</f>
        <v/>
      </c>
      <c r="P142" s="4">
        <f>SUM(P140:P141)</f>
        <v/>
      </c>
      <c r="Q142" s="4">
        <f>SUM(Q140:Q141)</f>
        <v/>
      </c>
      <c r="R142" s="7">
        <f>SUM(L142:Q142)</f>
        <v/>
      </c>
      <c r="S142" s="136">
        <f>S109-S26</f>
        <v/>
      </c>
      <c r="T142" s="136">
        <f>T109-T26</f>
        <v/>
      </c>
      <c r="U142" s="136">
        <f>U109-U26</f>
        <v/>
      </c>
      <c r="V142" s="136">
        <f>V109-V26</f>
        <v/>
      </c>
      <c r="W142" s="136">
        <f>W109-W26</f>
        <v/>
      </c>
      <c r="X142" s="136">
        <f>X109-X26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20">
        <f>E110-E27</f>
        <v/>
      </c>
      <c r="F143" s="20">
        <f>F110-F27</f>
        <v/>
      </c>
      <c r="G143" s="109">
        <f>G110-G27</f>
        <v/>
      </c>
      <c r="H143" s="20">
        <f>H110-H27</f>
        <v/>
      </c>
      <c r="I143" s="20">
        <f>I110-I27</f>
        <v/>
      </c>
      <c r="J143" s="20" t="n"/>
      <c r="K143" s="7">
        <f>SUM(E143:J143)</f>
        <v/>
      </c>
      <c r="L143" s="20">
        <f>L110-L27</f>
        <v/>
      </c>
      <c r="M143" s="20">
        <f>M110-M27</f>
        <v/>
      </c>
      <c r="N143" s="110">
        <f>N110-N27</f>
        <v/>
      </c>
      <c r="O143" s="4">
        <f>O110-O27</f>
        <v/>
      </c>
      <c r="P143" s="4">
        <f>P110-P27</f>
        <v/>
      </c>
      <c r="Q143" s="4" t="n"/>
      <c r="R143" s="7">
        <f>SUM(L143:Q143)</f>
        <v/>
      </c>
      <c r="S143" s="136">
        <f>S110-S27</f>
        <v/>
      </c>
      <c r="T143" s="136">
        <f>T110-T27</f>
        <v/>
      </c>
      <c r="U143" s="136">
        <f>U110-U27</f>
        <v/>
      </c>
      <c r="V143" s="136">
        <f>V110-V27</f>
        <v/>
      </c>
      <c r="W143" s="136">
        <f>W110-W27</f>
        <v/>
      </c>
      <c r="X143" s="136">
        <f>X110-X27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20">
        <f>E111-E28</f>
        <v/>
      </c>
      <c r="F144" s="20">
        <f>F111-F28</f>
        <v/>
      </c>
      <c r="G144" s="109">
        <f>G111-G28</f>
        <v/>
      </c>
      <c r="H144" s="20">
        <f>H111-H28</f>
        <v/>
      </c>
      <c r="I144" s="20">
        <f>I111-I28</f>
        <v/>
      </c>
      <c r="J144" s="20" t="n"/>
      <c r="K144" s="7">
        <f>SUM(E144:J144)</f>
        <v/>
      </c>
      <c r="L144" s="20">
        <f>L111-L28</f>
        <v/>
      </c>
      <c r="M144" s="20">
        <f>M111-M28</f>
        <v/>
      </c>
      <c r="N144" s="110">
        <f>N111-N28</f>
        <v/>
      </c>
      <c r="O144" s="4">
        <f>O111-O28</f>
        <v/>
      </c>
      <c r="P144" s="4">
        <f>P111-P28</f>
        <v/>
      </c>
      <c r="Q144" s="4" t="n"/>
      <c r="R144" s="7">
        <f>SUM(L144:Q144)</f>
        <v/>
      </c>
      <c r="S144" s="136">
        <f>S111-S28</f>
        <v/>
      </c>
      <c r="T144" s="136">
        <f>T111-T28</f>
        <v/>
      </c>
      <c r="U144" s="136">
        <f>U111-U28</f>
        <v/>
      </c>
      <c r="V144" s="136">
        <f>V111-V28</f>
        <v/>
      </c>
      <c r="W144" s="136">
        <f>W111-W28</f>
        <v/>
      </c>
      <c r="X144" s="136">
        <f>X111-X28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SUM(F141:F144)</f>
        <v/>
      </c>
      <c r="G145" s="20">
        <f>SUM(G141:G144)</f>
        <v/>
      </c>
      <c r="H145" s="20">
        <f>SUM(H141:H144)</f>
        <v/>
      </c>
      <c r="I145" s="20">
        <f>SUM(I141:I144)</f>
        <v/>
      </c>
      <c r="J145" s="20">
        <f>SUM(J141:J144)</f>
        <v/>
      </c>
      <c r="K145" s="7">
        <f>SUM(K143:K144)</f>
        <v/>
      </c>
      <c r="L145" s="20">
        <f>SUM(L143:L144)</f>
        <v/>
      </c>
      <c r="M145" s="20">
        <f>SUM(M143:M144)</f>
        <v/>
      </c>
      <c r="N145" s="20">
        <f>SUM(N143:N144)</f>
        <v/>
      </c>
      <c r="O145" s="20">
        <f>SUM(O143:O144)</f>
        <v/>
      </c>
      <c r="P145" s="20">
        <f>SUM(P143:P144)</f>
        <v/>
      </c>
      <c r="Q145" s="20">
        <f>SUM(Q143:Q144)</f>
        <v/>
      </c>
      <c r="R145" s="7">
        <f>SUM(R143:R144)</f>
        <v/>
      </c>
      <c r="S145" s="136">
        <f>S112-S29</f>
        <v/>
      </c>
      <c r="T145" s="136">
        <f>T112-T29</f>
        <v/>
      </c>
      <c r="U145" s="136">
        <f>U112-U29</f>
        <v/>
      </c>
      <c r="V145" s="136">
        <f>V112-V29</f>
        <v/>
      </c>
      <c r="W145" s="136">
        <f>W112-W29</f>
        <v/>
      </c>
      <c r="X145" s="136">
        <f>X112-X29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109">
        <f>G113-G30</f>
        <v/>
      </c>
      <c r="H146" s="20">
        <f>H113-H30</f>
        <v/>
      </c>
      <c r="I146" s="20">
        <f>I113-I30</f>
        <v/>
      </c>
      <c r="J146" s="20" t="n"/>
      <c r="K146" s="7">
        <f>SUM(E146:J146)</f>
        <v/>
      </c>
      <c r="L146" s="20">
        <f>L113-L30</f>
        <v/>
      </c>
      <c r="M146" s="20">
        <f>M113-M30</f>
        <v/>
      </c>
      <c r="N146" s="109">
        <f>N113-N30</f>
        <v/>
      </c>
      <c r="O146" s="20">
        <f>O113-O30</f>
        <v/>
      </c>
      <c r="P146" s="20">
        <f>P113-P30</f>
        <v/>
      </c>
      <c r="Q146" s="20" t="n"/>
      <c r="R146" s="7">
        <f>SUM(L146:Q146)</f>
        <v/>
      </c>
      <c r="S146" s="136">
        <f>S113-S30</f>
        <v/>
      </c>
      <c r="T146" s="136">
        <f>T113-T30</f>
        <v/>
      </c>
      <c r="U146" s="136">
        <f>U113-U30</f>
        <v/>
      </c>
      <c r="V146" s="136">
        <f>V113-V30</f>
        <v/>
      </c>
      <c r="W146" s="136">
        <f>W113-W30</f>
        <v/>
      </c>
      <c r="X146" s="136">
        <f>X113-X30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109">
        <f>G114-G31</f>
        <v/>
      </c>
      <c r="H147" s="20">
        <f>H114-H31</f>
        <v/>
      </c>
      <c r="I147" s="20">
        <f>I114-I31</f>
        <v/>
      </c>
      <c r="J147" s="20" t="n"/>
      <c r="K147" s="20">
        <f>SUM(E147:J147)</f>
        <v/>
      </c>
      <c r="L147" s="20">
        <f>L114-L31</f>
        <v/>
      </c>
      <c r="M147" s="20">
        <f>M114-M31</f>
        <v/>
      </c>
      <c r="N147" s="109">
        <f>N114-N31</f>
        <v/>
      </c>
      <c r="O147" s="20">
        <f>O114-O31</f>
        <v/>
      </c>
      <c r="P147" s="20">
        <f>P114-P31</f>
        <v/>
      </c>
      <c r="Q147" s="20" t="n"/>
      <c r="R147" s="7">
        <f>SUM(L147:Q147)</f>
        <v/>
      </c>
      <c r="S147" s="149">
        <f>S114-S31</f>
        <v/>
      </c>
      <c r="T147" s="149">
        <f>T114-T31</f>
        <v/>
      </c>
      <c r="U147" s="149">
        <f>U114-U31</f>
        <v/>
      </c>
      <c r="V147" s="149">
        <f>V114-V31</f>
        <v/>
      </c>
      <c r="W147" s="149">
        <f>W114-W31</f>
        <v/>
      </c>
      <c r="X147" s="149">
        <f>X114-X31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20">
        <f>SUM(G146:G147)</f>
        <v/>
      </c>
      <c r="H148" s="20">
        <f>SUM(H146:H147)</f>
        <v/>
      </c>
      <c r="I148" s="20">
        <f>SUM(I146:I147)</f>
        <v/>
      </c>
      <c r="J148" s="20">
        <f>SUM(J146:J147)</f>
        <v/>
      </c>
      <c r="K148" s="7">
        <f>SUM(K146:K147)</f>
        <v/>
      </c>
      <c r="L148" s="20">
        <f>SUM(L146:L147)</f>
        <v/>
      </c>
      <c r="M148" s="20">
        <f>SUM(M146:M147)</f>
        <v/>
      </c>
      <c r="N148" s="20">
        <f>SUM(N146:N147)</f>
        <v/>
      </c>
      <c r="O148" s="20">
        <f>SUM(O146:O147)</f>
        <v/>
      </c>
      <c r="P148" s="20">
        <f>SUM(P146:P147)</f>
        <v/>
      </c>
      <c r="Q148" s="20">
        <f>SUM(Q146:Q147)</f>
        <v/>
      </c>
      <c r="R148" s="7">
        <f>SUM(R146:R147)</f>
        <v/>
      </c>
      <c r="S148" s="149">
        <f>S115-S32</f>
        <v/>
      </c>
      <c r="T148" s="149">
        <f>T115-T32</f>
        <v/>
      </c>
      <c r="U148" s="149">
        <f>U115-U32</f>
        <v/>
      </c>
      <c r="V148" s="149">
        <f>V115-V32</f>
        <v/>
      </c>
      <c r="W148" s="149">
        <f>W115-W32</f>
        <v/>
      </c>
      <c r="X148" s="149">
        <f>X115-X32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S116-S33</f>
        <v/>
      </c>
      <c r="T149" s="139">
        <f>T116-T33</f>
        <v/>
      </c>
      <c r="U149" s="139">
        <f>U116-U33</f>
        <v/>
      </c>
      <c r="V149" s="139">
        <f>V116-V33</f>
        <v/>
      </c>
      <c r="W149" s="139">
        <f>W116-W33</f>
        <v/>
      </c>
      <c r="X149" s="139">
        <f>X116-X33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3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D1:U23"/>
  <sheetViews>
    <sheetView topLeftCell="A6" workbookViewId="0">
      <selection activeCell="P17" sqref="P17"/>
    </sheetView>
  </sheetViews>
  <sheetFormatPr baseColWidth="8" defaultRowHeight="18.75"/>
  <cols>
    <col width="1.625" customWidth="1" style="127" min="4" max="5"/>
    <col width="54.375" customWidth="1" style="127" min="21" max="21"/>
  </cols>
  <sheetData>
    <row r="1" ht="21.75" customHeight="1" s="127">
      <c r="D1" s="126" t="inlineStr">
        <is>
          <t>水産部第50期下期予算について</t>
        </is>
      </c>
    </row>
    <row r="3">
      <c r="D3" s="36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8" t="n"/>
    </row>
    <row r="4">
      <c r="D4" s="39" t="n"/>
      <c r="U4" s="57" t="n"/>
    </row>
    <row r="5">
      <c r="D5" s="4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0" t="n"/>
      <c r="T5" s="50" t="n"/>
      <c r="U5" s="51" t="n"/>
    </row>
    <row r="7">
      <c r="D7" s="117" t="n"/>
      <c r="E7" s="129" t="n"/>
      <c r="F7" s="130" t="n"/>
      <c r="G7" s="123" t="inlineStr">
        <is>
          <t>2024年4～9月</t>
        </is>
      </c>
      <c r="H7" s="124" t="n"/>
      <c r="I7" s="125" t="n"/>
      <c r="J7" s="123" t="inlineStr">
        <is>
          <t>2025年4～9月</t>
        </is>
      </c>
      <c r="K7" s="124" t="n"/>
      <c r="L7" s="125" t="n"/>
      <c r="M7" s="123" t="inlineStr">
        <is>
          <t>過年度平均</t>
        </is>
      </c>
      <c r="N7" s="124" t="n"/>
      <c r="O7" s="125" t="n"/>
      <c r="P7" s="123" t="inlineStr">
        <is>
          <t>計画</t>
        </is>
      </c>
      <c r="Q7" s="124" t="n"/>
      <c r="R7" s="124" t="n"/>
      <c r="S7" s="124" t="n"/>
      <c r="T7" s="125" t="n"/>
      <c r="U7" s="117" t="inlineStr">
        <is>
          <t>根拠</t>
        </is>
      </c>
    </row>
    <row r="8">
      <c r="D8" s="131" t="n"/>
      <c r="E8" s="132" t="n"/>
      <c r="F8" s="133" t="n"/>
      <c r="G8" s="46" t="inlineStr">
        <is>
          <t>売上</t>
        </is>
      </c>
      <c r="H8" s="47" t="inlineStr">
        <is>
          <t>粗利益</t>
        </is>
      </c>
      <c r="I8" s="48" t="inlineStr">
        <is>
          <t>粗利益率</t>
        </is>
      </c>
      <c r="J8" s="46" t="inlineStr">
        <is>
          <t>売上</t>
        </is>
      </c>
      <c r="K8" s="47" t="inlineStr">
        <is>
          <t>粗利益</t>
        </is>
      </c>
      <c r="L8" s="48" t="inlineStr">
        <is>
          <t>粗利益率</t>
        </is>
      </c>
      <c r="M8" s="46" t="inlineStr">
        <is>
          <t>売上</t>
        </is>
      </c>
      <c r="N8" s="47" t="inlineStr">
        <is>
          <t>粗利益</t>
        </is>
      </c>
      <c r="O8" s="48" t="inlineStr">
        <is>
          <t>粗利益率</t>
        </is>
      </c>
      <c r="P8" s="46" t="inlineStr">
        <is>
          <t>売上</t>
        </is>
      </c>
      <c r="Q8" s="47" t="inlineStr">
        <is>
          <t>粗利益</t>
        </is>
      </c>
      <c r="R8" s="49" t="inlineStr">
        <is>
          <t>粗利益率</t>
        </is>
      </c>
      <c r="S8" s="49" t="inlineStr">
        <is>
          <t>年率</t>
        </is>
      </c>
      <c r="T8" s="48" t="inlineStr">
        <is>
          <t>粗利益年率</t>
        </is>
      </c>
      <c r="U8" s="134" t="n"/>
    </row>
    <row r="9">
      <c r="D9" s="36" t="inlineStr">
        <is>
          <t>水産部</t>
        </is>
      </c>
      <c r="E9" s="37" t="n"/>
      <c r="F9" s="38" t="n"/>
      <c r="G9" s="58">
        <f>G13+G17+G21</f>
        <v/>
      </c>
      <c r="H9" s="59">
        <f>H13+H17+H21</f>
        <v/>
      </c>
      <c r="I9" s="158">
        <f>H9/G9</f>
        <v/>
      </c>
      <c r="J9" s="58">
        <f>J13+J17+J21</f>
        <v/>
      </c>
      <c r="K9" s="59">
        <f>K13+K17+K21</f>
        <v/>
      </c>
      <c r="L9" s="158">
        <f>K9/J9</f>
        <v/>
      </c>
      <c r="M9" s="41">
        <f>(G9+J9)/2</f>
        <v/>
      </c>
      <c r="N9" s="42">
        <f>(H9+K9)/2</f>
        <v/>
      </c>
      <c r="O9" s="158">
        <f>N9/M9</f>
        <v/>
      </c>
      <c r="P9" s="41">
        <f>P13+P17+P21</f>
        <v/>
      </c>
      <c r="Q9" s="42">
        <f>Q13+Q17+Q21</f>
        <v/>
      </c>
      <c r="R9" s="159">
        <f>Q9/P9</f>
        <v/>
      </c>
      <c r="S9" s="159">
        <f>P9/J9-1</f>
        <v/>
      </c>
      <c r="T9" s="158">
        <f>Q9/K9-1</f>
        <v/>
      </c>
      <c r="U9" s="45" t="n"/>
    </row>
    <row r="10">
      <c r="D10" s="39" t="n"/>
      <c r="F10" s="31" t="inlineStr">
        <is>
          <t>包装資材</t>
        </is>
      </c>
      <c r="G10" s="41">
        <f>G9-G11-G12</f>
        <v/>
      </c>
      <c r="H10" s="42">
        <f>H9-H11-H12</f>
        <v/>
      </c>
      <c r="I10" s="158">
        <f>H10/G10</f>
        <v/>
      </c>
      <c r="J10" s="41">
        <f>J9-J11-J12</f>
        <v/>
      </c>
      <c r="K10" s="42">
        <f>K9-K11-K12</f>
        <v/>
      </c>
      <c r="L10" s="158">
        <f>K10/J10</f>
        <v/>
      </c>
      <c r="M10" s="3">
        <f>(G10+J10)/2</f>
        <v/>
      </c>
      <c r="N10" s="4">
        <f>(H10+K10)/2</f>
        <v/>
      </c>
      <c r="O10" s="160">
        <f>N10/M10</f>
        <v/>
      </c>
      <c r="P10" s="41">
        <f>P9-P12-P11</f>
        <v/>
      </c>
      <c r="Q10" s="42">
        <f>Q9-Q12-Q11</f>
        <v/>
      </c>
      <c r="R10" s="161">
        <f>Q10/P10</f>
        <v/>
      </c>
      <c r="S10" s="161">
        <f>P10/J10-1</f>
        <v/>
      </c>
      <c r="T10" s="160">
        <f>Q10/K10-1</f>
        <v/>
      </c>
      <c r="U10" s="27" t="n"/>
    </row>
    <row r="11">
      <c r="D11" s="39" t="n"/>
      <c r="F11" s="35" t="inlineStr">
        <is>
          <t>荷役</t>
        </is>
      </c>
      <c r="G11" s="41">
        <f>G15+G19</f>
        <v/>
      </c>
      <c r="H11" s="42">
        <f>H15+H19</f>
        <v/>
      </c>
      <c r="I11" s="158">
        <f>H11/G11</f>
        <v/>
      </c>
      <c r="J11" s="41">
        <f>J15+J19</f>
        <v/>
      </c>
      <c r="K11" s="42">
        <f>K15+K19</f>
        <v/>
      </c>
      <c r="L11" s="158">
        <f>K11/J11</f>
        <v/>
      </c>
      <c r="M11" s="3">
        <f>(G11+J11)/2</f>
        <v/>
      </c>
      <c r="N11" s="4">
        <f>(H11+K11)/2</f>
        <v/>
      </c>
      <c r="O11" s="160">
        <f>N11/M11</f>
        <v/>
      </c>
      <c r="P11" s="41">
        <f>P15+P19</f>
        <v/>
      </c>
      <c r="Q11" s="42">
        <f>Q15+Q19</f>
        <v/>
      </c>
      <c r="R11" s="161">
        <f>Q11/P11</f>
        <v/>
      </c>
      <c r="S11" s="161">
        <f>P11/J11-1</f>
        <v/>
      </c>
      <c r="T11" s="160">
        <f>Q11/K11-1</f>
        <v/>
      </c>
      <c r="U11" s="45" t="n"/>
    </row>
    <row r="12">
      <c r="D12" s="39" t="n"/>
      <c r="F12" s="35" t="inlineStr">
        <is>
          <t>機械</t>
        </is>
      </c>
      <c r="G12" s="41">
        <f>G16+G20+G23</f>
        <v/>
      </c>
      <c r="H12" s="42">
        <f>H16+H20+H23</f>
        <v/>
      </c>
      <c r="I12" s="158">
        <f>H12/G12</f>
        <v/>
      </c>
      <c r="J12" s="41">
        <f>J16+J20+J23</f>
        <v/>
      </c>
      <c r="K12" s="42">
        <f>K16+K20+K23</f>
        <v/>
      </c>
      <c r="L12" s="158">
        <f>K12/J12</f>
        <v/>
      </c>
      <c r="M12" s="3">
        <f>(G12+J12)/2</f>
        <v/>
      </c>
      <c r="N12" s="4">
        <f>(H12+K12)/2</f>
        <v/>
      </c>
      <c r="O12" s="160">
        <f>N12/M12</f>
        <v/>
      </c>
      <c r="P12" s="41">
        <f>P16+P20+P23</f>
        <v/>
      </c>
      <c r="Q12" s="42">
        <f>Q16+Q20+Q23</f>
        <v/>
      </c>
      <c r="R12" s="161">
        <f>Q12/P12</f>
        <v/>
      </c>
      <c r="S12" s="161">
        <f>P12/J12-1</f>
        <v/>
      </c>
      <c r="T12" s="160">
        <f>Q12/K12-1</f>
        <v/>
      </c>
      <c r="U12" s="45" t="n"/>
    </row>
    <row r="13">
      <c r="D13" s="39" t="n"/>
      <c r="E13" s="32" t="inlineStr">
        <is>
          <t>浜田</t>
        </is>
      </c>
      <c r="F13" s="33" t="n"/>
      <c r="G13" s="3" t="n">
        <v>66081.909</v>
      </c>
      <c r="H13" s="4" t="n">
        <v>23129.888</v>
      </c>
      <c r="I13" s="160">
        <f>H13/G13</f>
        <v/>
      </c>
      <c r="J13" s="3" t="n">
        <v>67697.19500000001</v>
      </c>
      <c r="K13" s="4" t="n">
        <v>25007.513</v>
      </c>
      <c r="L13" s="160">
        <f>K13/J13</f>
        <v/>
      </c>
      <c r="M13" s="3">
        <f>(G13+J13)/2</f>
        <v/>
      </c>
      <c r="N13" s="4">
        <f>(H13+K13)/2</f>
        <v/>
      </c>
      <c r="O13" s="160">
        <f>N13/M13</f>
        <v/>
      </c>
      <c r="P13" s="3">
        <f>P14+P16+P15</f>
        <v/>
      </c>
      <c r="Q13" s="4">
        <f>Q14+Q16+Q15</f>
        <v/>
      </c>
      <c r="R13" s="161">
        <f>Q13/P13</f>
        <v/>
      </c>
      <c r="S13" s="161">
        <f>P13/J13-1</f>
        <v/>
      </c>
      <c r="T13" s="160">
        <f>Q13/K13-1</f>
        <v/>
      </c>
      <c r="U13" s="27" t="n"/>
    </row>
    <row r="14">
      <c r="D14" s="39" t="n"/>
      <c r="E14" s="34" t="n"/>
      <c r="F14" s="31" t="inlineStr">
        <is>
          <t>包装資材</t>
        </is>
      </c>
      <c r="G14" s="3">
        <f>G13-G15-G16</f>
        <v/>
      </c>
      <c r="H14" s="4">
        <f>H13-H15-H16</f>
        <v/>
      </c>
      <c r="I14" s="160">
        <f>H14/G14</f>
        <v/>
      </c>
      <c r="J14" s="3">
        <f>J13-J15-J16</f>
        <v/>
      </c>
      <c r="K14" s="4">
        <f>K13-K15-K16</f>
        <v/>
      </c>
      <c r="L14" s="160">
        <f>K14/J14</f>
        <v/>
      </c>
      <c r="M14" s="3">
        <f>(G14+J14)/2</f>
        <v/>
      </c>
      <c r="N14" s="4">
        <f>(H14+K14)/2</f>
        <v/>
      </c>
      <c r="O14" s="160">
        <f>N14/M14</f>
        <v/>
      </c>
      <c r="P14" s="3" t="n">
        <v>57140</v>
      </c>
      <c r="Q14" s="4" t="n">
        <v>16130</v>
      </c>
      <c r="R14" s="161">
        <f>Q14/P14</f>
        <v/>
      </c>
      <c r="S14" s="161">
        <f>P14/J14-1</f>
        <v/>
      </c>
      <c r="T14" s="160">
        <f>Q14/K14-1</f>
        <v/>
      </c>
      <c r="U14" s="70" t="inlineStr">
        <is>
          <t>生産者向け売価15％増で売上8％増加、粗利益率2％改善、福宝▲800/月</t>
        </is>
      </c>
    </row>
    <row r="15">
      <c r="D15" s="39" t="n"/>
      <c r="E15" s="34" t="n"/>
      <c r="F15" s="35" t="inlineStr">
        <is>
          <t>荷役</t>
        </is>
      </c>
      <c r="G15" s="41" t="n">
        <v>26163.236</v>
      </c>
      <c r="H15" s="42" t="n">
        <v>13947.506</v>
      </c>
      <c r="I15" s="160">
        <f>H15/G15</f>
        <v/>
      </c>
      <c r="J15" s="41" t="n">
        <v>21753.83</v>
      </c>
      <c r="K15" s="42" t="n">
        <v>11773.879</v>
      </c>
      <c r="L15" s="160">
        <f>K15/J15</f>
        <v/>
      </c>
      <c r="M15" s="3">
        <f>(G15+J15)/2</f>
        <v/>
      </c>
      <c r="N15" s="4">
        <f>(H15+K15)/2</f>
        <v/>
      </c>
      <c r="O15" s="160">
        <f>N15/M15</f>
        <v/>
      </c>
      <c r="P15" s="3" t="n">
        <v>23290</v>
      </c>
      <c r="Q15" s="4" t="n">
        <v>11480</v>
      </c>
      <c r="R15" s="161">
        <f>Q15/P15</f>
        <v/>
      </c>
      <c r="S15" s="161">
        <f>P15/J15-1</f>
        <v/>
      </c>
      <c r="T15" s="160">
        <f>Q15/K15-1</f>
        <v/>
      </c>
      <c r="U15" s="27" t="n"/>
    </row>
    <row r="16">
      <c r="D16" s="39" t="n"/>
      <c r="E16" s="34" t="n"/>
      <c r="F16" s="35" t="inlineStr">
        <is>
          <t>機械</t>
        </is>
      </c>
      <c r="G16" s="41" t="n">
        <v>2131.8</v>
      </c>
      <c r="H16" s="42" t="n">
        <v>428.4</v>
      </c>
      <c r="I16" s="160">
        <f>H16/G16</f>
        <v/>
      </c>
      <c r="J16" s="41" t="n">
        <v>126</v>
      </c>
      <c r="K16" s="42" t="n">
        <v>43</v>
      </c>
      <c r="L16" s="160">
        <f>K16/J16</f>
        <v/>
      </c>
      <c r="M16" s="3">
        <f>(G16+J16)/2</f>
        <v/>
      </c>
      <c r="N16" s="4">
        <f>(H16+K16)/2</f>
        <v/>
      </c>
      <c r="O16" s="160">
        <f>N16/M16</f>
        <v/>
      </c>
      <c r="P16" s="3" t="n">
        <v>300</v>
      </c>
      <c r="Q16" s="4" t="n">
        <v>60</v>
      </c>
      <c r="R16" s="161">
        <f>Q16/P16</f>
        <v/>
      </c>
      <c r="S16" s="161">
        <f>P16/J16-1</f>
        <v/>
      </c>
      <c r="T16" s="160">
        <f>Q16/K16-1</f>
        <v/>
      </c>
      <c r="U16" s="27" t="inlineStr">
        <is>
          <t>ベルトコンベヤーのメンテナンス料と部品代</t>
        </is>
      </c>
    </row>
    <row r="17">
      <c r="D17" s="39" t="n"/>
      <c r="E17" s="32" t="inlineStr">
        <is>
          <t>大田</t>
        </is>
      </c>
      <c r="F17" s="33" t="n"/>
      <c r="G17" s="3" t="n">
        <v>55752.068</v>
      </c>
      <c r="H17" s="4" t="n">
        <v>18201.506</v>
      </c>
      <c r="I17" s="160">
        <f>H17/G17</f>
        <v/>
      </c>
      <c r="J17" s="3" t="n">
        <v>62327.332</v>
      </c>
      <c r="K17" s="4" t="n">
        <v>23403.442</v>
      </c>
      <c r="L17" s="160">
        <f>K17/J17</f>
        <v/>
      </c>
      <c r="M17" s="3">
        <f>(G17+J17)/2</f>
        <v/>
      </c>
      <c r="N17" s="4">
        <f>(H17+K17)/2</f>
        <v/>
      </c>
      <c r="O17" s="160">
        <f>N17/M17</f>
        <v/>
      </c>
      <c r="P17" s="3">
        <f>P18+P19+P20</f>
        <v/>
      </c>
      <c r="Q17" s="4">
        <f>Q18+Q19+Q20</f>
        <v/>
      </c>
      <c r="R17" s="161">
        <f>Q17/P17</f>
        <v/>
      </c>
      <c r="S17" s="161">
        <f>P17/J17-1</f>
        <v/>
      </c>
      <c r="T17" s="160">
        <f>Q17/K17-1</f>
        <v/>
      </c>
      <c r="U17" s="27" t="n"/>
    </row>
    <row r="18">
      <c r="D18" s="39" t="n"/>
      <c r="E18" s="34" t="n"/>
      <c r="F18" s="31" t="inlineStr">
        <is>
          <t>包装資材</t>
        </is>
      </c>
      <c r="G18" s="3">
        <f>G17-G19-G20</f>
        <v/>
      </c>
      <c r="H18" s="4">
        <f>H17-H19-H20</f>
        <v/>
      </c>
      <c r="I18" s="160">
        <f>H18/G18</f>
        <v/>
      </c>
      <c r="J18" s="3">
        <f>J17-J19-J20</f>
        <v/>
      </c>
      <c r="K18" s="4">
        <f>K17-K19-K20</f>
        <v/>
      </c>
      <c r="L18" s="160">
        <f>K18/J18</f>
        <v/>
      </c>
      <c r="M18" s="3">
        <f>(G18+J18)/2</f>
        <v/>
      </c>
      <c r="N18" s="4">
        <f>(H18+K18)/2</f>
        <v/>
      </c>
      <c r="O18" s="160">
        <f>N18/M18</f>
        <v/>
      </c>
      <c r="P18" s="3" t="n">
        <v>41600</v>
      </c>
      <c r="Q18" s="4" t="n">
        <v>8160</v>
      </c>
      <c r="R18" s="161">
        <f>Q18/P18</f>
        <v/>
      </c>
      <c r="S18" s="161">
        <f>P18/J18-1</f>
        <v/>
      </c>
      <c r="T18" s="160">
        <f>Q18/K18-1</f>
        <v/>
      </c>
      <c r="U18" s="70" t="inlineStr">
        <is>
          <t>生産者向け売価15％増で売上8％増加、粗利益率2％改善</t>
        </is>
      </c>
    </row>
    <row r="19">
      <c r="D19" s="39" t="n"/>
      <c r="E19" s="34" t="n"/>
      <c r="F19" s="35" t="inlineStr">
        <is>
          <t>荷役</t>
        </is>
      </c>
      <c r="G19" s="3" t="n">
        <v>17142.015</v>
      </c>
      <c r="H19" s="4" t="n">
        <v>11018.936</v>
      </c>
      <c r="I19" s="160">
        <f>H19/G19</f>
        <v/>
      </c>
      <c r="J19" s="3" t="n">
        <v>19478.89</v>
      </c>
      <c r="K19" s="4" t="n">
        <v>14235.683</v>
      </c>
      <c r="L19" s="160">
        <f>K19/J19</f>
        <v/>
      </c>
      <c r="M19" s="3">
        <f>(G19+J19)/2</f>
        <v/>
      </c>
      <c r="N19" s="4">
        <f>(H19+K19)/2</f>
        <v/>
      </c>
      <c r="O19" s="160">
        <f>N19/M19</f>
        <v/>
      </c>
      <c r="P19" s="3" t="n">
        <v>23650</v>
      </c>
      <c r="Q19" s="4" t="n">
        <v>15870</v>
      </c>
      <c r="R19" s="161">
        <f>Q19/P19</f>
        <v/>
      </c>
      <c r="S19" s="161">
        <f>P19/J19-1</f>
        <v/>
      </c>
      <c r="T19" s="160">
        <f>Q19/K19-1</f>
        <v/>
      </c>
      <c r="U19" s="27" t="n"/>
    </row>
    <row r="20">
      <c r="D20" s="52" t="n"/>
      <c r="E20" s="56" t="n"/>
      <c r="F20" s="35" t="inlineStr">
        <is>
          <t>機械</t>
        </is>
      </c>
      <c r="G20" s="3" t="n">
        <v>0</v>
      </c>
      <c r="H20" s="4" t="n">
        <v>0</v>
      </c>
      <c r="I20" s="160">
        <f>H20/G20</f>
        <v/>
      </c>
      <c r="J20" s="3" t="n">
        <v>0</v>
      </c>
      <c r="K20" s="4" t="n">
        <v>0</v>
      </c>
      <c r="L20" s="160">
        <f>K20/J20</f>
        <v/>
      </c>
      <c r="M20" s="3">
        <f>(G20+J20)/2</f>
        <v/>
      </c>
      <c r="N20" s="4">
        <f>(H20+K20)/2</f>
        <v/>
      </c>
      <c r="O20" s="160">
        <f>N20/M20</f>
        <v/>
      </c>
      <c r="P20" s="3" t="n">
        <v>0</v>
      </c>
      <c r="Q20" s="4" t="n">
        <v>0</v>
      </c>
      <c r="R20" s="161">
        <f>Q20/P20</f>
        <v/>
      </c>
      <c r="S20" s="161">
        <f>P20/J20-1</f>
        <v/>
      </c>
      <c r="T20" s="160">
        <f>Q20/K20-1</f>
        <v/>
      </c>
      <c r="U20" s="27" t="n"/>
    </row>
    <row r="21">
      <c r="D21" s="52" t="n"/>
      <c r="E21" s="32" t="inlineStr">
        <is>
          <t>境港</t>
        </is>
      </c>
      <c r="F21" s="33" t="n"/>
      <c r="G21" s="3" t="n">
        <v>85107.94399999999</v>
      </c>
      <c r="H21" s="4" t="n">
        <v>13146.669</v>
      </c>
      <c r="I21" s="160">
        <f>H21/G21</f>
        <v/>
      </c>
      <c r="J21" s="3" t="n">
        <v>90515.30900000001</v>
      </c>
      <c r="K21" s="4" t="n">
        <v>19998.201</v>
      </c>
      <c r="L21" s="160">
        <f>K21/J21</f>
        <v/>
      </c>
      <c r="M21" s="3">
        <f>(G21+J21)/2</f>
        <v/>
      </c>
      <c r="N21" s="4">
        <f>(H21+K21)/2</f>
        <v/>
      </c>
      <c r="O21" s="160">
        <f>N21/M21</f>
        <v/>
      </c>
      <c r="P21" s="3">
        <f>P22+P23</f>
        <v/>
      </c>
      <c r="Q21" s="4">
        <f>Q22+Q23</f>
        <v/>
      </c>
      <c r="R21" s="161">
        <f>Q21/P21</f>
        <v/>
      </c>
      <c r="S21" s="161">
        <f>P21/J21-1</f>
        <v/>
      </c>
      <c r="T21" s="160">
        <f>Q21/K21-1</f>
        <v/>
      </c>
      <c r="U21" s="27" t="n"/>
    </row>
    <row r="22">
      <c r="D22" s="39" t="n"/>
      <c r="E22" s="34" t="n"/>
      <c r="F22" s="31" t="inlineStr">
        <is>
          <t>包装資材</t>
        </is>
      </c>
      <c r="G22" s="3">
        <f>G21-G23</f>
        <v/>
      </c>
      <c r="H22" s="4">
        <f>H21-H23</f>
        <v/>
      </c>
      <c r="I22" s="160">
        <f>H22/G22</f>
        <v/>
      </c>
      <c r="J22" s="3">
        <f>J21-J23</f>
        <v/>
      </c>
      <c r="K22" s="4">
        <f>K21-K23</f>
        <v/>
      </c>
      <c r="L22" s="160">
        <f>K22/J22</f>
        <v/>
      </c>
      <c r="M22" s="3">
        <f>(G22+J22)/2</f>
        <v/>
      </c>
      <c r="N22" s="4">
        <f>(H22+K22)/2</f>
        <v/>
      </c>
      <c r="O22" s="160">
        <f>N22/M22</f>
        <v/>
      </c>
      <c r="P22" s="3" t="n">
        <v>93070</v>
      </c>
      <c r="Q22" s="4" t="n">
        <v>20270</v>
      </c>
      <c r="R22" s="161">
        <f>Q22/P22</f>
        <v/>
      </c>
      <c r="S22" s="161">
        <f>P22/J22-1</f>
        <v/>
      </c>
      <c r="T22" s="160">
        <f>Q22/K22-1</f>
        <v/>
      </c>
      <c r="U22" s="27" t="n"/>
    </row>
    <row r="23">
      <c r="D23" s="40" t="n"/>
      <c r="E23" s="55" t="n"/>
      <c r="F23" s="23" t="inlineStr">
        <is>
          <t>機械</t>
        </is>
      </c>
      <c r="G23" s="5" t="n">
        <v>325.96</v>
      </c>
      <c r="H23" s="6" t="n">
        <v>40.325</v>
      </c>
      <c r="I23" s="162">
        <f>H23/G23</f>
        <v/>
      </c>
      <c r="J23" s="5" t="n">
        <v>780.856</v>
      </c>
      <c r="K23" s="6" t="n">
        <v>131</v>
      </c>
      <c r="L23" s="162">
        <f>K23/J23</f>
        <v/>
      </c>
      <c r="M23" s="5">
        <f>(G23+J23)/2</f>
        <v/>
      </c>
      <c r="N23" s="6">
        <f>(H23+K23)/2</f>
        <v/>
      </c>
      <c r="O23" s="162">
        <f>N23/M23</f>
        <v/>
      </c>
      <c r="P23" s="5" t="n">
        <v>0</v>
      </c>
      <c r="Q23" s="6" t="n">
        <v>0</v>
      </c>
      <c r="R23" s="163">
        <f>Q23/P23</f>
        <v/>
      </c>
      <c r="S23" s="163">
        <f>P23/J23-1</f>
        <v/>
      </c>
      <c r="T23" s="162">
        <f>Q23/K23-1</f>
        <v/>
      </c>
      <c r="U23" s="28" t="n"/>
    </row>
  </sheetData>
  <mergeCells count="7">
    <mergeCell ref="J7:L7"/>
    <mergeCell ref="D1:U1"/>
    <mergeCell ref="P7:T7"/>
    <mergeCell ref="M7:O7"/>
    <mergeCell ref="G7:I7"/>
    <mergeCell ref="D7:F8"/>
    <mergeCell ref="U7:U8"/>
  </mergeCells>
  <pageMargins left="0.7086614173228347" right="0.7086614173228347" top="0.7480314960629921" bottom="0.7480314960629921" header="0.3149606299212598" footer="0.3149606299212598"/>
  <pageSetup orientation="landscape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terms:created xmlns:dcterms="http://purl.org/dc/terms/" xmlns:xsi="http://www.w3.org/2001/XMLSchema-instance" xsi:type="dcterms:W3CDTF">2024-06-27T00:13:49Z</dcterms:created>
  <dcterms:modified xmlns:dcterms="http://purl.org/dc/terms/" xmlns:xsi="http://www.w3.org/2001/XMLSchema-instance" xsi:type="dcterms:W3CDTF">2026-09-05T01:26:03Z</dcterms:modified>
  <cp:lastModifiedBy>ma-takahashi</cp:lastModifiedBy>
  <cp:lastPrinted>2026-03-25T18:42:16Z</cp:lastPrinted>
</cp:coreProperties>
</file>