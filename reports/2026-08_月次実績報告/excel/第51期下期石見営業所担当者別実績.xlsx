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'包装資材'!$C$1:$Y$107</definedName>
    <definedName name="_xlnm.Print_Area" localSheetId="1">'機械'!$C$1:$Y$107</definedName>
    <definedName name="_xlnm.Print_Area" localSheetId="2">'全体'!$C$1:$Y$107</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2"/>
      <color theme="1"/>
      <sz val="10"/>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i val="1"/>
      <color rgb="FF7F7F7F"/>
      <sz val="11"/>
      <scheme val="minor"/>
    </font>
  </fonts>
  <fills count="9">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indexed="65"/>
        <bgColor theme="0"/>
      </patternFill>
    </fill>
    <fill>
      <patternFill patternType="gray0625">
        <fgColor theme="0"/>
      </patternFill>
    </fill>
    <fill>
      <patternFill patternType="gray0625">
        <fgColor theme="0"/>
        <bgColor rgb="FFFFFF00"/>
      </patternFill>
    </fill>
    <fill>
      <patternFill patternType="solid">
        <fgColor rgb="FFFFFF00"/>
        <bgColor theme="0"/>
      </patternFill>
    </fill>
  </fills>
  <borders count="51">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right/>
      <top style="hair">
        <color auto="1"/>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hair">
        <color auto="1"/>
      </right>
      <top style="thin">
        <color auto="1"/>
      </top>
      <bottom/>
      <diagonal/>
    </border>
  </borders>
  <cellStyleXfs count="4">
    <xf numFmtId="0" fontId="1" fillId="0" borderId="0" applyAlignment="1">
      <alignment vertical="center"/>
    </xf>
    <xf numFmtId="38" fontId="1" fillId="0" borderId="0" applyAlignment="1">
      <alignment vertical="center"/>
    </xf>
    <xf numFmtId="9" fontId="1" fillId="0" borderId="0" applyAlignment="1">
      <alignment vertical="center"/>
    </xf>
    <xf numFmtId="0" fontId="8" fillId="0" borderId="0" applyAlignment="1">
      <alignment vertical="center"/>
    </xf>
  </cellStyleXfs>
  <cellXfs count="165">
    <xf numFmtId="0" fontId="0" fillId="0" borderId="0" applyAlignment="1" pivotButton="0" quotePrefix="0" xfId="0">
      <alignment vertical="center"/>
    </xf>
    <xf numFmtId="55" fontId="3" fillId="0" borderId="2" applyAlignment="1" pivotButton="0" quotePrefix="0" xfId="0">
      <alignment horizontal="center" vertical="center"/>
    </xf>
    <xf numFmtId="55" fontId="4"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55" fontId="3" fillId="2" borderId="2" applyAlignment="1" pivotButton="0" quotePrefix="0" xfId="0">
      <alignment horizontal="center" vertical="center"/>
    </xf>
    <xf numFmtId="0" fontId="0" fillId="2"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4" borderId="9"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5"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0" fontId="3" fillId="0" borderId="22" applyAlignment="1" pivotButton="0" quotePrefix="0" xfId="0">
      <alignment vertical="center"/>
    </xf>
    <xf numFmtId="0" fontId="4" fillId="0" borderId="22" applyAlignment="1" pivotButton="0" quotePrefix="0" xfId="0">
      <alignment vertical="center"/>
    </xf>
    <xf numFmtId="38" fontId="6" fillId="0" borderId="18" applyAlignment="1" pivotButton="0" quotePrefix="0" xfId="1">
      <alignment vertical="center"/>
    </xf>
    <xf numFmtId="38" fontId="6" fillId="0" borderId="5" applyAlignment="1" pivotButton="0" quotePrefix="0" xfId="1">
      <alignment vertical="center"/>
    </xf>
    <xf numFmtId="38" fontId="6" fillId="0" borderId="41" applyAlignment="1" pivotButton="0" quotePrefix="0" xfId="1">
      <alignment vertical="center"/>
    </xf>
    <xf numFmtId="38" fontId="0" fillId="0" borderId="41" applyAlignment="1" pivotButton="0" quotePrefix="0" xfId="1">
      <alignmen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55" fontId="4" fillId="0" borderId="17" applyAlignment="1" pivotButton="0" quotePrefix="0" xfId="0">
      <alignment horizontal="center" vertical="center"/>
    </xf>
    <xf numFmtId="0" fontId="0" fillId="2" borderId="42" applyAlignment="1" pivotButton="0" quotePrefix="0" xfId="0">
      <alignment horizontal="center" vertical="center"/>
    </xf>
    <xf numFmtId="55" fontId="4" fillId="0" borderId="1"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38" fontId="6" fillId="0" borderId="4" applyAlignment="1" pivotButton="0" quotePrefix="0" xfId="1">
      <alignment vertical="center"/>
    </xf>
    <xf numFmtId="38" fontId="7" fillId="0" borderId="18" applyAlignment="1" pivotButton="0" quotePrefix="0" xfId="1">
      <alignment vertical="center"/>
    </xf>
    <xf numFmtId="38" fontId="7" fillId="2" borderId="27" applyAlignment="1" pivotButton="0" quotePrefix="0" xfId="1">
      <alignment vertical="center"/>
    </xf>
    <xf numFmtId="38" fontId="7" fillId="0" borderId="5" applyAlignment="1" pivotButton="0" quotePrefix="0" xfId="1">
      <alignment vertical="center"/>
    </xf>
    <xf numFmtId="38" fontId="0" fillId="0" borderId="43" applyAlignment="1" pivotButton="0" quotePrefix="0" xfId="1">
      <alignment vertical="center"/>
    </xf>
    <xf numFmtId="38" fontId="0" fillId="3" borderId="44" applyAlignment="1" pivotButton="0" quotePrefix="0" xfId="0">
      <alignment vertical="center"/>
    </xf>
    <xf numFmtId="38" fontId="6" fillId="0" borderId="43" applyAlignment="1" pivotButton="0" quotePrefix="0" xfId="1">
      <alignment vertical="center"/>
    </xf>
    <xf numFmtId="164" fontId="0" fillId="3"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6" borderId="8" applyAlignment="1" pivotButton="0" quotePrefix="0" xfId="0">
      <alignment vertical="center"/>
    </xf>
    <xf numFmtId="38" fontId="0" fillId="7" borderId="28" applyAlignment="1" pivotButton="0" quotePrefix="0" xfId="1">
      <alignment vertical="center"/>
    </xf>
    <xf numFmtId="38" fontId="0" fillId="6" borderId="7" applyAlignment="1" pivotButton="0" quotePrefix="0" xfId="0">
      <alignmen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7" borderId="9" applyAlignment="1" pivotButton="0" quotePrefix="0" xfId="2">
      <alignment horizontal="right" vertical="center"/>
    </xf>
    <xf numFmtId="0" fontId="0" fillId="5" borderId="0" applyAlignment="1" pivotButton="0" quotePrefix="0" xfId="0">
      <alignment vertical="center"/>
    </xf>
    <xf numFmtId="38" fontId="8" fillId="0" borderId="18" applyAlignment="1" pivotButton="0" quotePrefix="0" xfId="3">
      <alignment vertical="center"/>
    </xf>
    <xf numFmtId="0" fontId="0" fillId="0" borderId="1"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38" fontId="0" fillId="2" borderId="28" applyAlignment="1" pivotButton="0" quotePrefix="0" xfId="1">
      <alignment vertical="center"/>
    </xf>
    <xf numFmtId="38" fontId="0" fillId="2" borderId="9" applyAlignment="1" pivotButton="0" quotePrefix="0" xfId="1">
      <alignment vertical="center"/>
    </xf>
    <xf numFmtId="164" fontId="0" fillId="0" borderId="7"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38" fontId="6" fillId="0" borderId="8" applyAlignment="1" pivotButton="0" quotePrefix="0" xfId="1">
      <alignment vertical="center"/>
    </xf>
    <xf numFmtId="38" fontId="6" fillId="0" borderId="44" applyAlignment="1" pivotButton="0" quotePrefix="0" xfId="1">
      <alignment vertical="center"/>
    </xf>
    <xf numFmtId="38" fontId="6" fillId="0" borderId="19" applyAlignment="1" pivotButton="0" quotePrefix="0" xfId="1">
      <alignment vertical="center"/>
    </xf>
    <xf numFmtId="38" fontId="6" fillId="0" borderId="7" applyAlignment="1" pivotButton="0" quotePrefix="0" xfId="1">
      <alignment vertical="center"/>
    </xf>
    <xf numFmtId="164" fontId="0" fillId="0" borderId="19" applyAlignment="1" pivotButton="0" quotePrefix="0" xfId="2">
      <alignment horizontal="right" vertical="center"/>
    </xf>
    <xf numFmtId="0" fontId="0" fillId="0" borderId="4" applyAlignment="1" pivotButton="0" quotePrefix="0" xfId="0">
      <alignment vertical="center"/>
    </xf>
    <xf numFmtId="38" fontId="0" fillId="5" borderId="45" applyAlignment="1" pivotButton="0" quotePrefix="0" xfId="1">
      <alignment vertical="center"/>
    </xf>
    <xf numFmtId="0" fontId="0" fillId="0" borderId="46" applyAlignment="1" pivotButton="0" quotePrefix="0" xfId="0">
      <alignment vertical="center"/>
    </xf>
    <xf numFmtId="0" fontId="0" fillId="0" borderId="7" applyAlignment="1" pivotButton="0" quotePrefix="0" xfId="0">
      <alignment vertical="center"/>
    </xf>
    <xf numFmtId="38" fontId="0" fillId="0" borderId="9" applyAlignment="1" pivotButton="0" quotePrefix="0" xfId="1">
      <alignment vertical="center"/>
    </xf>
    <xf numFmtId="38" fontId="0" fillId="0" borderId="18" applyAlignment="1" pivotButton="0" quotePrefix="0" xfId="1">
      <alignment vertical="center"/>
    </xf>
    <xf numFmtId="38" fontId="0" fillId="6" borderId="19" applyAlignment="1" pivotButton="0" quotePrefix="0" xfId="0">
      <alignment vertical="center"/>
    </xf>
    <xf numFmtId="38" fontId="0" fillId="7" borderId="47" applyAlignment="1" pivotButton="0" quotePrefix="0" xfId="1">
      <alignment vertical="center"/>
    </xf>
    <xf numFmtId="3" fontId="0" fillId="0" borderId="0" applyAlignment="1" pivotButton="0" quotePrefix="0" xfId="0">
      <alignment vertical="center"/>
    </xf>
    <xf numFmtId="9" fontId="0" fillId="0" borderId="0" applyAlignment="1" pivotButton="0" quotePrefix="0" xfId="2">
      <alignment vertical="center"/>
    </xf>
    <xf numFmtId="0" fontId="0" fillId="0" borderId="0" pivotButton="0" quotePrefix="0" xfId="0"/>
    <xf numFmtId="38" fontId="1" fillId="6" borderId="8" applyAlignment="1" pivotButton="0" quotePrefix="0" xfId="0">
      <alignment vertical="center"/>
    </xf>
    <xf numFmtId="38" fontId="1" fillId="0" borderId="5" applyAlignment="1" pivotButton="0" quotePrefix="0" xfId="1">
      <alignment vertical="center"/>
    </xf>
    <xf numFmtId="38" fontId="1" fillId="3" borderId="8" applyAlignment="1" pivotButton="0" quotePrefix="0" xfId="0">
      <alignment vertical="center"/>
    </xf>
    <xf numFmtId="38" fontId="1" fillId="0" borderId="8" applyAlignment="1" pivotButton="0" quotePrefix="0" xfId="1">
      <alignment vertical="center"/>
    </xf>
    <xf numFmtId="38" fontId="0" fillId="0" borderId="48" applyAlignment="1" pivotButton="0" quotePrefix="0" xfId="1">
      <alignment horizontal="center" vertical="center"/>
    </xf>
    <xf numFmtId="0" fontId="0" fillId="0" borderId="13" pivotButton="0" quotePrefix="0" xfId="0"/>
    <xf numFmtId="0" fontId="0" fillId="0" borderId="14" pivotButton="0" quotePrefix="0" xfId="0"/>
    <xf numFmtId="0" fontId="0" fillId="0" borderId="48"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21" applyAlignment="1" pivotButton="0" quotePrefix="0" xfId="0">
      <alignment horizontal="center" vertical="center"/>
    </xf>
    <xf numFmtId="0" fontId="0" fillId="0" borderId="39" pivotButton="0" quotePrefix="0" xfId="0"/>
    <xf numFmtId="0" fontId="5"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0" fillId="0" borderId="24"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164" fontId="0" fillId="0" borderId="0" applyAlignment="1" pivotButton="0" quotePrefix="0" xfId="2">
      <alignment horizontal="righ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164" fontId="0" fillId="7" borderId="9" applyAlignment="1" pivotButton="0" quotePrefix="0" xfId="2">
      <alignment horizontal="right" vertical="center"/>
    </xf>
    <xf numFmtId="164" fontId="0" fillId="0" borderId="7" applyAlignment="1" pivotButton="0" quotePrefix="0" xfId="2">
      <alignment horizontal="right" vertical="center"/>
    </xf>
    <xf numFmtId="164" fontId="0" fillId="3" borderId="44"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4">
    <cellStyle name="標準" xfId="0" builtinId="0"/>
    <cellStyle name="桁区切り" xfId="1" builtinId="6"/>
    <cellStyle name="パーセント" xfId="2" builtinId="5"/>
    <cellStyle name="説明文" xfId="3" builtinId="5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3999755851924192"/>
    <outlinePr summaryBelow="1" summaryRight="1"/>
    <pageSetUpPr fitToPage="1"/>
  </sheetPr>
  <dimension ref="C1:AL108"/>
  <sheetViews>
    <sheetView tabSelected="1" zoomScale="85" zoomScaleNormal="85" workbookViewId="0">
      <pane xSplit="4" ySplit="1" topLeftCell="E73" activePane="bottomRight" state="frozen"/>
      <selection activeCell="F85" sqref="F85"/>
      <selection pane="topRight" activeCell="F85" sqref="F85"/>
      <selection pane="bottomLeft" activeCell="F85" sqref="F85"/>
      <selection pane="bottomRight" activeCell="G84" sqref="G84"/>
    </sheetView>
  </sheetViews>
  <sheetFormatPr baseColWidth="8" defaultColWidth="8.875" defaultRowHeight="18.75"/>
  <cols>
    <col width="9.625" bestFit="1" customWidth="1" style="127" min="3" max="3"/>
    <col width="11.125" bestFit="1" customWidth="1" style="127" min="4" max="4"/>
    <col width="10.125" customWidth="1" style="127" min="5" max="18"/>
    <col width="10.875" bestFit="1" customWidth="1" style="127" min="19" max="24"/>
    <col width="9.875" bestFit="1" customWidth="1" style="127" min="25" max="25"/>
    <col width="10.875" bestFit="1" customWidth="1" style="127" min="27" max="29"/>
    <col width="9.375" bestFit="1" customWidth="1" style="127" min="30" max="30"/>
    <col width="11.625" bestFit="1" customWidth="1" style="127" min="31" max="33"/>
    <col width="10.875" bestFit="1" customWidth="1" style="127" min="34" max="36"/>
    <col width="9.375" bestFit="1" customWidth="1" style="127" min="37" max="37"/>
    <col width="8.375" bestFit="1" customWidth="1" style="127" min="38" max="38"/>
  </cols>
  <sheetData>
    <row r="1">
      <c r="C1" s="20" t="inlineStr">
        <is>
          <t>石見営業所包装資材</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f>全体!E5-機械!E5</f>
        <v/>
      </c>
      <c r="F5" s="4">
        <f>全体!F5-機械!F5</f>
        <v/>
      </c>
      <c r="G5" s="4">
        <f>全体!G5-機械!G5</f>
        <v/>
      </c>
      <c r="H5" s="4">
        <f>全体!H5-機械!H5</f>
        <v/>
      </c>
      <c r="I5" s="4">
        <f>全体!I5-機械!I5</f>
        <v/>
      </c>
      <c r="J5" s="4">
        <f>全体!J5-機械!J5</f>
        <v/>
      </c>
      <c r="K5" s="66">
        <f>SUM(E5:J5)</f>
        <v/>
      </c>
      <c r="L5" s="3">
        <f>全体!L5-機械!L5</f>
        <v/>
      </c>
      <c r="M5" s="4">
        <f>全体!M5-機械!M5</f>
        <v/>
      </c>
      <c r="N5" s="4">
        <f>全体!N5-機械!N5</f>
        <v/>
      </c>
      <c r="O5" s="4">
        <f>全体!O5-機械!O5</f>
        <v/>
      </c>
      <c r="P5" s="4">
        <f>全体!P5-機械!P5</f>
        <v/>
      </c>
      <c r="Q5" s="4">
        <f>全体!Q5-機械!Q5</f>
        <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f>全体!E6-機械!E6</f>
        <v/>
      </c>
      <c r="F6" s="4">
        <f>全体!F6-機械!F6</f>
        <v/>
      </c>
      <c r="G6" s="4">
        <f>全体!G6-機械!G6</f>
        <v/>
      </c>
      <c r="H6" s="4">
        <f>全体!H6-機械!H6</f>
        <v/>
      </c>
      <c r="I6" s="4">
        <f>全体!I6-機械!I6</f>
        <v/>
      </c>
      <c r="J6" s="4">
        <f>全体!J6-機械!J6</f>
        <v/>
      </c>
      <c r="K6" s="66">
        <f>SUM(E6:J6)</f>
        <v/>
      </c>
      <c r="L6" s="3">
        <f>全体!L6-機械!L6</f>
        <v/>
      </c>
      <c r="M6" s="4">
        <f>全体!M6-機械!M6</f>
        <v/>
      </c>
      <c r="N6" s="4">
        <f>全体!N6-機械!N6</f>
        <v/>
      </c>
      <c r="O6" s="4">
        <f>全体!O6-機械!O6</f>
        <v/>
      </c>
      <c r="P6" s="4">
        <f>全体!P6-機械!P6</f>
        <v/>
      </c>
      <c r="Q6" s="4">
        <f>全体!Q6-機械!Q6</f>
        <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f>全体!E7-機械!E7</f>
        <v/>
      </c>
      <c r="F7" s="4">
        <f>全体!F7-機械!F7</f>
        <v/>
      </c>
      <c r="G7" s="4">
        <f>全体!G7-機械!G7</f>
        <v/>
      </c>
      <c r="H7" s="4">
        <f>全体!H7-機械!H7</f>
        <v/>
      </c>
      <c r="I7" s="4">
        <f>全体!I7-機械!I7</f>
        <v/>
      </c>
      <c r="J7" s="4">
        <f>全体!J7-機械!J7</f>
        <v/>
      </c>
      <c r="K7" s="66">
        <f>SUM(E7:J7)</f>
        <v/>
      </c>
      <c r="L7" s="3">
        <f>全体!L7-機械!L7</f>
        <v/>
      </c>
      <c r="M7" s="4">
        <f>全体!M7-機械!M7</f>
        <v/>
      </c>
      <c r="N7" s="4">
        <f>全体!N7-機械!N7</f>
        <v/>
      </c>
      <c r="O7" s="4">
        <f>全体!O7-機械!O7</f>
        <v/>
      </c>
      <c r="P7" s="4">
        <f>全体!P7-機械!P7</f>
        <v/>
      </c>
      <c r="Q7" s="4">
        <f>全体!Q7-機械!Q7</f>
        <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f>全体!E8-機械!E8</f>
        <v/>
      </c>
      <c r="F8" s="4">
        <f>全体!F8-機械!F8</f>
        <v/>
      </c>
      <c r="G8" s="4">
        <f>全体!G8-機械!G8</f>
        <v/>
      </c>
      <c r="H8" s="4">
        <f>全体!H8-機械!H8</f>
        <v/>
      </c>
      <c r="I8" s="4">
        <f>全体!I8-機械!I8</f>
        <v/>
      </c>
      <c r="J8" s="4">
        <f>全体!J8-機械!J8</f>
        <v/>
      </c>
      <c r="K8" s="66">
        <f>SUM(E8:J8)</f>
        <v/>
      </c>
      <c r="L8" s="3">
        <f>全体!L8-機械!L8</f>
        <v/>
      </c>
      <c r="M8" s="4">
        <f>全体!M8-機械!M8</f>
        <v/>
      </c>
      <c r="N8" s="4">
        <f>全体!N8-機械!N8</f>
        <v/>
      </c>
      <c r="O8" s="4">
        <f>全体!O8-機械!O8</f>
        <v/>
      </c>
      <c r="P8" s="4">
        <f>全体!P8-機械!P8</f>
        <v/>
      </c>
      <c r="Q8" s="4">
        <f>全体!Q8-機械!Q8</f>
        <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f>全体!E9-機械!E9</f>
        <v/>
      </c>
      <c r="F9" s="4">
        <f>全体!F9-機械!F9</f>
        <v/>
      </c>
      <c r="G9" s="4">
        <f>全体!G9-機械!G9</f>
        <v/>
      </c>
      <c r="H9" s="4">
        <f>全体!H9-機械!H9</f>
        <v/>
      </c>
      <c r="I9" s="4">
        <f>全体!I9-機械!I9</f>
        <v/>
      </c>
      <c r="J9" s="4">
        <f>全体!J9-機械!J9</f>
        <v/>
      </c>
      <c r="K9" s="66">
        <f>SUM(E9:J9)</f>
        <v/>
      </c>
      <c r="L9" s="3">
        <f>全体!L9-機械!L9</f>
        <v/>
      </c>
      <c r="M9" s="4">
        <f>全体!M9-機械!M9</f>
        <v/>
      </c>
      <c r="N9" s="4">
        <f>全体!N9-機械!N9</f>
        <v/>
      </c>
      <c r="O9" s="4">
        <f>全体!O9-機械!O9</f>
        <v/>
      </c>
      <c r="P9" s="4">
        <f>全体!P9-機械!P9</f>
        <v/>
      </c>
      <c r="Q9" s="4">
        <f>全体!Q9-機械!Q9</f>
        <v/>
      </c>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f>全体!E10-機械!E10</f>
        <v/>
      </c>
      <c r="F10" s="4">
        <f>全体!F10-機械!F10</f>
        <v/>
      </c>
      <c r="G10" s="4">
        <f>全体!G10-機械!G10</f>
        <v/>
      </c>
      <c r="H10" s="4">
        <f>全体!H10-機械!H10</f>
        <v/>
      </c>
      <c r="I10" s="4">
        <f>全体!I10-機械!I10</f>
        <v/>
      </c>
      <c r="J10" s="4">
        <f>全体!J10-機械!J10</f>
        <v/>
      </c>
      <c r="K10" s="66">
        <f>SUM(E10:J10)</f>
        <v/>
      </c>
      <c r="L10" s="3">
        <f>全体!L10-機械!L10</f>
        <v/>
      </c>
      <c r="M10" s="4">
        <f>全体!M10-機械!M10</f>
        <v/>
      </c>
      <c r="N10" s="4">
        <f>全体!N10-機械!N10</f>
        <v/>
      </c>
      <c r="O10" s="4">
        <f>全体!O10-機械!O10</f>
        <v/>
      </c>
      <c r="P10" s="4">
        <f>全体!P10-機械!P10</f>
        <v/>
      </c>
      <c r="Q10" s="4">
        <f>全体!Q10-機械!Q10</f>
        <v/>
      </c>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f>全体!E12-機械!E12</f>
        <v/>
      </c>
      <c r="F12" s="79">
        <f>全体!F12-機械!F12</f>
        <v/>
      </c>
      <c r="G12" s="79">
        <f>全体!G12-機械!G12</f>
        <v/>
      </c>
      <c r="H12" s="79">
        <f>全体!H12-機械!H12</f>
        <v/>
      </c>
      <c r="I12" s="79">
        <f>全体!I12-機械!I12</f>
        <v/>
      </c>
      <c r="J12" s="79">
        <f>全体!J12-機械!J12</f>
        <v/>
      </c>
      <c r="K12" s="80">
        <f>SUM(E12:J12)</f>
        <v/>
      </c>
      <c r="L12" s="81">
        <f>全体!L12-機械!L12</f>
        <v/>
      </c>
      <c r="M12" s="79">
        <f>全体!M12-機械!M12</f>
        <v/>
      </c>
      <c r="N12" s="79">
        <f>全体!N12-機械!N12</f>
        <v/>
      </c>
      <c r="O12" s="79">
        <f>全体!O12-機械!O12</f>
        <v/>
      </c>
      <c r="P12" s="79">
        <f>全体!P12-機械!P12</f>
        <v/>
      </c>
      <c r="Q12" s="79">
        <f>全体!Q12-機械!Q12</f>
        <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f>全体!E17-機械!E17</f>
        <v/>
      </c>
      <c r="F17" s="4">
        <f>全体!F17-機械!F17</f>
        <v/>
      </c>
      <c r="G17" s="4">
        <f>全体!G17-機械!G17</f>
        <v/>
      </c>
      <c r="H17" s="4">
        <f>全体!H17-機械!H17</f>
        <v/>
      </c>
      <c r="I17" s="4">
        <f>全体!I17-機械!I17</f>
        <v/>
      </c>
      <c r="J17" s="4">
        <f>全体!J17-機械!J17</f>
        <v/>
      </c>
      <c r="K17" s="66">
        <f>SUM(E17:J17)</f>
        <v/>
      </c>
      <c r="L17" s="3">
        <f>全体!L17-機械!L17</f>
        <v/>
      </c>
      <c r="M17" s="4">
        <f>全体!M17-機械!M17</f>
        <v/>
      </c>
      <c r="N17" s="4">
        <f>全体!N17-機械!N17</f>
        <v/>
      </c>
      <c r="O17" s="4">
        <f>全体!O17-機械!O17</f>
        <v/>
      </c>
      <c r="P17" s="4">
        <f>全体!P17-機械!P17</f>
        <v/>
      </c>
      <c r="Q17" s="4">
        <f>全体!Q17-機械!Q17</f>
        <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f>全体!E18-機械!E18</f>
        <v/>
      </c>
      <c r="F18" s="4">
        <f>全体!F18-機械!F18</f>
        <v/>
      </c>
      <c r="G18" s="4">
        <f>全体!G18-機械!G18</f>
        <v/>
      </c>
      <c r="H18" s="4">
        <f>全体!H18-機械!H18</f>
        <v/>
      </c>
      <c r="I18" s="4">
        <f>全体!I18-機械!I18</f>
        <v/>
      </c>
      <c r="J18" s="4">
        <f>全体!J18-機械!J18</f>
        <v/>
      </c>
      <c r="K18" s="66">
        <f>SUM(E18:J18)</f>
        <v/>
      </c>
      <c r="L18" s="3">
        <f>全体!L18-機械!L18</f>
        <v/>
      </c>
      <c r="M18" s="4">
        <f>全体!M18-機械!M18</f>
        <v/>
      </c>
      <c r="N18" s="4">
        <f>全体!N18-機械!N18</f>
        <v/>
      </c>
      <c r="O18" s="4">
        <f>全体!O18-機械!O18</f>
        <v/>
      </c>
      <c r="P18" s="4">
        <f>全体!P18-機械!P18</f>
        <v/>
      </c>
      <c r="Q18" s="4">
        <f>全体!Q18-機械!Q18</f>
        <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f>全体!E19-機械!E19</f>
        <v/>
      </c>
      <c r="F19" s="4">
        <f>全体!F19-機械!F19</f>
        <v/>
      </c>
      <c r="G19" s="4">
        <f>全体!G19-機械!G19</f>
        <v/>
      </c>
      <c r="H19" s="4">
        <f>全体!H19-機械!H19</f>
        <v/>
      </c>
      <c r="I19" s="4">
        <f>全体!I19-機械!I19</f>
        <v/>
      </c>
      <c r="J19" s="4">
        <f>全体!J19-機械!J19</f>
        <v/>
      </c>
      <c r="K19" s="66">
        <f>SUM(E19:J19)</f>
        <v/>
      </c>
      <c r="L19" s="3">
        <f>全体!L19-機械!L19</f>
        <v/>
      </c>
      <c r="M19" s="4">
        <f>全体!M19-機械!M19</f>
        <v/>
      </c>
      <c r="N19" s="4">
        <f>全体!N19-機械!N19</f>
        <v/>
      </c>
      <c r="O19" s="4">
        <f>全体!O19-機械!O19</f>
        <v/>
      </c>
      <c r="P19" s="4">
        <f>全体!P19-機械!P19</f>
        <v/>
      </c>
      <c r="Q19" s="4">
        <f>全体!Q19-機械!Q19</f>
        <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f>全体!E20-機械!E20</f>
        <v/>
      </c>
      <c r="F20" s="4">
        <f>全体!F20-機械!F20</f>
        <v/>
      </c>
      <c r="G20" s="4">
        <f>全体!G20-機械!G20</f>
        <v/>
      </c>
      <c r="H20" s="4">
        <f>全体!H20-機械!H20</f>
        <v/>
      </c>
      <c r="I20" s="4">
        <f>全体!I20-機械!I20</f>
        <v/>
      </c>
      <c r="J20" s="4">
        <f>全体!J20-機械!J20</f>
        <v/>
      </c>
      <c r="K20" s="66">
        <f>SUM(E20:J20)</f>
        <v/>
      </c>
      <c r="L20" s="3">
        <f>全体!L20-機械!L20</f>
        <v/>
      </c>
      <c r="M20" s="4">
        <f>全体!M20-機械!M20</f>
        <v/>
      </c>
      <c r="N20" s="4">
        <f>全体!N20-機械!N20</f>
        <v/>
      </c>
      <c r="O20" s="4">
        <f>全体!O20-機械!O20</f>
        <v/>
      </c>
      <c r="P20" s="4">
        <f>全体!P20-機械!P20</f>
        <v/>
      </c>
      <c r="Q20" s="4">
        <f>全体!Q20-機械!Q20</f>
        <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f>全体!E21-機械!E21</f>
        <v/>
      </c>
      <c r="F21" s="4">
        <f>全体!F21-機械!F21</f>
        <v/>
      </c>
      <c r="G21" s="4">
        <f>全体!G21-機械!G21</f>
        <v/>
      </c>
      <c r="H21" s="4">
        <f>全体!H21-機械!H21</f>
        <v/>
      </c>
      <c r="I21" s="4">
        <f>全体!I21-機械!I21</f>
        <v/>
      </c>
      <c r="J21" s="4">
        <f>全体!J21-機械!J21</f>
        <v/>
      </c>
      <c r="K21" s="66">
        <f>SUM(E21:J21)</f>
        <v/>
      </c>
      <c r="L21" s="3">
        <f>全体!L21-機械!L21</f>
        <v/>
      </c>
      <c r="M21" s="4">
        <f>全体!M21-機械!M21</f>
        <v/>
      </c>
      <c r="N21" s="4">
        <f>全体!N21-機械!N21</f>
        <v/>
      </c>
      <c r="O21" s="4">
        <f>全体!O21-機械!O21</f>
        <v/>
      </c>
      <c r="P21" s="4">
        <f>全体!P21-機械!P21</f>
        <v/>
      </c>
      <c r="Q21" s="4">
        <f>全体!Q21-機械!Q21</f>
        <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f>全体!E22-機械!E22</f>
        <v/>
      </c>
      <c r="F22" s="4">
        <f>全体!F22-機械!F22</f>
        <v/>
      </c>
      <c r="G22" s="4">
        <f>全体!G22-機械!G22</f>
        <v/>
      </c>
      <c r="H22" s="4">
        <f>全体!H22-機械!H22</f>
        <v/>
      </c>
      <c r="I22" s="4">
        <f>全体!I22-機械!I22</f>
        <v/>
      </c>
      <c r="J22" s="4">
        <f>全体!J22-機械!J22</f>
        <v/>
      </c>
      <c r="K22" s="66">
        <f>SUM(E22:J22)</f>
        <v/>
      </c>
      <c r="L22" s="3">
        <f>全体!L22-機械!L22</f>
        <v/>
      </c>
      <c r="M22" s="4">
        <f>全体!M22-機械!M22</f>
        <v/>
      </c>
      <c r="N22" s="4">
        <f>全体!N22-機械!N22</f>
        <v/>
      </c>
      <c r="O22" s="4">
        <f>全体!O22-機械!O22</f>
        <v/>
      </c>
      <c r="P22" s="4">
        <f>全体!P22-機械!P22</f>
        <v/>
      </c>
      <c r="Q22" s="4">
        <f>全体!Q22-機械!Q22</f>
        <v/>
      </c>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f>全体!E24-機械!E24</f>
        <v/>
      </c>
      <c r="F24" s="79">
        <f>全体!F24-機械!F24</f>
        <v/>
      </c>
      <c r="G24" s="79">
        <f>全体!G24-機械!G24</f>
        <v/>
      </c>
      <c r="H24" s="79">
        <f>全体!H24-機械!H24</f>
        <v/>
      </c>
      <c r="I24" s="79">
        <f>全体!I24-機械!I24</f>
        <v/>
      </c>
      <c r="J24" s="79">
        <f>全体!J24-機械!J24</f>
        <v/>
      </c>
      <c r="K24" s="80">
        <f>SUM(E24:J24)</f>
        <v/>
      </c>
      <c r="L24" s="81">
        <f>全体!L24-機械!L24</f>
        <v/>
      </c>
      <c r="M24" s="79">
        <f>全体!M24-機械!M24</f>
        <v/>
      </c>
      <c r="N24" s="79">
        <f>全体!N24-機械!N24</f>
        <v/>
      </c>
      <c r="O24" s="79">
        <f>全体!O24-機械!O24</f>
        <v/>
      </c>
      <c r="P24" s="79">
        <f>全体!P24-機械!P24</f>
        <v/>
      </c>
      <c r="Q24" s="79">
        <f>全体!Q24-機械!Q24</f>
        <v/>
      </c>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c r="AA27" s="118" t="inlineStr">
        <is>
          <t>改善粗利率</t>
        </is>
      </c>
      <c r="AB27" s="119" t="n"/>
      <c r="AC27" s="119" t="n"/>
      <c r="AD27" s="119" t="n"/>
      <c r="AE27" s="119" t="n"/>
      <c r="AF27" s="119" t="n"/>
      <c r="AG27" s="119" t="n"/>
      <c r="AH27" s="119" t="n"/>
      <c r="AI27" s="119" t="n"/>
      <c r="AJ27" s="119" t="n"/>
      <c r="AK27" s="119" t="n"/>
      <c r="AL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c r="AA28" s="1" t="n">
        <v>45108</v>
      </c>
      <c r="AB28" s="1" t="n">
        <v>45139</v>
      </c>
      <c r="AC28" s="1" t="n">
        <v>45170</v>
      </c>
      <c r="AD28" s="7" t="inlineStr">
        <is>
          <t>合計：①</t>
        </is>
      </c>
      <c r="AE28" s="2" t="n">
        <v>45200</v>
      </c>
      <c r="AF28" s="2" t="n">
        <v>45231</v>
      </c>
      <c r="AG28" s="2" t="n">
        <v>45261</v>
      </c>
      <c r="AH28" s="2" t="n">
        <v>45292</v>
      </c>
      <c r="AI28" s="2" t="n">
        <v>45323</v>
      </c>
      <c r="AJ28" s="2" t="n">
        <v>45352</v>
      </c>
      <c r="AK28" s="8" t="inlineStr">
        <is>
          <t>合計：②</t>
        </is>
      </c>
      <c r="AL28" s="10" t="inlineStr">
        <is>
          <t>①+②</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c r="AA29" s="139">
        <f>#REF!+1%</f>
        <v/>
      </c>
      <c r="AB29" s="139">
        <f>#REF!+1%</f>
        <v/>
      </c>
      <c r="AC29" s="139">
        <f>#REF!+1%</f>
        <v/>
      </c>
      <c r="AD29" s="149">
        <f>IF(L29=0,"***",S29/L29)</f>
        <v/>
      </c>
      <c r="AE29" s="139">
        <f>S29+1%</f>
        <v/>
      </c>
      <c r="AF29" s="139">
        <f>T29+1%</f>
        <v/>
      </c>
      <c r="AG29" s="139">
        <f>U29+1%</f>
        <v/>
      </c>
      <c r="AH29" s="139">
        <f>V29+1%</f>
        <v/>
      </c>
      <c r="AI29" s="139">
        <f>W29+1%</f>
        <v/>
      </c>
      <c r="AJ29" s="139">
        <f>X29+1%</f>
        <v/>
      </c>
      <c r="AK29" s="149">
        <f>IF(#REF!=0,"***",#REF!/#REF!)</f>
        <v/>
      </c>
      <c r="AL29" s="140">
        <f>IF(#REF!=0,"***",Z29/#REF!)</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c r="AA30" s="139">
        <f>#REF!+1%</f>
        <v/>
      </c>
      <c r="AB30" s="139">
        <f>#REF!+1%</f>
        <v/>
      </c>
      <c r="AC30" s="139">
        <f>#REF!+1%</f>
        <v/>
      </c>
      <c r="AD30" s="149">
        <f>IF(L30=0,"***",S30/L30)</f>
        <v/>
      </c>
      <c r="AE30" s="139">
        <f>S30+1%</f>
        <v/>
      </c>
      <c r="AF30" s="139">
        <f>T30+1%</f>
        <v/>
      </c>
      <c r="AG30" s="139">
        <f>U30+1%</f>
        <v/>
      </c>
      <c r="AH30" s="139">
        <f>V30+1%</f>
        <v/>
      </c>
      <c r="AI30" s="139">
        <f>W30+1%</f>
        <v/>
      </c>
      <c r="AJ30" s="139">
        <f>X30+1%</f>
        <v/>
      </c>
      <c r="AK30" s="149">
        <f>IF(#REF!=0,"***",#REF!/#REF!)</f>
        <v/>
      </c>
      <c r="AL30" s="140">
        <f>IF(#REF!=0,"***",Z30/#REF!)</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c r="AA31" s="139">
        <f>#REF!+1%</f>
        <v/>
      </c>
      <c r="AB31" s="139">
        <f>#REF!+1%</f>
        <v/>
      </c>
      <c r="AC31" s="139">
        <f>#REF!+1%</f>
        <v/>
      </c>
      <c r="AD31" s="149">
        <f>IF(L31=0,"***",S31/L31)</f>
        <v/>
      </c>
      <c r="AE31" s="139">
        <f>S31+1%</f>
        <v/>
      </c>
      <c r="AF31" s="139">
        <f>T31+1%</f>
        <v/>
      </c>
      <c r="AG31" s="139">
        <f>U31+1%</f>
        <v/>
      </c>
      <c r="AH31" s="139">
        <f>V31+1%</f>
        <v/>
      </c>
      <c r="AI31" s="139">
        <f>W31+1%</f>
        <v/>
      </c>
      <c r="AJ31" s="139">
        <f>X31+1%</f>
        <v/>
      </c>
      <c r="AK31" s="149">
        <f>IF(#REF!=0,"***",#REF!/#REF!)</f>
        <v/>
      </c>
      <c r="AL31" s="140">
        <f>IF(#REF!=0,"***",Z31/#REF!)</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c r="AA32" s="139">
        <f>#REF!+1%</f>
        <v/>
      </c>
      <c r="AB32" s="139">
        <f>#REF!+1%</f>
        <v/>
      </c>
      <c r="AC32" s="139">
        <f>#REF!+1%</f>
        <v/>
      </c>
      <c r="AD32" s="149">
        <f>IF(L32=0,"***",S32/L32)</f>
        <v/>
      </c>
      <c r="AE32" s="139">
        <f>S32+1%</f>
        <v/>
      </c>
      <c r="AF32" s="139">
        <f>T32+1%</f>
        <v/>
      </c>
      <c r="AG32" s="139">
        <f>U32+1%</f>
        <v/>
      </c>
      <c r="AH32" s="139">
        <f>V32+1%</f>
        <v/>
      </c>
      <c r="AI32" s="139">
        <f>W32+1%</f>
        <v/>
      </c>
      <c r="AJ32" s="139">
        <f>X32+1%</f>
        <v/>
      </c>
      <c r="AK32" s="149">
        <f>IF(#REF!=0,"***",#REF!/#REF!)</f>
        <v/>
      </c>
      <c r="AL32" s="140">
        <f>IF(#REF!=0,"***",Z32/#REF!)</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c r="AA33" s="139">
        <f>#REF!+1%</f>
        <v/>
      </c>
      <c r="AB33" s="139">
        <f>#REF!+1%</f>
        <v/>
      </c>
      <c r="AC33" s="139">
        <f>#REF!+1%</f>
        <v/>
      </c>
      <c r="AD33" s="149">
        <f>IF(L33=0,"***",S33/L33)</f>
        <v/>
      </c>
      <c r="AE33" s="139">
        <f>S33+1%</f>
        <v/>
      </c>
      <c r="AF33" s="139">
        <f>T33+1%</f>
        <v/>
      </c>
      <c r="AG33" s="139">
        <f>U33+1%</f>
        <v/>
      </c>
      <c r="AH33" s="139">
        <f>V33+1%</f>
        <v/>
      </c>
      <c r="AI33" s="139">
        <f>W33+1%</f>
        <v/>
      </c>
      <c r="AJ33" s="139">
        <f>X33+1%</f>
        <v/>
      </c>
      <c r="AK33" s="149">
        <f>IF(#REF!=0,"***",#REF!/#REF!)</f>
        <v/>
      </c>
      <c r="AL33" s="140">
        <f>IF(#REF!=0,"***",Z33/#REF!)</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c r="AA34" s="139">
        <f>#REF!+1%</f>
        <v/>
      </c>
      <c r="AB34" s="139">
        <f>#REF!+1%</f>
        <v/>
      </c>
      <c r="AC34" s="139">
        <f>#REF!+1%</f>
        <v/>
      </c>
      <c r="AD34" s="149">
        <f>IF(L34=0,"***",S34/L34)</f>
        <v/>
      </c>
      <c r="AE34" s="139">
        <f>S34+1%</f>
        <v/>
      </c>
      <c r="AF34" s="139">
        <f>T34+1%</f>
        <v/>
      </c>
      <c r="AG34" s="139">
        <f>U34+1%</f>
        <v/>
      </c>
      <c r="AH34" s="139">
        <f>V34+1%</f>
        <v/>
      </c>
      <c r="AI34" s="139">
        <f>W34+1%</f>
        <v/>
      </c>
      <c r="AJ34" s="139">
        <f>X34+1%</f>
        <v/>
      </c>
      <c r="AK34" s="149">
        <f>IF(#REF!=0,"***",#REF!/#REF!)</f>
        <v/>
      </c>
      <c r="AL34" s="140">
        <f>IF(#REF!=0,"***",Z34/#REF!)</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c r="AA35" s="142">
        <f>IF(#REF!=0,"***",#REF!/#REF!)</f>
        <v/>
      </c>
      <c r="AB35" s="142">
        <f>IF(#REF!=0,"***",#REF!/#REF!)</f>
        <v/>
      </c>
      <c r="AC35" s="142">
        <f>IF(#REF!=0,"***",#REF!/#REF!)</f>
        <v/>
      </c>
      <c r="AD35" s="150">
        <f>IF(L35=0,"***",S35/L35)</f>
        <v/>
      </c>
      <c r="AE35" s="142">
        <f>IF(M35=0,"***",T35/M35)</f>
        <v/>
      </c>
      <c r="AF35" s="142">
        <f>IF(N35=0,"***",U35/N35)</f>
        <v/>
      </c>
      <c r="AG35" s="142">
        <f>IF(O35=0,"***",V35/O35)</f>
        <v/>
      </c>
      <c r="AH35" s="142">
        <f>IF(P35=0,"***",W35/P35)</f>
        <v/>
      </c>
      <c r="AI35" s="142">
        <f>IF(Q35=0,"***",X35/Q35)</f>
        <v/>
      </c>
      <c r="AJ35" s="142">
        <f>IF(R35=0,"***",Y35/R35)</f>
        <v/>
      </c>
      <c r="AK35" s="150">
        <f>IF(#REF!=0,"***",#REF!/#REF!)</f>
        <v/>
      </c>
      <c r="AL35" s="143">
        <f>IF(#REF!=0,"***",Z35/#REF!)</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3">
        <f>ROUNDUP(E29,-1)+ROUNDUP(E24,-1)+1000</f>
        <v/>
      </c>
      <c r="F41" s="53">
        <f>ROUNDUP(F29,-1)+ROUNDUP(F24,-1)+1000</f>
        <v/>
      </c>
      <c r="G41" s="53">
        <f>ROUNDUP(G29,-1)+ROUNDUP(G24,-1)+1000</f>
        <v/>
      </c>
      <c r="H41" s="53">
        <f>ROUNDUP(H29,-1)+ROUNDUP(H24,-1)+1000</f>
        <v/>
      </c>
      <c r="I41" s="53">
        <f>ROUNDUP(I29,-1)+ROUNDUP(I24,-1)+1000</f>
        <v/>
      </c>
      <c r="J41" s="53">
        <f>ROUNDUP(J29,-1)+ROUNDUP(J24,-1)+1000</f>
        <v/>
      </c>
      <c r="K41" s="66">
        <f>SUM(E41:J41)</f>
        <v/>
      </c>
      <c r="L41" s="53">
        <f>ROUNDUP(L29,-1)+ROUNDUP(L24,-1)+ROUNDUP(1000*Y29,-1)</f>
        <v/>
      </c>
      <c r="M41" s="53">
        <f>ROUNDUP(M29,-1)+ROUNDUP(M24,-1)+ROUNDUP(1000*Y29,-1)</f>
        <v/>
      </c>
      <c r="N41" s="53">
        <f>ROUNDUP(N29,-1)+ROUNDUP(N24,-1)+ROUNDUP(1000*Y29,-1)</f>
        <v/>
      </c>
      <c r="O41" s="53">
        <f>ROUNDUP(O29,-1)+ROUNDUP(O24,-1)+ROUNDUP(1000*Y29,-1)</f>
        <v/>
      </c>
      <c r="P41" s="53">
        <f>ROUNDUP(P29,-1)+ROUNDUP(P24,-1)+ROUNDUP(1000*Y29,-1)</f>
        <v/>
      </c>
      <c r="Q41" s="53">
        <f>ROUNDUP(Q29,-1)+ROUNDUP(Q24,-1)+ROUNDUP(1000*Y29,-1)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3">
        <f>ROUNDUP(E30,-1)+500</f>
        <v/>
      </c>
      <c r="F42" s="53">
        <f>ROUNDUP(F30,-1)+500</f>
        <v/>
      </c>
      <c r="G42" s="53">
        <f>ROUNDUP(G30,-1)+500</f>
        <v/>
      </c>
      <c r="H42" s="53">
        <f>ROUNDUP(H30,-1)+500</f>
        <v/>
      </c>
      <c r="I42" s="53">
        <f>ROUNDUP(I30,-1)+500</f>
        <v/>
      </c>
      <c r="J42" s="53">
        <f>ROUNDUP(J30,-1)+500</f>
        <v/>
      </c>
      <c r="K42" s="66">
        <f>SUM(E42:J42)</f>
        <v/>
      </c>
      <c r="L42" s="53">
        <f>ROUNDUP(L30,-1)+ROUNDUP(500*Y30,-1)</f>
        <v/>
      </c>
      <c r="M42" s="53">
        <f>ROUNDUP(M30,-1)+ROUNDUP(500*Y30,-1)</f>
        <v/>
      </c>
      <c r="N42" s="53">
        <f>ROUNDUP(N30,-1)+ROUNDUP(500*Y30,-1)</f>
        <v/>
      </c>
      <c r="O42" s="53">
        <f>ROUNDUP(O30,-1)+ROUNDUP(500*Y30,-1)</f>
        <v/>
      </c>
      <c r="P42" s="53">
        <f>ROUNDUP(P30,-1)+ROUNDUP(500*Y30,-1)</f>
        <v/>
      </c>
      <c r="Q42" s="53">
        <f>ROUNDUP(Q30,-1)+ROUNDUP(500*Y30,-1)</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3">
        <f>ROUNDUP(E31,-1)+500</f>
        <v/>
      </c>
      <c r="F43" s="53">
        <f>ROUNDUP(F31,-1)+500</f>
        <v/>
      </c>
      <c r="G43" s="53">
        <f>ROUNDUP(G31,-1)+500</f>
        <v/>
      </c>
      <c r="H43" s="53">
        <f>ROUNDUP(H31,-1)+500</f>
        <v/>
      </c>
      <c r="I43" s="53">
        <f>ROUNDUP(I31,-1)+500</f>
        <v/>
      </c>
      <c r="J43" s="53">
        <f>ROUNDUP(J31,-1)+500</f>
        <v/>
      </c>
      <c r="K43" s="66">
        <f>SUM(E43:J43)</f>
        <v/>
      </c>
      <c r="L43" s="53">
        <f>ROUNDUP(L31,-1)+ROUNDUP(500*Y31,-1)</f>
        <v/>
      </c>
      <c r="M43" s="53">
        <f>ROUNDUP(M31,-1)+ROUNDUP(500*Y31,-1)</f>
        <v/>
      </c>
      <c r="N43" s="53">
        <f>ROUNDUP(N31,-1)+ROUNDUP(500*Y31,-1)</f>
        <v/>
      </c>
      <c r="O43" s="53">
        <f>ROUNDUP(O31,-1)+ROUNDUP(500*Y31,-1)</f>
        <v/>
      </c>
      <c r="P43" s="53">
        <f>ROUNDUP(P31,-1)+ROUNDUP(500*Y31,-1)</f>
        <v/>
      </c>
      <c r="Q43" s="53">
        <f>ROUNDUP(Q31,-1)+ROUNDUP(500*Y31,-1)</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3">
        <f>ROUNDUP(E32,-1)+1000</f>
        <v/>
      </c>
      <c r="F44" s="53">
        <f>ROUNDUP(F32,-1)+1000</f>
        <v/>
      </c>
      <c r="G44" s="53">
        <f>ROUNDUP(G32,-1)+1000</f>
        <v/>
      </c>
      <c r="H44" s="53">
        <f>ROUNDUP(H32,-1)+1000</f>
        <v/>
      </c>
      <c r="I44" s="53">
        <f>ROUNDUP(I32,-1)+1000</f>
        <v/>
      </c>
      <c r="J44" s="53">
        <f>ROUNDUP(J32,-1)+1000</f>
        <v/>
      </c>
      <c r="K44" s="66">
        <f>SUM(E44:J44)</f>
        <v/>
      </c>
      <c r="L44" s="53">
        <f>ROUNDUP(L32,-1)+ROUNDUP(1000*Y32,-1)</f>
        <v/>
      </c>
      <c r="M44" s="53">
        <f>ROUNDUP(M32,-1)+ROUNDUP(1000*Y32,-1)</f>
        <v/>
      </c>
      <c r="N44" s="53">
        <f>ROUNDUP(N32,-1)+ROUNDUP(1000*Y32,-1)</f>
        <v/>
      </c>
      <c r="O44" s="53">
        <f>ROUNDUP(O32,-1)+ROUNDUP(1000*Y32,-1)</f>
        <v/>
      </c>
      <c r="P44" s="53">
        <f>ROUNDUP(P32,-1)+ROUNDUP(1000*Y32,-1)</f>
        <v/>
      </c>
      <c r="Q44" s="53">
        <f>ROUNDUP(Q32,-1)+ROUNDUP(1000*Y32,-1)</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3">
        <f>ROUNDUP(E33*1.05,-1)</f>
        <v/>
      </c>
      <c r="F45" s="53">
        <f>ROUNDUP(F33*1.05,-1)</f>
        <v/>
      </c>
      <c r="G45" s="53">
        <f>ROUNDUP(G33*1.05,-1)</f>
        <v/>
      </c>
      <c r="H45" s="53">
        <f>ROUNDUP(H33*1.05,-1)</f>
        <v/>
      </c>
      <c r="I45" s="53">
        <f>ROUNDUP(I33*1.05,-1)</f>
        <v/>
      </c>
      <c r="J45" s="53">
        <f>ROUNDUP(J33*1.05,-1)</f>
        <v/>
      </c>
      <c r="K45" s="66">
        <f>SUM(E45:J45)</f>
        <v/>
      </c>
      <c r="L45" s="53">
        <f>ROUNDUP(L33*1.05,-1)</f>
        <v/>
      </c>
      <c r="M45" s="53">
        <f>ROUNDUP(M33*1.05,-1)</f>
        <v/>
      </c>
      <c r="N45" s="53">
        <f>ROUNDUP(N33*1.05,-1)</f>
        <v/>
      </c>
      <c r="O45" s="53">
        <f>ROUNDUP(O33*1.05,-1)</f>
        <v/>
      </c>
      <c r="P45" s="53">
        <f>ROUNDUP(P33*1.05,-1)</f>
        <v/>
      </c>
      <c r="Q45" s="53">
        <f>ROUNDUP(Q33*1.05,-1)</f>
        <v/>
      </c>
      <c r="R45" s="66">
        <f>SUM(L45:Q45)</f>
        <v/>
      </c>
      <c r="S45" s="151">
        <f>IF(E45=0,"***",L45/E45)</f>
        <v/>
      </c>
      <c r="T45" s="139">
        <f>IF(F45=0,"***",M45/F45)</f>
        <v/>
      </c>
      <c r="U45" s="139">
        <f>IF(G45=0,"***",N45/G45)</f>
        <v/>
      </c>
      <c r="V45" s="139">
        <f>IF(H45=0,"***",O45/H45)</f>
        <v/>
      </c>
      <c r="W45" s="139">
        <f>IF(I45=0,"***",P45/I45)</f>
        <v/>
      </c>
      <c r="X45" s="139">
        <f>IF(J45=0,"***",Q45/J45)</f>
        <v/>
      </c>
      <c r="Y45" s="140">
        <f>IF(K45=0,"***",R45/K45)</f>
        <v/>
      </c>
      <c r="AA45" s="111" t="n"/>
      <c r="AB45" s="111" t="n"/>
      <c r="AC45" s="112" t="n"/>
    </row>
    <row r="46">
      <c r="C46" s="103" t="inlineStr">
        <is>
          <t>0020 集計</t>
        </is>
      </c>
      <c r="D46" s="89" t="inlineStr">
        <is>
          <t>自治体</t>
        </is>
      </c>
      <c r="E46" s="53" t="n">
        <v>1340</v>
      </c>
      <c r="F46" s="53" t="n">
        <v>1340</v>
      </c>
      <c r="G46" s="53" t="n">
        <v>1340</v>
      </c>
      <c r="H46" s="53" t="n">
        <v>1340</v>
      </c>
      <c r="I46" s="53" t="n">
        <v>1340</v>
      </c>
      <c r="J46" s="53" t="n">
        <v>1340</v>
      </c>
      <c r="K46" s="66">
        <f>SUM(E46:J46)</f>
        <v/>
      </c>
      <c r="L46" s="53" t="n">
        <v>210</v>
      </c>
      <c r="M46" s="53" t="n">
        <v>210</v>
      </c>
      <c r="N46" s="53" t="n">
        <v>210</v>
      </c>
      <c r="O46" s="53" t="n">
        <v>210</v>
      </c>
      <c r="P46" s="53" t="n">
        <v>210</v>
      </c>
      <c r="Q46" s="53" t="n">
        <v>210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8">
        <f>SUM(E47:J47)</f>
        <v/>
      </c>
      <c r="L47" s="9">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ROUNDUP(E24*1.05,-2)</f>
        <v/>
      </c>
      <c r="F48" s="79">
        <f>ROUNDUP(F24*1.05,-2)</f>
        <v/>
      </c>
      <c r="G48" s="79">
        <f>ROUNDUP(G24*1.05,-2)</f>
        <v/>
      </c>
      <c r="H48" s="79" t="n"/>
      <c r="I48" s="79" t="n"/>
      <c r="J48" s="79" t="n"/>
      <c r="K48" s="110">
        <f>SUM(E48:J48)</f>
        <v/>
      </c>
      <c r="L48" s="109">
        <f>ROUNDUP(L24*1.05,-2)</f>
        <v/>
      </c>
      <c r="M48" s="79">
        <f>ROUNDUP(M24*1.05,-2)</f>
        <v/>
      </c>
      <c r="N48" s="79">
        <f>ROUNDUP(N24*1.05,-2)</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55" t="n"/>
      <c r="F49" s="55" t="n"/>
      <c r="G49" s="55" t="n"/>
      <c r="H49" s="55" t="n"/>
      <c r="I49" s="55" t="n"/>
      <c r="J49" s="55" t="n"/>
      <c r="K49" s="56" t="n"/>
      <c r="L49" s="55" t="n"/>
      <c r="M49" s="55" t="n"/>
      <c r="N49" s="55" t="n"/>
      <c r="O49" s="55" t="n"/>
      <c r="P49" s="55" t="n"/>
      <c r="Q49" s="17" t="n"/>
      <c r="R49" s="56" t="n"/>
      <c r="S49" s="55"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70">
        <f>全体!E77-機械!E77</f>
        <v/>
      </c>
      <c r="F77" s="70">
        <f>全体!F77-機械!F77</f>
        <v/>
      </c>
      <c r="G77" s="70">
        <f>全体!G77-機械!G77</f>
        <v/>
      </c>
      <c r="H77" s="70">
        <f>全体!H77-機械!H77</f>
        <v/>
      </c>
      <c r="I77" s="70">
        <f>全体!I77-機械!I77</f>
        <v/>
      </c>
      <c r="J77" s="86" t="n"/>
      <c r="K77" s="71">
        <f>SUM(E77:J77)</f>
        <v/>
      </c>
      <c r="L77" s="70">
        <f>全体!L77-機械!L77</f>
        <v/>
      </c>
      <c r="M77" s="72">
        <f>全体!M77-機械!M77</f>
        <v/>
      </c>
      <c r="N77" s="72">
        <f>全体!N77-機械!N77</f>
        <v/>
      </c>
      <c r="O77" s="72">
        <f>全体!O77-機械!O77</f>
        <v/>
      </c>
      <c r="P77" s="72">
        <f>全体!P77-機械!P77</f>
        <v/>
      </c>
      <c r="Q77" s="72"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70">
        <f>全体!E78-機械!E78</f>
        <v/>
      </c>
      <c r="F78" s="70">
        <f>全体!F78-機械!F78</f>
        <v/>
      </c>
      <c r="G78" s="70">
        <f>全体!G78-機械!G78</f>
        <v/>
      </c>
      <c r="H78" s="70">
        <f>全体!H78-機械!H78</f>
        <v/>
      </c>
      <c r="I78" s="70">
        <f>全体!I78-機械!I78</f>
        <v/>
      </c>
      <c r="J78" s="70" t="n"/>
      <c r="K78" s="71">
        <f>SUM(E78:J78)</f>
        <v/>
      </c>
      <c r="L78" s="70">
        <f>全体!L78-機械!L78</f>
        <v/>
      </c>
      <c r="M78" s="72">
        <f>全体!M78-機械!M78</f>
        <v/>
      </c>
      <c r="N78" s="72">
        <f>全体!N78-機械!N78</f>
        <v/>
      </c>
      <c r="O78" s="72">
        <f>全体!O78-機械!O78</f>
        <v/>
      </c>
      <c r="P78" s="72">
        <f>全体!P78-機械!P78</f>
        <v/>
      </c>
      <c r="Q78" s="72"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70">
        <f>全体!E79-機械!E79</f>
        <v/>
      </c>
      <c r="F79" s="70">
        <f>全体!F79-機械!F79</f>
        <v/>
      </c>
      <c r="G79" s="70">
        <f>全体!G79-機械!G79</f>
        <v/>
      </c>
      <c r="H79" s="70">
        <f>全体!H79-機械!H79</f>
        <v/>
      </c>
      <c r="I79" s="70">
        <f>全体!I79-機械!I79</f>
        <v/>
      </c>
      <c r="J79" s="70" t="n"/>
      <c r="K79" s="71">
        <f>SUM(E79:J79)</f>
        <v/>
      </c>
      <c r="L79" s="70">
        <f>全体!L79-機械!L79</f>
        <v/>
      </c>
      <c r="M79" s="72">
        <f>全体!M79-機械!M79</f>
        <v/>
      </c>
      <c r="N79" s="72">
        <f>全体!N79-機械!N79</f>
        <v/>
      </c>
      <c r="O79" s="72">
        <f>全体!O79-機械!O79</f>
        <v/>
      </c>
      <c r="P79" s="72">
        <f>全体!P79-機械!P79</f>
        <v/>
      </c>
      <c r="Q79" s="72"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70">
        <f>全体!E80-機械!E80</f>
        <v/>
      </c>
      <c r="F80" s="70">
        <f>全体!F80-機械!F80</f>
        <v/>
      </c>
      <c r="G80" s="70">
        <f>全体!G80-機械!G80</f>
        <v/>
      </c>
      <c r="H80" s="70">
        <f>全体!H80-機械!H80</f>
        <v/>
      </c>
      <c r="I80" s="70">
        <f>全体!I80-機械!I80</f>
        <v/>
      </c>
      <c r="J80" s="70" t="n"/>
      <c r="K80" s="71">
        <f>SUM(E80:J80)</f>
        <v/>
      </c>
      <c r="L80" s="70">
        <f>全体!L80-機械!L80</f>
        <v/>
      </c>
      <c r="M80" s="72">
        <f>全体!M80-機械!M80</f>
        <v/>
      </c>
      <c r="N80" s="72">
        <f>全体!N80-機械!N80</f>
        <v/>
      </c>
      <c r="O80" s="72">
        <f>全体!O80-機械!O80</f>
        <v/>
      </c>
      <c r="P80" s="72">
        <f>全体!P80-機械!P80</f>
        <v/>
      </c>
      <c r="Q80" s="72"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70">
        <f>全体!E81-機械!E81</f>
        <v/>
      </c>
      <c r="F81" s="70">
        <f>全体!F81-機械!F81</f>
        <v/>
      </c>
      <c r="G81" s="70">
        <f>全体!G81-機械!G81</f>
        <v/>
      </c>
      <c r="H81" s="70">
        <f>全体!H81-機械!H81</f>
        <v/>
      </c>
      <c r="I81" s="70">
        <f>全体!I81-機械!I81</f>
        <v/>
      </c>
      <c r="J81" s="70" t="n"/>
      <c r="K81" s="71">
        <f>SUM(E81:J81)</f>
        <v/>
      </c>
      <c r="L81" s="70">
        <f>全体!L81-機械!L81</f>
        <v/>
      </c>
      <c r="M81" s="72">
        <f>全体!M81-機械!M81</f>
        <v/>
      </c>
      <c r="N81" s="72">
        <f>全体!N81-機械!N81</f>
        <v/>
      </c>
      <c r="O81" s="72">
        <f>全体!O81-機械!O81</f>
        <v/>
      </c>
      <c r="P81" s="72">
        <f>全体!P81-機械!P81</f>
        <v/>
      </c>
      <c r="Q81" s="72"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70">
        <f>全体!E82-機械!E82</f>
        <v/>
      </c>
      <c r="F82" s="72">
        <f>全体!F82-機械!F82</f>
        <v/>
      </c>
      <c r="G82" s="72">
        <f>全体!G82-機械!G82</f>
        <v/>
      </c>
      <c r="H82" s="72">
        <f>全体!H82-機械!H82</f>
        <v/>
      </c>
      <c r="I82" s="72">
        <f>全体!I82-機械!I82</f>
        <v/>
      </c>
      <c r="J82" s="72" t="n"/>
      <c r="K82" s="71">
        <f>SUM(E82:J82)</f>
        <v/>
      </c>
      <c r="L82" s="70">
        <f>全体!L82-機械!L82</f>
        <v/>
      </c>
      <c r="M82" s="72">
        <f>全体!M82-機械!M82</f>
        <v/>
      </c>
      <c r="N82" s="72">
        <f>全体!N82-機械!N82</f>
        <v/>
      </c>
      <c r="O82" s="72">
        <f>全体!O82-機械!O82</f>
        <v/>
      </c>
      <c r="P82" s="72">
        <f>全体!P82-機械!P82</f>
        <v/>
      </c>
      <c r="Q82" s="72"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f>全体!E84-機械!E84</f>
        <v/>
      </c>
      <c r="F84" s="79">
        <f>全体!F84-機械!F84</f>
        <v/>
      </c>
      <c r="G84" s="114">
        <f>全体!G84-機械!G84</f>
        <v/>
      </c>
      <c r="H84" s="79" t="n"/>
      <c r="I84" s="79" t="n"/>
      <c r="J84" s="79" t="n"/>
      <c r="K84" s="80">
        <f>SUM(E84:J84)</f>
        <v/>
      </c>
      <c r="L84" s="79">
        <f>全体!L84-機械!L84</f>
        <v/>
      </c>
      <c r="M84" s="79">
        <f>全体!M84-機械!M84</f>
        <v/>
      </c>
      <c r="N84" s="114">
        <f>全体!N84-機械!N84</f>
        <v/>
      </c>
      <c r="O84" s="79" t="n"/>
      <c r="P84" s="79" t="n"/>
      <c r="Q84" s="79" t="n"/>
      <c r="R84" s="80">
        <f>SUM(L84:Q84)</f>
        <v/>
      </c>
      <c r="S84" s="144" t="n"/>
      <c r="T84" s="145" t="n"/>
      <c r="U84" s="145" t="n"/>
      <c r="V84" s="145">
        <f>IF(H84=0,"***",O84/H84)</f>
        <v/>
      </c>
      <c r="W84" s="145">
        <f>IF(I84=0,"***",P84/I84)</f>
        <v/>
      </c>
      <c r="X84" s="145">
        <f>IF(J84=0,"***",Q84/J84)</f>
        <v/>
      </c>
      <c r="Y84" s="156">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3">
        <f>E77-E17</f>
        <v/>
      </c>
      <c r="F101" s="53">
        <f>F77-F17</f>
        <v/>
      </c>
      <c r="G101" s="53">
        <f>G77-G17</f>
        <v/>
      </c>
      <c r="H101" s="53">
        <f>H77-H17</f>
        <v/>
      </c>
      <c r="I101" s="53">
        <f>I77-I17</f>
        <v/>
      </c>
      <c r="J101" s="53" t="n"/>
      <c r="K101" s="62">
        <f>SUM(E101:J101)</f>
        <v/>
      </c>
      <c r="L101" s="69">
        <f>L77-L17</f>
        <v/>
      </c>
      <c r="M101" s="54">
        <f>M77-M17</f>
        <v/>
      </c>
      <c r="N101" s="53">
        <f>N77-N17</f>
        <v/>
      </c>
      <c r="O101" s="53">
        <f>O77-O17</f>
        <v/>
      </c>
      <c r="P101" s="53">
        <f>P77-P17</f>
        <v/>
      </c>
      <c r="Q101" s="54" t="n"/>
      <c r="R101" s="66">
        <f>SUM(L101:Q101)</f>
        <v/>
      </c>
      <c r="S101" s="151">
        <f>S77-S17</f>
        <v/>
      </c>
      <c r="T101" s="138">
        <f>T77-T17</f>
        <v/>
      </c>
      <c r="U101" s="139">
        <f>U77-U17</f>
        <v/>
      </c>
      <c r="V101" s="139">
        <f>V77-V17</f>
        <v/>
      </c>
      <c r="W101" s="139">
        <f>W77-W17</f>
        <v/>
      </c>
      <c r="X101" s="139" t="n"/>
      <c r="Y101" s="140">
        <f>Y77-Y17</f>
        <v/>
      </c>
    </row>
    <row r="102">
      <c r="C102" s="103" t="inlineStr">
        <is>
          <t>0012 集計</t>
        </is>
      </c>
      <c r="D102" s="89" t="inlineStr">
        <is>
          <t>川上</t>
        </is>
      </c>
      <c r="E102" s="53">
        <f>E78-E18</f>
        <v/>
      </c>
      <c r="F102" s="53">
        <f>F78-F18</f>
        <v/>
      </c>
      <c r="G102" s="53">
        <f>G78-G18</f>
        <v/>
      </c>
      <c r="H102" s="53">
        <f>H78-H18</f>
        <v/>
      </c>
      <c r="I102" s="53">
        <f>I78-I18</f>
        <v/>
      </c>
      <c r="J102" s="53" t="n"/>
      <c r="K102" s="62">
        <f>SUM(E102:J102)</f>
        <v/>
      </c>
      <c r="L102" s="69">
        <f>L78-L18</f>
        <v/>
      </c>
      <c r="M102" s="54">
        <f>M78-M18</f>
        <v/>
      </c>
      <c r="N102" s="53">
        <f>N78-N18</f>
        <v/>
      </c>
      <c r="O102" s="53">
        <f>O78-O18</f>
        <v/>
      </c>
      <c r="P102" s="53">
        <f>P78-P18</f>
        <v/>
      </c>
      <c r="Q102" s="54" t="n"/>
      <c r="R102" s="66">
        <f>SUM(L102:Q102)</f>
        <v/>
      </c>
      <c r="S102" s="151">
        <f>S78-S18</f>
        <v/>
      </c>
      <c r="T102" s="138">
        <f>T78-T18</f>
        <v/>
      </c>
      <c r="U102" s="139">
        <f>U78-U18</f>
        <v/>
      </c>
      <c r="V102" s="139">
        <f>V78-V18</f>
        <v/>
      </c>
      <c r="W102" s="139">
        <f>W78-W18</f>
        <v/>
      </c>
      <c r="X102" s="139" t="n"/>
      <c r="Y102" s="140">
        <f>Y78-Y18</f>
        <v/>
      </c>
    </row>
    <row r="103">
      <c r="C103" s="103" t="inlineStr">
        <is>
          <t>0013 集計</t>
        </is>
      </c>
      <c r="D103" s="89" t="inlineStr">
        <is>
          <t>三浦</t>
        </is>
      </c>
      <c r="E103" s="53">
        <f>E79-E19</f>
        <v/>
      </c>
      <c r="F103" s="53">
        <f>F79-F19</f>
        <v/>
      </c>
      <c r="G103" s="53">
        <f>G79-G19</f>
        <v/>
      </c>
      <c r="H103" s="53">
        <f>H79-H19</f>
        <v/>
      </c>
      <c r="I103" s="53">
        <f>I79-I19</f>
        <v/>
      </c>
      <c r="J103" s="53" t="n"/>
      <c r="K103" s="62">
        <f>SUM(E103:J103)</f>
        <v/>
      </c>
      <c r="L103" s="69">
        <f>L79-L19</f>
        <v/>
      </c>
      <c r="M103" s="54">
        <f>M79-M19</f>
        <v/>
      </c>
      <c r="N103" s="53">
        <f>N79-N19</f>
        <v/>
      </c>
      <c r="O103" s="53">
        <f>O79-O19</f>
        <v/>
      </c>
      <c r="P103" s="53">
        <f>P79-P19</f>
        <v/>
      </c>
      <c r="Q103" s="54" t="n"/>
      <c r="R103" s="66">
        <f>SUM(L103:Q103)</f>
        <v/>
      </c>
      <c r="S103" s="151">
        <f>S79-S19</f>
        <v/>
      </c>
      <c r="T103" s="138">
        <f>T79-T19</f>
        <v/>
      </c>
      <c r="U103" s="139">
        <f>U79-U19</f>
        <v/>
      </c>
      <c r="V103" s="139">
        <f>V79-V19</f>
        <v/>
      </c>
      <c r="W103" s="139">
        <f>W79-W19</f>
        <v/>
      </c>
      <c r="X103" s="139" t="n"/>
      <c r="Y103" s="140">
        <f>Y79-Y19</f>
        <v/>
      </c>
    </row>
    <row r="104">
      <c r="C104" s="103" t="inlineStr">
        <is>
          <t>0014 集計</t>
        </is>
      </c>
      <c r="D104" s="89" t="inlineStr">
        <is>
          <t>木村課長</t>
        </is>
      </c>
      <c r="E104" s="53">
        <f>E80-E20</f>
        <v/>
      </c>
      <c r="F104" s="53">
        <f>F80-F20</f>
        <v/>
      </c>
      <c r="G104" s="53">
        <f>G80-G20</f>
        <v/>
      </c>
      <c r="H104" s="53">
        <f>H80-H20</f>
        <v/>
      </c>
      <c r="I104" s="53">
        <f>I80-I20</f>
        <v/>
      </c>
      <c r="J104" s="53" t="n"/>
      <c r="K104" s="62">
        <f>SUM(E104:J104)</f>
        <v/>
      </c>
      <c r="L104" s="69">
        <f>L80-L20</f>
        <v/>
      </c>
      <c r="M104" s="54">
        <f>M80-M20</f>
        <v/>
      </c>
      <c r="N104" s="53">
        <f>N80-N20</f>
        <v/>
      </c>
      <c r="O104" s="53">
        <f>O80-O20</f>
        <v/>
      </c>
      <c r="P104" s="53">
        <f>P80-P20</f>
        <v/>
      </c>
      <c r="Q104" s="54" t="n"/>
      <c r="R104" s="66">
        <f>SUM(L104:Q104)</f>
        <v/>
      </c>
      <c r="S104" s="151">
        <f>S80-S20</f>
        <v/>
      </c>
      <c r="T104" s="138">
        <f>T80-T20</f>
        <v/>
      </c>
      <c r="U104" s="139">
        <f>U80-U20</f>
        <v/>
      </c>
      <c r="V104" s="139">
        <f>V80-V20</f>
        <v/>
      </c>
      <c r="W104" s="139">
        <f>W80-W20</f>
        <v/>
      </c>
      <c r="X104" s="139" t="n"/>
      <c r="Y104" s="140">
        <f>Y80-Y20</f>
        <v/>
      </c>
    </row>
    <row r="105">
      <c r="C105" s="103" t="inlineStr">
        <is>
          <t>0019 集計</t>
        </is>
      </c>
      <c r="D105" s="89" t="inlineStr">
        <is>
          <t>その他</t>
        </is>
      </c>
      <c r="E105" s="53">
        <f>E81-E21</f>
        <v/>
      </c>
      <c r="F105" s="53">
        <f>F81-F21</f>
        <v/>
      </c>
      <c r="G105" s="53">
        <f>G81-G21</f>
        <v/>
      </c>
      <c r="H105" s="53">
        <f>H81-H21</f>
        <v/>
      </c>
      <c r="I105" s="53">
        <f>I81-I21</f>
        <v/>
      </c>
      <c r="J105" s="53" t="n"/>
      <c r="K105" s="62">
        <f>SUM(E105:J105)</f>
        <v/>
      </c>
      <c r="L105" s="69">
        <f>L81-L21</f>
        <v/>
      </c>
      <c r="M105" s="54">
        <f>M81-M21</f>
        <v/>
      </c>
      <c r="N105" s="53">
        <f>N81-N21</f>
        <v/>
      </c>
      <c r="O105" s="53">
        <f>O81-O21</f>
        <v/>
      </c>
      <c r="P105" s="53">
        <f>P81-P21</f>
        <v/>
      </c>
      <c r="Q105" s="54" t="n"/>
      <c r="R105" s="66">
        <f>SUM(L105:Q105)</f>
        <v/>
      </c>
      <c r="S105" s="151">
        <f>S81-S21</f>
        <v/>
      </c>
      <c r="T105" s="138">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69">
        <f>L82-L22</f>
        <v/>
      </c>
      <c r="M106" s="54">
        <f>M82-M22</f>
        <v/>
      </c>
      <c r="N106" s="53">
        <f>N82-N22</f>
        <v/>
      </c>
      <c r="O106" s="53">
        <f>O82-O22</f>
        <v/>
      </c>
      <c r="P106" s="53">
        <f>P82-P22</f>
        <v/>
      </c>
      <c r="Q106" s="54" t="n"/>
      <c r="R106" s="66">
        <f>SUM(L106:Q106)</f>
        <v/>
      </c>
      <c r="S106" s="151">
        <f>S82-S22</f>
        <v/>
      </c>
      <c r="T106" s="138">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1">
        <f>T83-T23</f>
        <v/>
      </c>
      <c r="U107" s="142">
        <f>U83-U23</f>
        <v/>
      </c>
      <c r="V107" s="142">
        <f>V83-V23</f>
        <v/>
      </c>
      <c r="W107" s="142">
        <f>W83-W23</f>
        <v/>
      </c>
      <c r="X107" s="142" t="n"/>
      <c r="Y107" s="143">
        <f>Y83-Y23</f>
        <v/>
      </c>
    </row>
    <row r="108">
      <c r="C108" s="77" t="inlineStr">
        <is>
          <t>【参考】大海分</t>
        </is>
      </c>
      <c r="D108" s="78" t="n"/>
      <c r="E108" s="100">
        <f>E84-E24</f>
        <v/>
      </c>
      <c r="F108" s="100">
        <f>F84-F24</f>
        <v/>
      </c>
      <c r="G108" s="100">
        <f>G84-G24</f>
        <v/>
      </c>
      <c r="H108" s="100" t="n"/>
      <c r="I108" s="100" t="n"/>
      <c r="J108" s="100" t="n"/>
      <c r="K108" s="93">
        <f>SUM(E108:J108)</f>
        <v/>
      </c>
      <c r="L108" s="101">
        <f>L84-L24</f>
        <v/>
      </c>
      <c r="M108" s="98">
        <f>M84-M24</f>
        <v/>
      </c>
      <c r="N108" s="100">
        <f>N84-N24</f>
        <v/>
      </c>
      <c r="O108" s="100" t="n"/>
      <c r="P108" s="98" t="n"/>
      <c r="Q108" s="98" t="n"/>
      <c r="R108" s="94">
        <f>SUM(L108:Q108)</f>
        <v/>
      </c>
      <c r="S108" s="157">
        <f>S84-S24</f>
        <v/>
      </c>
      <c r="T108" s="153">
        <f>T84-T24</f>
        <v/>
      </c>
      <c r="U108" s="154">
        <f>U84-U24</f>
        <v/>
      </c>
      <c r="V108" s="154">
        <f>V84-V24</f>
        <v/>
      </c>
      <c r="W108" s="154">
        <f>W84-W24</f>
        <v/>
      </c>
      <c r="X108" s="154" t="n"/>
      <c r="Y108" s="155">
        <f>Y84-Y24</f>
        <v/>
      </c>
    </row>
  </sheetData>
  <mergeCells count="37">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AA27:AL2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2.xml><?xml version="1.0" encoding="utf-8"?>
<worksheet xmlns="http://schemas.openxmlformats.org/spreadsheetml/2006/main">
  <sheetPr>
    <tabColor theme="8" tint="0.3999755851924192"/>
    <outlinePr summaryBelow="1" summaryRight="1"/>
    <pageSetUpPr fitToPage="1"/>
  </sheetPr>
  <dimension ref="C1:Y108"/>
  <sheetViews>
    <sheetView zoomScale="80" zoomScaleNormal="80" workbookViewId="0">
      <pane xSplit="4" ySplit="1" topLeftCell="E2" activePane="bottomRight" state="frozen"/>
      <selection activeCell="F85" sqref="F85"/>
      <selection pane="topRight" activeCell="F85" sqref="F85"/>
      <selection pane="bottomLeft" activeCell="F85" sqref="F85"/>
      <selection pane="bottomRight" activeCell="F24" sqref="F24"/>
    </sheetView>
  </sheetViews>
  <sheetFormatPr baseColWidth="8" defaultColWidth="8.875" defaultRowHeight="18.75"/>
  <cols>
    <col width="9.625" bestFit="1" customWidth="1" style="127" min="3" max="3"/>
    <col width="10.125" customWidth="1" style="127" min="5" max="25"/>
  </cols>
  <sheetData>
    <row r="1">
      <c r="C1" s="20" t="inlineStr">
        <is>
          <t>石見営業所機械</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t="n">
        <v>501.3</v>
      </c>
      <c r="F5" s="4" t="n">
        <v>536.4</v>
      </c>
      <c r="G5" s="4" t="n">
        <v>273.07</v>
      </c>
      <c r="H5" s="4" t="n">
        <v>5486.23</v>
      </c>
      <c r="I5" s="4" t="n">
        <v>3638.02</v>
      </c>
      <c r="J5" s="4" t="n">
        <v>2377.31</v>
      </c>
      <c r="K5" s="66">
        <f>SUM(E5:J5)</f>
        <v/>
      </c>
      <c r="L5" s="3" t="n">
        <v>130.64</v>
      </c>
      <c r="M5" s="4" t="n">
        <v>97.816</v>
      </c>
      <c r="N5" s="4" t="n">
        <v>89.247</v>
      </c>
      <c r="O5" s="4" t="n">
        <v>896.343</v>
      </c>
      <c r="P5" s="4" t="n">
        <v>643.34</v>
      </c>
      <c r="Q5" s="4" t="n">
        <v>617.4</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c r="F6" s="4" t="n">
        <v>168</v>
      </c>
      <c r="G6" s="4" t="n">
        <v>213.8</v>
      </c>
      <c r="H6" s="4" t="n">
        <v>1799.4</v>
      </c>
      <c r="I6" s="4" t="n">
        <v>42</v>
      </c>
      <c r="J6" s="4" t="n">
        <v>180.9</v>
      </c>
      <c r="K6" s="66">
        <f>SUM(E6:J6)</f>
        <v/>
      </c>
      <c r="L6" s="3" t="n"/>
      <c r="M6" s="4" t="n">
        <v>25</v>
      </c>
      <c r="N6" s="4" t="n">
        <v>72.54000000000001</v>
      </c>
      <c r="O6" s="4" t="n">
        <v>661.27</v>
      </c>
      <c r="P6" s="4" t="n">
        <v>32</v>
      </c>
      <c r="Q6" s="4" t="n">
        <v>46.95</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152.081</v>
      </c>
      <c r="F7" s="4" t="n">
        <v>106.387</v>
      </c>
      <c r="G7" s="4" t="n">
        <v>109.943</v>
      </c>
      <c r="H7" s="4" t="n">
        <v>190.784</v>
      </c>
      <c r="I7" s="4" t="n">
        <v>475.179</v>
      </c>
      <c r="J7" s="4" t="n">
        <v>118.502</v>
      </c>
      <c r="K7" s="66">
        <f>SUM(E7:J7)</f>
        <v/>
      </c>
      <c r="L7" s="3" t="n">
        <v>38.17</v>
      </c>
      <c r="M7" s="4" t="n">
        <v>24.057</v>
      </c>
      <c r="N7" s="4" t="n">
        <v>34.233</v>
      </c>
      <c r="O7" s="4" t="n">
        <v>50.936</v>
      </c>
      <c r="P7" s="4" t="n">
        <v>97.68899999999999</v>
      </c>
      <c r="Q7" s="4" t="n">
        <v>28.364</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770.1799999999999</v>
      </c>
      <c r="F8" s="4" t="n">
        <v>7517.159</v>
      </c>
      <c r="G8" s="4" t="n">
        <v>690.128</v>
      </c>
      <c r="H8" s="4" t="n">
        <v>241.219</v>
      </c>
      <c r="I8" s="4" t="n">
        <v>284.019</v>
      </c>
      <c r="J8" s="4" t="n">
        <v>693.054</v>
      </c>
      <c r="K8" s="66">
        <f>SUM(E8:J8)</f>
        <v/>
      </c>
      <c r="L8" s="3" t="n">
        <v>95.23699999999999</v>
      </c>
      <c r="M8" s="4" t="n">
        <v>1046.321</v>
      </c>
      <c r="N8" s="4" t="n">
        <v>84.678</v>
      </c>
      <c r="O8" s="4" t="n">
        <v>56.161</v>
      </c>
      <c r="P8" s="4" t="n">
        <v>79.20099999999999</v>
      </c>
      <c r="Q8" s="4" t="n">
        <v>161.053</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c r="F9" s="4" t="n">
        <v>11</v>
      </c>
      <c r="G9" s="4" t="n"/>
      <c r="H9" s="4" t="n"/>
      <c r="I9" s="4" t="n"/>
      <c r="J9" s="4" t="n"/>
      <c r="K9" s="66">
        <f>SUM(E9:J9)</f>
        <v/>
      </c>
      <c r="L9" s="3" t="n"/>
      <c r="M9" s="4" t="n">
        <v>11</v>
      </c>
      <c r="N9" s="4" t="n"/>
      <c r="O9" s="4" t="n"/>
      <c r="P9" s="4" t="n"/>
      <c r="Q9" s="4" t="n"/>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c r="F10" s="4" t="n"/>
      <c r="G10" s="4" t="n"/>
      <c r="H10" s="4" t="n"/>
      <c r="I10" s="4" t="n">
        <v>3070.3</v>
      </c>
      <c r="J10" s="4" t="n"/>
      <c r="K10" s="66">
        <f>SUM(E10:J10)</f>
        <v/>
      </c>
      <c r="L10" s="3" t="n"/>
      <c r="M10" s="4" t="n"/>
      <c r="N10" s="4" t="n"/>
      <c r="O10" s="4" t="n"/>
      <c r="P10" s="4" t="n">
        <v>219.6</v>
      </c>
      <c r="Q10" s="4" t="n"/>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c r="F12" s="79" t="n"/>
      <c r="G12" s="79" t="n"/>
      <c r="H12" s="79" t="n"/>
      <c r="I12" s="79" t="n"/>
      <c r="J12" s="79" t="n"/>
      <c r="K12" s="80">
        <f>SUM(E12:J12)</f>
        <v/>
      </c>
      <c r="L12" s="81" t="n"/>
      <c r="M12" s="79" t="n"/>
      <c r="N12" s="79" t="n"/>
      <c r="O12" s="79" t="n"/>
      <c r="P12" s="79" t="n"/>
      <c r="Q12" s="79" t="n"/>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t="n">
        <v>379.1</v>
      </c>
      <c r="F17" s="4" t="n">
        <v>201.284</v>
      </c>
      <c r="G17" s="4" t="n">
        <v>302.9</v>
      </c>
      <c r="H17" s="4" t="n">
        <v>226.13</v>
      </c>
      <c r="I17" s="4" t="n">
        <v>598.03</v>
      </c>
      <c r="J17" s="4" t="n">
        <v>240.578</v>
      </c>
      <c r="K17" s="66">
        <f>SUM(E17:J17)</f>
        <v/>
      </c>
      <c r="L17" s="3" t="n">
        <v>154.964</v>
      </c>
      <c r="M17" s="4" t="n">
        <v>106.426</v>
      </c>
      <c r="N17" s="4" t="n">
        <v>123.55</v>
      </c>
      <c r="O17" s="4" t="n">
        <v>76.12560000000001</v>
      </c>
      <c r="P17" s="4" t="n">
        <v>165.33</v>
      </c>
      <c r="Q17" s="4" t="n">
        <v>97.26000000000001</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201.4</v>
      </c>
      <c r="F18" s="4" t="n">
        <v>224.9</v>
      </c>
      <c r="G18" s="4" t="n">
        <v>11.52</v>
      </c>
      <c r="H18" s="4" t="n">
        <v>78.69</v>
      </c>
      <c r="I18" s="4" t="n">
        <v>45.385</v>
      </c>
      <c r="J18" s="4" t="n">
        <v>98.3</v>
      </c>
      <c r="K18" s="66">
        <f>SUM(E18:J18)</f>
        <v/>
      </c>
      <c r="L18" s="3" t="n">
        <v>14.45</v>
      </c>
      <c r="M18" s="4" t="n">
        <v>40.7</v>
      </c>
      <c r="N18" s="4" t="n">
        <v>3.21</v>
      </c>
      <c r="O18" s="4" t="n">
        <v>47.378</v>
      </c>
      <c r="P18" s="4" t="n">
        <v>6.88</v>
      </c>
      <c r="Q18" s="4" t="n">
        <v>35.16</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82.34699999999999</v>
      </c>
      <c r="F19" s="4" t="n">
        <v>141.686</v>
      </c>
      <c r="G19" s="4" t="n">
        <v>217.244</v>
      </c>
      <c r="H19" s="4" t="n">
        <v>135.5255</v>
      </c>
      <c r="I19" s="4" t="n">
        <v>144.258</v>
      </c>
      <c r="J19" s="4" t="n">
        <v>145.011</v>
      </c>
      <c r="K19" s="66">
        <f>SUM(E19:J19)</f>
        <v/>
      </c>
      <c r="L19" s="3" t="n">
        <v>35.908</v>
      </c>
      <c r="M19" s="4" t="n">
        <v>48.102</v>
      </c>
      <c r="N19" s="4" t="n">
        <v>48.048</v>
      </c>
      <c r="O19" s="4" t="n">
        <v>56.595</v>
      </c>
      <c r="P19" s="4" t="n">
        <v>28.178</v>
      </c>
      <c r="Q19" s="4" t="n">
        <v>41.122</v>
      </c>
      <c r="R19" s="66">
        <f>SUM(L19:Q19)</f>
        <v/>
      </c>
      <c r="S19" s="138">
        <f>IF(E19=0,"***",L19/E19)</f>
        <v/>
      </c>
      <c r="T19" s="139">
        <f>IF(F19=0,"***",M19/F19)</f>
        <v/>
      </c>
      <c r="U19" s="139">
        <f>IF(G19=0,"***",N19/G19)</f>
        <v/>
      </c>
      <c r="V19" s="139" t="n"/>
      <c r="W19" s="139" t="n"/>
      <c r="X19" s="139" t="n"/>
      <c r="Y19" s="140">
        <f>IF(K19=0,"***",R19/K19)</f>
        <v/>
      </c>
    </row>
    <row r="20">
      <c r="C20" s="103" t="inlineStr">
        <is>
          <t>0014 集計</t>
        </is>
      </c>
      <c r="D20" s="89" t="inlineStr">
        <is>
          <t>木村課長</t>
        </is>
      </c>
      <c r="E20" s="3" t="n">
        <v>498.545</v>
      </c>
      <c r="F20" s="4" t="n">
        <v>418.599</v>
      </c>
      <c r="G20" s="4" t="n">
        <v>747.299</v>
      </c>
      <c r="H20" s="4" t="n">
        <v>890.059</v>
      </c>
      <c r="I20" s="4" t="n">
        <v>469.849</v>
      </c>
      <c r="J20" s="4" t="n">
        <v>2041.629</v>
      </c>
      <c r="K20" s="66">
        <f>SUM(E20:J20)</f>
        <v/>
      </c>
      <c r="L20" s="3" t="n">
        <v>117.42</v>
      </c>
      <c r="M20" s="4" t="n">
        <v>62.589</v>
      </c>
      <c r="N20" s="4" t="n">
        <v>73.423</v>
      </c>
      <c r="O20" s="4" t="n">
        <v>245.355</v>
      </c>
      <c r="P20" s="4" t="n">
        <v>126.623</v>
      </c>
      <c r="Q20" s="4" t="n">
        <v>210.829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c r="F21" s="4" t="n"/>
      <c r="G21" s="4" t="n"/>
      <c r="H21" s="4" t="n">
        <v>120</v>
      </c>
      <c r="I21" s="4" t="n">
        <v>8</v>
      </c>
      <c r="J21" s="4" t="n"/>
      <c r="K21" s="66">
        <f>SUM(E21:J21)</f>
        <v/>
      </c>
      <c r="L21" s="3" t="n"/>
      <c r="M21" s="4" t="n">
        <v>45</v>
      </c>
      <c r="N21" s="4" t="n"/>
      <c r="O21" s="4" t="n">
        <v>8</v>
      </c>
      <c r="P21" s="4" t="n"/>
      <c r="Q21" s="4" t="n"/>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c r="F22" s="4" t="n"/>
      <c r="G22" s="4" t="n"/>
      <c r="H22" s="4" t="n"/>
      <c r="I22" s="4" t="n"/>
      <c r="J22" s="4" t="n"/>
      <c r="K22" s="66">
        <f>SUM(E22:J22)</f>
        <v/>
      </c>
      <c r="L22" s="3" t="n"/>
      <c r="M22" s="4" t="n"/>
      <c r="N22" s="4" t="n"/>
      <c r="O22" s="4" t="n"/>
      <c r="P22" s="4" t="n"/>
      <c r="Q22" s="4" t="n"/>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t="n"/>
      <c r="F24" s="79" t="n"/>
      <c r="G24" s="79" t="n"/>
      <c r="H24" s="79" t="n"/>
      <c r="I24" s="79" t="n"/>
      <c r="J24" s="79" t="n"/>
      <c r="K24" s="80">
        <f>SUM(E24:J24)</f>
        <v/>
      </c>
      <c r="L24" s="81" t="n"/>
      <c r="M24" s="79" t="n"/>
      <c r="N24" s="79" t="n"/>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t="n"/>
      <c r="F31" s="4" t="n"/>
      <c r="G31" s="4" t="n"/>
      <c r="H31" s="4" t="n"/>
      <c r="I31" s="4" t="n"/>
      <c r="J31" s="4" t="n"/>
      <c r="K31" s="66" t="n"/>
      <c r="L31" s="3" t="n"/>
      <c r="M31" s="4" t="n"/>
      <c r="N31" s="4" t="n"/>
      <c r="O31" s="4" t="n"/>
      <c r="P31" s="4" t="n"/>
      <c r="Q31" s="4" t="n"/>
      <c r="R31" s="66" t="n"/>
      <c r="S31" s="138" t="n"/>
      <c r="T31" s="139" t="n"/>
      <c r="U31" s="139" t="n"/>
      <c r="V31" s="139" t="n"/>
      <c r="W31" s="139" t="n"/>
      <c r="X31" s="139" t="n"/>
      <c r="Y31" s="140" t="n"/>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4" t="n">
        <v>1000</v>
      </c>
      <c r="F41" s="54" t="n">
        <v>1000</v>
      </c>
      <c r="G41" s="54" t="n">
        <v>1000</v>
      </c>
      <c r="H41" s="54" t="n">
        <v>1000</v>
      </c>
      <c r="I41" s="54" t="n">
        <v>1000</v>
      </c>
      <c r="J41" s="54" t="n">
        <v>1000</v>
      </c>
      <c r="K41" s="62">
        <f>SUM(E41:J41)</f>
        <v/>
      </c>
      <c r="L41" s="69" t="n">
        <v>160</v>
      </c>
      <c r="M41" s="54" t="n">
        <v>160</v>
      </c>
      <c r="N41" s="54" t="n">
        <v>160</v>
      </c>
      <c r="O41" s="54" t="n">
        <v>160</v>
      </c>
      <c r="P41" s="54" t="n">
        <v>160</v>
      </c>
      <c r="Q41" s="54" t="n">
        <v>160</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4" t="n">
        <v>1000</v>
      </c>
      <c r="F42" s="54" t="n">
        <v>1000</v>
      </c>
      <c r="G42" s="54" t="n">
        <v>1000</v>
      </c>
      <c r="H42" s="54" t="n">
        <v>1000</v>
      </c>
      <c r="I42" s="54" t="n">
        <v>1000</v>
      </c>
      <c r="J42" s="54" t="n">
        <v>1000</v>
      </c>
      <c r="K42" s="62">
        <f>SUM(E42:J42)</f>
        <v/>
      </c>
      <c r="L42" s="69" t="n">
        <v>160</v>
      </c>
      <c r="M42" s="54" t="n">
        <v>160</v>
      </c>
      <c r="N42" s="54" t="n">
        <v>160</v>
      </c>
      <c r="O42" s="54" t="n">
        <v>160</v>
      </c>
      <c r="P42" s="54" t="n">
        <v>160</v>
      </c>
      <c r="Q42" s="54" t="n">
        <v>160</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4" t="n">
        <v>1000</v>
      </c>
      <c r="F43" s="54" t="n">
        <v>1000</v>
      </c>
      <c r="G43" s="54" t="n">
        <v>1000</v>
      </c>
      <c r="H43" s="54" t="n">
        <v>1000</v>
      </c>
      <c r="I43" s="54" t="n">
        <v>1000</v>
      </c>
      <c r="J43" s="54" t="n">
        <v>1000</v>
      </c>
      <c r="K43" s="62">
        <f>SUM(E43:J43)</f>
        <v/>
      </c>
      <c r="L43" s="69" t="n">
        <v>160</v>
      </c>
      <c r="M43" s="54" t="n">
        <v>160</v>
      </c>
      <c r="N43" s="54" t="n">
        <v>160</v>
      </c>
      <c r="O43" s="54" t="n">
        <v>160</v>
      </c>
      <c r="P43" s="54" t="n">
        <v>160</v>
      </c>
      <c r="Q43" s="54" t="n">
        <v>160</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4" t="n">
        <v>1000</v>
      </c>
      <c r="F44" s="54" t="n">
        <v>1000</v>
      </c>
      <c r="G44" s="54" t="n">
        <v>1000</v>
      </c>
      <c r="H44" s="54" t="n">
        <v>1000</v>
      </c>
      <c r="I44" s="54" t="n">
        <v>1000</v>
      </c>
      <c r="J44" s="54" t="n">
        <v>1000</v>
      </c>
      <c r="K44" s="62">
        <f>SUM(E44:J44)</f>
        <v/>
      </c>
      <c r="L44" s="69" t="n">
        <v>160</v>
      </c>
      <c r="M44" s="54" t="n">
        <v>160</v>
      </c>
      <c r="N44" s="54" t="n">
        <v>160</v>
      </c>
      <c r="O44" s="54" t="n">
        <v>160</v>
      </c>
      <c r="P44" s="54" t="n">
        <v>160</v>
      </c>
      <c r="Q44" s="54" t="n">
        <v>160</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4" t="n">
        <v>0</v>
      </c>
      <c r="F45" s="54" t="n">
        <v>0</v>
      </c>
      <c r="G45" s="54" t="n">
        <v>0</v>
      </c>
      <c r="H45" s="54" t="n">
        <v>0</v>
      </c>
      <c r="I45" s="54" t="n">
        <v>0</v>
      </c>
      <c r="J45" s="54" t="n">
        <v>0</v>
      </c>
      <c r="K45" s="62">
        <f>SUM(E45:J45)</f>
        <v/>
      </c>
      <c r="L45" s="69" t="n">
        <v>0</v>
      </c>
      <c r="M45" s="54" t="n">
        <v>0</v>
      </c>
      <c r="N45" s="54" t="n">
        <v>0</v>
      </c>
      <c r="O45" s="54" t="n">
        <v>0</v>
      </c>
      <c r="P45" s="54" t="n">
        <v>0</v>
      </c>
      <c r="Q45" s="54" t="n">
        <v>0</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54" t="n">
        <v>0</v>
      </c>
      <c r="F46" s="54" t="n">
        <v>0</v>
      </c>
      <c r="G46" s="54" t="n">
        <v>0</v>
      </c>
      <c r="H46" s="54" t="n">
        <v>0</v>
      </c>
      <c r="I46" s="54" t="n">
        <v>0</v>
      </c>
      <c r="J46" s="54" t="n">
        <v>0</v>
      </c>
      <c r="K46" s="62">
        <f>SUM(E46:J46)</f>
        <v/>
      </c>
      <c r="L46" s="69" t="n">
        <v>0</v>
      </c>
      <c r="M46" s="54" t="n">
        <v>0</v>
      </c>
      <c r="N46" s="54" t="n">
        <v>0</v>
      </c>
      <c r="O46" s="54" t="n">
        <v>0</v>
      </c>
      <c r="P46" s="54" t="n">
        <v>0</v>
      </c>
      <c r="Q46" s="54" t="n">
        <v>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t="n"/>
      <c r="F48" s="79" t="n">
        <v>23.7</v>
      </c>
      <c r="G48" s="79" t="n"/>
      <c r="H48" s="79" t="n"/>
      <c r="I48" s="79" t="n"/>
      <c r="J48" s="79" t="n"/>
      <c r="K48" s="80">
        <f>SUM(E48:J48)</f>
        <v/>
      </c>
      <c r="L48" s="81" t="n"/>
      <c r="M48" s="79" t="n">
        <v>4.86</v>
      </c>
      <c r="N48" s="79" t="n"/>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54" t="n">
        <v>724.8200000000001</v>
      </c>
      <c r="F77" s="54" t="n">
        <v>259.9</v>
      </c>
      <c r="G77" s="54" t="n">
        <v>873.938</v>
      </c>
      <c r="H77" s="54" t="n">
        <v>459.94</v>
      </c>
      <c r="I77" s="54" t="n">
        <v>352.565</v>
      </c>
      <c r="J77" s="54" t="n"/>
      <c r="K77" s="62">
        <f>SUM(E77:J77)</f>
        <v/>
      </c>
      <c r="L77" s="69" t="n">
        <v>258.956</v>
      </c>
      <c r="M77" s="54" t="n">
        <v>30.753</v>
      </c>
      <c r="N77" s="54" t="n">
        <v>314.782</v>
      </c>
      <c r="O77" s="54" t="n">
        <v>120.472</v>
      </c>
      <c r="P77" s="54" t="n">
        <v>80.40900000000001</v>
      </c>
      <c r="Q77" s="5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54" t="n">
        <v>210.5</v>
      </c>
      <c r="F78" s="54" t="n">
        <v>60</v>
      </c>
      <c r="G78" s="54" t="n">
        <v>836.3</v>
      </c>
      <c r="H78" s="54" t="n">
        <v>60.4</v>
      </c>
      <c r="I78" s="54" t="n">
        <v>178.09</v>
      </c>
      <c r="J78" s="54" t="n"/>
      <c r="K78" s="62">
        <f>SUM(E78:J78)</f>
        <v/>
      </c>
      <c r="L78" s="69" t="n">
        <v>9.949999999999999</v>
      </c>
      <c r="M78" s="54" t="n">
        <v>5</v>
      </c>
      <c r="N78" s="54" t="n">
        <v>51.9</v>
      </c>
      <c r="O78" s="54" t="n">
        <v>17.77</v>
      </c>
      <c r="P78" s="54" t="n">
        <v>42.968</v>
      </c>
      <c r="Q78" s="5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54" t="n">
        <v>59.19</v>
      </c>
      <c r="F79" s="54" t="n">
        <v>119.329</v>
      </c>
      <c r="G79" s="54" t="n">
        <v>138.327</v>
      </c>
      <c r="H79" s="54" t="n">
        <v>454.545</v>
      </c>
      <c r="I79" s="54" t="n">
        <v>197.345</v>
      </c>
      <c r="J79" s="54" t="n"/>
      <c r="K79" s="62">
        <f>SUM(E79:J79)</f>
        <v/>
      </c>
      <c r="L79" s="69" t="n">
        <v>20.809</v>
      </c>
      <c r="M79" s="54" t="n">
        <v>12.344</v>
      </c>
      <c r="N79" s="54" t="n">
        <v>26.887</v>
      </c>
      <c r="O79" s="54" t="n">
        <v>72.913</v>
      </c>
      <c r="P79" s="54" t="n">
        <v>45.59</v>
      </c>
      <c r="Q79" s="5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54" t="n">
        <v>940.85</v>
      </c>
      <c r="F80" s="54" t="n">
        <v>445.63</v>
      </c>
      <c r="G80" s="54" t="n">
        <v>1059.078</v>
      </c>
      <c r="H80" s="54" t="n">
        <v>128.39</v>
      </c>
      <c r="I80" s="54" t="n">
        <v>228.371</v>
      </c>
      <c r="J80" s="54" t="n"/>
      <c r="K80" s="62">
        <f>SUM(E80:J80)</f>
        <v/>
      </c>
      <c r="L80" s="69" t="n">
        <v>156.834</v>
      </c>
      <c r="M80" s="54" t="n">
        <v>89.523</v>
      </c>
      <c r="N80" s="54" t="n">
        <v>185.642</v>
      </c>
      <c r="O80" s="54" t="n">
        <v>48.46</v>
      </c>
      <c r="P80" s="54" t="n">
        <v>64.663</v>
      </c>
      <c r="Q80" s="5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54" t="n"/>
      <c r="F81" s="54" t="n"/>
      <c r="G81" s="54" t="n"/>
      <c r="H81" s="54" t="n"/>
      <c r="I81" s="54" t="n">
        <v>18.75</v>
      </c>
      <c r="J81" s="54" t="n"/>
      <c r="K81" s="62">
        <f>SUM(E81:J81)</f>
        <v/>
      </c>
      <c r="L81" s="69" t="n"/>
      <c r="M81" s="54" t="n"/>
      <c r="N81" s="54" t="n"/>
      <c r="O81" s="54" t="n"/>
      <c r="P81" s="54" t="n">
        <v>3.25</v>
      </c>
      <c r="Q81" s="5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54" t="n"/>
      <c r="F82" s="54" t="n"/>
      <c r="G82" s="54" t="n"/>
      <c r="H82" s="54" t="n"/>
      <c r="I82" s="54" t="n">
        <v>0</v>
      </c>
      <c r="J82" s="54" t="n"/>
      <c r="K82" s="62">
        <f>SUM(E82:J82)</f>
        <v/>
      </c>
      <c r="L82" s="69" t="n"/>
      <c r="M82" s="54" t="n"/>
      <c r="N82" s="54" t="n"/>
      <c r="O82" s="54" t="n"/>
      <c r="P82" s="54" t="n">
        <v>0</v>
      </c>
      <c r="Q82" s="5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7.9</v>
      </c>
      <c r="F84" s="79" t="n">
        <v>23.7</v>
      </c>
      <c r="G84" s="79" t="n"/>
      <c r="H84" s="79" t="n"/>
      <c r="I84" s="79" t="n"/>
      <c r="J84" s="79" t="n"/>
      <c r="K84" s="80">
        <f>SUM(E84:J84)</f>
        <v/>
      </c>
      <c r="L84" s="81" t="n">
        <v>1.62</v>
      </c>
      <c r="M84" s="79" t="n">
        <v>4.86</v>
      </c>
      <c r="N84" s="79" t="n"/>
      <c r="O84" s="79" t="n"/>
      <c r="P84" s="79" t="n"/>
      <c r="Q84" s="79" t="n"/>
      <c r="R84" s="80">
        <f>SUM(L84:Q84)</f>
        <v/>
      </c>
      <c r="S84" s="144" t="n"/>
      <c r="T84" s="145" t="n"/>
      <c r="U84" s="145" t="n"/>
      <c r="V84" s="145" t="n"/>
      <c r="W84" s="145" t="n"/>
      <c r="X84" s="145" t="n"/>
      <c r="Y84" s="156" t="n"/>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8">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4">
        <f>E77-E17</f>
        <v/>
      </c>
      <c r="F101" s="54">
        <f>F77-F17</f>
        <v/>
      </c>
      <c r="G101" s="54">
        <f>G77-G17</f>
        <v/>
      </c>
      <c r="H101" s="54">
        <f>H77-H17</f>
        <v/>
      </c>
      <c r="I101" s="54">
        <f>I77-I17</f>
        <v/>
      </c>
      <c r="J101" s="54" t="n"/>
      <c r="K101" s="62">
        <f>SUM(E101:J101)</f>
        <v/>
      </c>
      <c r="L101" s="75">
        <f>L77-L17</f>
        <v/>
      </c>
      <c r="M101" s="54">
        <f>M77-M17</f>
        <v/>
      </c>
      <c r="N101" s="54">
        <f>N77-N17</f>
        <v/>
      </c>
      <c r="O101" s="54">
        <f>O77-O17</f>
        <v/>
      </c>
      <c r="P101" s="54">
        <f>P77-P17</f>
        <v/>
      </c>
      <c r="Q101" s="5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54">
        <f>E78-E18</f>
        <v/>
      </c>
      <c r="F102" s="54">
        <f>F78-F18</f>
        <v/>
      </c>
      <c r="G102" s="54">
        <f>G78-G18</f>
        <v/>
      </c>
      <c r="H102" s="54">
        <f>H78-H18</f>
        <v/>
      </c>
      <c r="I102" s="54">
        <f>I78-I18</f>
        <v/>
      </c>
      <c r="J102" s="54" t="n"/>
      <c r="K102" s="62">
        <f>SUM(E102:J102)</f>
        <v/>
      </c>
      <c r="L102" s="75">
        <f>L78-L18</f>
        <v/>
      </c>
      <c r="M102" s="54">
        <f>M78-M18</f>
        <v/>
      </c>
      <c r="N102" s="54">
        <f>N78-N18</f>
        <v/>
      </c>
      <c r="O102" s="54">
        <f>O78-O18</f>
        <v/>
      </c>
      <c r="P102" s="54">
        <f>P78-P18</f>
        <v/>
      </c>
      <c r="Q102" s="5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54">
        <f>E79-E19</f>
        <v/>
      </c>
      <c r="F103" s="54">
        <f>F79-F19</f>
        <v/>
      </c>
      <c r="G103" s="54">
        <f>G79-G19</f>
        <v/>
      </c>
      <c r="H103" s="54">
        <f>H79-H19</f>
        <v/>
      </c>
      <c r="I103" s="54">
        <f>I79-I19</f>
        <v/>
      </c>
      <c r="J103" s="54" t="n"/>
      <c r="K103" s="62">
        <f>SUM(E103:J103)</f>
        <v/>
      </c>
      <c r="L103" s="75">
        <f>L79-L19</f>
        <v/>
      </c>
      <c r="M103" s="54">
        <f>M79-M19</f>
        <v/>
      </c>
      <c r="N103" s="54">
        <f>N79-N19</f>
        <v/>
      </c>
      <c r="O103" s="54">
        <f>O79-O19</f>
        <v/>
      </c>
      <c r="P103" s="54">
        <f>P79-P19</f>
        <v/>
      </c>
      <c r="Q103" s="5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54">
        <f>E80-E20</f>
        <v/>
      </c>
      <c r="F104" s="54">
        <f>F80-F20</f>
        <v/>
      </c>
      <c r="G104" s="54">
        <f>G80-G20</f>
        <v/>
      </c>
      <c r="H104" s="54">
        <f>H80-H20</f>
        <v/>
      </c>
      <c r="I104" s="54">
        <f>I80-I20</f>
        <v/>
      </c>
      <c r="J104" s="54" t="n"/>
      <c r="K104" s="62">
        <f>SUM(E104:J104)</f>
        <v/>
      </c>
      <c r="L104" s="75">
        <f>L80-L20</f>
        <v/>
      </c>
      <c r="M104" s="54">
        <f>M80-M20</f>
        <v/>
      </c>
      <c r="N104" s="54">
        <f>N80-N20</f>
        <v/>
      </c>
      <c r="O104" s="54">
        <f>O80-O20</f>
        <v/>
      </c>
      <c r="P104" s="54">
        <f>P80-P20</f>
        <v/>
      </c>
      <c r="Q104" s="5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54">
        <f>E81-E21</f>
        <v/>
      </c>
      <c r="F105" s="54">
        <f>F81-F21</f>
        <v/>
      </c>
      <c r="G105" s="54">
        <f>G81-G21</f>
        <v/>
      </c>
      <c r="H105" s="54">
        <f>H81-H21</f>
        <v/>
      </c>
      <c r="I105" s="54">
        <f>I81-I21</f>
        <v/>
      </c>
      <c r="J105" s="54" t="n"/>
      <c r="K105" s="62">
        <f>SUM(E105:J105)</f>
        <v/>
      </c>
      <c r="L105" s="75">
        <f>L81-L21</f>
        <v/>
      </c>
      <c r="M105" s="54">
        <f>M81-M21</f>
        <v/>
      </c>
      <c r="N105" s="54">
        <f>N81-N21</f>
        <v/>
      </c>
      <c r="O105" s="54">
        <f>O81-O21</f>
        <v/>
      </c>
      <c r="P105" s="54">
        <f>P81-P21</f>
        <v/>
      </c>
      <c r="Q105" s="5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75">
        <f>L82-L22</f>
        <v/>
      </c>
      <c r="M106" s="54">
        <f>M82-M22</f>
        <v/>
      </c>
      <c r="N106" s="54">
        <f>N82-N22</f>
        <v/>
      </c>
      <c r="O106" s="54">
        <f>O82-O22</f>
        <v/>
      </c>
      <c r="P106" s="54">
        <f>P82-P22</f>
        <v/>
      </c>
      <c r="Q106" s="5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98">
        <f>E84-E24</f>
        <v/>
      </c>
      <c r="F108" s="98">
        <f>F84-F24</f>
        <v/>
      </c>
      <c r="G108" s="98">
        <f>G84-G24</f>
        <v/>
      </c>
      <c r="H108" s="98" t="n"/>
      <c r="I108" s="98" t="n"/>
      <c r="J108" s="98" t="n"/>
      <c r="K108" s="93">
        <f>SUM(E108:J108)</f>
        <v/>
      </c>
      <c r="L108" s="99">
        <f>L84-L24</f>
        <v/>
      </c>
      <c r="M108" s="98">
        <f>M84-M24</f>
        <v/>
      </c>
      <c r="N108" s="98">
        <f>N84-N24</f>
        <v/>
      </c>
      <c r="O108" s="98" t="n"/>
      <c r="P108" s="98" t="n"/>
      <c r="Q108" s="98"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3.xml><?xml version="1.0" encoding="utf-8"?>
<worksheet xmlns="http://schemas.openxmlformats.org/spreadsheetml/2006/main">
  <sheetPr>
    <outlinePr summaryBelow="1" summaryRight="1"/>
    <pageSetUpPr fitToPage="1"/>
  </sheetPr>
  <dimension ref="C1:Y108"/>
  <sheetViews>
    <sheetView zoomScaleNormal="100" workbookViewId="0">
      <pane xSplit="4" ySplit="1" topLeftCell="E73" activePane="bottomRight" state="frozen"/>
      <selection activeCell="U25" sqref="U25:U26"/>
      <selection pane="topRight" activeCell="U25" sqref="U25:U26"/>
      <selection pane="bottomLeft" activeCell="U25" sqref="U25:U26"/>
      <selection pane="bottomRight" activeCell="N85" sqref="N85"/>
    </sheetView>
  </sheetViews>
  <sheetFormatPr baseColWidth="8" defaultColWidth="8.875" defaultRowHeight="18.75"/>
  <cols>
    <col width="9.625" bestFit="1" customWidth="1" style="127" min="3" max="3"/>
    <col width="10.125" customWidth="1" style="127" min="5" max="25"/>
  </cols>
  <sheetData>
    <row r="1" ht="24" customHeight="1" s="127">
      <c r="C1" s="20" t="inlineStr">
        <is>
          <t>石見営業所全体</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18"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61" t="n">
        <v>45383</v>
      </c>
      <c r="T4" s="2" t="n">
        <v>45413</v>
      </c>
      <c r="U4" s="2" t="n">
        <v>45444</v>
      </c>
      <c r="V4" s="2" t="n">
        <v>45474</v>
      </c>
      <c r="W4" s="2" t="n">
        <v>45505</v>
      </c>
      <c r="X4" s="2" t="n">
        <v>45536</v>
      </c>
      <c r="Y4" s="10" t="inlineStr">
        <is>
          <t>合計</t>
        </is>
      </c>
    </row>
    <row r="5">
      <c r="C5" s="103" t="inlineStr">
        <is>
          <t>0011 集計</t>
        </is>
      </c>
      <c r="D5" s="89" t="inlineStr">
        <is>
          <t>佐々木課長</t>
        </is>
      </c>
      <c r="E5" s="3" t="n">
        <v>16924.275</v>
      </c>
      <c r="F5" s="4" t="n">
        <v>14965.804</v>
      </c>
      <c r="G5" s="4" t="n">
        <v>16906.147</v>
      </c>
      <c r="H5" s="4" t="n">
        <v>22900.426</v>
      </c>
      <c r="I5" s="4" t="n">
        <v>19902.035</v>
      </c>
      <c r="J5" s="4" t="n">
        <v>20106.35</v>
      </c>
      <c r="K5" s="66">
        <f>SUM(E5:J5)</f>
        <v/>
      </c>
      <c r="L5" s="3" t="n">
        <v>4380.898</v>
      </c>
      <c r="M5" s="4" t="n">
        <v>3949.027000000001</v>
      </c>
      <c r="N5" s="4" t="n">
        <v>4115.8055</v>
      </c>
      <c r="O5" s="4" t="n">
        <v>4585.563</v>
      </c>
      <c r="P5" s="4" t="n">
        <v>4472.3902</v>
      </c>
      <c r="Q5" s="4" t="n">
        <v>5143.782</v>
      </c>
      <c r="R5" s="66">
        <f>SUM(L5:Q5)</f>
        <v/>
      </c>
      <c r="S5" s="151">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v>6261.042</v>
      </c>
      <c r="F6" s="4" t="n">
        <v>5293.139</v>
      </c>
      <c r="G6" s="4" t="n">
        <v>12389.86</v>
      </c>
      <c r="H6" s="4" t="n">
        <v>10536.698</v>
      </c>
      <c r="I6" s="4" t="n">
        <v>5177.704000000001</v>
      </c>
      <c r="J6" s="4" t="n">
        <v>11950.329</v>
      </c>
      <c r="K6" s="66">
        <f>SUM(E6:J6)</f>
        <v/>
      </c>
      <c r="L6" s="3" t="n">
        <v>1749.977</v>
      </c>
      <c r="M6" s="4" t="n">
        <v>1466.675</v>
      </c>
      <c r="N6" s="4" t="n">
        <v>3178.161999999999</v>
      </c>
      <c r="O6" s="4" t="n">
        <v>3372.785</v>
      </c>
      <c r="P6" s="4" t="n">
        <v>1440.424</v>
      </c>
      <c r="Q6" s="4" t="n">
        <v>2912.981</v>
      </c>
      <c r="R6" s="66">
        <f>SUM(L6:Q6)</f>
        <v/>
      </c>
      <c r="S6" s="151">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18257.932</v>
      </c>
      <c r="F7" s="4" t="n">
        <v>18281.696</v>
      </c>
      <c r="G7" s="4" t="n">
        <v>17162.215</v>
      </c>
      <c r="H7" s="4" t="n">
        <v>19407.143</v>
      </c>
      <c r="I7" s="4" t="n">
        <v>21914.739</v>
      </c>
      <c r="J7" s="4" t="n">
        <v>20072.184</v>
      </c>
      <c r="K7" s="66">
        <f>SUM(E7:J7)</f>
        <v/>
      </c>
      <c r="L7" s="3" t="n">
        <v>5919.199000000001</v>
      </c>
      <c r="M7" s="4" t="n">
        <v>5955.059</v>
      </c>
      <c r="N7" s="4" t="n">
        <v>5630.261</v>
      </c>
      <c r="O7" s="4" t="n">
        <v>6411.641</v>
      </c>
      <c r="P7" s="4" t="n">
        <v>7119.109</v>
      </c>
      <c r="Q7" s="4" t="n">
        <v>6572.508</v>
      </c>
      <c r="R7" s="66">
        <f>SUM(L7:Q7)</f>
        <v/>
      </c>
      <c r="S7" s="151">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19946.047</v>
      </c>
      <c r="F8" s="4" t="n">
        <v>27156.34799999999</v>
      </c>
      <c r="G8" s="4" t="n">
        <v>15552.684</v>
      </c>
      <c r="H8" s="4" t="n">
        <v>17275.549</v>
      </c>
      <c r="I8" s="4" t="n">
        <v>20242.159</v>
      </c>
      <c r="J8" s="4" t="n">
        <v>21018.903</v>
      </c>
      <c r="K8" s="66">
        <f>SUM(E8:J8)</f>
        <v/>
      </c>
      <c r="L8" s="3" t="n">
        <v>4474.456000000003</v>
      </c>
      <c r="M8" s="4" t="n">
        <v>5578.462</v>
      </c>
      <c r="N8" s="4" t="n">
        <v>3452.186</v>
      </c>
      <c r="O8" s="4" t="n">
        <v>4101.311500000001</v>
      </c>
      <c r="P8" s="4" t="n">
        <v>4610.463999999998</v>
      </c>
      <c r="Q8" s="4" t="n">
        <v>4894.1568</v>
      </c>
      <c r="R8" s="66">
        <f>SUM(L8:Q8)</f>
        <v/>
      </c>
      <c r="S8" s="151">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v>883.8489999999999</v>
      </c>
      <c r="F9" s="4" t="n">
        <v>664.5359999999999</v>
      </c>
      <c r="G9" s="4" t="n">
        <v>703.886</v>
      </c>
      <c r="H9" s="4" t="n">
        <v>971.075</v>
      </c>
      <c r="I9" s="4" t="n">
        <v>745.691</v>
      </c>
      <c r="J9" s="4" t="n">
        <v>940.0529999999999</v>
      </c>
      <c r="K9" s="66">
        <f>SUM(E9:J9)</f>
        <v/>
      </c>
      <c r="L9" s="3" t="n">
        <v>169.469</v>
      </c>
      <c r="M9" s="4" t="n">
        <v>120.775</v>
      </c>
      <c r="N9" s="4" t="n">
        <v>112.226</v>
      </c>
      <c r="O9" s="4" t="n">
        <v>122.009</v>
      </c>
      <c r="P9" s="4" t="n">
        <v>108.956</v>
      </c>
      <c r="Q9" s="4" t="n">
        <v>113.141</v>
      </c>
      <c r="R9" s="66">
        <f>SUM(L9:Q9)</f>
        <v/>
      </c>
      <c r="S9" s="151">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v>0.864</v>
      </c>
      <c r="F10" s="4" t="n">
        <v>2257.6</v>
      </c>
      <c r="G10" s="4" t="n">
        <v>420</v>
      </c>
      <c r="H10" s="4" t="n">
        <v>15.3</v>
      </c>
      <c r="I10" s="4" t="n">
        <v>4126.3</v>
      </c>
      <c r="J10" s="4" t="n">
        <v>0</v>
      </c>
      <c r="K10" s="66">
        <f>SUM(E10:J10)</f>
        <v/>
      </c>
      <c r="L10" s="3" t="n">
        <v>0.302</v>
      </c>
      <c r="M10" s="4" t="n">
        <v>519.7560000000001</v>
      </c>
      <c r="N10" s="4" t="n">
        <v>60.9</v>
      </c>
      <c r="O10" s="4" t="n">
        <v>2.5</v>
      </c>
      <c r="P10" s="4" t="n">
        <v>267.6</v>
      </c>
      <c r="Q10" s="4" t="n">
        <v>0</v>
      </c>
      <c r="R10" s="66">
        <f>SUM(L10:Q10)</f>
        <v/>
      </c>
      <c r="S10" s="151">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52">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v>3512</v>
      </c>
      <c r="F12" s="79" t="n">
        <v>3080</v>
      </c>
      <c r="G12" s="79" t="n">
        <v>3426</v>
      </c>
      <c r="H12" s="79" t="n">
        <v>5677</v>
      </c>
      <c r="I12" s="79" t="n">
        <v>4606</v>
      </c>
      <c r="J12" s="79" t="n">
        <v>5670</v>
      </c>
      <c r="K12" s="80">
        <f>SUM(E12:J12)</f>
        <v/>
      </c>
      <c r="L12" s="81" t="n">
        <v>740</v>
      </c>
      <c r="M12" s="79" t="n">
        <v>655</v>
      </c>
      <c r="N12" s="79" t="n">
        <v>569</v>
      </c>
      <c r="O12" s="79" t="n">
        <v>906</v>
      </c>
      <c r="P12" s="79" t="n">
        <v>802</v>
      </c>
      <c r="Q12" s="79" t="n">
        <v>1160</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87" t="inlineStr">
        <is>
          <t>0011 集計</t>
        </is>
      </c>
      <c r="D17" s="88" t="inlineStr">
        <is>
          <t>佐々木課長</t>
        </is>
      </c>
      <c r="E17" s="3" t="n">
        <v>17541.954</v>
      </c>
      <c r="F17" s="4" t="n">
        <v>14154.149</v>
      </c>
      <c r="G17" s="4" t="n">
        <v>14042.27</v>
      </c>
      <c r="H17" s="4" t="n">
        <v>20654.033</v>
      </c>
      <c r="I17" s="4" t="n">
        <v>17756.598</v>
      </c>
      <c r="J17" s="4" t="n">
        <v>21461.653</v>
      </c>
      <c r="K17" s="66">
        <f>SUM(E17:J17)</f>
        <v/>
      </c>
      <c r="L17" s="3" t="n">
        <v>4687.289</v>
      </c>
      <c r="M17" s="4" t="n">
        <v>4015.366999999999</v>
      </c>
      <c r="N17" s="4" t="n">
        <v>4040.104</v>
      </c>
      <c r="O17" s="4" t="n">
        <v>5308.309</v>
      </c>
      <c r="P17" s="4" t="n">
        <v>4379.712</v>
      </c>
      <c r="Q17" s="4" t="n">
        <v>5504.174</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5420.767</v>
      </c>
      <c r="F18" s="4" t="n">
        <v>7299.148999999999</v>
      </c>
      <c r="G18" s="4" t="n">
        <v>6382.203</v>
      </c>
      <c r="H18" s="4" t="n">
        <v>10016.24</v>
      </c>
      <c r="I18" s="4" t="n">
        <v>8126.865000000001</v>
      </c>
      <c r="J18" s="4" t="n">
        <v>7544.210000000001</v>
      </c>
      <c r="K18" s="66">
        <f>SUM(E18:J18)</f>
        <v/>
      </c>
      <c r="L18" s="3" t="n">
        <v>1704.242</v>
      </c>
      <c r="M18" s="4" t="n">
        <v>2005.756</v>
      </c>
      <c r="N18" s="4" t="n">
        <v>1735.323</v>
      </c>
      <c r="O18" s="4" t="n">
        <v>2733.082999999999</v>
      </c>
      <c r="P18" s="4" t="n">
        <v>2296.254</v>
      </c>
      <c r="Q18" s="4" t="n">
        <v>1948.6765</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20914.354</v>
      </c>
      <c r="F19" s="4" t="n">
        <v>20622.291</v>
      </c>
      <c r="G19" s="4" t="n">
        <v>15974.951</v>
      </c>
      <c r="H19" s="4" t="n">
        <v>19849.562</v>
      </c>
      <c r="I19" s="4" t="n">
        <v>22551.727</v>
      </c>
      <c r="J19" s="4" t="n">
        <v>19174.385</v>
      </c>
      <c r="K19" s="66">
        <f>SUM(E19:J19)</f>
        <v/>
      </c>
      <c r="L19" s="3" t="n">
        <v>7000.612</v>
      </c>
      <c r="M19" s="4" t="n">
        <v>7049.297</v>
      </c>
      <c r="N19" s="4" t="n">
        <v>5493.965</v>
      </c>
      <c r="O19" s="4" t="n">
        <v>6758.165</v>
      </c>
      <c r="P19" s="4" t="n">
        <v>7872.362</v>
      </c>
      <c r="Q19" s="4" t="n">
        <v>6577.571</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t="n">
        <v>20184.462</v>
      </c>
      <c r="F20" s="4" t="n">
        <v>15661.092</v>
      </c>
      <c r="G20" s="4" t="n">
        <v>15033.774</v>
      </c>
      <c r="H20" s="4" t="n">
        <v>18507.08599999999</v>
      </c>
      <c r="I20" s="4" t="n">
        <v>15964.249</v>
      </c>
      <c r="J20" s="4" t="n">
        <v>17930.66</v>
      </c>
      <c r="K20" s="66">
        <f>SUM(E20:J20)</f>
        <v/>
      </c>
      <c r="L20" s="3" t="n">
        <v>5108.648</v>
      </c>
      <c r="M20" s="4" t="n">
        <v>3852.432000000001</v>
      </c>
      <c r="N20" s="4" t="n">
        <v>3650.4535</v>
      </c>
      <c r="O20" s="4" t="n">
        <v>4782.418100000002</v>
      </c>
      <c r="P20" s="4" t="n">
        <v>3894.642999999999</v>
      </c>
      <c r="Q20" s="4" t="n">
        <v>4347.223999999999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v>1417.14</v>
      </c>
      <c r="F21" s="4" t="n">
        <v>1113.454</v>
      </c>
      <c r="G21" s="4" t="n">
        <v>1259.814</v>
      </c>
      <c r="H21" s="4" t="n">
        <v>2238.366</v>
      </c>
      <c r="I21" s="4" t="n">
        <v>2588.084</v>
      </c>
      <c r="J21" s="4" t="n">
        <v>2625.355</v>
      </c>
      <c r="K21" s="66">
        <f>SUM(E21:J21)</f>
        <v/>
      </c>
      <c r="L21" s="3" t="n">
        <v>167.721</v>
      </c>
      <c r="M21" s="4" t="n">
        <v>170.73</v>
      </c>
      <c r="N21" s="4" t="n">
        <v>101.009</v>
      </c>
      <c r="O21" s="4" t="n">
        <v>249.819</v>
      </c>
      <c r="P21" s="4" t="n">
        <v>307.28</v>
      </c>
      <c r="Q21" s="4" t="n">
        <v>265.147</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v>7.177</v>
      </c>
      <c r="F22" s="4" t="n">
        <v>0</v>
      </c>
      <c r="G22" s="4" t="n">
        <v>900</v>
      </c>
      <c r="H22" s="4" t="n">
        <v>16.8</v>
      </c>
      <c r="I22" s="4" t="n">
        <v>0</v>
      </c>
      <c r="J22" s="4" t="n">
        <v>16.8</v>
      </c>
      <c r="K22" s="66">
        <f>SUM(E22:J22)</f>
        <v/>
      </c>
      <c r="L22" s="3" t="n">
        <v>1.664</v>
      </c>
      <c r="M22" s="4" t="n">
        <v>0</v>
      </c>
      <c r="N22" s="4" t="n">
        <v>83.5</v>
      </c>
      <c r="O22" s="4" t="n">
        <v>3.8</v>
      </c>
      <c r="P22" s="4" t="n">
        <v>0</v>
      </c>
      <c r="Q22" s="4" t="n">
        <v>3.8</v>
      </c>
      <c r="R22" s="66">
        <f>SUM(L22:Q22)</f>
        <v/>
      </c>
      <c r="S22" s="138">
        <f>IF(E22=0,"***",L22/E22)</f>
        <v/>
      </c>
      <c r="T22" s="139">
        <f>IF(F22=0,"***",M22/F22)</f>
        <v/>
      </c>
      <c r="U22" s="139">
        <f>IF(G22=0,"***",N22/G22)</f>
        <v/>
      </c>
      <c r="V22" s="139">
        <f>IF(H22=0,"***",O22/H22)</f>
        <v/>
      </c>
      <c r="W22" s="139">
        <f>IF(I22=0,"***",P22/I22)</f>
        <v/>
      </c>
      <c r="X22" s="139">
        <f>IF(J22=0,"***",Q22/J22)</f>
        <v/>
      </c>
      <c r="Y22" s="140">
        <f>IF(K22=0,"***",R22/K22)</f>
        <v/>
      </c>
    </row>
    <row r="23">
      <c r="C23" s="106" t="inlineStr">
        <is>
          <t>合計</t>
        </is>
      </c>
      <c r="D23" s="107"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104" t="inlineStr">
        <is>
          <t>【参考】大海分</t>
        </is>
      </c>
      <c r="D24" s="105" t="n"/>
      <c r="E24" s="79" t="n">
        <v>2340</v>
      </c>
      <c r="F24" s="79" t="n">
        <v>2622</v>
      </c>
      <c r="G24" s="79" t="n">
        <v>3351</v>
      </c>
      <c r="H24" s="79" t="n"/>
      <c r="I24" s="79" t="n"/>
      <c r="J24" s="79" t="n"/>
      <c r="K24" s="80">
        <f>SUM(E24:J24)</f>
        <v/>
      </c>
      <c r="L24" s="81" t="n">
        <v>444</v>
      </c>
      <c r="M24" s="79" t="n">
        <v>419</v>
      </c>
      <c r="N24" s="79" t="n">
        <v>529</v>
      </c>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4">
        <f>包装資材!E41+機械!E41</f>
        <v/>
      </c>
      <c r="F41" s="4">
        <f>包装資材!F41+機械!F41</f>
        <v/>
      </c>
      <c r="G41" s="4">
        <f>包装資材!G41+機械!G41</f>
        <v/>
      </c>
      <c r="H41" s="4">
        <f>包装資材!H41+機械!H41</f>
        <v/>
      </c>
      <c r="I41" s="4">
        <f>包装資材!I41+機械!I41</f>
        <v/>
      </c>
      <c r="J41" s="4">
        <f>包装資材!J41+機械!J41</f>
        <v/>
      </c>
      <c r="K41" s="66">
        <f>SUM(E41:J41)</f>
        <v/>
      </c>
      <c r="L41" s="108">
        <f>包装資材!L41+機械!L41</f>
        <v/>
      </c>
      <c r="M41" s="4">
        <f>包装資材!M41+機械!M41</f>
        <v/>
      </c>
      <c r="N41" s="4">
        <f>包装資材!N41+機械!N41</f>
        <v/>
      </c>
      <c r="O41" s="4">
        <f>包装資材!O41+機械!O41</f>
        <v/>
      </c>
      <c r="P41" s="4">
        <f>包装資材!P41+機械!P41</f>
        <v/>
      </c>
      <c r="Q41" s="4">
        <f>包装資材!Q41+機械!Q41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4">
        <f>包装資材!E42+機械!E42</f>
        <v/>
      </c>
      <c r="F42" s="4">
        <f>包装資材!F42+機械!F42</f>
        <v/>
      </c>
      <c r="G42" s="4">
        <f>包装資材!G42+機械!G42</f>
        <v/>
      </c>
      <c r="H42" s="4">
        <f>包装資材!H42+機械!H42</f>
        <v/>
      </c>
      <c r="I42" s="4">
        <f>包装資材!I42+機械!I42</f>
        <v/>
      </c>
      <c r="J42" s="4">
        <f>包装資材!J42+機械!J42</f>
        <v/>
      </c>
      <c r="K42" s="66">
        <f>SUM(E42:J42)</f>
        <v/>
      </c>
      <c r="L42" s="108">
        <f>包装資材!L42+機械!L42</f>
        <v/>
      </c>
      <c r="M42" s="4">
        <f>包装資材!M42+機械!M42</f>
        <v/>
      </c>
      <c r="N42" s="4">
        <f>包装資材!N42+機械!N42</f>
        <v/>
      </c>
      <c r="O42" s="4">
        <f>包装資材!O42+機械!O42</f>
        <v/>
      </c>
      <c r="P42" s="4">
        <f>包装資材!P42+機械!P42</f>
        <v/>
      </c>
      <c r="Q42" s="4">
        <f>包装資材!Q42+機械!Q42</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4">
        <f>包装資材!E43+機械!E43</f>
        <v/>
      </c>
      <c r="F43" s="4">
        <f>包装資材!F43+機械!F43</f>
        <v/>
      </c>
      <c r="G43" s="4">
        <f>包装資材!G43+機械!G43</f>
        <v/>
      </c>
      <c r="H43" s="4">
        <f>包装資材!H43+機械!H43</f>
        <v/>
      </c>
      <c r="I43" s="4">
        <f>包装資材!I43+機械!I43</f>
        <v/>
      </c>
      <c r="J43" s="4">
        <f>包装資材!J43+機械!J43</f>
        <v/>
      </c>
      <c r="K43" s="66">
        <f>SUM(E43:J43)</f>
        <v/>
      </c>
      <c r="L43" s="108">
        <f>包装資材!L43+機械!L43</f>
        <v/>
      </c>
      <c r="M43" s="4">
        <f>包装資材!M43+機械!M43</f>
        <v/>
      </c>
      <c r="N43" s="4">
        <f>包装資材!N43+機械!N43</f>
        <v/>
      </c>
      <c r="O43" s="4">
        <f>包装資材!O43+機械!O43</f>
        <v/>
      </c>
      <c r="P43" s="4">
        <f>包装資材!P43+機械!P43</f>
        <v/>
      </c>
      <c r="Q43" s="4">
        <f>包装資材!Q43+機械!Q43</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4">
        <f>包装資材!E44+機械!E44</f>
        <v/>
      </c>
      <c r="F44" s="4">
        <f>包装資材!F44+機械!F44</f>
        <v/>
      </c>
      <c r="G44" s="4">
        <f>包装資材!G44+機械!G44</f>
        <v/>
      </c>
      <c r="H44" s="4">
        <f>包装資材!H44+機械!H44</f>
        <v/>
      </c>
      <c r="I44" s="4">
        <f>包装資材!I44+機械!I44</f>
        <v/>
      </c>
      <c r="J44" s="4">
        <f>包装資材!J44+機械!J44</f>
        <v/>
      </c>
      <c r="K44" s="66">
        <f>SUM(E44:J44)</f>
        <v/>
      </c>
      <c r="L44" s="108">
        <f>包装資材!L44+機械!L44</f>
        <v/>
      </c>
      <c r="M44" s="4">
        <f>包装資材!M44+機械!M44</f>
        <v/>
      </c>
      <c r="N44" s="4">
        <f>包装資材!N44+機械!N44</f>
        <v/>
      </c>
      <c r="O44" s="4">
        <f>包装資材!O44+機械!O44</f>
        <v/>
      </c>
      <c r="P44" s="4">
        <f>包装資材!P44+機械!P44</f>
        <v/>
      </c>
      <c r="Q44" s="4">
        <f>包装資材!Q44+機械!Q44</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4">
        <f>包装資材!E45+機械!E45</f>
        <v/>
      </c>
      <c r="F45" s="4">
        <f>包装資材!F45+機械!F45</f>
        <v/>
      </c>
      <c r="G45" s="4">
        <f>包装資材!G45+機械!G45</f>
        <v/>
      </c>
      <c r="H45" s="4">
        <f>包装資材!H45+機械!H45</f>
        <v/>
      </c>
      <c r="I45" s="4">
        <f>包装資材!I45+機械!I45</f>
        <v/>
      </c>
      <c r="J45" s="4">
        <f>包装資材!J45+機械!J45</f>
        <v/>
      </c>
      <c r="K45" s="66">
        <f>SUM(E45:J45)</f>
        <v/>
      </c>
      <c r="L45" s="108">
        <f>包装資材!L45+機械!L45</f>
        <v/>
      </c>
      <c r="M45" s="4">
        <f>包装資材!M45+機械!M45</f>
        <v/>
      </c>
      <c r="N45" s="4">
        <f>包装資材!N45+機械!N45</f>
        <v/>
      </c>
      <c r="O45" s="4">
        <f>包装資材!O45+機械!O45</f>
        <v/>
      </c>
      <c r="P45" s="4">
        <f>包装資材!P45+機械!P45</f>
        <v/>
      </c>
      <c r="Q45" s="4">
        <f>包装資材!Q45+機械!Q45</f>
        <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4">
        <f>包装資材!E46</f>
        <v/>
      </c>
      <c r="F46" s="4">
        <f>包装資材!F46</f>
        <v/>
      </c>
      <c r="G46" s="4">
        <f>包装資材!G46</f>
        <v/>
      </c>
      <c r="H46" s="4">
        <f>包装資材!H46</f>
        <v/>
      </c>
      <c r="I46" s="4">
        <f>包装資材!I46</f>
        <v/>
      </c>
      <c r="J46" s="4">
        <f>包装資材!J46</f>
        <v/>
      </c>
      <c r="K46" s="66">
        <f>SUM(E46:J46)</f>
        <v/>
      </c>
      <c r="L46" s="108">
        <f>包装資材!L46</f>
        <v/>
      </c>
      <c r="M46" s="108">
        <f>包装資材!M46</f>
        <v/>
      </c>
      <c r="N46" s="108">
        <f>包装資材!N46</f>
        <v/>
      </c>
      <c r="O46" s="108">
        <f>包装資材!O46</f>
        <v/>
      </c>
      <c r="P46" s="108">
        <f>包装資材!P46</f>
        <v/>
      </c>
      <c r="Q46" s="108">
        <f>包装資材!Q46</f>
        <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包装資材!E48</f>
        <v/>
      </c>
      <c r="F48" s="79">
        <f>包装資材!F48</f>
        <v/>
      </c>
      <c r="G48" s="79">
        <f>包装資材!G48</f>
        <v/>
      </c>
      <c r="H48" s="79" t="n"/>
      <c r="I48" s="79" t="n"/>
      <c r="J48" s="79" t="n"/>
      <c r="K48" s="110">
        <f>SUM(E48:J48)</f>
        <v/>
      </c>
      <c r="L48" s="109">
        <f>包装資材!L48</f>
        <v/>
      </c>
      <c r="M48" s="79">
        <f>包装資材!M48</f>
        <v/>
      </c>
      <c r="N48" s="79">
        <f>包装資材!N48</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4" t="n">
        <v>20822</v>
      </c>
      <c r="F77" s="4" t="n">
        <v>16655</v>
      </c>
      <c r="G77" s="115" t="n">
        <v>17972.437</v>
      </c>
      <c r="H77" s="4" t="n">
        <v>20354.928</v>
      </c>
      <c r="I77" s="4" t="n">
        <v>15638.502</v>
      </c>
      <c r="J77" s="4" t="n"/>
      <c r="K77" s="62">
        <f>SUM(E77:J77)</f>
        <v/>
      </c>
      <c r="L77" s="3" t="n">
        <v>5383</v>
      </c>
      <c r="M77" s="4" t="n">
        <v>4616</v>
      </c>
      <c r="N77" s="115" t="n">
        <v>4733.414</v>
      </c>
      <c r="O77" s="4" t="n">
        <v>5042.257</v>
      </c>
      <c r="P77" s="4" t="n">
        <v>3800.213</v>
      </c>
      <c r="Q77" s="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4" t="n">
        <v>12178</v>
      </c>
      <c r="F78" s="4" t="n">
        <v>8823</v>
      </c>
      <c r="G78" s="115" t="n">
        <v>13608.228</v>
      </c>
      <c r="H78" s="4" t="n">
        <v>10239.108</v>
      </c>
      <c r="I78" s="4" t="n">
        <v>7202.003</v>
      </c>
      <c r="J78" s="4" t="n"/>
      <c r="K78" s="62">
        <f>SUM(E78:J78)</f>
        <v/>
      </c>
      <c r="L78" s="3" t="n">
        <v>3649</v>
      </c>
      <c r="M78" s="4" t="n">
        <v>2821</v>
      </c>
      <c r="N78" s="115" t="n">
        <v>3615.586</v>
      </c>
      <c r="O78" s="4" t="n">
        <v>2867.92</v>
      </c>
      <c r="P78" s="4" t="n">
        <v>1771.851</v>
      </c>
      <c r="Q78" s="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4" t="n">
        <v>21658.882</v>
      </c>
      <c r="F79" s="4" t="n">
        <v>19869.827</v>
      </c>
      <c r="G79" s="115" t="n">
        <v>20302.244</v>
      </c>
      <c r="H79" s="4" t="n">
        <v>25226.055</v>
      </c>
      <c r="I79" s="4" t="n">
        <v>25406.55</v>
      </c>
      <c r="J79" s="4" t="n"/>
      <c r="K79" s="62">
        <f>SUM(E79:J79)</f>
        <v/>
      </c>
      <c r="L79" s="3" t="n">
        <v>7266.921</v>
      </c>
      <c r="M79" s="4" t="n">
        <v>6937.266</v>
      </c>
      <c r="N79" s="115" t="n">
        <v>6994.657</v>
      </c>
      <c r="O79" s="4" t="n">
        <v>8869.754000000001</v>
      </c>
      <c r="P79" s="4" t="n">
        <v>9186.766</v>
      </c>
      <c r="Q79" s="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4" t="n">
        <v>31842</v>
      </c>
      <c r="F80" s="4" t="n">
        <v>20938.857</v>
      </c>
      <c r="G80" s="115" t="n">
        <v>17774.244</v>
      </c>
      <c r="H80" s="4" t="n">
        <v>17897.513</v>
      </c>
      <c r="I80" s="4" t="n">
        <v>14206.002</v>
      </c>
      <c r="J80" s="4" t="n"/>
      <c r="K80" s="62">
        <f>SUM(E80:J80)</f>
        <v/>
      </c>
      <c r="L80" s="3" t="n">
        <v>8288</v>
      </c>
      <c r="M80" s="4" t="n">
        <v>5685.361</v>
      </c>
      <c r="N80" s="115" t="n">
        <v>5042.225</v>
      </c>
      <c r="O80" s="4" t="n">
        <v>5132.2304</v>
      </c>
      <c r="P80" s="4" t="n">
        <v>4068.284</v>
      </c>
      <c r="Q80" s="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4" t="n">
        <v>301.273</v>
      </c>
      <c r="F81" s="4" t="n">
        <v>645.178</v>
      </c>
      <c r="G81" s="115" t="n">
        <v>1039.817</v>
      </c>
      <c r="H81" s="4" t="n">
        <v>1395.511</v>
      </c>
      <c r="I81" s="4" t="n">
        <v>1093.155</v>
      </c>
      <c r="J81" s="4" t="n"/>
      <c r="K81" s="62">
        <f>SUM(E81:J81)</f>
        <v/>
      </c>
      <c r="L81" s="3" t="n">
        <v>85.867</v>
      </c>
      <c r="M81" s="4" t="n">
        <v>160.141</v>
      </c>
      <c r="N81" s="115" t="n">
        <v>135.151</v>
      </c>
      <c r="O81" s="4" t="n">
        <v>250.814</v>
      </c>
      <c r="P81" s="4" t="n">
        <v>134.96</v>
      </c>
      <c r="Q81" s="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4" t="n">
        <v>7.177</v>
      </c>
      <c r="F82" s="4" t="n">
        <v>450</v>
      </c>
      <c r="G82" s="115" t="n">
        <v>180.2</v>
      </c>
      <c r="H82" s="4" t="n">
        <v>0</v>
      </c>
      <c r="I82" s="4" t="n">
        <v>698</v>
      </c>
      <c r="J82" s="4" t="n"/>
      <c r="K82" s="62">
        <f>SUM(E82:J82)</f>
        <v/>
      </c>
      <c r="L82" s="3" t="n">
        <v>1.514</v>
      </c>
      <c r="M82" s="4" t="n">
        <v>61.1</v>
      </c>
      <c r="N82" s="115" t="n">
        <v>13.77</v>
      </c>
      <c r="O82" s="4" t="n">
        <v>0</v>
      </c>
      <c r="P82" s="4" t="n">
        <v>77.7</v>
      </c>
      <c r="Q82" s="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1883.261</v>
      </c>
      <c r="F84" s="79" t="n">
        <v>1953.135</v>
      </c>
      <c r="G84" s="114" t="n">
        <v>2151.613</v>
      </c>
      <c r="H84" s="79" t="n">
        <v>3740.955</v>
      </c>
      <c r="I84" s="79" t="n"/>
      <c r="J84" s="79" t="n"/>
      <c r="K84" s="80">
        <f>SUM(E84:J84)</f>
        <v/>
      </c>
      <c r="L84" s="81" t="n">
        <v>256.892</v>
      </c>
      <c r="M84" s="79" t="n">
        <v>273.856</v>
      </c>
      <c r="N84" s="114" t="n">
        <v>305.619</v>
      </c>
      <c r="O84" s="79" t="n">
        <v>539.554</v>
      </c>
      <c r="P84" s="79" t="n"/>
      <c r="Q84" s="79" t="n"/>
      <c r="R84" s="80">
        <f>SUM(L84:Q84)</f>
        <v/>
      </c>
      <c r="S84" s="144" t="n"/>
      <c r="T84" s="145" t="n"/>
      <c r="U84" s="145" t="n"/>
      <c r="V84" s="142">
        <f>IF(H84=0,"***",O84/H84)</f>
        <v/>
      </c>
      <c r="W84" s="142">
        <f>IF(I84=0,"***",P84/I84)</f>
        <v/>
      </c>
      <c r="X84" s="142">
        <f>IF(J84=0,"***",Q84/J84)</f>
        <v/>
      </c>
      <c r="Y84" s="143">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3">
        <f>E77-E41</f>
        <v/>
      </c>
      <c r="F89" s="4">
        <f>F77-F41</f>
        <v/>
      </c>
      <c r="G89" s="115">
        <f>G77-G41</f>
        <v/>
      </c>
      <c r="H89" s="4">
        <f>H77-H41</f>
        <v/>
      </c>
      <c r="I89" s="4">
        <f>I77-I41</f>
        <v/>
      </c>
      <c r="J89" s="4" t="n"/>
      <c r="K89" s="62">
        <f>SUM(E89:J89)</f>
        <v/>
      </c>
      <c r="L89" s="3">
        <f>L77-L41</f>
        <v/>
      </c>
      <c r="M89" s="4">
        <f>M77-M41</f>
        <v/>
      </c>
      <c r="N89" s="115">
        <f>N77-N41</f>
        <v/>
      </c>
      <c r="O89" s="4">
        <f>O77-O41</f>
        <v/>
      </c>
      <c r="P89" s="4">
        <f>P77-P41</f>
        <v/>
      </c>
      <c r="Q89" s="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3">
        <f>E78-E42</f>
        <v/>
      </c>
      <c r="F90" s="4">
        <f>F78-F42</f>
        <v/>
      </c>
      <c r="G90" s="115">
        <f>G78-G42</f>
        <v/>
      </c>
      <c r="H90" s="4">
        <f>H78-H42</f>
        <v/>
      </c>
      <c r="I90" s="4">
        <f>I78-I42</f>
        <v/>
      </c>
      <c r="J90" s="4" t="n"/>
      <c r="K90" s="62">
        <f>SUM(E90:J90)</f>
        <v/>
      </c>
      <c r="L90" s="3">
        <f>L78-L42</f>
        <v/>
      </c>
      <c r="M90" s="4">
        <f>M78-M42</f>
        <v/>
      </c>
      <c r="N90" s="115">
        <f>N78-N42</f>
        <v/>
      </c>
      <c r="O90" s="4">
        <f>O78-O42</f>
        <v/>
      </c>
      <c r="P90" s="4">
        <f>P78-P42</f>
        <v/>
      </c>
      <c r="Q90" s="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3">
        <f>E79-E43</f>
        <v/>
      </c>
      <c r="F91" s="4">
        <f>F79-F43</f>
        <v/>
      </c>
      <c r="G91" s="115">
        <f>G79-G43</f>
        <v/>
      </c>
      <c r="H91" s="4">
        <f>H79-H43</f>
        <v/>
      </c>
      <c r="I91" s="4">
        <f>I79-I43</f>
        <v/>
      </c>
      <c r="J91" s="4" t="n"/>
      <c r="K91" s="62">
        <f>SUM(E91:J91)</f>
        <v/>
      </c>
      <c r="L91" s="3">
        <f>L79-L43</f>
        <v/>
      </c>
      <c r="M91" s="4">
        <f>M79-M43</f>
        <v/>
      </c>
      <c r="N91" s="115">
        <f>N79-N43</f>
        <v/>
      </c>
      <c r="O91" s="4">
        <f>O79-O43</f>
        <v/>
      </c>
      <c r="P91" s="4">
        <f>P79-P43</f>
        <v/>
      </c>
      <c r="Q91" s="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3">
        <f>E80-E44</f>
        <v/>
      </c>
      <c r="F92" s="4">
        <f>F80-F44</f>
        <v/>
      </c>
      <c r="G92" s="115">
        <f>G80-G44</f>
        <v/>
      </c>
      <c r="H92" s="4">
        <f>H80-H44</f>
        <v/>
      </c>
      <c r="I92" s="4">
        <f>I80-I44</f>
        <v/>
      </c>
      <c r="J92" s="4" t="n"/>
      <c r="K92" s="62">
        <f>SUM(E92:J92)</f>
        <v/>
      </c>
      <c r="L92" s="3">
        <f>L80-L44</f>
        <v/>
      </c>
      <c r="M92" s="4">
        <f>M80-M44</f>
        <v/>
      </c>
      <c r="N92" s="115">
        <f>N80-N44</f>
        <v/>
      </c>
      <c r="O92" s="4">
        <f>O80-O44</f>
        <v/>
      </c>
      <c r="P92" s="4">
        <f>P80-P44</f>
        <v/>
      </c>
      <c r="Q92" s="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3">
        <f>E81-E45</f>
        <v/>
      </c>
      <c r="F93" s="4">
        <f>F81-F45</f>
        <v/>
      </c>
      <c r="G93" s="115">
        <f>G81-G45</f>
        <v/>
      </c>
      <c r="H93" s="4">
        <f>H81-H45</f>
        <v/>
      </c>
      <c r="I93" s="4">
        <f>I81-I45</f>
        <v/>
      </c>
      <c r="J93" s="4" t="n"/>
      <c r="K93" s="62">
        <f>SUM(E93:J93)</f>
        <v/>
      </c>
      <c r="L93" s="3">
        <f>L81-L45</f>
        <v/>
      </c>
      <c r="M93" s="4">
        <f>M81-M45</f>
        <v/>
      </c>
      <c r="N93" s="115">
        <f>N81-N45</f>
        <v/>
      </c>
      <c r="O93" s="4">
        <f>O81-O45</f>
        <v/>
      </c>
      <c r="P93" s="4">
        <f>P81-P45</f>
        <v/>
      </c>
      <c r="Q93" s="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3">
        <f>E82-E46</f>
        <v/>
      </c>
      <c r="F94" s="4">
        <f>F82-F46</f>
        <v/>
      </c>
      <c r="G94" s="115">
        <f>G82-G46</f>
        <v/>
      </c>
      <c r="H94" s="4">
        <f>H82-H46</f>
        <v/>
      </c>
      <c r="I94" s="4">
        <f>I82-I46</f>
        <v/>
      </c>
      <c r="J94" s="4" t="n"/>
      <c r="K94" s="62">
        <f>SUM(E94:J94)</f>
        <v/>
      </c>
      <c r="L94" s="3">
        <f>L82-L46</f>
        <v/>
      </c>
      <c r="M94" s="4">
        <f>M82-M46</f>
        <v/>
      </c>
      <c r="N94" s="115">
        <f>N82-N46</f>
        <v/>
      </c>
      <c r="O94" s="4">
        <f>O82-O46</f>
        <v/>
      </c>
      <c r="P94" s="4">
        <f>P82-P46</f>
        <v/>
      </c>
      <c r="Q94" s="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74">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5">
        <f>E84-E48</f>
        <v/>
      </c>
      <c r="F96" s="6">
        <f>F84-F48</f>
        <v/>
      </c>
      <c r="G96" s="117">
        <f>G84-G48</f>
        <v/>
      </c>
      <c r="H96" s="6" t="n"/>
      <c r="I96" s="6" t="n"/>
      <c r="J96" s="6" t="n"/>
      <c r="K96" s="93">
        <f>SUM(E96:J96)</f>
        <v/>
      </c>
      <c r="L96" s="5">
        <f>L84-L48</f>
        <v/>
      </c>
      <c r="M96" s="6">
        <f>M84-M48</f>
        <v/>
      </c>
      <c r="N96" s="117">
        <f>N84-N48</f>
        <v/>
      </c>
      <c r="O96" s="6" t="n"/>
      <c r="P96" s="6" t="n"/>
      <c r="Q96" s="6"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4">
        <f>E77-E17</f>
        <v/>
      </c>
      <c r="F101" s="4">
        <f>F77-F17</f>
        <v/>
      </c>
      <c r="G101" s="115">
        <f>G77-G17</f>
        <v/>
      </c>
      <c r="H101" s="4">
        <f>H77-H17</f>
        <v/>
      </c>
      <c r="I101" s="4">
        <f>I77-I17</f>
        <v/>
      </c>
      <c r="J101" s="4" t="n"/>
      <c r="K101" s="62">
        <f>SUM(E101:J101)</f>
        <v/>
      </c>
      <c r="L101" s="73">
        <f>L77-L17</f>
        <v/>
      </c>
      <c r="M101" s="4">
        <f>M77-M17</f>
        <v/>
      </c>
      <c r="N101" s="115">
        <f>N77-N17</f>
        <v/>
      </c>
      <c r="O101" s="4">
        <f>O77-O17</f>
        <v/>
      </c>
      <c r="P101" s="4">
        <f>P77-P17</f>
        <v/>
      </c>
      <c r="Q101" s="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4">
        <f>E78-E18</f>
        <v/>
      </c>
      <c r="F102" s="4">
        <f>F78-F18</f>
        <v/>
      </c>
      <c r="G102" s="115">
        <f>G78-G18</f>
        <v/>
      </c>
      <c r="H102" s="4">
        <f>H78-H18</f>
        <v/>
      </c>
      <c r="I102" s="4">
        <f>I78-I18</f>
        <v/>
      </c>
      <c r="J102" s="4" t="n"/>
      <c r="K102" s="62">
        <f>SUM(E102:J102)</f>
        <v/>
      </c>
      <c r="L102" s="3">
        <f>L78-L18</f>
        <v/>
      </c>
      <c r="M102" s="4">
        <f>M78-M18</f>
        <v/>
      </c>
      <c r="N102" s="115">
        <f>N78-N18</f>
        <v/>
      </c>
      <c r="O102" s="4">
        <f>O78-O18</f>
        <v/>
      </c>
      <c r="P102" s="4">
        <f>P78-P18</f>
        <v/>
      </c>
      <c r="Q102" s="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4">
        <f>E79-E19</f>
        <v/>
      </c>
      <c r="F103" s="4">
        <f>F79-F19</f>
        <v/>
      </c>
      <c r="G103" s="115">
        <f>G79-G19</f>
        <v/>
      </c>
      <c r="H103" s="4">
        <f>H79-H19</f>
        <v/>
      </c>
      <c r="I103" s="4">
        <f>I79-I19</f>
        <v/>
      </c>
      <c r="J103" s="4" t="n"/>
      <c r="K103" s="62">
        <f>SUM(E103:J103)</f>
        <v/>
      </c>
      <c r="L103" s="3">
        <f>L79-L19</f>
        <v/>
      </c>
      <c r="M103" s="4">
        <f>M79-M19</f>
        <v/>
      </c>
      <c r="N103" s="115">
        <f>N79-N19</f>
        <v/>
      </c>
      <c r="O103" s="4">
        <f>O79-O19</f>
        <v/>
      </c>
      <c r="P103" s="4">
        <f>P79-P19</f>
        <v/>
      </c>
      <c r="Q103" s="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4">
        <f>E80-E20</f>
        <v/>
      </c>
      <c r="F104" s="4">
        <f>F80-F20</f>
        <v/>
      </c>
      <c r="G104" s="115">
        <f>G80-G20</f>
        <v/>
      </c>
      <c r="H104" s="4">
        <f>H80-H20</f>
        <v/>
      </c>
      <c r="I104" s="4">
        <f>I80-I20</f>
        <v/>
      </c>
      <c r="J104" s="4" t="n"/>
      <c r="K104" s="62">
        <f>SUM(E104:J104)</f>
        <v/>
      </c>
      <c r="L104" s="3">
        <f>L80-L20</f>
        <v/>
      </c>
      <c r="M104" s="4">
        <f>M80-M20</f>
        <v/>
      </c>
      <c r="N104" s="115">
        <f>N80-N20</f>
        <v/>
      </c>
      <c r="O104" s="4">
        <f>O80-O20</f>
        <v/>
      </c>
      <c r="P104" s="4">
        <f>P80-P20</f>
        <v/>
      </c>
      <c r="Q104" s="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4">
        <f>E81-E21</f>
        <v/>
      </c>
      <c r="F105" s="4">
        <f>F81-F21</f>
        <v/>
      </c>
      <c r="G105" s="115">
        <f>G81-G21</f>
        <v/>
      </c>
      <c r="H105" s="4">
        <f>H81-H21</f>
        <v/>
      </c>
      <c r="I105" s="4">
        <f>I81-I21</f>
        <v/>
      </c>
      <c r="J105" s="4" t="n"/>
      <c r="K105" s="62">
        <f>SUM(E105:J105)</f>
        <v/>
      </c>
      <c r="L105" s="3">
        <f>L81-L21</f>
        <v/>
      </c>
      <c r="M105" s="4">
        <f>M81-M21</f>
        <v/>
      </c>
      <c r="N105" s="115">
        <f>N81-N21</f>
        <v/>
      </c>
      <c r="O105" s="4">
        <f>O81-O21</f>
        <v/>
      </c>
      <c r="P105" s="4">
        <f>P81-P21</f>
        <v/>
      </c>
      <c r="Q105" s="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4">
        <f>E82-E22</f>
        <v/>
      </c>
      <c r="F106" s="4">
        <f>F82-F22</f>
        <v/>
      </c>
      <c r="G106" s="115">
        <f>G82-G22</f>
        <v/>
      </c>
      <c r="H106" s="4">
        <f>H82-H22</f>
        <v/>
      </c>
      <c r="I106" s="4">
        <f>I82-I22</f>
        <v/>
      </c>
      <c r="J106" s="4" t="n"/>
      <c r="K106" s="62">
        <f>SUM(E106:J106)</f>
        <v/>
      </c>
      <c r="L106" s="3">
        <f>L82-L22</f>
        <v/>
      </c>
      <c r="M106" s="4">
        <f>M82-M22</f>
        <v/>
      </c>
      <c r="N106" s="115">
        <f>N82-N22</f>
        <v/>
      </c>
      <c r="O106" s="4">
        <f>O82-O22</f>
        <v/>
      </c>
      <c r="P106" s="4">
        <f>P82-P22</f>
        <v/>
      </c>
      <c r="Q106" s="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74">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6">
        <f>E84-E24</f>
        <v/>
      </c>
      <c r="F108" s="6">
        <f>F84-F24</f>
        <v/>
      </c>
      <c r="G108" s="117">
        <f>G84-G24</f>
        <v/>
      </c>
      <c r="H108" s="6" t="n"/>
      <c r="I108" s="6" t="n"/>
      <c r="J108" s="6" t="n"/>
      <c r="K108" s="93">
        <f>SUM(E108:J108)</f>
        <v/>
      </c>
      <c r="L108" s="5">
        <f>L84-L24</f>
        <v/>
      </c>
      <c r="M108" s="6">
        <f>M84-M24</f>
        <v/>
      </c>
      <c r="N108" s="117">
        <f>N84-N24</f>
        <v/>
      </c>
      <c r="O108" s="6" t="n"/>
      <c r="P108" s="6" t="n"/>
      <c r="Q108" s="6"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4.xml><?xml version="1.0" encoding="utf-8"?>
<worksheet xmlns="http://schemas.openxmlformats.org/spreadsheetml/2006/main">
  <sheetPr>
    <outlinePr summaryBelow="1" summaryRight="1"/>
    <pageSetUpPr fitToPage="1"/>
  </sheetPr>
  <dimension ref="D1:U33"/>
  <sheetViews>
    <sheetView workbookViewId="0">
      <selection activeCell="J31" sqref="I31:J31"/>
    </sheetView>
  </sheetViews>
  <sheetFormatPr baseColWidth="8" defaultColWidth="8.875" defaultRowHeight="18.75"/>
  <cols>
    <col width="1.625" customWidth="1" style="127" min="4" max="5"/>
    <col width="75.125" bestFit="1" customWidth="1" style="127" min="21" max="21"/>
  </cols>
  <sheetData>
    <row r="1" ht="21.75" customHeight="1" s="127">
      <c r="D1" s="126" t="inlineStr">
        <is>
          <t>石見営業所51期下期予算について</t>
        </is>
      </c>
    </row>
    <row r="3">
      <c r="D3" s="32" t="inlineStr">
        <is>
          <t>管理職の業務は数字責任と人材育成です。なので営業所全体の目標達成に取り組みます。</t>
        </is>
      </c>
      <c r="E3" s="33" t="n"/>
      <c r="F3" s="33" t="n"/>
      <c r="G3" s="33" t="n"/>
      <c r="H3" s="33" t="n"/>
      <c r="I3" s="33" t="n"/>
      <c r="J3" s="33" t="n"/>
      <c r="K3" s="33" t="n"/>
      <c r="L3" s="33" t="n"/>
      <c r="M3" s="33" t="n"/>
      <c r="N3" s="33" t="n"/>
      <c r="O3" s="33" t="n"/>
      <c r="P3" s="33" t="n"/>
      <c r="Q3" s="33" t="n"/>
      <c r="R3" s="33" t="n"/>
      <c r="S3" s="33" t="n"/>
      <c r="T3" s="33" t="n"/>
      <c r="U3" s="34" t="n"/>
    </row>
    <row r="4">
      <c r="D4" s="35" t="inlineStr">
        <is>
          <t>所長は予算の過年度平均増加分の人員からは外した上で、営業所全体で計画を作成ます。その営業所全体の予算から所長含めて営業担当に配分するようにお願いします。</t>
        </is>
      </c>
      <c r="U4" s="50" t="n"/>
    </row>
    <row r="5">
      <c r="D5" s="36" t="n"/>
      <c r="E5" s="48" t="n"/>
      <c r="F5" s="48" t="n"/>
      <c r="G5" s="48" t="n"/>
      <c r="H5" s="48" t="n"/>
      <c r="I5" s="48" t="n"/>
      <c r="J5" s="48" t="n"/>
      <c r="K5" s="48" t="n"/>
      <c r="L5" s="48" t="n"/>
      <c r="M5" s="48" t="n"/>
      <c r="N5" s="48" t="n"/>
      <c r="O5" s="48" t="n"/>
      <c r="P5" s="48" t="n"/>
      <c r="Q5" s="48" t="n"/>
      <c r="R5" s="48" t="n"/>
      <c r="S5" s="48" t="n"/>
      <c r="T5" s="48" t="n"/>
      <c r="U5" s="49" t="n"/>
    </row>
    <row r="7" hidden="1" s="127">
      <c r="D7" s="121" t="n"/>
      <c r="E7" s="129" t="n"/>
      <c r="F7" s="130" t="n"/>
      <c r="G7" s="134" t="inlineStr">
        <is>
          <t>2024年4～9月</t>
        </is>
      </c>
      <c r="H7" s="135" t="n"/>
      <c r="I7" s="136" t="n"/>
      <c r="J7" s="124" t="inlineStr">
        <is>
          <t>2025年4～9月</t>
        </is>
      </c>
      <c r="K7" s="135" t="n"/>
      <c r="L7" s="137" t="n"/>
      <c r="M7" s="134" t="inlineStr">
        <is>
          <t>過年度平均</t>
        </is>
      </c>
      <c r="N7" s="135" t="n"/>
      <c r="O7" s="136" t="n"/>
      <c r="P7" s="124" t="inlineStr">
        <is>
          <t>計画</t>
        </is>
      </c>
      <c r="Q7" s="135" t="n"/>
      <c r="R7" s="135" t="n"/>
      <c r="S7" s="135" t="n"/>
      <c r="T7" s="137" t="n"/>
      <c r="U7" s="124" t="inlineStr">
        <is>
          <t>根拠</t>
        </is>
      </c>
    </row>
    <row r="8" hidden="1" s="127">
      <c r="D8" s="131" t="n"/>
      <c r="E8" s="132" t="n"/>
      <c r="F8" s="133" t="n"/>
      <c r="G8" s="44" t="inlineStr">
        <is>
          <t>売上</t>
        </is>
      </c>
      <c r="H8" s="45" t="inlineStr">
        <is>
          <t>粗利益</t>
        </is>
      </c>
      <c r="I8" s="46" t="inlineStr">
        <is>
          <t>粗利益率</t>
        </is>
      </c>
      <c r="J8" s="44" t="inlineStr">
        <is>
          <t>売上</t>
        </is>
      </c>
      <c r="K8" s="45" t="inlineStr">
        <is>
          <t>粗利益</t>
        </is>
      </c>
      <c r="L8" s="46" t="inlineStr">
        <is>
          <t>粗利益率</t>
        </is>
      </c>
      <c r="M8" s="44" t="inlineStr">
        <is>
          <t>売上</t>
        </is>
      </c>
      <c r="N8" s="45" t="inlineStr">
        <is>
          <t>粗利益</t>
        </is>
      </c>
      <c r="O8" s="46" t="inlineStr">
        <is>
          <t>粗利益率</t>
        </is>
      </c>
      <c r="P8" s="44" t="inlineStr">
        <is>
          <t>売上</t>
        </is>
      </c>
      <c r="Q8" s="45" t="inlineStr">
        <is>
          <t>粗利益</t>
        </is>
      </c>
      <c r="R8" s="47" t="inlineStr">
        <is>
          <t>粗利益率</t>
        </is>
      </c>
      <c r="S8" s="47" t="inlineStr">
        <is>
          <t>売上年率</t>
        </is>
      </c>
      <c r="T8" s="46" t="inlineStr">
        <is>
          <t>粗利益年率</t>
        </is>
      </c>
      <c r="U8" s="125" t="n"/>
    </row>
    <row r="9" hidden="1" s="127">
      <c r="D9" s="32" t="inlineStr">
        <is>
          <t>石見営業所</t>
        </is>
      </c>
      <c r="E9" s="33" t="n"/>
      <c r="F9" s="34" t="n"/>
      <c r="G9" s="39" t="n">
        <v>394082.748</v>
      </c>
      <c r="H9" s="40" t="n">
        <v>105550.1192</v>
      </c>
      <c r="I9" s="159">
        <f>H9/G9</f>
        <v/>
      </c>
      <c r="J9" s="39" t="n">
        <v>411330.562</v>
      </c>
      <c r="K9" s="40" t="n">
        <v>107084.917</v>
      </c>
      <c r="L9" s="159">
        <f>K9/J9</f>
        <v/>
      </c>
      <c r="M9" s="39">
        <f>(G9+J9)/2</f>
        <v/>
      </c>
      <c r="N9" s="40">
        <f>(H9+K9)/2</f>
        <v/>
      </c>
      <c r="O9" s="159">
        <f>N9/M9</f>
        <v/>
      </c>
      <c r="P9" s="39">
        <f>P10+P13</f>
        <v/>
      </c>
      <c r="Q9" s="40">
        <f>Q10+Q13</f>
        <v/>
      </c>
      <c r="R9" s="160">
        <f>Q9/P9</f>
        <v/>
      </c>
      <c r="S9" s="160">
        <f>P9/J9-1</f>
        <v/>
      </c>
      <c r="T9" s="159">
        <f>Q9/K9-1</f>
        <v/>
      </c>
      <c r="U9" s="43" t="n"/>
    </row>
    <row r="10" hidden="1" s="127">
      <c r="D10" s="35" t="n"/>
      <c r="E10" s="28" t="inlineStr">
        <is>
          <t>営業</t>
        </is>
      </c>
      <c r="F10" s="29" t="n"/>
      <c r="G10" s="3">
        <f>G9-G13</f>
        <v/>
      </c>
      <c r="H10" s="4">
        <f>H9-H13</f>
        <v/>
      </c>
      <c r="I10" s="161">
        <f>H10/G10</f>
        <v/>
      </c>
      <c r="J10" s="3">
        <f>J9-J13</f>
        <v/>
      </c>
      <c r="K10" s="4">
        <f>K9-K13</f>
        <v/>
      </c>
      <c r="L10" s="161">
        <f>K10/J10</f>
        <v/>
      </c>
      <c r="M10" s="3">
        <f>(G10+J10)/2</f>
        <v/>
      </c>
      <c r="N10" s="4">
        <f>(H10+K10)/2</f>
        <v/>
      </c>
      <c r="O10" s="161">
        <f>N10/M10</f>
        <v/>
      </c>
      <c r="P10" s="3">
        <f>P11+P12</f>
        <v/>
      </c>
      <c r="Q10" s="4">
        <f>Q11+Q12</f>
        <v/>
      </c>
      <c r="R10" s="162">
        <f>Q10/P10</f>
        <v/>
      </c>
      <c r="S10" s="162">
        <f>P10/J10-1</f>
        <v/>
      </c>
      <c r="T10" s="161">
        <f>Q10/K10-1</f>
        <v/>
      </c>
      <c r="U10" s="23" t="n"/>
    </row>
    <row r="11" hidden="1" s="127">
      <c r="D11" s="35" t="n"/>
      <c r="E11" s="30" t="n"/>
      <c r="F11" s="27" t="inlineStr">
        <is>
          <t>包装資材</t>
        </is>
      </c>
      <c r="G11" s="3">
        <f>G10-G12</f>
        <v/>
      </c>
      <c r="H11" s="4">
        <f>H10-H12</f>
        <v/>
      </c>
      <c r="I11" s="161">
        <f>H11/G11</f>
        <v/>
      </c>
      <c r="J11" s="3">
        <f>J10-J12</f>
        <v/>
      </c>
      <c r="K11" s="4">
        <f>K10-K12</f>
        <v/>
      </c>
      <c r="L11" s="161">
        <f>K11/J11</f>
        <v/>
      </c>
      <c r="M11" s="3">
        <f>(G11+J11)/2</f>
        <v/>
      </c>
      <c r="N11" s="4">
        <f>(H11+K11)/2</f>
        <v/>
      </c>
      <c r="O11" s="161">
        <f>N11/M11</f>
        <v/>
      </c>
      <c r="P11" s="3" t="n">
        <v>397530</v>
      </c>
      <c r="Q11" s="4" t="n">
        <v>107330</v>
      </c>
      <c r="R11" s="162">
        <f>Q11/P11</f>
        <v/>
      </c>
      <c r="S11" s="162">
        <f>P11/J11-1</f>
        <v/>
      </c>
      <c r="T11" s="161">
        <f>Q11/K11-1</f>
        <v/>
      </c>
      <c r="U11" s="51" t="inlineStr">
        <is>
          <t>所長除く営業4名売上過年度平均＋1,000の粗利益率過年度平均スライド</t>
        </is>
      </c>
    </row>
    <row r="12" hidden="1" s="127">
      <c r="D12" s="35" t="n"/>
      <c r="E12" s="30" t="n"/>
      <c r="F12" s="31" t="inlineStr">
        <is>
          <t>機械</t>
        </is>
      </c>
      <c r="G12" s="3" t="n">
        <v>17634</v>
      </c>
      <c r="H12" s="4" t="n">
        <v>3136</v>
      </c>
      <c r="I12" s="161">
        <f>H12/G12</f>
        <v/>
      </c>
      <c r="J12" s="3" t="n">
        <v>26555</v>
      </c>
      <c r="K12" s="4" t="n">
        <v>5111</v>
      </c>
      <c r="L12" s="161">
        <f>K12/J12</f>
        <v/>
      </c>
      <c r="M12" s="3">
        <f>(G12+J12)/2</f>
        <v/>
      </c>
      <c r="N12" s="4">
        <f>(H12+K12)/2</f>
        <v/>
      </c>
      <c r="O12" s="161">
        <f>N12/M12</f>
        <v/>
      </c>
      <c r="P12" s="3" t="n">
        <v>24000</v>
      </c>
      <c r="Q12" s="4" t="n">
        <v>3840</v>
      </c>
      <c r="R12" s="162">
        <f>Q12/P12</f>
        <v/>
      </c>
      <c r="S12" s="162">
        <f>P12/J12-1</f>
        <v/>
      </c>
      <c r="T12" s="161">
        <f>Q12/K12-1</f>
        <v/>
      </c>
      <c r="U12" s="52" t="inlineStr">
        <is>
          <t>所長除く営業4名1000/160（16％）で毎月機械メンテナンス在</t>
        </is>
      </c>
    </row>
    <row r="13" hidden="1" s="127">
      <c r="D13" s="36" t="n"/>
      <c r="E13" s="37" t="inlineStr">
        <is>
          <t>自治体</t>
        </is>
      </c>
      <c r="F13" s="38" t="n"/>
      <c r="G13" s="5" t="n">
        <v>7337</v>
      </c>
      <c r="H13" s="6" t="n">
        <v>1577</v>
      </c>
      <c r="I13" s="163">
        <f>H13/G13</f>
        <v/>
      </c>
      <c r="J13" s="5" t="n">
        <v>6820</v>
      </c>
      <c r="K13" s="6" t="n">
        <v>851</v>
      </c>
      <c r="L13" s="163">
        <f>K13/J13</f>
        <v/>
      </c>
      <c r="M13" s="5">
        <f>(G13+J13)/2</f>
        <v/>
      </c>
      <c r="N13" s="6">
        <f>(H13+K13)/2</f>
        <v/>
      </c>
      <c r="O13" s="163">
        <f>N13/M13</f>
        <v/>
      </c>
      <c r="P13" s="5" t="n">
        <v>10000</v>
      </c>
      <c r="Q13" s="6" t="n">
        <v>1600</v>
      </c>
      <c r="R13" s="164">
        <f>Q13/P13</f>
        <v/>
      </c>
      <c r="S13" s="164">
        <f>P13/J13-1</f>
        <v/>
      </c>
      <c r="T13" s="163">
        <f>Q13/K13-1</f>
        <v/>
      </c>
      <c r="U13" s="24" t="n"/>
    </row>
    <row r="15">
      <c r="D15" s="121" t="n"/>
      <c r="E15" s="129" t="n"/>
      <c r="F15" s="130" t="n"/>
      <c r="G15" s="134" t="inlineStr">
        <is>
          <t>2024年4～9月</t>
        </is>
      </c>
      <c r="H15" s="135" t="n"/>
      <c r="I15" s="136" t="n"/>
      <c r="J15" s="124" t="inlineStr">
        <is>
          <t>2025年4～9月</t>
        </is>
      </c>
      <c r="K15" s="135" t="n"/>
      <c r="L15" s="137" t="n"/>
      <c r="M15" s="134" t="inlineStr">
        <is>
          <t>過年度平均</t>
        </is>
      </c>
      <c r="N15" s="135" t="n"/>
      <c r="O15" s="136" t="n"/>
      <c r="P15" s="124" t="inlineStr">
        <is>
          <t>計画</t>
        </is>
      </c>
      <c r="Q15" s="135" t="n"/>
      <c r="R15" s="135" t="n"/>
      <c r="S15" s="135" t="n"/>
      <c r="T15" s="137" t="n"/>
      <c r="U15" s="124" t="inlineStr">
        <is>
          <t>根拠</t>
        </is>
      </c>
    </row>
    <row r="16">
      <c r="D16" s="131" t="n"/>
      <c r="E16" s="132" t="n"/>
      <c r="F16" s="133" t="n"/>
      <c r="G16" s="44" t="inlineStr">
        <is>
          <t>売上</t>
        </is>
      </c>
      <c r="H16" s="45" t="inlineStr">
        <is>
          <t>粗利益</t>
        </is>
      </c>
      <c r="I16" s="46" t="inlineStr">
        <is>
          <t>粗利益率</t>
        </is>
      </c>
      <c r="J16" s="44" t="inlineStr">
        <is>
          <t>売上</t>
        </is>
      </c>
      <c r="K16" s="45" t="inlineStr">
        <is>
          <t>粗利益</t>
        </is>
      </c>
      <c r="L16" s="46" t="inlineStr">
        <is>
          <t>粗利益率</t>
        </is>
      </c>
      <c r="M16" s="44" t="inlineStr">
        <is>
          <t>売上</t>
        </is>
      </c>
      <c r="N16" s="45" t="inlineStr">
        <is>
          <t>粗利益</t>
        </is>
      </c>
      <c r="O16" s="46" t="inlineStr">
        <is>
          <t>粗利益率</t>
        </is>
      </c>
      <c r="P16" s="44" t="inlineStr">
        <is>
          <t>売上</t>
        </is>
      </c>
      <c r="Q16" s="45" t="inlineStr">
        <is>
          <t>粗利益</t>
        </is>
      </c>
      <c r="R16" s="47" t="inlineStr">
        <is>
          <t>粗利益率</t>
        </is>
      </c>
      <c r="S16" s="47" t="inlineStr">
        <is>
          <t>売上年率</t>
        </is>
      </c>
      <c r="T16" s="46" t="inlineStr">
        <is>
          <t>粗利益年率</t>
        </is>
      </c>
      <c r="U16" s="125" t="n"/>
    </row>
    <row r="17">
      <c r="D17" s="32" t="inlineStr">
        <is>
          <t>石見営業所</t>
        </is>
      </c>
      <c r="E17" s="33" t="n"/>
      <c r="F17" s="34" t="n"/>
      <c r="G17" s="39" t="n">
        <v>394082.748</v>
      </c>
      <c r="H17" s="40" t="n">
        <v>105550.1192</v>
      </c>
      <c r="I17" s="159">
        <f>H17/G17</f>
        <v/>
      </c>
      <c r="J17" s="39" t="n">
        <v>411330.562</v>
      </c>
      <c r="K17" s="40" t="n">
        <v>107084.917</v>
      </c>
      <c r="L17" s="159">
        <f>K17/J17</f>
        <v/>
      </c>
      <c r="M17" s="39">
        <f>(G17+J17)/2</f>
        <v/>
      </c>
      <c r="N17" s="40">
        <f>(H17+K17)/2</f>
        <v/>
      </c>
      <c r="O17" s="159">
        <f>N17/M17</f>
        <v/>
      </c>
      <c r="P17" s="39">
        <f>P18+P21</f>
        <v/>
      </c>
      <c r="Q17" s="40">
        <f>Q18+Q21</f>
        <v/>
      </c>
      <c r="R17" s="160">
        <f>Q17/P17</f>
        <v/>
      </c>
      <c r="S17" s="160">
        <f>P17/J17-1</f>
        <v/>
      </c>
      <c r="T17" s="159">
        <f>Q17/K17-1</f>
        <v/>
      </c>
      <c r="U17" s="43" t="inlineStr">
        <is>
          <t>課長/担当者ともに難易度1.0</t>
        </is>
      </c>
    </row>
    <row r="18">
      <c r="D18" s="35" t="n"/>
      <c r="E18" s="28" t="inlineStr">
        <is>
          <t>営業</t>
        </is>
      </c>
      <c r="F18" s="29" t="n"/>
      <c r="G18" s="3">
        <f>G17-G21</f>
        <v/>
      </c>
      <c r="H18" s="4">
        <f>H17-H21</f>
        <v/>
      </c>
      <c r="I18" s="161">
        <f>H18/G18</f>
        <v/>
      </c>
      <c r="J18" s="3">
        <f>J17-J21</f>
        <v/>
      </c>
      <c r="K18" s="4">
        <f>K17-K21</f>
        <v/>
      </c>
      <c r="L18" s="161">
        <f>K18/J18</f>
        <v/>
      </c>
      <c r="M18" s="3">
        <f>(G18+J18)/2</f>
        <v/>
      </c>
      <c r="N18" s="4">
        <f>(H18+K18)/2</f>
        <v/>
      </c>
      <c r="O18" s="161">
        <f>N18/M18</f>
        <v/>
      </c>
      <c r="P18" s="3">
        <f>P19+P20</f>
        <v/>
      </c>
      <c r="Q18" s="4">
        <f>Q19+Q20</f>
        <v/>
      </c>
      <c r="R18" s="162">
        <f>Q18/P18</f>
        <v/>
      </c>
      <c r="S18" s="162">
        <f>P18/J18-1</f>
        <v/>
      </c>
      <c r="T18" s="161">
        <f>Q18/K18-1</f>
        <v/>
      </c>
      <c r="U18" s="23" t="n"/>
    </row>
    <row r="19">
      <c r="D19" s="35" t="n"/>
      <c r="E19" s="30" t="n"/>
      <c r="F19" s="27" t="inlineStr">
        <is>
          <t>包装資材</t>
        </is>
      </c>
      <c r="G19" s="3">
        <f>G18-G20</f>
        <v/>
      </c>
      <c r="H19" s="4">
        <f>H18-H20</f>
        <v/>
      </c>
      <c r="I19" s="161">
        <f>H19/G19</f>
        <v/>
      </c>
      <c r="J19" s="3">
        <f>J18-J20</f>
        <v/>
      </c>
      <c r="K19" s="4">
        <f>K18-K20</f>
        <v/>
      </c>
      <c r="L19" s="161">
        <f>K19/J19</f>
        <v/>
      </c>
      <c r="M19" s="3">
        <f>(G19+J19)/2</f>
        <v/>
      </c>
      <c r="N19" s="4">
        <f>(H19+K19)/2</f>
        <v/>
      </c>
      <c r="O19" s="161">
        <f>N19/M19</f>
        <v/>
      </c>
      <c r="P19" s="3" t="n">
        <v>403530</v>
      </c>
      <c r="Q19" s="4" t="n">
        <v>110090</v>
      </c>
      <c r="R19" s="162">
        <f>Q19/P19</f>
        <v/>
      </c>
      <c r="S19" s="162">
        <f>P19/J19-1</f>
        <v/>
      </c>
      <c r="T19" s="161">
        <f>Q19/K19-1</f>
        <v/>
      </c>
      <c r="U19" s="51" t="inlineStr">
        <is>
          <t>所長除く営業4名売上過年度平均(課長+1,000)(課長以外＋500)の粗利益率過年度平均スライド</t>
        </is>
      </c>
    </row>
    <row r="20">
      <c r="D20" s="35" t="n"/>
      <c r="E20" s="30" t="n"/>
      <c r="F20" s="31" t="inlineStr">
        <is>
          <t>機械</t>
        </is>
      </c>
      <c r="G20" s="3" t="n">
        <v>17634</v>
      </c>
      <c r="H20" s="4" t="n">
        <v>3136</v>
      </c>
      <c r="I20" s="161">
        <f>H20/G20</f>
        <v/>
      </c>
      <c r="J20" s="3" t="n">
        <v>26555</v>
      </c>
      <c r="K20" s="4" t="n">
        <v>5111</v>
      </c>
      <c r="L20" s="161">
        <f>K20/J20</f>
        <v/>
      </c>
      <c r="M20" s="3">
        <f>(G20+J20)/2</f>
        <v/>
      </c>
      <c r="N20" s="4">
        <f>(H20+K20)/2</f>
        <v/>
      </c>
      <c r="O20" s="161">
        <f>N20/M20</f>
        <v/>
      </c>
      <c r="P20" s="3">
        <f>機械!K47</f>
        <v/>
      </c>
      <c r="Q20" s="4">
        <f>機械!R47</f>
        <v/>
      </c>
      <c r="R20" s="162">
        <f>Q20/P20</f>
        <v/>
      </c>
      <c r="S20" s="162">
        <f>P20/J20-1</f>
        <v/>
      </c>
      <c r="T20" s="161">
        <f>Q20/K20-1</f>
        <v/>
      </c>
      <c r="U20" s="52" t="inlineStr">
        <is>
          <t>所長除く営業4名1000/160（16％）で毎月機械メンテナンス在</t>
        </is>
      </c>
    </row>
    <row r="21">
      <c r="D21" s="36" t="n"/>
      <c r="E21" s="37" t="inlineStr">
        <is>
          <t>自治体</t>
        </is>
      </c>
      <c r="F21" s="38" t="n"/>
      <c r="G21" s="5" t="n">
        <v>7337</v>
      </c>
      <c r="H21" s="6" t="n">
        <v>1577</v>
      </c>
      <c r="I21" s="163">
        <f>H21/G21</f>
        <v/>
      </c>
      <c r="J21" s="5" t="n">
        <v>6820</v>
      </c>
      <c r="K21" s="6" t="n">
        <v>851</v>
      </c>
      <c r="L21" s="163">
        <f>K21/J21</f>
        <v/>
      </c>
      <c r="M21" s="5">
        <f>(G21+J21)/2</f>
        <v/>
      </c>
      <c r="N21" s="6">
        <f>(H21+K21)/2</f>
        <v/>
      </c>
      <c r="O21" s="163">
        <f>N21/M21</f>
        <v/>
      </c>
      <c r="P21" s="5">
        <f>包装資材!K46</f>
        <v/>
      </c>
      <c r="Q21" s="6">
        <f>包装資材!R46</f>
        <v/>
      </c>
      <c r="R21" s="164">
        <f>Q21/P21</f>
        <v/>
      </c>
      <c r="S21" s="164">
        <f>P21/J21-1</f>
        <v/>
      </c>
      <c r="T21" s="163">
        <f>Q21/K21-1</f>
        <v/>
      </c>
      <c r="U21" s="24" t="n"/>
    </row>
    <row r="23">
      <c r="D23" s="121" t="inlineStr">
        <is>
          <t>大海除き</t>
        </is>
      </c>
      <c r="E23" s="129" t="n"/>
      <c r="F23" s="130" t="n"/>
      <c r="G23" s="134" t="inlineStr">
        <is>
          <t>2024年4～9月</t>
        </is>
      </c>
      <c r="H23" s="135" t="n"/>
      <c r="I23" s="136" t="n"/>
      <c r="J23" s="124" t="inlineStr">
        <is>
          <t>2025年4～9月</t>
        </is>
      </c>
      <c r="K23" s="135" t="n"/>
      <c r="L23" s="137" t="n"/>
      <c r="M23" s="134" t="inlineStr">
        <is>
          <t>過年度平均</t>
        </is>
      </c>
      <c r="N23" s="135" t="n"/>
      <c r="O23" s="136" t="n"/>
      <c r="P23" s="124" t="inlineStr">
        <is>
          <t>計画</t>
        </is>
      </c>
      <c r="Q23" s="135" t="n"/>
      <c r="R23" s="135" t="n"/>
      <c r="S23" s="135" t="n"/>
      <c r="T23" s="137" t="n"/>
      <c r="U23" s="124" t="inlineStr">
        <is>
          <t>根拠</t>
        </is>
      </c>
    </row>
    <row r="24">
      <c r="D24" s="131" t="n"/>
      <c r="E24" s="132" t="n"/>
      <c r="F24" s="133" t="n"/>
      <c r="G24" s="44" t="inlineStr">
        <is>
          <t>売上</t>
        </is>
      </c>
      <c r="H24" s="45" t="inlineStr">
        <is>
          <t>粗利益</t>
        </is>
      </c>
      <c r="I24" s="46" t="inlineStr">
        <is>
          <t>粗利益率</t>
        </is>
      </c>
      <c r="J24" s="44" t="inlineStr">
        <is>
          <t>売上</t>
        </is>
      </c>
      <c r="K24" s="45" t="inlineStr">
        <is>
          <t>粗利益</t>
        </is>
      </c>
      <c r="L24" s="46" t="inlineStr">
        <is>
          <t>粗利益率</t>
        </is>
      </c>
      <c r="M24" s="44" t="inlineStr">
        <is>
          <t>売上</t>
        </is>
      </c>
      <c r="N24" s="45" t="inlineStr">
        <is>
          <t>粗利益</t>
        </is>
      </c>
      <c r="O24" s="46" t="inlineStr">
        <is>
          <t>粗利益率</t>
        </is>
      </c>
      <c r="P24" s="44" t="inlineStr">
        <is>
          <t>売上</t>
        </is>
      </c>
      <c r="Q24" s="45" t="inlineStr">
        <is>
          <t>粗利益</t>
        </is>
      </c>
      <c r="R24" s="47" t="inlineStr">
        <is>
          <t>粗利益率</t>
        </is>
      </c>
      <c r="S24" s="47" t="inlineStr">
        <is>
          <t>売上年率</t>
        </is>
      </c>
      <c r="T24" s="46" t="inlineStr">
        <is>
          <t>粗利益年率</t>
        </is>
      </c>
      <c r="U24" s="125" t="n"/>
    </row>
    <row r="25">
      <c r="D25" s="32" t="inlineStr">
        <is>
          <t>石見営業所</t>
        </is>
      </c>
      <c r="E25" s="33" t="n"/>
      <c r="F25" s="34" t="n"/>
      <c r="G25" s="39" t="n">
        <v>394082.748</v>
      </c>
      <c r="H25" s="40" t="n">
        <v>105550.1192</v>
      </c>
      <c r="I25" s="159">
        <f>H25/G25</f>
        <v/>
      </c>
      <c r="J25" s="39" t="n">
        <v>411330.562</v>
      </c>
      <c r="K25" s="40" t="n">
        <v>107084.917</v>
      </c>
      <c r="L25" s="159">
        <f>K25/J25</f>
        <v/>
      </c>
      <c r="M25" s="39">
        <f>(G25+J25)/2</f>
        <v/>
      </c>
      <c r="N25" s="40">
        <f>(H25+K25)/2</f>
        <v/>
      </c>
      <c r="O25" s="159">
        <f>N25/M25</f>
        <v/>
      </c>
      <c r="P25" s="39">
        <f>P26+P29</f>
        <v/>
      </c>
      <c r="Q25" s="40">
        <f>Q26+Q29</f>
        <v/>
      </c>
      <c r="R25" s="160">
        <f>Q25/P25</f>
        <v/>
      </c>
      <c r="S25" s="160">
        <f>P25/J25-1</f>
        <v/>
      </c>
      <c r="T25" s="159">
        <f>Q25/K25-1</f>
        <v/>
      </c>
      <c r="U25" s="43" t="inlineStr">
        <is>
          <t>課長/担当者ともに難易度1.0</t>
        </is>
      </c>
    </row>
    <row r="26">
      <c r="D26" s="35" t="n"/>
      <c r="E26" s="28" t="inlineStr">
        <is>
          <t>営業</t>
        </is>
      </c>
      <c r="F26" s="29" t="n"/>
      <c r="G26" s="3">
        <f>G25-G29</f>
        <v/>
      </c>
      <c r="H26" s="4">
        <f>H25-H29</f>
        <v/>
      </c>
      <c r="I26" s="161">
        <f>H26/G26</f>
        <v/>
      </c>
      <c r="J26" s="3">
        <f>J25-J29</f>
        <v/>
      </c>
      <c r="K26" s="4">
        <f>K25-K29</f>
        <v/>
      </c>
      <c r="L26" s="161">
        <f>K26/J26</f>
        <v/>
      </c>
      <c r="M26" s="3">
        <f>(G26+J26)/2</f>
        <v/>
      </c>
      <c r="N26" s="4">
        <f>(H26+K26)/2</f>
        <v/>
      </c>
      <c r="O26" s="161">
        <f>N26/M26</f>
        <v/>
      </c>
      <c r="P26" s="3">
        <f>P27+P28</f>
        <v/>
      </c>
      <c r="Q26" s="4">
        <f>Q27+Q28</f>
        <v/>
      </c>
      <c r="R26" s="162">
        <f>Q26/P26</f>
        <v/>
      </c>
      <c r="S26" s="162">
        <f>P26/J26-1</f>
        <v/>
      </c>
      <c r="T26" s="161">
        <f>Q26/K26-1</f>
        <v/>
      </c>
      <c r="U26" s="23" t="n"/>
    </row>
    <row r="27">
      <c r="D27" s="35" t="n"/>
      <c r="E27" s="30" t="n"/>
      <c r="F27" s="27" t="inlineStr">
        <is>
          <t>包装資材</t>
        </is>
      </c>
      <c r="G27" s="3">
        <f>G26-G28</f>
        <v/>
      </c>
      <c r="H27" s="4">
        <f>H26-H28</f>
        <v/>
      </c>
      <c r="I27" s="161">
        <f>H27/G27</f>
        <v/>
      </c>
      <c r="J27" s="3">
        <f>J26-J28</f>
        <v/>
      </c>
      <c r="K27" s="4">
        <f>K26-K28</f>
        <v/>
      </c>
      <c r="L27" s="161">
        <f>K27/J27</f>
        <v/>
      </c>
      <c r="M27" s="3">
        <f>(G27+J27)/2</f>
        <v/>
      </c>
      <c r="N27" s="4">
        <f>(H27+K27)/2</f>
        <v/>
      </c>
      <c r="O27" s="161">
        <f>N27/M27</f>
        <v/>
      </c>
      <c r="P27" s="3">
        <f>包装資材!K47-包装資材!K48</f>
        <v/>
      </c>
      <c r="Q27" s="4">
        <f>包装資材!R47-包装資材!R48</f>
        <v/>
      </c>
      <c r="R27" s="162">
        <f>Q27/P27</f>
        <v/>
      </c>
      <c r="S27" s="162">
        <f>P27/J27-1</f>
        <v/>
      </c>
      <c r="T27" s="161">
        <f>Q27/K27-1</f>
        <v/>
      </c>
      <c r="U27" s="51" t="inlineStr">
        <is>
          <t>所長除く営業4名売上過年度平均(課長+1,000)(課長以外＋500)の粗利益率過年度平均スライド</t>
        </is>
      </c>
    </row>
    <row r="28">
      <c r="D28" s="35" t="n"/>
      <c r="E28" s="30" t="n"/>
      <c r="F28" s="31" t="inlineStr">
        <is>
          <t>機械</t>
        </is>
      </c>
      <c r="G28" s="3" t="n">
        <v>17634</v>
      </c>
      <c r="H28" s="4" t="n">
        <v>3136</v>
      </c>
      <c r="I28" s="161">
        <f>H28/G28</f>
        <v/>
      </c>
      <c r="J28" s="3" t="n">
        <v>26555</v>
      </c>
      <c r="K28" s="4" t="n">
        <v>5111</v>
      </c>
      <c r="L28" s="161">
        <f>K28/J28</f>
        <v/>
      </c>
      <c r="M28" s="3">
        <f>(G28+J28)/2</f>
        <v/>
      </c>
      <c r="N28" s="4">
        <f>(H28+K28)/2</f>
        <v/>
      </c>
      <c r="O28" s="161">
        <f>N28/M28</f>
        <v/>
      </c>
      <c r="P28" s="3">
        <f>機械!K47</f>
        <v/>
      </c>
      <c r="Q28" s="4">
        <f>機械!R47</f>
        <v/>
      </c>
      <c r="R28" s="162">
        <f>Q28/P28</f>
        <v/>
      </c>
      <c r="S28" s="162">
        <f>P28/J28-1</f>
        <v/>
      </c>
      <c r="T28" s="161">
        <f>Q28/K28-1</f>
        <v/>
      </c>
      <c r="U28" s="52" t="inlineStr">
        <is>
          <t>所長除く営業4名1000/160（16％）で毎月機械メンテナンス在</t>
        </is>
      </c>
    </row>
    <row r="29">
      <c r="D29" s="36" t="n"/>
      <c r="E29" s="37" t="inlineStr">
        <is>
          <t>自治体</t>
        </is>
      </c>
      <c r="F29" s="38" t="n"/>
      <c r="G29" s="5" t="n">
        <v>7337</v>
      </c>
      <c r="H29" s="6" t="n">
        <v>1577</v>
      </c>
      <c r="I29" s="163">
        <f>H29/G29</f>
        <v/>
      </c>
      <c r="J29" s="5" t="n">
        <v>6820</v>
      </c>
      <c r="K29" s="6" t="n">
        <v>851</v>
      </c>
      <c r="L29" s="163">
        <f>K29/J29</f>
        <v/>
      </c>
      <c r="M29" s="5">
        <f>(G29+J29)/2</f>
        <v/>
      </c>
      <c r="N29" s="6">
        <f>(H29+K29)/2</f>
        <v/>
      </c>
      <c r="O29" s="163">
        <f>N29/M29</f>
        <v/>
      </c>
      <c r="P29" s="5">
        <f>包装資材!K46</f>
        <v/>
      </c>
      <c r="Q29" s="6">
        <f>包装資材!R46</f>
        <v/>
      </c>
      <c r="R29" s="164">
        <f>Q29/P29</f>
        <v/>
      </c>
      <c r="S29" s="164">
        <f>P29/J29-1</f>
        <v/>
      </c>
      <c r="T29" s="163">
        <f>Q29/K29-1</f>
        <v/>
      </c>
      <c r="U29" s="24" t="n"/>
    </row>
    <row r="33">
      <c r="P33" s="17" t="n"/>
    </row>
  </sheetData>
  <mergeCells count="19">
    <mergeCell ref="M7:O7"/>
    <mergeCell ref="D23:F24"/>
    <mergeCell ref="G15:I15"/>
    <mergeCell ref="M15:O15"/>
    <mergeCell ref="U7:U8"/>
    <mergeCell ref="J7:L7"/>
    <mergeCell ref="P23:T23"/>
    <mergeCell ref="M23:O23"/>
    <mergeCell ref="P7:T7"/>
    <mergeCell ref="J23:L23"/>
    <mergeCell ref="D7:F8"/>
    <mergeCell ref="U23:U24"/>
    <mergeCell ref="D1:U1"/>
    <mergeCell ref="D15:F16"/>
    <mergeCell ref="G23:I23"/>
    <mergeCell ref="P15:T15"/>
    <mergeCell ref="G7:I7"/>
    <mergeCell ref="U15:U16"/>
    <mergeCell ref="J15:L15"/>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2026-09-05T01:23:16Z</dcterms:modified>
  <cp:lastModifiedBy>ma-takahashi</cp:lastModifiedBy>
  <cp:lastPrinted>2025-05-02T03:18:58Z</cp:lastPrinted>
</cp:coreProperties>
</file>