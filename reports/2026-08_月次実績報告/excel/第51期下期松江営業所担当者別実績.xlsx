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c r="K65" s="79">
        <f>SUM(E65:J65)</f>
        <v/>
      </c>
      <c r="L65" s="58" t="n">
        <v>81.83499999999999</v>
      </c>
      <c r="M65" s="39" t="n">
        <v>24.075</v>
      </c>
      <c r="N65" s="39" t="n">
        <v>24.31</v>
      </c>
      <c r="O65" s="39" t="n">
        <v>11.192</v>
      </c>
      <c r="P65" s="39" t="n">
        <v>151.195</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c r="K66" s="79">
        <f>SUM(E66:J66)</f>
        <v/>
      </c>
      <c r="L66" s="58" t="n">
        <v>136.484</v>
      </c>
      <c r="M66" s="39" t="n">
        <v>75.944</v>
      </c>
      <c r="N66" s="39" t="n">
        <v>420.08</v>
      </c>
      <c r="O66" s="39" t="n">
        <v>70.3</v>
      </c>
      <c r="P66" s="39" t="n">
        <v>148.74</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c r="K67" s="39">
        <f>SUM(E67:J67)</f>
        <v/>
      </c>
      <c r="L67" s="58" t="n">
        <v>9</v>
      </c>
      <c r="M67" s="39" t="n"/>
      <c r="N67" s="39" t="n"/>
      <c r="O67" s="39" t="n">
        <v>130.75</v>
      </c>
      <c r="P67" s="39" t="n">
        <v>0</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c r="K68" s="79">
        <f>SUM(E68:J68)</f>
        <v/>
      </c>
      <c r="L68" s="58" t="n"/>
      <c r="M68" s="39" t="n"/>
      <c r="N68" s="39" t="n"/>
      <c r="O68" s="39" t="n"/>
      <c r="P68" s="39" t="n">
        <v>0</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c r="K69" s="79">
        <f>SUM(E69:J69)</f>
        <v/>
      </c>
      <c r="L69" s="58" t="n">
        <v>1.5</v>
      </c>
      <c r="M69" s="39" t="n"/>
      <c r="N69" s="39" t="n"/>
      <c r="O69" s="39" t="n"/>
      <c r="P69" s="39" t="n">
        <v>0</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t="n"/>
      <c r="K65" s="79">
        <f>SUM(E65:J65)</f>
        <v/>
      </c>
      <c r="L65" s="81">
        <f>全体!L65-機械!L65</f>
        <v/>
      </c>
      <c r="M65" s="39">
        <f>全体!M65-機械!M65</f>
        <v/>
      </c>
      <c r="N65" s="81">
        <f>全体!N65-機械!N65</f>
        <v/>
      </c>
      <c r="O65" s="39">
        <f>全体!O65-機械!O65</f>
        <v/>
      </c>
      <c r="P65" s="39">
        <f>全体!P65-機械!P65</f>
        <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t="n"/>
      <c r="K66" s="79">
        <f>SUM(E66:J66)</f>
        <v/>
      </c>
      <c r="L66" s="81">
        <f>全体!L66-機械!L66</f>
        <v/>
      </c>
      <c r="M66" s="39">
        <f>全体!M66-機械!M66</f>
        <v/>
      </c>
      <c r="N66" s="81">
        <f>全体!N66-機械!N66</f>
        <v/>
      </c>
      <c r="O66" s="39">
        <f>全体!O66-機械!O66</f>
        <v/>
      </c>
      <c r="P66" s="39">
        <f>全体!P66-機械!P66</f>
        <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t="n"/>
      <c r="K67" s="39">
        <f>SUM(E67:J67)</f>
        <v/>
      </c>
      <c r="L67" s="81">
        <f>全体!L67-機械!L67</f>
        <v/>
      </c>
      <c r="M67" s="39">
        <f>全体!M67-機械!M67</f>
        <v/>
      </c>
      <c r="N67" s="81">
        <f>全体!N67-機械!N67</f>
        <v/>
      </c>
      <c r="O67" s="39">
        <f>全体!O67-機械!O67</f>
        <v/>
      </c>
      <c r="P67" s="39">
        <f>全体!P67-機械!P67</f>
        <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t="n"/>
      <c r="K68" s="79">
        <f>SUM(E68:J68)</f>
        <v/>
      </c>
      <c r="L68" s="81">
        <f>全体!L68-機械!L68</f>
        <v/>
      </c>
      <c r="M68" s="39" t="n"/>
      <c r="N68" s="81">
        <f>全体!N68-機械!N68</f>
        <v/>
      </c>
      <c r="O68" s="39">
        <f>全体!O68-機械!O68</f>
        <v/>
      </c>
      <c r="P68" s="39">
        <f>全体!P68-機械!P68</f>
        <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t="n"/>
      <c r="K69" s="79">
        <f>SUM(E69:J69)</f>
        <v/>
      </c>
      <c r="L69" s="81">
        <f>全体!L69-機械!L69</f>
        <v/>
      </c>
      <c r="M69" s="39">
        <f>全体!M69-機械!M69</f>
        <v/>
      </c>
      <c r="N69" s="81">
        <f>全体!N69-機械!N69</f>
        <v/>
      </c>
      <c r="O69" s="39">
        <f>全体!O69-機械!O69</f>
        <v/>
      </c>
      <c r="P69" s="39">
        <f>全体!P69-機械!P69</f>
        <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15047.04</v>
      </c>
      <c r="F65" s="2" t="n">
        <v>10820.014</v>
      </c>
      <c r="G65" s="86" t="n">
        <v>8876.039000000001</v>
      </c>
      <c r="H65" s="2" t="n">
        <v>10443.425</v>
      </c>
      <c r="I65" s="2" t="n">
        <v>11940.197</v>
      </c>
      <c r="J65" s="2" t="n"/>
      <c r="K65" s="79">
        <f>SUM(E65:J65)</f>
        <v/>
      </c>
      <c r="L65" s="1" t="n">
        <v>4536.348</v>
      </c>
      <c r="M65" s="2" t="n">
        <v>3567.44</v>
      </c>
      <c r="N65" s="86" t="n">
        <v>3002.952</v>
      </c>
      <c r="O65" s="2" t="n">
        <v>3520.407</v>
      </c>
      <c r="P65" s="2" t="n">
        <v>3975.887</v>
      </c>
      <c r="Q65" s="2"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15265.922</v>
      </c>
      <c r="F66" s="2" t="n">
        <v>10070.893</v>
      </c>
      <c r="G66" s="86" t="n">
        <v>12983.805</v>
      </c>
      <c r="H66" s="2" t="n">
        <v>17107.798</v>
      </c>
      <c r="I66" s="2" t="n">
        <v>10370.244</v>
      </c>
      <c r="J66" s="2" t="n"/>
      <c r="K66" s="79">
        <f>SUM(E66:J66)</f>
        <v/>
      </c>
      <c r="L66" s="1" t="n">
        <v>3492.024</v>
      </c>
      <c r="M66" s="2" t="n">
        <v>2365.03</v>
      </c>
      <c r="N66" s="86" t="n">
        <v>2676.518</v>
      </c>
      <c r="O66" s="2" t="n">
        <v>3549.9651</v>
      </c>
      <c r="P66" s="2" t="n">
        <v>2620.623</v>
      </c>
      <c r="Q66" s="2"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10061</v>
      </c>
      <c r="F67" s="2" t="n">
        <v>8724</v>
      </c>
      <c r="G67" s="86" t="n">
        <v>8649.739</v>
      </c>
      <c r="H67" s="2" t="n">
        <v>11910.007</v>
      </c>
      <c r="I67" s="2" t="n">
        <v>10792.559</v>
      </c>
      <c r="J67" s="2" t="n"/>
      <c r="K67" s="79">
        <f>SUM(E67:J67)</f>
        <v/>
      </c>
      <c r="L67" s="1" t="n">
        <v>2538</v>
      </c>
      <c r="M67" s="2" t="n">
        <v>2281</v>
      </c>
      <c r="N67" s="86" t="n">
        <v>2121.064</v>
      </c>
      <c r="O67" s="2" t="n">
        <v>3025.832</v>
      </c>
      <c r="P67" s="2" t="n">
        <v>2924.322</v>
      </c>
      <c r="Q67" s="2" t="n"/>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c r="K68" s="79">
        <f>SUM(E68:J68)</f>
        <v/>
      </c>
      <c r="L68" s="1" t="n"/>
      <c r="M68" s="2" t="n"/>
      <c r="N68" s="2" t="n"/>
      <c r="O68" s="2" t="n"/>
      <c r="P68" s="2" t="n">
        <v>0</v>
      </c>
      <c r="Q68" s="2"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c r="K69" s="79">
        <f>SUM(E69:J69)</f>
        <v/>
      </c>
      <c r="L69" s="1" t="n">
        <v>1.5</v>
      </c>
      <c r="M69" s="2" t="n">
        <v>2.751</v>
      </c>
      <c r="N69" s="2" t="n"/>
      <c r="O69" s="2" t="n">
        <v>0.054</v>
      </c>
      <c r="P69" s="2" t="n">
        <v>4.266</v>
      </c>
      <c r="Q69" s="2"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t="n"/>
      <c r="K75" s="79">
        <f>SUM(E75:J75)</f>
        <v/>
      </c>
      <c r="L75" s="1">
        <f>L65-L35</f>
        <v/>
      </c>
      <c r="M75" s="2">
        <f>M65-M35</f>
        <v/>
      </c>
      <c r="N75" s="86">
        <f>N65-N35</f>
        <v/>
      </c>
      <c r="O75" s="2">
        <f>O65-O35</f>
        <v/>
      </c>
      <c r="P75" s="2">
        <f>P65-P35</f>
        <v/>
      </c>
      <c r="Q75" s="2" t="n"/>
      <c r="R75" s="75">
        <f>SUM(L75:Q75)</f>
        <v/>
      </c>
      <c r="S75" s="115">
        <f>S65-S35</f>
        <v/>
      </c>
      <c r="T75" s="116">
        <f>T65-T35</f>
        <v/>
      </c>
      <c r="U75" s="116">
        <f>U65-U35</f>
        <v/>
      </c>
      <c r="V75" s="116">
        <f>V65-V35</f>
        <v/>
      </c>
      <c r="W75" s="116">
        <f>W65-W35</f>
        <v/>
      </c>
      <c r="X75" s="116">
        <f>X65-X35</f>
        <v/>
      </c>
      <c r="Y75" s="117">
        <f>Y65-Y35</f>
        <v/>
      </c>
    </row>
    <row r="76">
      <c r="C76" s="73" t="inlineStr">
        <is>
          <t>0033 集計</t>
        </is>
      </c>
      <c r="D76" s="59" t="inlineStr">
        <is>
          <t>前田課長代</t>
        </is>
      </c>
      <c r="E76" s="2">
        <f>E66-E36</f>
        <v/>
      </c>
      <c r="F76" s="2">
        <f>F66-F36</f>
        <v/>
      </c>
      <c r="G76" s="86">
        <f>G66-G36</f>
        <v/>
      </c>
      <c r="H76" s="2">
        <f>H66-H36</f>
        <v/>
      </c>
      <c r="I76" s="2">
        <f>I66-I36</f>
        <v/>
      </c>
      <c r="J76" s="2" t="n"/>
      <c r="K76" s="79">
        <f>SUM(E76:J76)</f>
        <v/>
      </c>
      <c r="L76" s="1">
        <f>L66-L36</f>
        <v/>
      </c>
      <c r="M76" s="2">
        <f>M66-M36</f>
        <v/>
      </c>
      <c r="N76" s="86">
        <f>N66-N36</f>
        <v/>
      </c>
      <c r="O76" s="2">
        <f>O66-O36</f>
        <v/>
      </c>
      <c r="P76" s="2">
        <f>P66-P36</f>
        <v/>
      </c>
      <c r="Q76" s="2"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2">
        <f>E67-E37</f>
        <v/>
      </c>
      <c r="F77" s="2">
        <f>F67-F37</f>
        <v/>
      </c>
      <c r="G77" s="86">
        <f>G67-G37</f>
        <v/>
      </c>
      <c r="H77" s="2">
        <f>H67-H37</f>
        <v/>
      </c>
      <c r="I77" s="2">
        <f>I67-I37</f>
        <v/>
      </c>
      <c r="J77" s="2" t="n"/>
      <c r="K77" s="79">
        <f>SUM(E77:J77)</f>
        <v/>
      </c>
      <c r="L77" s="1">
        <f>L67-L37</f>
        <v/>
      </c>
      <c r="M77" s="2">
        <f>M67-M37</f>
        <v/>
      </c>
      <c r="N77" s="86">
        <f>N67-N37</f>
        <v/>
      </c>
      <c r="O77" s="2">
        <f>O67-O37</f>
        <v/>
      </c>
      <c r="P77" s="2">
        <f>P67-P37</f>
        <v/>
      </c>
      <c r="Q77" s="2"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2">
        <f>E68-E38</f>
        <v/>
      </c>
      <c r="F78" s="2">
        <f>F68-F38</f>
        <v/>
      </c>
      <c r="G78" s="86">
        <f>G68-G38</f>
        <v/>
      </c>
      <c r="H78" s="2">
        <f>H68-H38</f>
        <v/>
      </c>
      <c r="I78" s="2">
        <f>I68-I38</f>
        <v/>
      </c>
      <c r="J78" s="2" t="n"/>
      <c r="K78" s="79">
        <f>SUM(E78:J78)</f>
        <v/>
      </c>
      <c r="L78" s="1">
        <f>L68-L38</f>
        <v/>
      </c>
      <c r="M78" s="2">
        <f>M68-M38</f>
        <v/>
      </c>
      <c r="N78" s="86">
        <f>N68-N38</f>
        <v/>
      </c>
      <c r="O78" s="2">
        <f>O68-O38</f>
        <v/>
      </c>
      <c r="P78" s="2">
        <f>P68-P38</f>
        <v/>
      </c>
      <c r="Q78" s="2"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2">
        <f>E69-E39</f>
        <v/>
      </c>
      <c r="F79" s="2">
        <f>F69-F39</f>
        <v/>
      </c>
      <c r="G79" s="86">
        <f>G69-G39</f>
        <v/>
      </c>
      <c r="H79" s="2">
        <f>H69-H39</f>
        <v/>
      </c>
      <c r="I79" s="2">
        <f>I69-I39</f>
        <v/>
      </c>
      <c r="J79" s="2" t="n"/>
      <c r="K79" s="79">
        <f>SUM(E79:J79)</f>
        <v/>
      </c>
      <c r="L79" s="1">
        <f>L69-L39</f>
        <v/>
      </c>
      <c r="M79" s="2">
        <f>M69-M39</f>
        <v/>
      </c>
      <c r="N79" s="86">
        <f>N69-N39</f>
        <v/>
      </c>
      <c r="O79" s="2">
        <f>O69-O39</f>
        <v/>
      </c>
      <c r="P79" s="2">
        <f>P69-P39</f>
        <v/>
      </c>
      <c r="Q79" s="2"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t="n"/>
      <c r="K85" s="79">
        <f>SUM(E85:J85)</f>
        <v/>
      </c>
      <c r="L85" s="1">
        <f>L65-L15</f>
        <v/>
      </c>
      <c r="M85" s="69">
        <f>M65-M15</f>
        <v/>
      </c>
      <c r="N85" s="86">
        <f>N65-N15</f>
        <v/>
      </c>
      <c r="O85" s="2">
        <f>O65-O15</f>
        <v/>
      </c>
      <c r="P85" s="2">
        <f>P65-P15</f>
        <v/>
      </c>
      <c r="Q85" s="2" t="n"/>
      <c r="R85" s="75">
        <f>SUM(L85:Q85)</f>
        <v/>
      </c>
      <c r="S85" s="115">
        <f>S65-S15</f>
        <v/>
      </c>
      <c r="T85" s="116">
        <f>T65-T15</f>
        <v/>
      </c>
      <c r="U85" s="116">
        <f>U65-U15</f>
        <v/>
      </c>
      <c r="V85" s="116">
        <f>V65-V15</f>
        <v/>
      </c>
      <c r="W85" s="116">
        <f>W65-W15</f>
        <v/>
      </c>
      <c r="X85" s="116">
        <f>X65-X15</f>
        <v/>
      </c>
      <c r="Y85" s="117">
        <f>Y65-Y15</f>
        <v/>
      </c>
    </row>
    <row r="86">
      <c r="C86" s="73" t="inlineStr">
        <is>
          <t>0033 集計</t>
        </is>
      </c>
      <c r="D86" s="59" t="inlineStr">
        <is>
          <t>前田課長代</t>
        </is>
      </c>
      <c r="E86" s="2">
        <f>E66-E16</f>
        <v/>
      </c>
      <c r="F86" s="2">
        <f>F66-F16</f>
        <v/>
      </c>
      <c r="G86" s="86">
        <f>G66-G16</f>
        <v/>
      </c>
      <c r="H86" s="2">
        <f>H66-H16</f>
        <v/>
      </c>
      <c r="I86" s="2">
        <f>I66-I16</f>
        <v/>
      </c>
      <c r="J86" s="2" t="n"/>
      <c r="K86" s="79">
        <f>SUM(E86:J86)</f>
        <v/>
      </c>
      <c r="L86" s="1">
        <f>L66-L16</f>
        <v/>
      </c>
      <c r="M86" s="69">
        <f>M66-M16</f>
        <v/>
      </c>
      <c r="N86" s="86">
        <f>N66-N16</f>
        <v/>
      </c>
      <c r="O86" s="2">
        <f>O66-O16</f>
        <v/>
      </c>
      <c r="P86" s="2">
        <f>P66-P16</f>
        <v/>
      </c>
      <c r="Q86" s="2"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2">
        <f>E67-E17</f>
        <v/>
      </c>
      <c r="F87" s="2">
        <f>F67-F17</f>
        <v/>
      </c>
      <c r="G87" s="86">
        <f>G67-G17</f>
        <v/>
      </c>
      <c r="H87" s="2">
        <f>H67-H17</f>
        <v/>
      </c>
      <c r="I87" s="2">
        <f>I67-I17</f>
        <v/>
      </c>
      <c r="J87" s="2" t="n"/>
      <c r="K87" s="79">
        <f>SUM(E87:J87)</f>
        <v/>
      </c>
      <c r="L87" s="1">
        <f>L67-L17</f>
        <v/>
      </c>
      <c r="M87" s="69">
        <f>M67-M17</f>
        <v/>
      </c>
      <c r="N87" s="86">
        <f>N67-N17</f>
        <v/>
      </c>
      <c r="O87" s="2">
        <f>O67-O17</f>
        <v/>
      </c>
      <c r="P87" s="2">
        <f>P67-P17</f>
        <v/>
      </c>
      <c r="Q87" s="2"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2">
        <f>E68-E18</f>
        <v/>
      </c>
      <c r="F88" s="2">
        <f>F68-F18</f>
        <v/>
      </c>
      <c r="G88" s="86">
        <f>G68-G18</f>
        <v/>
      </c>
      <c r="H88" s="2">
        <f>H68-H18</f>
        <v/>
      </c>
      <c r="I88" s="2">
        <f>I68-I18</f>
        <v/>
      </c>
      <c r="J88" s="2" t="n"/>
      <c r="K88" s="79">
        <f>SUM(E88:J88)</f>
        <v/>
      </c>
      <c r="L88" s="1">
        <f>L68-L18</f>
        <v/>
      </c>
      <c r="M88" s="69">
        <f>M68-M18</f>
        <v/>
      </c>
      <c r="N88" s="86">
        <f>N68-N18</f>
        <v/>
      </c>
      <c r="O88" s="2">
        <f>O68-O18</f>
        <v/>
      </c>
      <c r="P88" s="2">
        <f>P68-P18</f>
        <v/>
      </c>
      <c r="Q88" s="2"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2">
        <f>E69-E19</f>
        <v/>
      </c>
      <c r="F89" s="2">
        <f>F69-F19</f>
        <v/>
      </c>
      <c r="G89" s="86">
        <f>G69-G19</f>
        <v/>
      </c>
      <c r="H89" s="2">
        <f>H69-H19</f>
        <v/>
      </c>
      <c r="I89" s="2">
        <f>I69-I19</f>
        <v/>
      </c>
      <c r="J89" s="2" t="n"/>
      <c r="K89" s="79">
        <f>SUM(E89:J89)</f>
        <v/>
      </c>
      <c r="L89" s="1">
        <f>L69-L19</f>
        <v/>
      </c>
      <c r="M89" s="69">
        <f>M69-M19</f>
        <v/>
      </c>
      <c r="N89" s="86">
        <f>N69-N19</f>
        <v/>
      </c>
      <c r="O89" s="2">
        <f>O69-O19</f>
        <v/>
      </c>
      <c r="P89" s="2">
        <f>P69-P19</f>
        <v/>
      </c>
      <c r="Q89" s="2"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2026-09-08T04:07:14Z</dcterms:modified>
  <cp:lastModifiedBy>ma-takahashi</cp:lastModifiedBy>
  <cp:lastPrinted>2026-03-24T04:28:13Z</cp:lastPrinted>
</cp:coreProperties>
</file>