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xmlns:r="http://schemas.openxmlformats.org/officeDocument/2006/relationships" name="機械" sheetId="1" state="visible" r:id="rId1"/>
    <sheet xmlns:r="http://schemas.openxmlformats.org/officeDocument/2006/relationships" name="包装資材" sheetId="2" state="visible" r:id="rId2"/>
    <sheet xmlns:r="http://schemas.openxmlformats.org/officeDocument/2006/relationships" name="全体" sheetId="3" state="visible" r:id="rId3"/>
    <sheet xmlns:r="http://schemas.openxmlformats.org/officeDocument/2006/relationships" name="総括" sheetId="4" state="visible" r:id="rId4"/>
    <sheet xmlns:r="http://schemas.openxmlformats.org/officeDocument/2006/relationships" name="Sheet1" sheetId="5" state="visible" r:id="rId5"/>
  </sheets>
  <definedNames>
    <definedName name="_xlnm.Print_Area" localSheetId="0">'機械'!$C$1:$Y$60</definedName>
    <definedName name="_xlnm.Print_Area" localSheetId="1">'包装資材'!$C$1:$Y$60</definedName>
    <definedName name="_xlnm.Print_Area" localSheetId="2">'全体'!$C$1:$Y$60</definedName>
    <definedName name="_xlnm.Print_Area" localSheetId="3">'総括'!$D$1:$U$13</definedName>
  </definedNames>
  <calcPr calcId="191029" fullCalcOnLoad="1"/>
</workbook>
</file>

<file path=xl/styles.xml><?xml version="1.0" encoding="utf-8"?>
<styleSheet xmlns="http://schemas.openxmlformats.org/spreadsheetml/2006/main">
  <numFmts count="1">
    <numFmt numFmtId="164" formatCode="0.0%"/>
  </numFmts>
  <fonts count="9">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3"/>
      <color theme="1"/>
      <sz val="10"/>
      <scheme val="minor"/>
    </font>
    <font>
      <name val="HGP創英角ｺﾞｼｯｸUB"/>
      <charset val="128"/>
      <family val="3"/>
      <color theme="1"/>
      <sz val="16"/>
    </font>
    <font>
      <name val="游ゴシック"/>
      <charset val="128"/>
      <family val="2"/>
      <color theme="8" tint="-0.249977111117893"/>
      <sz val="11"/>
      <scheme val="minor"/>
    </font>
    <font>
      <name val="游ゴシック"/>
      <charset val="128"/>
      <family val="2"/>
      <sz val="11"/>
      <scheme val="minor"/>
    </font>
    <font>
      <name val="游ゴシック"/>
      <charset val="128"/>
      <family val="2"/>
      <color theme="1"/>
      <sz val="9"/>
      <scheme val="minor"/>
    </font>
    <font>
      <name val="游ゴシック"/>
      <charset val="128"/>
      <family val="3"/>
      <color theme="1"/>
      <sz val="9"/>
      <scheme val="minor"/>
    </font>
  </fonts>
  <fills count="6">
    <fill>
      <patternFill/>
    </fill>
    <fill>
      <patternFill patternType="gray125"/>
    </fill>
    <fill>
      <patternFill patternType="solid">
        <fgColor rgb="FFFFFF00"/>
        <bgColor indexed="64"/>
      </patternFill>
    </fill>
    <fill>
      <patternFill patternType="gray0625"/>
    </fill>
    <fill>
      <patternFill patternType="gray0625">
        <bgColor rgb="FFFFFF00"/>
      </patternFill>
    </fill>
    <fill>
      <patternFill patternType="solid">
        <fgColor theme="4" tint="0.7999816888943144"/>
        <bgColor indexed="64"/>
      </patternFill>
    </fill>
  </fills>
  <borders count="55">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hair">
        <color auto="1"/>
      </left>
      <right/>
      <top style="thin">
        <color auto="1"/>
      </top>
      <bottom style="hair">
        <color auto="1"/>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right style="thin">
        <color indexed="64"/>
      </right>
      <top/>
      <bottom style="thin">
        <color indexed="64"/>
      </bottom>
      <diagonal/>
    </border>
    <border>
      <left/>
      <right style="hair">
        <color auto="1"/>
      </right>
      <top style="thin">
        <color auto="1"/>
      </top>
      <bottom/>
      <diagonal/>
    </border>
    <border>
      <left style="thin">
        <color auto="1"/>
      </left>
      <right style="thin">
        <color auto="1"/>
      </right>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s>
  <cellStyleXfs count="3">
    <xf numFmtId="0" fontId="1" fillId="0" borderId="0" applyAlignment="1">
      <alignment vertical="center"/>
    </xf>
    <xf numFmtId="38" fontId="1" fillId="0" borderId="0" applyAlignment="1">
      <alignment vertical="center"/>
    </xf>
    <xf numFmtId="9" fontId="1" fillId="0" borderId="0" applyAlignment="1">
      <alignment vertical="center"/>
    </xf>
  </cellStyleXfs>
  <cellXfs count="134">
    <xf numFmtId="0" fontId="0" fillId="0" borderId="0" applyAlignment="1" pivotButton="0" quotePrefix="0" xfId="0">
      <alignment vertical="center"/>
    </xf>
    <xf numFmtId="38" fontId="0" fillId="0" borderId="4" applyAlignment="1" pivotButton="0" quotePrefix="0" xfId="1">
      <alignment vertical="center"/>
    </xf>
    <xf numFmtId="38" fontId="0" fillId="0" borderId="5" applyAlignment="1" pivotButton="0" quotePrefix="0" xfId="1">
      <alignment vertical="center"/>
    </xf>
    <xf numFmtId="38" fontId="0" fillId="0" borderId="7" applyAlignment="1" pivotButton="0" quotePrefix="0" xfId="1">
      <alignment vertical="center"/>
    </xf>
    <xf numFmtId="38" fontId="0" fillId="0" borderId="8" applyAlignment="1" pivotButton="0" quotePrefix="0" xfId="1">
      <alignmen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0" fontId="4" fillId="0" borderId="0" applyAlignment="1" pivotButton="0" quotePrefix="0" xfId="0">
      <alignment vertical="center"/>
    </xf>
    <xf numFmtId="164" fontId="0" fillId="0" borderId="6" applyAlignment="1" pivotButton="0" quotePrefix="0" xfId="2">
      <alignment vertical="center"/>
    </xf>
    <xf numFmtId="164" fontId="0" fillId="0" borderId="9" applyAlignment="1" pivotButton="0" quotePrefix="0" xfId="2">
      <alignment vertical="center"/>
    </xf>
    <xf numFmtId="0" fontId="0" fillId="0" borderId="22" applyAlignment="1" pivotButton="0" quotePrefix="0" xfId="0">
      <alignment vertical="center"/>
    </xf>
    <xf numFmtId="0" fontId="0" fillId="0" borderId="23" applyAlignment="1" pivotButton="0" quotePrefix="0" xfId="0">
      <alignment vertical="center"/>
    </xf>
    <xf numFmtId="164" fontId="0" fillId="0" borderId="27" applyAlignment="1" pivotButton="0" quotePrefix="0" xfId="2">
      <alignment vertical="center"/>
    </xf>
    <xf numFmtId="164" fontId="0" fillId="0" borderId="28"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10"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20" applyAlignment="1" pivotButton="0" quotePrefix="0" xfId="0">
      <alignment vertical="center"/>
    </xf>
    <xf numFmtId="0" fontId="0" fillId="0" borderId="15"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vertical="center"/>
    </xf>
    <xf numFmtId="38" fontId="0" fillId="0" borderId="35" applyAlignment="1" pivotButton="0" quotePrefix="0" xfId="1">
      <alignment vertical="center"/>
    </xf>
    <xf numFmtId="38" fontId="0" fillId="0" borderId="36" applyAlignment="1" pivotButton="0" quotePrefix="0" xfId="1">
      <alignment vertical="center"/>
    </xf>
    <xf numFmtId="164" fontId="0" fillId="0" borderId="37" applyAlignment="1" pivotButton="0" quotePrefix="0" xfId="2">
      <alignment vertical="center"/>
    </xf>
    <xf numFmtId="164" fontId="0" fillId="0" borderId="38" applyAlignment="1" pivotButton="0" quotePrefix="0" xfId="2">
      <alignment vertical="center"/>
    </xf>
    <xf numFmtId="0" fontId="0" fillId="0" borderId="39"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8"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40" applyAlignment="1" pivotButton="0" quotePrefix="0" xfId="0">
      <alignment vertical="center"/>
    </xf>
    <xf numFmtId="38" fontId="5" fillId="0" borderId="5" applyAlignment="1" pivotButton="0" quotePrefix="0" xfId="1">
      <alignment vertical="center"/>
    </xf>
    <xf numFmtId="0" fontId="0" fillId="0" borderId="41" applyAlignment="1" pivotButton="0" quotePrefix="0" xfId="0">
      <alignment vertical="center"/>
    </xf>
    <xf numFmtId="38" fontId="0" fillId="0" borderId="41" applyAlignment="1" pivotButton="0" quotePrefix="0" xfId="1">
      <alignment vertical="center"/>
    </xf>
    <xf numFmtId="38" fontId="0" fillId="0" borderId="41" applyAlignment="1" pivotButton="0" quotePrefix="0" xfId="0">
      <alignment vertical="center"/>
    </xf>
    <xf numFmtId="38" fontId="0" fillId="0" borderId="41" applyAlignment="1" pivotButton="0" quotePrefix="0" xfId="1">
      <alignment horizontal="center" vertical="center"/>
    </xf>
    <xf numFmtId="0" fontId="0" fillId="5" borderId="41" applyAlignment="1" pivotButton="0" quotePrefix="0" xfId="0">
      <alignment vertical="center"/>
    </xf>
    <xf numFmtId="38" fontId="0" fillId="5" borderId="41" applyAlignment="1" pivotButton="0" quotePrefix="0" xfId="1">
      <alignment vertical="center"/>
    </xf>
    <xf numFmtId="38" fontId="0" fillId="5" borderId="41" applyAlignment="1" pivotButton="0" quotePrefix="0" xfId="0">
      <alignment vertical="center"/>
    </xf>
    <xf numFmtId="164" fontId="0" fillId="0" borderId="41" applyAlignment="1" pivotButton="0" quotePrefix="0" xfId="2">
      <alignment vertical="center"/>
    </xf>
    <xf numFmtId="164" fontId="0" fillId="0" borderId="41" applyAlignment="1" pivotButton="0" quotePrefix="0" xfId="0">
      <alignment vertical="center"/>
    </xf>
    <xf numFmtId="9" fontId="0" fillId="0" borderId="41" applyAlignment="1" pivotButton="0" quotePrefix="0" xfId="2">
      <alignment vertical="center"/>
    </xf>
    <xf numFmtId="164" fontId="0" fillId="5" borderId="41" applyAlignment="1" pivotButton="0" quotePrefix="0" xfId="2">
      <alignment vertical="center"/>
    </xf>
    <xf numFmtId="164" fontId="0" fillId="5" borderId="41" applyAlignment="1" pivotButton="0" quotePrefix="0" xfId="0">
      <alignment vertical="center"/>
    </xf>
    <xf numFmtId="0" fontId="0" fillId="0" borderId="13" applyAlignment="1" pivotButton="0" quotePrefix="0" xfId="0">
      <alignment vertical="center"/>
    </xf>
    <xf numFmtId="38" fontId="0" fillId="0" borderId="13" applyAlignment="1" pivotButton="0" quotePrefix="0" xfId="1">
      <alignment vertical="center"/>
    </xf>
    <xf numFmtId="38" fontId="0" fillId="0" borderId="13" applyAlignment="1" pivotButton="0" quotePrefix="0" xfId="0">
      <alignment vertical="center"/>
    </xf>
    <xf numFmtId="164" fontId="0" fillId="0" borderId="13" applyAlignment="1" pivotButton="0" quotePrefix="0" xfId="2">
      <alignment vertical="center"/>
    </xf>
    <xf numFmtId="164" fontId="0" fillId="0" borderId="13" applyAlignment="1" pivotButton="0" quotePrefix="0" xfId="0">
      <alignment vertical="center"/>
    </xf>
    <xf numFmtId="0" fontId="0" fillId="0" borderId="42" applyAlignment="1" pivotButton="0" quotePrefix="0" xfId="0">
      <alignment vertical="center"/>
    </xf>
    <xf numFmtId="38" fontId="5" fillId="0" borderId="4" applyAlignment="1" pivotButton="0" quotePrefix="0" xfId="1">
      <alignment vertical="center"/>
    </xf>
    <xf numFmtId="38" fontId="7" fillId="0" borderId="6" applyAlignment="1" pivotButton="0" quotePrefix="0" xfId="1">
      <alignment vertical="center"/>
    </xf>
    <xf numFmtId="38" fontId="8" fillId="0" borderId="6" applyAlignment="1" pivotButton="0" quotePrefix="0" xfId="1">
      <alignment vertical="center"/>
    </xf>
    <xf numFmtId="0" fontId="0" fillId="0" borderId="1" applyAlignment="1" pivotButton="0" quotePrefix="0" xfId="0">
      <alignment vertical="center"/>
    </xf>
    <xf numFmtId="55" fontId="3" fillId="0" borderId="2" applyAlignment="1" pivotButton="0" quotePrefix="0" xfId="0">
      <alignment horizontal="center" vertical="center"/>
    </xf>
    <xf numFmtId="38" fontId="0" fillId="3" borderId="8" applyAlignment="1" pivotButton="0" quotePrefix="0" xfId="0">
      <alignment vertical="center"/>
    </xf>
    <xf numFmtId="0" fontId="0" fillId="2" borderId="3" applyAlignment="1" pivotButton="0" quotePrefix="0" xfId="0">
      <alignment horizontal="center"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38" fontId="0" fillId="0" borderId="18" applyAlignment="1" pivotButton="0" quotePrefix="0" xfId="1">
      <alignment vertical="center"/>
    </xf>
    <xf numFmtId="0" fontId="0" fillId="0" borderId="3" applyAlignment="1" pivotButton="0" quotePrefix="0" xfId="0">
      <alignment vertical="center"/>
    </xf>
    <xf numFmtId="38" fontId="0" fillId="0" borderId="6" applyAlignment="1" pivotButton="0" quotePrefix="0" xfId="1">
      <alignment vertical="center"/>
    </xf>
    <xf numFmtId="0" fontId="0" fillId="0" borderId="9" applyAlignment="1" pivotButton="0" quotePrefix="0" xfId="0">
      <alignment vertical="center"/>
    </xf>
    <xf numFmtId="0" fontId="0" fillId="0" borderId="4" applyAlignment="1" pivotButton="0" quotePrefix="0" xfId="0">
      <alignment vertical="center"/>
    </xf>
    <xf numFmtId="55" fontId="3" fillId="0" borderId="1" applyAlignment="1" pivotButton="0" quotePrefix="0" xfId="0">
      <alignment horizontal="center" vertical="center"/>
    </xf>
    <xf numFmtId="38" fontId="0" fillId="2" borderId="6" applyAlignment="1" pivotButton="0" quotePrefix="0" xfId="1">
      <alignment vertical="center"/>
    </xf>
    <xf numFmtId="38" fontId="0" fillId="3" borderId="7" applyAlignment="1" pivotButton="0" quotePrefix="0" xfId="0">
      <alignment vertical="center"/>
    </xf>
    <xf numFmtId="38" fontId="0" fillId="4" borderId="9" applyAlignment="1" pivotButton="0" quotePrefix="0" xfId="1">
      <alignment vertical="center"/>
    </xf>
    <xf numFmtId="0" fontId="0" fillId="2" borderId="43" applyAlignment="1" pivotButton="0" quotePrefix="0" xfId="0">
      <alignment horizontal="center" vertical="center"/>
    </xf>
    <xf numFmtId="38" fontId="0" fillId="2" borderId="27" applyAlignment="1" pivotButton="0" quotePrefix="0" xfId="1">
      <alignment vertical="center"/>
    </xf>
    <xf numFmtId="38" fontId="0" fillId="4" borderId="28" applyAlignment="1" pivotButton="0" quotePrefix="0" xfId="1">
      <alignment vertical="center"/>
    </xf>
    <xf numFmtId="38" fontId="6" fillId="0" borderId="5" applyAlignment="1" pivotButton="0" quotePrefix="0" xfId="1">
      <alignment vertical="center"/>
    </xf>
    <xf numFmtId="164" fontId="0" fillId="3" borderId="19" applyAlignment="1" pivotButton="0" quotePrefix="0" xfId="2">
      <alignment horizontal="right" vertical="center"/>
    </xf>
    <xf numFmtId="55" fontId="3" fillId="0" borderId="17" applyAlignment="1" pivotButton="0" quotePrefix="0" xfId="0">
      <alignment horizontal="center" vertical="center"/>
    </xf>
    <xf numFmtId="164" fontId="0" fillId="0" borderId="18" applyAlignment="1" pivotButton="0" quotePrefix="0" xfId="2">
      <alignment horizontal="right" vertical="center"/>
    </xf>
    <xf numFmtId="0" fontId="0" fillId="0" borderId="0" pivotButton="0" quotePrefix="0" xfId="0"/>
    <xf numFmtId="38" fontId="1" fillId="0" borderId="5" applyAlignment="1" pivotButton="0" quotePrefix="0" xfId="1">
      <alignment vertical="center"/>
    </xf>
    <xf numFmtId="0" fontId="0" fillId="0" borderId="44" applyAlignment="1" pivotButton="0" quotePrefix="0" xfId="0">
      <alignment horizontal="center" vertical="center"/>
    </xf>
    <xf numFmtId="0" fontId="0" fillId="0" borderId="14" pivotButton="0" quotePrefix="0" xfId="0"/>
    <xf numFmtId="38" fontId="0" fillId="0" borderId="14" applyAlignment="1" pivotButton="0" quotePrefix="0" xfId="1">
      <alignment horizontal="center" vertical="center"/>
    </xf>
    <xf numFmtId="0" fontId="0" fillId="0" borderId="13" pivotButton="0" quotePrefix="0" xfId="0"/>
    <xf numFmtId="38" fontId="0" fillId="0" borderId="44" applyAlignment="1" pivotButton="0" quotePrefix="0" xfId="1">
      <alignment horizontal="center" vertical="center"/>
    </xf>
    <xf numFmtId="0" fontId="0" fillId="0" borderId="12" applyAlignment="1" pivotButton="0" quotePrefix="0" xfId="0">
      <alignment horizontal="center" vertical="center"/>
    </xf>
    <xf numFmtId="0" fontId="0" fillId="0" borderId="1" applyAlignment="1" pivotButton="0" quotePrefix="0" xfId="0">
      <alignment horizontal="center" vertical="center"/>
    </xf>
    <xf numFmtId="0" fontId="0" fillId="0" borderId="26" pivotButton="0" quotePrefix="0" xfId="0"/>
    <xf numFmtId="0" fontId="0" fillId="0" borderId="17" pivotButton="0" quotePrefix="0" xfId="0"/>
    <xf numFmtId="0" fontId="4"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21" applyAlignment="1" pivotButton="0" quotePrefix="0" xfId="0">
      <alignment horizontal="center" vertical="center"/>
    </xf>
    <xf numFmtId="0" fontId="0" fillId="0" borderId="24" pivotButton="0" quotePrefix="0" xfId="0"/>
    <xf numFmtId="0" fontId="0" fillId="0" borderId="33" pivotButton="0" quotePrefix="0" xfId="0"/>
    <xf numFmtId="0" fontId="0" fillId="0" borderId="34"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39" pivotButton="0" quotePrefix="0" xfId="0"/>
    <xf numFmtId="0" fontId="0" fillId="0" borderId="41" applyAlignment="1" pivotButton="0" quotePrefix="0" xfId="0">
      <alignment horizontal="center" vertical="center"/>
    </xf>
    <xf numFmtId="0" fontId="0" fillId="0" borderId="45" pivotButton="0" quotePrefix="0" xfId="0"/>
    <xf numFmtId="0" fontId="0" fillId="0" borderId="46" pivotButton="0" quotePrefix="0" xfId="0"/>
    <xf numFmtId="0" fontId="0" fillId="0" borderId="15" applyAlignment="1" pivotButton="0" quotePrefix="0" xfId="0">
      <alignment horizontal="center" vertical="center"/>
    </xf>
    <xf numFmtId="0" fontId="0" fillId="0" borderId="42" applyAlignment="1" pivotButton="0" quotePrefix="0" xfId="0">
      <alignment horizontal="center" vertical="center"/>
    </xf>
    <xf numFmtId="0" fontId="0" fillId="0" borderId="48" pivotButton="0" quotePrefix="0" xfId="0"/>
    <xf numFmtId="0" fontId="0" fillId="0" borderId="49" pivotButton="0" quotePrefix="0" xfId="0"/>
    <xf numFmtId="0" fontId="0" fillId="0" borderId="47" applyAlignment="1" pivotButton="0" quotePrefix="0" xfId="0">
      <alignment horizontal="center" vertical="center"/>
    </xf>
    <xf numFmtId="164" fontId="0" fillId="0" borderId="18" applyAlignment="1" pivotButton="0" quotePrefix="0" xfId="2">
      <alignment horizontal="right"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19"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164" fontId="0" fillId="0" borderId="0" applyAlignment="1" pivotButton="0" quotePrefix="0" xfId="2">
      <alignment horizontal="right" vertical="center"/>
    </xf>
    <xf numFmtId="164" fontId="0" fillId="0" borderId="37" applyAlignment="1" pivotButton="0" quotePrefix="0" xfId="2">
      <alignment vertical="center"/>
    </xf>
    <xf numFmtId="164" fontId="0" fillId="0" borderId="38" applyAlignment="1" pivotButton="0" quotePrefix="0" xfId="2">
      <alignment vertical="center"/>
    </xf>
    <xf numFmtId="164" fontId="0" fillId="0" borderId="6" applyAlignment="1" pivotButton="0" quotePrefix="0" xfId="2">
      <alignment vertical="center"/>
    </xf>
    <xf numFmtId="164" fontId="0" fillId="0" borderId="27" applyAlignment="1" pivotButton="0" quotePrefix="0" xfId="2">
      <alignment vertical="center"/>
    </xf>
    <xf numFmtId="164" fontId="0" fillId="0" borderId="9" applyAlignment="1" pivotButton="0" quotePrefix="0" xfId="2">
      <alignment vertical="center"/>
    </xf>
    <xf numFmtId="164" fontId="0" fillId="0" borderId="28" applyAlignment="1" pivotButton="0" quotePrefix="0" xfId="2">
      <alignment vertical="center"/>
    </xf>
    <xf numFmtId="164" fontId="0" fillId="0" borderId="41" applyAlignment="1" pivotButton="0" quotePrefix="0" xfId="2">
      <alignment vertical="center"/>
    </xf>
    <xf numFmtId="164" fontId="0" fillId="0" borderId="41" applyAlignment="1" pivotButton="0" quotePrefix="0" xfId="0">
      <alignment vertical="center"/>
    </xf>
    <xf numFmtId="164" fontId="0" fillId="5" borderId="41" applyAlignment="1" pivotButton="0" quotePrefix="0" xfId="2">
      <alignment vertical="center"/>
    </xf>
    <xf numFmtId="164" fontId="0" fillId="5" borderId="41" applyAlignment="1" pivotButton="0" quotePrefix="0" xfId="0">
      <alignment vertical="center"/>
    </xf>
    <xf numFmtId="164" fontId="0" fillId="0" borderId="13" applyAlignment="1" pivotButton="0" quotePrefix="0" xfId="2">
      <alignment vertical="center"/>
    </xf>
    <xf numFmtId="164" fontId="0" fillId="0" borderId="13" applyAlignment="1" pivotButton="0" quotePrefix="0" xfId="0">
      <alignment vertical="center"/>
    </xf>
  </cellXfs>
  <cellStyles count="3">
    <cellStyle name="標準" xfId="0" builtinId="0"/>
    <cellStyle name="桁区切り" xfId="1" builtinId="6"/>
    <cellStyle name="パーセント"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8" tint="-0.249977111117893"/>
    <outlinePr summaryBelow="1" summaryRight="1"/>
    <pageSetUpPr fitToPage="1"/>
  </sheetPr>
  <dimension ref="C1:Y90"/>
  <sheetViews>
    <sheetView workbookViewId="0">
      <pane xSplit="4" ySplit="1" topLeftCell="E61" activePane="bottomRight" state="frozen"/>
      <selection activeCell="M85" sqref="M85:Q89"/>
      <selection pane="topRight" activeCell="M85" sqref="M85:Q89"/>
      <selection pane="bottomLeft" activeCell="M85" sqref="M85:Q89"/>
      <selection pane="bottomRight" activeCell="M85" sqref="M85:Q89"/>
    </sheetView>
  </sheetViews>
  <sheetFormatPr baseColWidth="8" defaultRowHeight="18.75"/>
  <cols>
    <col width="9.75" bestFit="1" customWidth="1" style="97" min="3" max="3"/>
    <col width="10.125" customWidth="1" style="97" min="5" max="25"/>
  </cols>
  <sheetData>
    <row r="1" ht="24" customHeight="1" s="97">
      <c r="C1" s="8" t="inlineStr">
        <is>
          <t>松江営業所機械</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2" t="n">
        <v>205</v>
      </c>
      <c r="F5" s="2" t="n">
        <v>2895</v>
      </c>
      <c r="G5" s="2" t="n">
        <v>20</v>
      </c>
      <c r="H5" s="2" t="n">
        <v>39</v>
      </c>
      <c r="I5" s="2" t="n">
        <v>210</v>
      </c>
      <c r="J5" s="2" t="n">
        <v>-2216</v>
      </c>
      <c r="K5" s="79">
        <f>SUM(E5:J5)</f>
        <v/>
      </c>
      <c r="L5" s="1" t="n">
        <v>45</v>
      </c>
      <c r="M5" s="2" t="n">
        <v>601</v>
      </c>
      <c r="N5" s="2" t="n">
        <v>6</v>
      </c>
      <c r="O5" s="2" t="n">
        <v>9</v>
      </c>
      <c r="P5" s="2" t="n">
        <v>49</v>
      </c>
      <c r="Q5" s="2" t="n">
        <v>-441</v>
      </c>
      <c r="R5" s="75">
        <f>SUM(L5:Q5)</f>
        <v/>
      </c>
      <c r="S5" s="115">
        <f>IF(E5=0,"***",L5/E5)</f>
        <v/>
      </c>
      <c r="T5" s="116">
        <f>IF(F5=0,"***",M5/F5)</f>
        <v/>
      </c>
      <c r="U5" s="116">
        <f>IF(G5=0,"***",N5/G5)</f>
        <v/>
      </c>
      <c r="V5" s="116">
        <f>IF(H5=0,"***",O5/H5)</f>
        <v/>
      </c>
      <c r="W5" s="116">
        <f>IF(I5=0,"***",P5/I5)</f>
        <v/>
      </c>
      <c r="X5" s="116">
        <f>IF(J5=0,"***",Q5/J5)</f>
        <v/>
      </c>
      <c r="Y5" s="117">
        <f>IF(K5=0,"***",R5/K5)</f>
        <v/>
      </c>
    </row>
    <row r="6">
      <c r="C6" s="73" t="inlineStr">
        <is>
          <t>0033 集計</t>
        </is>
      </c>
      <c r="D6" s="60" t="inlineStr">
        <is>
          <t>前田課長代</t>
        </is>
      </c>
      <c r="E6" s="2" t="n">
        <v>558</v>
      </c>
      <c r="F6" s="2" t="n">
        <v>155</v>
      </c>
      <c r="G6" s="2" t="n">
        <v>295</v>
      </c>
      <c r="H6" s="2" t="n">
        <v>126</v>
      </c>
      <c r="I6" s="2" t="n">
        <v>90</v>
      </c>
      <c r="J6" s="2" t="n">
        <v>116</v>
      </c>
      <c r="K6" s="79">
        <f>SUM(E6:J6)</f>
        <v/>
      </c>
      <c r="L6" s="1" t="n">
        <v>130</v>
      </c>
      <c r="M6" s="2" t="n">
        <v>37</v>
      </c>
      <c r="N6" s="2" t="n">
        <v>38</v>
      </c>
      <c r="O6" s="2" t="n">
        <v>18</v>
      </c>
      <c r="P6" s="2" t="n">
        <v>11</v>
      </c>
      <c r="Q6" s="2" t="n">
        <v>35</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2" t="n"/>
      <c r="F7" s="2" t="n"/>
      <c r="G7" s="2" t="n">
        <v>97</v>
      </c>
      <c r="H7" s="2" t="n"/>
      <c r="I7" s="2" t="n"/>
      <c r="J7" s="2" t="n"/>
      <c r="K7" s="79">
        <f>SUM(E7:J7)</f>
        <v/>
      </c>
      <c r="L7" s="1" t="n"/>
      <c r="M7" s="2" t="n"/>
      <c r="N7" s="2" t="n">
        <v>19</v>
      </c>
      <c r="O7" s="2" t="n"/>
      <c r="P7" s="2" t="n"/>
      <c r="Q7" s="2" t="n"/>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2" t="n"/>
      <c r="F8" s="2" t="n"/>
      <c r="G8" s="2" t="n"/>
      <c r="H8" s="2" t="n"/>
      <c r="I8" s="2" t="n"/>
      <c r="J8" s="2" t="n"/>
      <c r="K8" s="79">
        <f>SUM(E8:J8)</f>
        <v/>
      </c>
      <c r="L8" s="1" t="n"/>
      <c r="M8" s="2" t="n"/>
      <c r="N8" s="2" t="n"/>
      <c r="O8" s="2" t="n"/>
      <c r="P8" s="2" t="n"/>
      <c r="Q8" s="2" t="n"/>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2" t="n"/>
      <c r="F9" s="2" t="n"/>
      <c r="G9" s="2" t="n"/>
      <c r="H9" s="2" t="n"/>
      <c r="I9" s="2" t="n"/>
      <c r="J9" s="2" t="n"/>
      <c r="K9" s="79">
        <f>SUM(E9:J9)</f>
        <v/>
      </c>
      <c r="L9" s="1" t="n"/>
      <c r="M9" s="2" t="n"/>
      <c r="N9" s="2" t="n"/>
      <c r="O9" s="2" t="n"/>
      <c r="P9" s="2" t="n"/>
      <c r="Q9" s="2" t="n"/>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74"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2" t="n">
        <v>142</v>
      </c>
      <c r="F15" s="2" t="n">
        <v>131</v>
      </c>
      <c r="G15" s="2" t="n">
        <v>126</v>
      </c>
      <c r="H15" s="2" t="n">
        <v>48</v>
      </c>
      <c r="I15" s="2" t="n">
        <v>18</v>
      </c>
      <c r="J15" s="2" t="n">
        <v>1405</v>
      </c>
      <c r="K15" s="79">
        <f>SUM(E15:J15)</f>
        <v/>
      </c>
      <c r="L15" s="1" t="n">
        <v>26</v>
      </c>
      <c r="M15" s="2" t="n">
        <v>26</v>
      </c>
      <c r="N15" s="2" t="n">
        <v>37</v>
      </c>
      <c r="O15" s="2" t="n">
        <v>11</v>
      </c>
      <c r="P15" s="2" t="n">
        <v>7</v>
      </c>
      <c r="Q15" s="2" t="n">
        <v>283</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60" t="inlineStr">
        <is>
          <t>前田課長代</t>
        </is>
      </c>
      <c r="E16" s="2" t="n">
        <v>718</v>
      </c>
      <c r="F16" s="2" t="n">
        <v>123</v>
      </c>
      <c r="G16" s="2" t="n">
        <v>164</v>
      </c>
      <c r="H16" s="2" t="n">
        <v>428</v>
      </c>
      <c r="I16" s="2" t="n">
        <v>201</v>
      </c>
      <c r="J16" s="2" t="n">
        <v>95</v>
      </c>
      <c r="K16" s="79">
        <f>SUM(E16:J16)</f>
        <v/>
      </c>
      <c r="L16" s="1" t="n">
        <v>142</v>
      </c>
      <c r="M16" s="2" t="n">
        <v>16</v>
      </c>
      <c r="N16" s="2" t="n">
        <v>47</v>
      </c>
      <c r="O16" s="2" t="n">
        <v>49</v>
      </c>
      <c r="P16" s="2" t="n">
        <v>70</v>
      </c>
      <c r="Q16" s="2" t="n">
        <v>19</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2" t="n"/>
      <c r="F17" s="2" t="n"/>
      <c r="G17" s="2" t="n"/>
      <c r="H17" s="2" t="n"/>
      <c r="I17" s="2" t="n"/>
      <c r="J17" s="2" t="n"/>
      <c r="K17" s="79">
        <f>SUM(E17:J17)</f>
        <v/>
      </c>
      <c r="L17" s="1" t="n"/>
      <c r="M17" s="2" t="n"/>
      <c r="N17" s="2" t="n"/>
      <c r="O17" s="2" t="n"/>
      <c r="P17" s="2" t="n"/>
      <c r="Q17" s="2" t="n"/>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2" t="n">
        <v>0</v>
      </c>
      <c r="F18" s="2" t="n">
        <v>0</v>
      </c>
      <c r="G18" s="2" t="n">
        <v>0</v>
      </c>
      <c r="H18" s="2" t="n">
        <v>0</v>
      </c>
      <c r="I18" s="2" t="n">
        <v>0</v>
      </c>
      <c r="J18" s="2" t="n">
        <v>0</v>
      </c>
      <c r="K18" s="79">
        <f>SUM(E18:J18)</f>
        <v/>
      </c>
      <c r="L18" s="1" t="n">
        <v>0</v>
      </c>
      <c r="M18" s="2" t="n">
        <v>0</v>
      </c>
      <c r="N18" s="2" t="n">
        <v>0</v>
      </c>
      <c r="O18" s="2" t="n">
        <v>0</v>
      </c>
      <c r="P18" s="2" t="n">
        <v>0</v>
      </c>
      <c r="Q18" s="2" t="n">
        <v>0</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2" t="n">
        <v>21</v>
      </c>
      <c r="F19" s="2" t="n">
        <v>0</v>
      </c>
      <c r="G19" s="2" t="n">
        <v>0</v>
      </c>
      <c r="H19" s="2" t="n">
        <v>0</v>
      </c>
      <c r="I19" s="2" t="n">
        <v>0</v>
      </c>
      <c r="J19" s="2" t="n">
        <v>0</v>
      </c>
      <c r="K19" s="79">
        <f>SUM(E19:J19)</f>
        <v/>
      </c>
      <c r="L19" s="1" t="n">
        <v>5</v>
      </c>
      <c r="M19" s="2" t="n">
        <v>0</v>
      </c>
      <c r="N19" s="2" t="n">
        <v>0</v>
      </c>
      <c r="O19" s="2" t="n">
        <v>0</v>
      </c>
      <c r="P19" s="2" t="n">
        <v>0</v>
      </c>
      <c r="Q19" s="2" t="n">
        <v>0</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60"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39" t="n">
        <v>200</v>
      </c>
      <c r="F35" s="39" t="n">
        <v>200</v>
      </c>
      <c r="G35" s="39" t="n">
        <v>200</v>
      </c>
      <c r="H35" s="39" t="n">
        <v>200</v>
      </c>
      <c r="I35" s="39" t="n">
        <v>200</v>
      </c>
      <c r="J35" s="39" t="n">
        <v>200</v>
      </c>
      <c r="K35" s="79">
        <f>SUM(E35:J35)</f>
        <v/>
      </c>
      <c r="L35" s="58" t="n">
        <v>50</v>
      </c>
      <c r="M35" s="39" t="n">
        <v>50</v>
      </c>
      <c r="N35" s="39" t="n">
        <v>50</v>
      </c>
      <c r="O35" s="39" t="n">
        <v>50</v>
      </c>
      <c r="P35" s="39" t="n">
        <v>50</v>
      </c>
      <c r="Q35" s="39" t="n">
        <v>50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60" t="inlineStr">
        <is>
          <t>前田課長代</t>
        </is>
      </c>
      <c r="E36" s="39" t="n">
        <v>200</v>
      </c>
      <c r="F36" s="39" t="n">
        <v>200</v>
      </c>
      <c r="G36" s="39" t="n">
        <v>200</v>
      </c>
      <c r="H36" s="39" t="n">
        <v>1100</v>
      </c>
      <c r="I36" s="39" t="n">
        <v>200</v>
      </c>
      <c r="J36" s="39" t="n">
        <v>200</v>
      </c>
      <c r="K36" s="79">
        <f>SUM(E36:J36)</f>
        <v/>
      </c>
      <c r="L36" s="58" t="n">
        <v>50</v>
      </c>
      <c r="M36" s="39" t="n">
        <v>50</v>
      </c>
      <c r="N36" s="39" t="n">
        <v>50</v>
      </c>
      <c r="O36" s="39" t="n">
        <v>140</v>
      </c>
      <c r="P36" s="39" t="n">
        <v>50</v>
      </c>
      <c r="Q36" s="39" t="n">
        <v>50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39" t="n">
        <v>100</v>
      </c>
      <c r="F37" s="39" t="n">
        <v>100</v>
      </c>
      <c r="G37" s="39" t="n">
        <v>100</v>
      </c>
      <c r="H37" s="39" t="n">
        <v>100</v>
      </c>
      <c r="I37" s="39" t="n">
        <v>100</v>
      </c>
      <c r="J37" s="39" t="n">
        <v>100</v>
      </c>
      <c r="K37" s="79">
        <f>SUM(E37:J37)</f>
        <v/>
      </c>
      <c r="L37" s="58" t="n">
        <v>20</v>
      </c>
      <c r="M37" s="39" t="n">
        <v>20</v>
      </c>
      <c r="N37" s="39" t="n">
        <v>20</v>
      </c>
      <c r="O37" s="39" t="n">
        <v>20</v>
      </c>
      <c r="P37" s="39" t="n">
        <v>20</v>
      </c>
      <c r="Q37" s="39" t="n">
        <v>20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39" t="n"/>
      <c r="F38" s="39" t="n"/>
      <c r="G38" s="39" t="n"/>
      <c r="H38" s="39" t="n"/>
      <c r="I38" s="39" t="n"/>
      <c r="J38" s="39" t="n"/>
      <c r="K38" s="79">
        <f>SUM(E38:J38)</f>
        <v/>
      </c>
      <c r="L38" s="58" t="n"/>
      <c r="M38" s="39" t="n"/>
      <c r="N38" s="39" t="n"/>
      <c r="O38" s="39" t="n"/>
      <c r="P38" s="39" t="n"/>
      <c r="Q38" s="39" t="n"/>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39" t="n"/>
      <c r="F39" s="39" t="n"/>
      <c r="G39" s="39" t="n"/>
      <c r="H39" s="39" t="n"/>
      <c r="I39" s="39" t="n"/>
      <c r="J39" s="39" t="n"/>
      <c r="K39" s="79">
        <f>SUM(E39:J39)</f>
        <v/>
      </c>
      <c r="L39" s="58" t="n"/>
      <c r="M39" s="39" t="n"/>
      <c r="N39" s="39" t="n"/>
      <c r="O39" s="39" t="n"/>
      <c r="P39" s="39" t="n"/>
      <c r="Q39" s="39"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60"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S35-S25</f>
        <v/>
      </c>
      <c r="T55" s="116">
        <f>T35-T25</f>
        <v/>
      </c>
      <c r="U55" s="116">
        <f>U35-U25</f>
        <v/>
      </c>
      <c r="V55" s="116">
        <f>V35-V25</f>
        <v/>
      </c>
      <c r="W55" s="116">
        <f>W35-W25</f>
        <v/>
      </c>
      <c r="X55" s="116">
        <f>X35-X25</f>
        <v/>
      </c>
      <c r="Y55" s="117">
        <f>Y35-Y25</f>
        <v/>
      </c>
    </row>
    <row r="56" hidden="1" s="97">
      <c r="C56" s="73" t="inlineStr">
        <is>
          <t>0033 集計</t>
        </is>
      </c>
      <c r="D56" s="60"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S36-S26</f>
        <v/>
      </c>
      <c r="T56" s="116">
        <f>T36-T26</f>
        <v/>
      </c>
      <c r="U56" s="116">
        <f>U36-U26</f>
        <v/>
      </c>
      <c r="V56" s="116">
        <f>V36-V26</f>
        <v/>
      </c>
      <c r="W56" s="116">
        <f>W36-W26</f>
        <v/>
      </c>
      <c r="X56" s="116">
        <f>X36-X26</f>
        <v/>
      </c>
      <c r="Y56" s="117">
        <f>Y36-Y26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S37-S27</f>
        <v/>
      </c>
      <c r="T57" s="116">
        <f>T37-T27</f>
        <v/>
      </c>
      <c r="U57" s="116">
        <f>U37-U27</f>
        <v/>
      </c>
      <c r="V57" s="116">
        <f>V37-V27</f>
        <v/>
      </c>
      <c r="W57" s="116">
        <f>W37-W27</f>
        <v/>
      </c>
      <c r="X57" s="116">
        <f>X37-X27</f>
        <v/>
      </c>
      <c r="Y57" s="117">
        <f>Y37-Y27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S38-S28</f>
        <v/>
      </c>
      <c r="T58" s="116">
        <f>T38-T28</f>
        <v/>
      </c>
      <c r="U58" s="116">
        <f>U38-U28</f>
        <v/>
      </c>
      <c r="V58" s="116">
        <f>V38-V28</f>
        <v/>
      </c>
      <c r="W58" s="116">
        <f>W38-W28</f>
        <v/>
      </c>
      <c r="X58" s="116">
        <f>X38-X28</f>
        <v/>
      </c>
      <c r="Y58" s="117">
        <f>Y38-Y28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S39-S29</f>
        <v/>
      </c>
      <c r="T59" s="116">
        <f>T39-T29</f>
        <v/>
      </c>
      <c r="U59" s="116">
        <f>U39-U29</f>
        <v/>
      </c>
      <c r="V59" s="116">
        <f>V39-V29</f>
        <v/>
      </c>
      <c r="W59" s="116">
        <f>W39-W29</f>
        <v/>
      </c>
      <c r="X59" s="116">
        <f>X39-X29</f>
        <v/>
      </c>
      <c r="Y59" s="117">
        <f>Y39-Y29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S40-S30</f>
        <v/>
      </c>
      <c r="T60" s="119">
        <f>T40-T30</f>
        <v/>
      </c>
      <c r="U60" s="119">
        <f>U40-U30</f>
        <v/>
      </c>
      <c r="V60" s="119">
        <f>V40-V30</f>
        <v/>
      </c>
      <c r="W60" s="119">
        <f>W40-W30</f>
        <v/>
      </c>
      <c r="X60" s="119">
        <f>X40-X30</f>
        <v/>
      </c>
      <c r="Y60" s="120">
        <f>Y40-Y30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39" t="n">
        <v>403.225</v>
      </c>
      <c r="F65" s="39" t="n">
        <v>109.115</v>
      </c>
      <c r="G65" s="39" t="n">
        <v>67.7</v>
      </c>
      <c r="H65" s="39" t="n">
        <v>44.72</v>
      </c>
      <c r="I65" s="39" t="n">
        <v>756.14</v>
      </c>
      <c r="J65" s="39" t="n"/>
      <c r="K65" s="79">
        <f>SUM(E65:J65)</f>
        <v/>
      </c>
      <c r="L65" s="58" t="n">
        <v>81.83499999999999</v>
      </c>
      <c r="M65" s="39" t="n">
        <v>24.075</v>
      </c>
      <c r="N65" s="39" t="n">
        <v>24.31</v>
      </c>
      <c r="O65" s="39" t="n">
        <v>11.192</v>
      </c>
      <c r="P65" s="39" t="n">
        <v>151.195</v>
      </c>
      <c r="Q65" s="39" t="n"/>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60" t="inlineStr">
        <is>
          <t>前田課長代</t>
        </is>
      </c>
      <c r="E66" s="39" t="n">
        <v>686.744</v>
      </c>
      <c r="F66" s="39" t="n">
        <v>333.19</v>
      </c>
      <c r="G66" s="39" t="n">
        <v>1864.34</v>
      </c>
      <c r="H66" s="39" t="n">
        <v>256</v>
      </c>
      <c r="I66" s="39" t="n">
        <v>695.7</v>
      </c>
      <c r="J66" s="39" t="n"/>
      <c r="K66" s="79">
        <f>SUM(E66:J66)</f>
        <v/>
      </c>
      <c r="L66" s="58" t="n">
        <v>136.484</v>
      </c>
      <c r="M66" s="39" t="n">
        <v>75.944</v>
      </c>
      <c r="N66" s="39" t="n">
        <v>420.08</v>
      </c>
      <c r="O66" s="39" t="n">
        <v>70.3</v>
      </c>
      <c r="P66" s="39" t="n">
        <v>148.74</v>
      </c>
      <c r="Q66" s="39" t="n"/>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39" t="n">
        <v>69</v>
      </c>
      <c r="F67" s="39" t="n"/>
      <c r="G67" s="39" t="n"/>
      <c r="H67" s="39" t="n">
        <v>591.39</v>
      </c>
      <c r="I67" s="39" t="n">
        <v>0</v>
      </c>
      <c r="J67" s="39" t="n"/>
      <c r="K67" s="39">
        <f>SUM(E67:J67)</f>
        <v/>
      </c>
      <c r="L67" s="58" t="n">
        <v>9</v>
      </c>
      <c r="M67" s="39" t="n"/>
      <c r="N67" s="39" t="n"/>
      <c r="O67" s="39" t="n">
        <v>130.75</v>
      </c>
      <c r="P67" s="39" t="n">
        <v>0</v>
      </c>
      <c r="Q67" s="39" t="n"/>
      <c r="R67" s="39">
        <f>SUM(L67:Q67)</f>
        <v/>
      </c>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39" t="n"/>
      <c r="F68" s="39" t="n"/>
      <c r="G68" s="39" t="n"/>
      <c r="H68" s="39" t="n"/>
      <c r="I68" s="39" t="n">
        <v>0</v>
      </c>
      <c r="J68" s="39" t="n"/>
      <c r="K68" s="79">
        <f>SUM(E68:J68)</f>
        <v/>
      </c>
      <c r="L68" s="58" t="n"/>
      <c r="M68" s="39" t="n"/>
      <c r="N68" s="39" t="n"/>
      <c r="O68" s="39" t="n"/>
      <c r="P68" s="39" t="n">
        <v>0</v>
      </c>
      <c r="Q68" s="39" t="n"/>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39" t="n">
        <v>8.5</v>
      </c>
      <c r="F69" s="39" t="n"/>
      <c r="G69" s="39" t="n"/>
      <c r="H69" s="39" t="n"/>
      <c r="I69" s="39" t="n">
        <v>0</v>
      </c>
      <c r="J69" s="39" t="n"/>
      <c r="K69" s="79">
        <f>SUM(E69:J69)</f>
        <v/>
      </c>
      <c r="L69" s="58" t="n">
        <v>1.5</v>
      </c>
      <c r="M69" s="39" t="n"/>
      <c r="N69" s="39" t="n"/>
      <c r="O69" s="39" t="n"/>
      <c r="P69" s="39" t="n">
        <v>0</v>
      </c>
      <c r="Q69" s="39" t="n"/>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39">
        <f>E65-E35</f>
        <v/>
      </c>
      <c r="F75" s="39">
        <f>F65-F35</f>
        <v/>
      </c>
      <c r="G75" s="39">
        <f>G65-G35</f>
        <v/>
      </c>
      <c r="H75" s="39">
        <f>H65-H35</f>
        <v/>
      </c>
      <c r="I75" s="39">
        <f>I65-I35</f>
        <v/>
      </c>
      <c r="J75" s="39" t="n"/>
      <c r="K75" s="79">
        <f>SUM(E75:J75)</f>
        <v/>
      </c>
      <c r="L75" s="58">
        <f>L65-L35</f>
        <v/>
      </c>
      <c r="M75" s="39">
        <f>M65-M35</f>
        <v/>
      </c>
      <c r="N75" s="39">
        <f>N65-N35</f>
        <v/>
      </c>
      <c r="O75" s="39">
        <f>O65-O35</f>
        <v/>
      </c>
      <c r="P75" s="39">
        <f>P65-P35</f>
        <v/>
      </c>
      <c r="Q75" s="39" t="n"/>
      <c r="R75" s="75">
        <f>SUM(L75:Q75)</f>
        <v/>
      </c>
      <c r="S75" s="115">
        <f>S65-S35</f>
        <v/>
      </c>
      <c r="T75" s="116">
        <f>T65-T35</f>
        <v/>
      </c>
      <c r="U75" s="116">
        <f>U65-U35</f>
        <v/>
      </c>
      <c r="V75" s="116">
        <f>V65-V35</f>
        <v/>
      </c>
      <c r="W75" s="116">
        <f>W65-W35</f>
        <v/>
      </c>
      <c r="X75" s="116">
        <f>X65-X35</f>
        <v/>
      </c>
      <c r="Y75" s="117">
        <f>Y65-Y35</f>
        <v/>
      </c>
    </row>
    <row r="76">
      <c r="C76" s="73" t="inlineStr">
        <is>
          <t>0033 集計</t>
        </is>
      </c>
      <c r="D76" s="60" t="inlineStr">
        <is>
          <t>前田課長代</t>
        </is>
      </c>
      <c r="E76" s="39">
        <f>E66-E36</f>
        <v/>
      </c>
      <c r="F76" s="39">
        <f>F66-F36</f>
        <v/>
      </c>
      <c r="G76" s="39">
        <f>G66-G36</f>
        <v/>
      </c>
      <c r="H76" s="39">
        <f>H66-H36</f>
        <v/>
      </c>
      <c r="I76" s="39">
        <f>I66-I36</f>
        <v/>
      </c>
      <c r="J76" s="39" t="n"/>
      <c r="K76" s="79">
        <f>SUM(E76:J76)</f>
        <v/>
      </c>
      <c r="L76" s="58">
        <f>L66-L36</f>
        <v/>
      </c>
      <c r="M76" s="39">
        <f>M66-M36</f>
        <v/>
      </c>
      <c r="N76" s="39">
        <f>N66-N36</f>
        <v/>
      </c>
      <c r="O76" s="39">
        <f>O66-O36</f>
        <v/>
      </c>
      <c r="P76" s="39">
        <f>P66-P36</f>
        <v/>
      </c>
      <c r="Q76" s="39" t="n"/>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39">
        <f>E67-E37</f>
        <v/>
      </c>
      <c r="F77" s="39">
        <f>F67-F37</f>
        <v/>
      </c>
      <c r="G77" s="39">
        <f>G67-G37</f>
        <v/>
      </c>
      <c r="H77" s="39">
        <f>H67-H37</f>
        <v/>
      </c>
      <c r="I77" s="39">
        <f>I67-I37</f>
        <v/>
      </c>
      <c r="J77" s="39" t="n"/>
      <c r="K77" s="79">
        <f>SUM(E77:J77)</f>
        <v/>
      </c>
      <c r="L77" s="58">
        <f>L67-L37</f>
        <v/>
      </c>
      <c r="M77" s="39">
        <f>M67-M37</f>
        <v/>
      </c>
      <c r="N77" s="39">
        <f>N67-N37</f>
        <v/>
      </c>
      <c r="O77" s="39">
        <f>O67-O37</f>
        <v/>
      </c>
      <c r="P77" s="39">
        <f>P67-P37</f>
        <v/>
      </c>
      <c r="Q77" s="39" t="n"/>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39">
        <f>E68-E38</f>
        <v/>
      </c>
      <c r="F78" s="39">
        <f>F68-F38</f>
        <v/>
      </c>
      <c r="G78" s="39">
        <f>G68-G38</f>
        <v/>
      </c>
      <c r="H78" s="39">
        <f>H68-H38</f>
        <v/>
      </c>
      <c r="I78" s="39">
        <f>I68-I38</f>
        <v/>
      </c>
      <c r="J78" s="39" t="n"/>
      <c r="K78" s="79">
        <f>SUM(E78:J78)</f>
        <v/>
      </c>
      <c r="L78" s="58">
        <f>L68-L38</f>
        <v/>
      </c>
      <c r="M78" s="39">
        <f>M68-M38</f>
        <v/>
      </c>
      <c r="N78" s="39">
        <f>N68-N38</f>
        <v/>
      </c>
      <c r="O78" s="39">
        <f>O68-O38</f>
        <v/>
      </c>
      <c r="P78" s="39">
        <f>P68-P38</f>
        <v/>
      </c>
      <c r="Q78" s="39" t="n"/>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39">
        <f>E69-E39</f>
        <v/>
      </c>
      <c r="F79" s="39">
        <f>F69-F39</f>
        <v/>
      </c>
      <c r="G79" s="39">
        <f>G69-G39</f>
        <v/>
      </c>
      <c r="H79" s="39">
        <f>H69-H39</f>
        <v/>
      </c>
      <c r="I79" s="39">
        <f>I69-I39</f>
        <v/>
      </c>
      <c r="J79" s="39" t="n"/>
      <c r="K79" s="79">
        <f>SUM(E79:J79)</f>
        <v/>
      </c>
      <c r="L79" s="58">
        <f>L69-L39</f>
        <v/>
      </c>
      <c r="M79" s="39">
        <f>M69-M39</f>
        <v/>
      </c>
      <c r="N79" s="39">
        <f>N69-N39</f>
        <v/>
      </c>
      <c r="O79" s="39">
        <f>O69-O39</f>
        <v/>
      </c>
      <c r="P79" s="39">
        <f>P69-P39</f>
        <v/>
      </c>
      <c r="Q79" s="39" t="n"/>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X70-X40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39">
        <f>E65-E15</f>
        <v/>
      </c>
      <c r="F85" s="39">
        <f>F65-F15</f>
        <v/>
      </c>
      <c r="G85" s="39">
        <f>G65-G15</f>
        <v/>
      </c>
      <c r="H85" s="39">
        <f>H65-H15</f>
        <v/>
      </c>
      <c r="I85" s="39">
        <f>I65-I15</f>
        <v/>
      </c>
      <c r="J85" s="39" t="n"/>
      <c r="K85" s="79">
        <f>SUM(E85:J85)</f>
        <v/>
      </c>
      <c r="L85" s="58">
        <f>L65-L15</f>
        <v/>
      </c>
      <c r="M85" s="39">
        <f>M65-M15</f>
        <v/>
      </c>
      <c r="N85" s="39">
        <f>N65-N15</f>
        <v/>
      </c>
      <c r="O85" s="39">
        <f>O65-O15</f>
        <v/>
      </c>
      <c r="P85" s="39">
        <f>P65-P15</f>
        <v/>
      </c>
      <c r="Q85" s="39" t="n"/>
      <c r="R85" s="75">
        <f>SUM(L85:Q85)</f>
        <v/>
      </c>
      <c r="S85" s="115">
        <f>S65-S15</f>
        <v/>
      </c>
      <c r="T85" s="116">
        <f>T65-T15</f>
        <v/>
      </c>
      <c r="U85" s="116">
        <f>U65-U15</f>
        <v/>
      </c>
      <c r="V85" s="116">
        <f>V65-V15</f>
        <v/>
      </c>
      <c r="W85" s="116">
        <f>W65-W15</f>
        <v/>
      </c>
      <c r="X85" s="116">
        <f>X65-X15</f>
        <v/>
      </c>
      <c r="Y85" s="117">
        <f>Y65-Y15</f>
        <v/>
      </c>
    </row>
    <row r="86">
      <c r="C86" s="73" t="inlineStr">
        <is>
          <t>0033 集計</t>
        </is>
      </c>
      <c r="D86" s="60" t="inlineStr">
        <is>
          <t>前田課長代</t>
        </is>
      </c>
      <c r="E86" s="39">
        <f>E66-E16</f>
        <v/>
      </c>
      <c r="F86" s="39">
        <f>F66-F16</f>
        <v/>
      </c>
      <c r="G86" s="39">
        <f>G66-G16</f>
        <v/>
      </c>
      <c r="H86" s="39">
        <f>H66-H16</f>
        <v/>
      </c>
      <c r="I86" s="39">
        <f>I66-I16</f>
        <v/>
      </c>
      <c r="J86" s="39" t="n"/>
      <c r="K86" s="79">
        <f>SUM(E86:J86)</f>
        <v/>
      </c>
      <c r="L86" s="58">
        <f>L66-L16</f>
        <v/>
      </c>
      <c r="M86" s="39">
        <f>M66-M16</f>
        <v/>
      </c>
      <c r="N86" s="39">
        <f>N66-N16</f>
        <v/>
      </c>
      <c r="O86" s="39">
        <f>O66-O16</f>
        <v/>
      </c>
      <c r="P86" s="39">
        <f>P66-P16</f>
        <v/>
      </c>
      <c r="Q86" s="39" t="n"/>
      <c r="R86" s="75">
        <f>SUM(L86:Q86)</f>
        <v/>
      </c>
      <c r="S86" s="115">
        <f>S66-S16</f>
        <v/>
      </c>
      <c r="T86" s="116">
        <f>T66-T16</f>
        <v/>
      </c>
      <c r="U86" s="116">
        <f>U66-U16</f>
        <v/>
      </c>
      <c r="V86" s="116">
        <f>V66-V16</f>
        <v/>
      </c>
      <c r="W86" s="116">
        <f>W66-W16</f>
        <v/>
      </c>
      <c r="X86" s="116">
        <f>X66-X16</f>
        <v/>
      </c>
      <c r="Y86" s="117">
        <f>Y66-Y16</f>
        <v/>
      </c>
    </row>
    <row r="87">
      <c r="C87" s="73" t="inlineStr">
        <is>
          <t>0034 集計</t>
        </is>
      </c>
      <c r="D87" s="71" t="inlineStr">
        <is>
          <t>原田</t>
        </is>
      </c>
      <c r="E87" s="39">
        <f>E67-E17</f>
        <v/>
      </c>
      <c r="F87" s="39">
        <f>F67-F17</f>
        <v/>
      </c>
      <c r="G87" s="39">
        <f>G67-G17</f>
        <v/>
      </c>
      <c r="H87" s="39">
        <f>H67-H17</f>
        <v/>
      </c>
      <c r="I87" s="39">
        <f>I67-I17</f>
        <v/>
      </c>
      <c r="J87" s="39" t="n"/>
      <c r="K87" s="79">
        <f>SUM(E87:J87)</f>
        <v/>
      </c>
      <c r="L87" s="58">
        <f>L67-L17</f>
        <v/>
      </c>
      <c r="M87" s="39">
        <f>M67-M17</f>
        <v/>
      </c>
      <c r="N87" s="39">
        <f>N67-N17</f>
        <v/>
      </c>
      <c r="O87" s="39">
        <f>O67-O17</f>
        <v/>
      </c>
      <c r="P87" s="39">
        <f>P67-P17</f>
        <v/>
      </c>
      <c r="Q87" s="39" t="n"/>
      <c r="R87" s="75">
        <f>SUM(L87:Q87)</f>
        <v/>
      </c>
      <c r="S87" s="115">
        <f>S67-S17</f>
        <v/>
      </c>
      <c r="T87" s="116">
        <f>T67-T17</f>
        <v/>
      </c>
      <c r="U87" s="116">
        <f>U67-U17</f>
        <v/>
      </c>
      <c r="V87" s="116">
        <f>V67-V17</f>
        <v/>
      </c>
      <c r="W87" s="116">
        <f>W67-W17</f>
        <v/>
      </c>
      <c r="X87" s="116">
        <f>X67-X17</f>
        <v/>
      </c>
      <c r="Y87" s="117">
        <f>Y67-Y17</f>
        <v/>
      </c>
    </row>
    <row r="88">
      <c r="C88" s="73" t="inlineStr">
        <is>
          <t>0035 集計</t>
        </is>
      </c>
      <c r="D88" s="71" t="inlineStr">
        <is>
          <t>自治体</t>
        </is>
      </c>
      <c r="E88" s="39">
        <f>E68-E18</f>
        <v/>
      </c>
      <c r="F88" s="39">
        <f>F68-F18</f>
        <v/>
      </c>
      <c r="G88" s="39">
        <f>G68-G18</f>
        <v/>
      </c>
      <c r="H88" s="39">
        <f>H68-H18</f>
        <v/>
      </c>
      <c r="I88" s="39">
        <f>I68-I18</f>
        <v/>
      </c>
      <c r="J88" s="39" t="n"/>
      <c r="K88" s="79">
        <f>SUM(E88:J88)</f>
        <v/>
      </c>
      <c r="L88" s="58">
        <f>L68-L18</f>
        <v/>
      </c>
      <c r="M88" s="39">
        <f>M68-M18</f>
        <v/>
      </c>
      <c r="N88" s="39">
        <f>N68-N18</f>
        <v/>
      </c>
      <c r="O88" s="39">
        <f>O68-O18</f>
        <v/>
      </c>
      <c r="P88" s="39">
        <f>P68-P18</f>
        <v/>
      </c>
      <c r="Q88" s="39" t="n"/>
      <c r="R88" s="75">
        <f>SUM(L88:Q88)</f>
        <v/>
      </c>
      <c r="S88" s="115">
        <f>S68-S18</f>
        <v/>
      </c>
      <c r="T88" s="116">
        <f>T68-T18</f>
        <v/>
      </c>
      <c r="U88" s="116">
        <f>U68-U18</f>
        <v/>
      </c>
      <c r="V88" s="116">
        <f>V68-V18</f>
        <v/>
      </c>
      <c r="W88" s="116">
        <f>W68-W18</f>
        <v/>
      </c>
      <c r="X88" s="116">
        <f>X68-X18</f>
        <v/>
      </c>
      <c r="Y88" s="117">
        <f>Y68-Y18</f>
        <v/>
      </c>
    </row>
    <row r="89">
      <c r="C89" s="73" t="inlineStr">
        <is>
          <t>0039 集計</t>
        </is>
      </c>
      <c r="D89" s="71" t="inlineStr">
        <is>
          <t>その他</t>
        </is>
      </c>
      <c r="E89" s="39">
        <f>E69-E19</f>
        <v/>
      </c>
      <c r="F89" s="39">
        <f>F69-F19</f>
        <v/>
      </c>
      <c r="G89" s="39">
        <f>G69-G19</f>
        <v/>
      </c>
      <c r="H89" s="39">
        <f>H69-H19</f>
        <v/>
      </c>
      <c r="I89" s="39">
        <f>I69-I19</f>
        <v/>
      </c>
      <c r="J89" s="39" t="n"/>
      <c r="K89" s="79">
        <f>SUM(E89:J89)</f>
        <v/>
      </c>
      <c r="L89" s="58">
        <f>L69-L19</f>
        <v/>
      </c>
      <c r="M89" s="39">
        <f>M69-M19</f>
        <v/>
      </c>
      <c r="N89" s="39">
        <f>N69-N19</f>
        <v/>
      </c>
      <c r="O89" s="39">
        <f>O69-O19</f>
        <v/>
      </c>
      <c r="P89" s="39">
        <f>P69-P19</f>
        <v/>
      </c>
      <c r="Q89" s="39" t="n"/>
      <c r="R89" s="75">
        <f>SUM(L89:Q89)</f>
        <v/>
      </c>
      <c r="S89" s="115">
        <f>S69-S19</f>
        <v/>
      </c>
      <c r="T89" s="116">
        <f>T69-T19</f>
        <v/>
      </c>
      <c r="U89" s="116">
        <f>U69-U19</f>
        <v/>
      </c>
      <c r="V89" s="116">
        <f>V69-V19</f>
        <v/>
      </c>
      <c r="W89" s="116">
        <f>W69-W19</f>
        <v/>
      </c>
      <c r="X89" s="116">
        <f>X69-X19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76">
        <f>SUM(L85:L89)</f>
        <v/>
      </c>
      <c r="M90" s="63">
        <f>SUM(M85:M89)</f>
        <v/>
      </c>
      <c r="N90" s="63">
        <f>SUM(N85:N89)</f>
        <v/>
      </c>
      <c r="O90" s="63">
        <f>SUM(O85:O89)</f>
        <v/>
      </c>
      <c r="P90" s="63">
        <f>SUM(P85:P89)</f>
        <v/>
      </c>
      <c r="Q90" s="63">
        <f>SUM(Q85:Q89)</f>
        <v/>
      </c>
      <c r="R90" s="77">
        <f>SUM(L90:Q90)</f>
        <v/>
      </c>
      <c r="S90" s="118">
        <f>S70-S20</f>
        <v/>
      </c>
      <c r="T90" s="119">
        <f>T70-T20</f>
        <v/>
      </c>
      <c r="U90" s="119">
        <f>U70-U20</f>
        <v/>
      </c>
      <c r="V90" s="119">
        <f>V70-V20</f>
        <v/>
      </c>
      <c r="W90" s="119">
        <f>W70-W20</f>
        <v/>
      </c>
      <c r="X90" s="119">
        <f>X70-X20</f>
        <v/>
      </c>
      <c r="Y90" s="120">
        <f>Y70-Y20</f>
        <v/>
      </c>
    </row>
  </sheetData>
  <mergeCells count="36">
    <mergeCell ref="C83:D83"/>
    <mergeCell ref="L63:R63"/>
    <mergeCell ref="C33:D33"/>
    <mergeCell ref="S83:Y83"/>
    <mergeCell ref="S63:Y63"/>
    <mergeCell ref="C73:D7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46"/>
</worksheet>
</file>

<file path=xl/worksheets/sheet2.xml><?xml version="1.0" encoding="utf-8"?>
<worksheet xmlns="http://schemas.openxmlformats.org/spreadsheetml/2006/main">
  <sheetPr>
    <tabColor theme="8" tint="-0.249977111117893"/>
    <outlinePr summaryBelow="1" summaryRight="1"/>
    <pageSetUpPr fitToPage="1"/>
  </sheetPr>
  <dimension ref="C1:Y90"/>
  <sheetViews>
    <sheetView workbookViewId="0">
      <pane xSplit="4" ySplit="1" topLeftCell="E61" activePane="bottomRight" state="frozen"/>
      <selection activeCell="E77" sqref="E77"/>
      <selection pane="topRight" activeCell="E77" sqref="E77"/>
      <selection pane="bottomLeft" activeCell="E77" sqref="E77"/>
      <selection pane="bottomRight" activeCell="M85" sqref="M85:Q89"/>
    </sheetView>
  </sheetViews>
  <sheetFormatPr baseColWidth="8" defaultRowHeight="18.75"/>
  <cols>
    <col width="9.75" bestFit="1" customWidth="1" style="97" min="3" max="3"/>
    <col width="10.125" customWidth="1" style="97" min="5" max="25"/>
  </cols>
  <sheetData>
    <row r="1" ht="24" customHeight="1" s="97">
      <c r="C1" s="8" t="inlineStr">
        <is>
          <t>松江営業所包装資材</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69">
        <f>全体!E5-機械!E5</f>
        <v/>
      </c>
      <c r="F5" s="69">
        <f>全体!F5-機械!F5</f>
        <v/>
      </c>
      <c r="G5" s="69">
        <f>全体!G5-機械!G5</f>
        <v/>
      </c>
      <c r="H5" s="69">
        <f>全体!H5-機械!H5</f>
        <v/>
      </c>
      <c r="I5" s="69">
        <f>全体!I5-機械!I5</f>
        <v/>
      </c>
      <c r="J5" s="69">
        <f>全体!J5-機械!J5</f>
        <v/>
      </c>
      <c r="K5" s="79">
        <f>SUM(E5:J5)</f>
        <v/>
      </c>
      <c r="L5" s="1">
        <f>全体!L5-機械!L5</f>
        <v/>
      </c>
      <c r="M5" s="69">
        <f>全体!M5-機械!M5</f>
        <v/>
      </c>
      <c r="N5" s="69">
        <f>全体!N5-機械!N5</f>
        <v/>
      </c>
      <c r="O5" s="69">
        <f>全体!O5-機械!O5</f>
        <v/>
      </c>
      <c r="P5" s="69">
        <f>全体!P5-機械!P5</f>
        <v/>
      </c>
      <c r="Q5" s="69">
        <f>全体!Q5-機械!Q5</f>
        <v/>
      </c>
      <c r="R5" s="75">
        <f>SUM(L5:Q5)</f>
        <v/>
      </c>
      <c r="S5" s="115">
        <f>IF(E5=0,"***",L5/E5)</f>
        <v/>
      </c>
      <c r="T5" s="116">
        <f>IF(F5=0,"***",M5/F5)</f>
        <v/>
      </c>
      <c r="U5" s="116">
        <f>IF(G5=0,"***",N5/G5)</f>
        <v/>
      </c>
      <c r="V5" s="116">
        <f>IF(H5=0,"***",O5/H5)</f>
        <v/>
      </c>
      <c r="W5" s="116">
        <f>IF(I5=0,"***",P5/I5)</f>
        <v/>
      </c>
      <c r="X5" s="116">
        <f>IF(J5=0,"***",Q5/J5)</f>
        <v/>
      </c>
      <c r="Y5" s="117">
        <f>IF(K5=0,"***",R5/K5)</f>
        <v/>
      </c>
    </row>
    <row r="6">
      <c r="C6" s="73" t="inlineStr">
        <is>
          <t>0033 集計</t>
        </is>
      </c>
      <c r="D6" s="60" t="inlineStr">
        <is>
          <t>前田課長代</t>
        </is>
      </c>
      <c r="E6" s="69">
        <f>全体!E6-機械!E6</f>
        <v/>
      </c>
      <c r="F6" s="69">
        <f>全体!F6-機械!F6</f>
        <v/>
      </c>
      <c r="G6" s="69">
        <f>全体!G6-機械!G6</f>
        <v/>
      </c>
      <c r="H6" s="69">
        <f>全体!H6-機械!H6</f>
        <v/>
      </c>
      <c r="I6" s="69">
        <f>全体!I6-機械!I6</f>
        <v/>
      </c>
      <c r="J6" s="69">
        <f>全体!J6-機械!J6</f>
        <v/>
      </c>
      <c r="K6" s="79">
        <f>SUM(E6:J6)</f>
        <v/>
      </c>
      <c r="L6" s="1">
        <f>全体!L6-機械!L6</f>
        <v/>
      </c>
      <c r="M6" s="69">
        <f>全体!M6-機械!M6</f>
        <v/>
      </c>
      <c r="N6" s="69">
        <f>全体!N6-機械!N6</f>
        <v/>
      </c>
      <c r="O6" s="69">
        <f>全体!O6-機械!O6</f>
        <v/>
      </c>
      <c r="P6" s="69">
        <f>全体!P6-機械!P6</f>
        <v/>
      </c>
      <c r="Q6" s="69">
        <f>全体!Q6-機械!Q6</f>
        <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69">
        <f>全体!E7-機械!E7</f>
        <v/>
      </c>
      <c r="F7" s="69">
        <f>全体!F7-機械!F7</f>
        <v/>
      </c>
      <c r="G7" s="69">
        <f>全体!G7-機械!G7</f>
        <v/>
      </c>
      <c r="H7" s="69">
        <f>全体!H7-機械!H7</f>
        <v/>
      </c>
      <c r="I7" s="69">
        <f>全体!I7-機械!I7</f>
        <v/>
      </c>
      <c r="J7" s="69">
        <f>全体!J7-機械!J7</f>
        <v/>
      </c>
      <c r="K7" s="79">
        <f>SUM(E7:J7)</f>
        <v/>
      </c>
      <c r="L7" s="1">
        <f>全体!L7-機械!L7</f>
        <v/>
      </c>
      <c r="M7" s="69">
        <f>全体!M7-機械!M7</f>
        <v/>
      </c>
      <c r="N7" s="69">
        <f>全体!N7-機械!N7</f>
        <v/>
      </c>
      <c r="O7" s="69">
        <f>全体!O7-機械!O7</f>
        <v/>
      </c>
      <c r="P7" s="69">
        <f>全体!P7-機械!P7</f>
        <v/>
      </c>
      <c r="Q7" s="69">
        <f>全体!Q7-機械!Q7</f>
        <v/>
      </c>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69">
        <f>全体!E8-機械!E8</f>
        <v/>
      </c>
      <c r="F8" s="69">
        <f>全体!F8-機械!F8</f>
        <v/>
      </c>
      <c r="G8" s="69">
        <f>全体!G8-機械!G8</f>
        <v/>
      </c>
      <c r="H8" s="69">
        <f>全体!H8-機械!H8</f>
        <v/>
      </c>
      <c r="I8" s="69">
        <f>全体!I8-機械!I8</f>
        <v/>
      </c>
      <c r="J8" s="69">
        <f>全体!J8-機械!J8</f>
        <v/>
      </c>
      <c r="K8" s="79">
        <f>SUM(E8:J8)</f>
        <v/>
      </c>
      <c r="L8" s="1">
        <f>全体!L8-機械!L8</f>
        <v/>
      </c>
      <c r="M8" s="69">
        <f>全体!M8-機械!M8</f>
        <v/>
      </c>
      <c r="N8" s="69">
        <f>全体!N8-機械!N8</f>
        <v/>
      </c>
      <c r="O8" s="69">
        <f>全体!O8-機械!O8</f>
        <v/>
      </c>
      <c r="P8" s="69">
        <f>全体!P8-機械!P8</f>
        <v/>
      </c>
      <c r="Q8" s="69">
        <f>全体!Q8-機械!Q8</f>
        <v/>
      </c>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69">
        <f>全体!E9-機械!E9</f>
        <v/>
      </c>
      <c r="F9" s="69">
        <f>全体!F9-機械!F9</f>
        <v/>
      </c>
      <c r="G9" s="69">
        <f>全体!G9-機械!G9</f>
        <v/>
      </c>
      <c r="H9" s="69">
        <f>全体!H9-機械!H9</f>
        <v/>
      </c>
      <c r="I9" s="69">
        <f>全体!I9-機械!I9</f>
        <v/>
      </c>
      <c r="J9" s="69">
        <f>全体!J9-機械!J9</f>
        <v/>
      </c>
      <c r="K9" s="79">
        <f>SUM(E9:J9)</f>
        <v/>
      </c>
      <c r="L9" s="1">
        <f>全体!L9-機械!L9</f>
        <v/>
      </c>
      <c r="M9" s="69">
        <f>全体!M9-機械!M9</f>
        <v/>
      </c>
      <c r="N9" s="69">
        <f>全体!N9-機械!N9</f>
        <v/>
      </c>
      <c r="O9" s="69">
        <f>全体!O9-機械!O9</f>
        <v/>
      </c>
      <c r="P9" s="69">
        <f>全体!P9-機械!P9</f>
        <v/>
      </c>
      <c r="Q9" s="69">
        <f>全体!Q9-機械!Q9</f>
        <v/>
      </c>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83"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69">
        <f>全体!E15-機械!E15</f>
        <v/>
      </c>
      <c r="F15" s="69">
        <f>全体!F15-機械!F15</f>
        <v/>
      </c>
      <c r="G15" s="69">
        <f>全体!G15-機械!G15</f>
        <v/>
      </c>
      <c r="H15" s="69">
        <f>全体!H15-機械!H15</f>
        <v/>
      </c>
      <c r="I15" s="69">
        <f>全体!I15-機械!I15</f>
        <v/>
      </c>
      <c r="J15" s="69">
        <f>全体!J15-機械!J15</f>
        <v/>
      </c>
      <c r="K15" s="75">
        <f>SUM(E15:J15)</f>
        <v/>
      </c>
      <c r="L15" s="69">
        <f>全体!L15-機械!L15</f>
        <v/>
      </c>
      <c r="M15" s="69">
        <f>全体!M15-機械!M15</f>
        <v/>
      </c>
      <c r="N15" s="69">
        <f>全体!N15-機械!N15</f>
        <v/>
      </c>
      <c r="O15" s="69">
        <f>全体!O15-機械!O15</f>
        <v/>
      </c>
      <c r="P15" s="69">
        <f>全体!P15-機械!P15</f>
        <v/>
      </c>
      <c r="Q15" s="69">
        <f>全体!Q15-機械!Q15</f>
        <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60" t="inlineStr">
        <is>
          <t>前田課長代</t>
        </is>
      </c>
      <c r="E16" s="69">
        <f>全体!E16-機械!E16</f>
        <v/>
      </c>
      <c r="F16" s="69">
        <f>全体!F16-機械!F16</f>
        <v/>
      </c>
      <c r="G16" s="69">
        <f>全体!G16-機械!G16</f>
        <v/>
      </c>
      <c r="H16" s="69">
        <f>全体!H16-機械!H16</f>
        <v/>
      </c>
      <c r="I16" s="69">
        <f>全体!I16-機械!I16</f>
        <v/>
      </c>
      <c r="J16" s="69">
        <f>全体!J16-機械!J16</f>
        <v/>
      </c>
      <c r="K16" s="75">
        <f>SUM(E16:J16)</f>
        <v/>
      </c>
      <c r="L16" s="69">
        <f>全体!L16-機械!L16</f>
        <v/>
      </c>
      <c r="M16" s="69">
        <f>全体!M16-機械!M16</f>
        <v/>
      </c>
      <c r="N16" s="69">
        <f>全体!N16-機械!N16</f>
        <v/>
      </c>
      <c r="O16" s="69">
        <f>全体!O16-機械!O16</f>
        <v/>
      </c>
      <c r="P16" s="69">
        <f>全体!P16-機械!P16</f>
        <v/>
      </c>
      <c r="Q16" s="69">
        <f>全体!Q16-機械!Q16</f>
        <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69">
        <f>全体!E17-機械!E17</f>
        <v/>
      </c>
      <c r="F17" s="69">
        <f>全体!F17-機械!F17</f>
        <v/>
      </c>
      <c r="G17" s="69">
        <f>全体!G17-機械!G17</f>
        <v/>
      </c>
      <c r="H17" s="69">
        <f>全体!H17-機械!H17</f>
        <v/>
      </c>
      <c r="I17" s="69">
        <f>全体!I17-機械!I17</f>
        <v/>
      </c>
      <c r="J17" s="69">
        <f>全体!J17-機械!J17</f>
        <v/>
      </c>
      <c r="K17" s="75">
        <f>SUM(E17:J17)</f>
        <v/>
      </c>
      <c r="L17" s="69">
        <f>全体!L17-機械!L17</f>
        <v/>
      </c>
      <c r="M17" s="69">
        <f>全体!M17-機械!M17</f>
        <v/>
      </c>
      <c r="N17" s="69">
        <f>全体!N17-機械!N17</f>
        <v/>
      </c>
      <c r="O17" s="69">
        <f>全体!O17-機械!O17</f>
        <v/>
      </c>
      <c r="P17" s="69">
        <f>全体!P17-機械!P17</f>
        <v/>
      </c>
      <c r="Q17" s="69">
        <f>全体!Q17-機械!Q17</f>
        <v/>
      </c>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69">
        <f>全体!E18-機械!E18</f>
        <v/>
      </c>
      <c r="F18" s="69">
        <f>全体!F18-機械!F18</f>
        <v/>
      </c>
      <c r="G18" s="69">
        <f>全体!G18-機械!G18</f>
        <v/>
      </c>
      <c r="H18" s="69">
        <f>全体!H18-機械!H18</f>
        <v/>
      </c>
      <c r="I18" s="69">
        <f>全体!I18-機械!I18</f>
        <v/>
      </c>
      <c r="J18" s="69">
        <f>全体!J18-機械!J18</f>
        <v/>
      </c>
      <c r="K18" s="75">
        <f>SUM(E18:J18)</f>
        <v/>
      </c>
      <c r="L18" s="69">
        <f>全体!L18-機械!L18</f>
        <v/>
      </c>
      <c r="M18" s="69">
        <f>全体!M18-機械!M18</f>
        <v/>
      </c>
      <c r="N18" s="69">
        <f>全体!N18-機械!N18</f>
        <v/>
      </c>
      <c r="O18" s="69">
        <f>全体!O18-機械!O18</f>
        <v/>
      </c>
      <c r="P18" s="69">
        <f>全体!P18-機械!P18</f>
        <v/>
      </c>
      <c r="Q18" s="69">
        <f>全体!Q18-機械!Q18</f>
        <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69">
        <f>全体!E19-機械!E19</f>
        <v/>
      </c>
      <c r="F19" s="69">
        <f>全体!F19-機械!F19</f>
        <v/>
      </c>
      <c r="G19" s="69">
        <f>全体!G19-機械!G19</f>
        <v/>
      </c>
      <c r="H19" s="69">
        <f>全体!H19-機械!H19</f>
        <v/>
      </c>
      <c r="I19" s="69">
        <f>全体!I19-機械!I19</f>
        <v/>
      </c>
      <c r="J19" s="69">
        <f>全体!J19-機械!J19</f>
        <v/>
      </c>
      <c r="K19" s="75">
        <f>SUM(E19:J19)</f>
        <v/>
      </c>
      <c r="L19" s="69">
        <f>全体!L19-機械!L19</f>
        <v/>
      </c>
      <c r="M19" s="69">
        <f>全体!M19-機械!M19</f>
        <v/>
      </c>
      <c r="N19" s="69">
        <f>全体!N19-機械!N19</f>
        <v/>
      </c>
      <c r="O19" s="69">
        <f>全体!O19-機械!O19</f>
        <v/>
      </c>
      <c r="P19" s="69">
        <f>全体!P19-機械!P19</f>
        <v/>
      </c>
      <c r="Q19" s="69">
        <f>全体!Q19-機械!Q19</f>
        <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60"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2" t="n">
        <v>11600</v>
      </c>
      <c r="F35" s="2" t="n">
        <v>10220</v>
      </c>
      <c r="G35" s="2" t="n">
        <v>8550</v>
      </c>
      <c r="H35" s="2" t="n">
        <v>9970</v>
      </c>
      <c r="I35" s="2" t="n">
        <v>11590</v>
      </c>
      <c r="J35" s="2" t="n">
        <v>8200</v>
      </c>
      <c r="K35" s="79">
        <f>SUM(E35:J35)</f>
        <v/>
      </c>
      <c r="L35" s="1" t="n">
        <v>3490</v>
      </c>
      <c r="M35" s="2" t="n">
        <v>3000</v>
      </c>
      <c r="N35" s="2" t="n">
        <v>2640</v>
      </c>
      <c r="O35" s="2" t="n">
        <v>2990</v>
      </c>
      <c r="P35" s="2" t="n">
        <v>3510</v>
      </c>
      <c r="Q35" s="2" t="n">
        <v>2800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60" t="inlineStr">
        <is>
          <t>前田課長代</t>
        </is>
      </c>
      <c r="E36" s="2" t="n">
        <v>10750</v>
      </c>
      <c r="F36" s="2" t="n">
        <v>7960</v>
      </c>
      <c r="G36" s="2" t="n">
        <v>9980</v>
      </c>
      <c r="H36" s="2" t="n">
        <v>10050</v>
      </c>
      <c r="I36" s="2" t="n">
        <v>9310</v>
      </c>
      <c r="J36" s="2" t="n">
        <v>9350</v>
      </c>
      <c r="K36" s="79">
        <f>SUM(E36:J36)</f>
        <v/>
      </c>
      <c r="L36" s="1" t="n">
        <v>2670</v>
      </c>
      <c r="M36" s="2" t="n">
        <v>2040</v>
      </c>
      <c r="N36" s="2" t="n">
        <v>2110</v>
      </c>
      <c r="O36" s="2" t="n">
        <v>2270</v>
      </c>
      <c r="P36" s="2" t="n">
        <v>2230</v>
      </c>
      <c r="Q36" s="2" t="n">
        <v>2320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2" t="n">
        <v>9800</v>
      </c>
      <c r="F37" s="2" t="n">
        <v>7990</v>
      </c>
      <c r="G37" s="2" t="n">
        <v>8070</v>
      </c>
      <c r="H37" s="2" t="n">
        <v>10030</v>
      </c>
      <c r="I37" s="2" t="n">
        <v>9570</v>
      </c>
      <c r="J37" s="2" t="n">
        <v>9610</v>
      </c>
      <c r="K37" s="79">
        <f>SUM(E37:J37)</f>
        <v/>
      </c>
      <c r="L37" s="1" t="n">
        <v>2350</v>
      </c>
      <c r="M37" s="2" t="n">
        <v>1870</v>
      </c>
      <c r="N37" s="2" t="n">
        <v>1840</v>
      </c>
      <c r="O37" s="2" t="n">
        <v>2300</v>
      </c>
      <c r="P37" s="2" t="n">
        <v>2170</v>
      </c>
      <c r="Q37" s="2" t="n">
        <v>2170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39" t="n"/>
      <c r="F38" s="39" t="n"/>
      <c r="G38" s="39" t="n"/>
      <c r="H38" s="39" t="n"/>
      <c r="I38" s="39" t="n"/>
      <c r="J38" s="39" t="n"/>
      <c r="K38" s="79">
        <f>SUM(E38:J38)</f>
        <v/>
      </c>
      <c r="L38" s="58" t="n"/>
      <c r="M38" s="39" t="n"/>
      <c r="N38" s="39" t="n"/>
      <c r="O38" s="39" t="n"/>
      <c r="P38" s="39" t="n"/>
      <c r="Q38" s="39" t="n"/>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39" t="n"/>
      <c r="F39" s="39" t="n"/>
      <c r="G39" s="39" t="n"/>
      <c r="H39" s="39" t="n"/>
      <c r="I39" s="39" t="n"/>
      <c r="J39" s="39" t="n"/>
      <c r="K39" s="79">
        <f>SUM(E39:J39)</f>
        <v/>
      </c>
      <c r="L39" s="58" t="n"/>
      <c r="M39" s="39" t="n"/>
      <c r="N39" s="39" t="n"/>
      <c r="O39" s="39" t="n"/>
      <c r="P39" s="39" t="n"/>
      <c r="Q39" s="39"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60"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IF(E55=0,"***",L55/E55)</f>
        <v/>
      </c>
      <c r="T55" s="116">
        <f>IF(F55=0,"***",M55/F55)</f>
        <v/>
      </c>
      <c r="U55" s="116">
        <f>IF(G55=0,"***",N55/G55)</f>
        <v/>
      </c>
      <c r="V55" s="116">
        <f>IF(H55=0,"***",O55/H55)</f>
        <v/>
      </c>
      <c r="W55" s="116">
        <f>IF(I55=0,"***",P55/I55)</f>
        <v/>
      </c>
      <c r="X55" s="116">
        <f>IF(J55=0,"***",Q55/J55)</f>
        <v/>
      </c>
      <c r="Y55" s="117">
        <f>IF(K55=0,"***",R55/K55)</f>
        <v/>
      </c>
    </row>
    <row r="56" hidden="1" s="97">
      <c r="C56" s="73" t="inlineStr">
        <is>
          <t>0033 集計</t>
        </is>
      </c>
      <c r="D56" s="60"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IF(E56=0,"***",L56/E56)</f>
        <v/>
      </c>
      <c r="T56" s="116">
        <f>IF(F56=0,"***",M56/F56)</f>
        <v/>
      </c>
      <c r="U56" s="116">
        <f>IF(G56=0,"***",N56/G56)</f>
        <v/>
      </c>
      <c r="V56" s="116">
        <f>IF(H56=0,"***",O56/H56)</f>
        <v/>
      </c>
      <c r="W56" s="116">
        <f>IF(I56=0,"***",P56/I56)</f>
        <v/>
      </c>
      <c r="X56" s="116">
        <f>IF(J56=0,"***",Q56/J56)</f>
        <v/>
      </c>
      <c r="Y56" s="117">
        <f>IF(K56=0,"***",R56/K56)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IF(E57=0,"***",L57/E57)</f>
        <v/>
      </c>
      <c r="T57" s="116">
        <f>IF(F57=0,"***",M57/F57)</f>
        <v/>
      </c>
      <c r="U57" s="116">
        <f>IF(G57=0,"***",N57/G57)</f>
        <v/>
      </c>
      <c r="V57" s="116">
        <f>IF(H57=0,"***",O57/H57)</f>
        <v/>
      </c>
      <c r="W57" s="116">
        <f>IF(I57=0,"***",P57/I57)</f>
        <v/>
      </c>
      <c r="X57" s="116">
        <f>IF(J57=0,"***",Q57/J57)</f>
        <v/>
      </c>
      <c r="Y57" s="117">
        <f>IF(K57=0,"***",R57/K57)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IF(E58=0,"***",L58/E58)</f>
        <v/>
      </c>
      <c r="T58" s="116">
        <f>IF(F58=0,"***",M58/F58)</f>
        <v/>
      </c>
      <c r="U58" s="116">
        <f>IF(G58=0,"***",N58/G58)</f>
        <v/>
      </c>
      <c r="V58" s="116">
        <f>IF(H58=0,"***",O58/H58)</f>
        <v/>
      </c>
      <c r="W58" s="116">
        <f>IF(I58=0,"***",P58/I58)</f>
        <v/>
      </c>
      <c r="X58" s="116">
        <f>IF(J58=0,"***",Q58/J58)</f>
        <v/>
      </c>
      <c r="Y58" s="117">
        <f>IF(K58=0,"***",R58/K58)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IF(E59=0,"***",L59/E59)</f>
        <v/>
      </c>
      <c r="T59" s="116">
        <f>IF(F59=0,"***",M59/F59)</f>
        <v/>
      </c>
      <c r="U59" s="116">
        <f>IF(G59=0,"***",N59/G59)</f>
        <v/>
      </c>
      <c r="V59" s="116">
        <f>IF(H59=0,"***",O59/H59)</f>
        <v/>
      </c>
      <c r="W59" s="116">
        <f>IF(I59=0,"***",P59/I59)</f>
        <v/>
      </c>
      <c r="X59" s="116">
        <f>IF(J59=0,"***",Q59/J59)</f>
        <v/>
      </c>
      <c r="Y59" s="117">
        <f>IF(K59=0,"***",R59/K59)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IF(E60=0,"***",L60/E60)</f>
        <v/>
      </c>
      <c r="T60" s="119">
        <f>IF(F60=0,"***",M60/F60)</f>
        <v/>
      </c>
      <c r="U60" s="119">
        <f>IF(G60=0,"***",N60/G60)</f>
        <v/>
      </c>
      <c r="V60" s="119">
        <f>IF(H60=0,"***",O60/H60)</f>
        <v/>
      </c>
      <c r="W60" s="119">
        <f>IF(I60=0,"***",P60/I60)</f>
        <v/>
      </c>
      <c r="X60" s="119">
        <f>IF(J60=0,"***",Q60/J60)</f>
        <v/>
      </c>
      <c r="Y60" s="120">
        <f>IF(K60=0,"***",R60/K60)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81">
        <f>全体!E65-機械!E65</f>
        <v/>
      </c>
      <c r="F65" s="81">
        <f>全体!F65-機械!F65</f>
        <v/>
      </c>
      <c r="G65" s="81">
        <f>全体!G65-機械!G65</f>
        <v/>
      </c>
      <c r="H65" s="39">
        <f>全体!H65-機械!H65</f>
        <v/>
      </c>
      <c r="I65" s="39">
        <f>全体!I65-機械!I65</f>
        <v/>
      </c>
      <c r="J65" s="39" t="n"/>
      <c r="K65" s="79">
        <f>SUM(E65:J65)</f>
        <v/>
      </c>
      <c r="L65" s="81">
        <f>全体!L65-機械!L65</f>
        <v/>
      </c>
      <c r="M65" s="39">
        <f>全体!M65-機械!M65</f>
        <v/>
      </c>
      <c r="N65" s="81">
        <f>全体!N65-機械!N65</f>
        <v/>
      </c>
      <c r="O65" s="39">
        <f>全体!O65-機械!O65</f>
        <v/>
      </c>
      <c r="P65" s="39">
        <f>全体!P65-機械!P65</f>
        <v/>
      </c>
      <c r="Q65" s="39" t="n"/>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60" t="inlineStr">
        <is>
          <t>前田課長代</t>
        </is>
      </c>
      <c r="E66" s="81">
        <f>全体!E66-機械!E66</f>
        <v/>
      </c>
      <c r="F66" s="81">
        <f>全体!F66-機械!F66</f>
        <v/>
      </c>
      <c r="G66" s="81">
        <f>全体!G66-機械!G66</f>
        <v/>
      </c>
      <c r="H66" s="39">
        <f>全体!H66-機械!H66</f>
        <v/>
      </c>
      <c r="I66" s="39">
        <f>全体!I66-機械!I66</f>
        <v/>
      </c>
      <c r="J66" s="39" t="n"/>
      <c r="K66" s="79">
        <f>SUM(E66:J66)</f>
        <v/>
      </c>
      <c r="L66" s="81">
        <f>全体!L66-機械!L66</f>
        <v/>
      </c>
      <c r="M66" s="39">
        <f>全体!M66-機械!M66</f>
        <v/>
      </c>
      <c r="N66" s="81">
        <f>全体!N66-機械!N66</f>
        <v/>
      </c>
      <c r="O66" s="39">
        <f>全体!O66-機械!O66</f>
        <v/>
      </c>
      <c r="P66" s="39">
        <f>全体!P66-機械!P66</f>
        <v/>
      </c>
      <c r="Q66" s="39" t="n"/>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81">
        <f>全体!E67-機械!E67</f>
        <v/>
      </c>
      <c r="F67" s="81">
        <f>全体!F67-機械!F67</f>
        <v/>
      </c>
      <c r="G67" s="81">
        <f>全体!G67-機械!G67</f>
        <v/>
      </c>
      <c r="H67" s="39">
        <f>全体!H67-機械!H67</f>
        <v/>
      </c>
      <c r="I67" s="39">
        <f>全体!I67-機械!I67</f>
        <v/>
      </c>
      <c r="J67" s="39" t="n"/>
      <c r="K67" s="39">
        <f>SUM(E67:J67)</f>
        <v/>
      </c>
      <c r="L67" s="81">
        <f>全体!L67-機械!L67</f>
        <v/>
      </c>
      <c r="M67" s="39">
        <f>全体!M67-機械!M67</f>
        <v/>
      </c>
      <c r="N67" s="81">
        <f>全体!N67-機械!N67</f>
        <v/>
      </c>
      <c r="O67" s="39">
        <f>全体!O67-機械!O67</f>
        <v/>
      </c>
      <c r="P67" s="39">
        <f>全体!P67-機械!P67</f>
        <v/>
      </c>
      <c r="Q67" s="39" t="n"/>
      <c r="R67" s="39">
        <f>SUM(L67:Q67)</f>
        <v/>
      </c>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81">
        <f>全体!E68-機械!E68</f>
        <v/>
      </c>
      <c r="F68" s="81" t="n"/>
      <c r="G68" s="81">
        <f>全体!G68-機械!G68</f>
        <v/>
      </c>
      <c r="H68" s="39">
        <f>全体!H68-機械!H68</f>
        <v/>
      </c>
      <c r="I68" s="39">
        <f>全体!I68-機械!I68</f>
        <v/>
      </c>
      <c r="J68" s="39" t="n"/>
      <c r="K68" s="79">
        <f>SUM(E68:J68)</f>
        <v/>
      </c>
      <c r="L68" s="81">
        <f>全体!L68-機械!L68</f>
        <v/>
      </c>
      <c r="M68" s="39" t="n"/>
      <c r="N68" s="81">
        <f>全体!N68-機械!N68</f>
        <v/>
      </c>
      <c r="O68" s="39">
        <f>全体!O68-機械!O68</f>
        <v/>
      </c>
      <c r="P68" s="39">
        <f>全体!P68-機械!P68</f>
        <v/>
      </c>
      <c r="Q68" s="39" t="n"/>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81">
        <f>全体!E69-機械!E69</f>
        <v/>
      </c>
      <c r="F69" s="81">
        <f>全体!F69-機械!F69</f>
        <v/>
      </c>
      <c r="G69" s="81">
        <f>全体!G69-機械!G69</f>
        <v/>
      </c>
      <c r="H69" s="39">
        <f>全体!H69-機械!H69</f>
        <v/>
      </c>
      <c r="I69" s="39">
        <f>全体!I69-機械!I69</f>
        <v/>
      </c>
      <c r="J69" s="39" t="n"/>
      <c r="K69" s="79">
        <f>SUM(E69:J69)</f>
        <v/>
      </c>
      <c r="L69" s="81">
        <f>全体!L69-機械!L69</f>
        <v/>
      </c>
      <c r="M69" s="39">
        <f>全体!M69-機械!M69</f>
        <v/>
      </c>
      <c r="N69" s="81">
        <f>全体!N69-機械!N69</f>
        <v/>
      </c>
      <c r="O69" s="39">
        <f>全体!O69-機械!O69</f>
        <v/>
      </c>
      <c r="P69" s="39">
        <f>全体!P69-機械!P69</f>
        <v/>
      </c>
      <c r="Q69" s="39" t="n"/>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39">
        <f>E65-E35</f>
        <v/>
      </c>
      <c r="F75" s="39">
        <f>F65-F35</f>
        <v/>
      </c>
      <c r="G75" s="39">
        <f>G65-G35</f>
        <v/>
      </c>
      <c r="H75" s="39">
        <f>H65-H35</f>
        <v/>
      </c>
      <c r="I75" s="39">
        <f>I65-I35</f>
        <v/>
      </c>
      <c r="J75" s="39" t="n"/>
      <c r="K75" s="79">
        <f>SUM(E75:J75)</f>
        <v/>
      </c>
      <c r="L75" s="58">
        <f>L65-L35</f>
        <v/>
      </c>
      <c r="M75" s="39">
        <f>M65-M35</f>
        <v/>
      </c>
      <c r="N75" s="39">
        <f>N65-N35</f>
        <v/>
      </c>
      <c r="O75" s="39">
        <f>O65-O35</f>
        <v/>
      </c>
      <c r="P75" s="39">
        <f>P65-P35</f>
        <v/>
      </c>
      <c r="Q75" s="39" t="n"/>
      <c r="R75" s="75">
        <f>SUM(L75:Q75)</f>
        <v/>
      </c>
      <c r="S75" s="115">
        <f>S65-S35</f>
        <v/>
      </c>
      <c r="T75" s="116">
        <f>T65-T35</f>
        <v/>
      </c>
      <c r="U75" s="116">
        <f>U65-U35</f>
        <v/>
      </c>
      <c r="V75" s="116">
        <f>V65-V35</f>
        <v/>
      </c>
      <c r="W75" s="116">
        <f>W65-W35</f>
        <v/>
      </c>
      <c r="X75" s="116">
        <f>X65-X35</f>
        <v/>
      </c>
      <c r="Y75" s="117">
        <f>Y65-Y35</f>
        <v/>
      </c>
    </row>
    <row r="76">
      <c r="C76" s="73" t="inlineStr">
        <is>
          <t>0033 集計</t>
        </is>
      </c>
      <c r="D76" s="60" t="inlineStr">
        <is>
          <t>前田課長代</t>
        </is>
      </c>
      <c r="E76" s="39">
        <f>E66-E36</f>
        <v/>
      </c>
      <c r="F76" s="39">
        <f>F66-F36</f>
        <v/>
      </c>
      <c r="G76" s="39">
        <f>G66-G36</f>
        <v/>
      </c>
      <c r="H76" s="39">
        <f>H66-H36</f>
        <v/>
      </c>
      <c r="I76" s="39">
        <f>I66-I36</f>
        <v/>
      </c>
      <c r="J76" s="39" t="n"/>
      <c r="K76" s="79">
        <f>SUM(E76:J76)</f>
        <v/>
      </c>
      <c r="L76" s="58">
        <f>L66-L36</f>
        <v/>
      </c>
      <c r="M76" s="39">
        <f>M66-M36</f>
        <v/>
      </c>
      <c r="N76" s="39">
        <f>N66-N36</f>
        <v/>
      </c>
      <c r="O76" s="39">
        <f>O66-O36</f>
        <v/>
      </c>
      <c r="P76" s="39">
        <f>P66-P36</f>
        <v/>
      </c>
      <c r="Q76" s="39" t="n"/>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39">
        <f>E67-E37</f>
        <v/>
      </c>
      <c r="F77" s="39">
        <f>F67-F37</f>
        <v/>
      </c>
      <c r="G77" s="39">
        <f>G67-G37</f>
        <v/>
      </c>
      <c r="H77" s="39">
        <f>H67-H37</f>
        <v/>
      </c>
      <c r="I77" s="39">
        <f>I67-I37</f>
        <v/>
      </c>
      <c r="J77" s="39" t="n"/>
      <c r="K77" s="79">
        <f>SUM(E77:J77)</f>
        <v/>
      </c>
      <c r="L77" s="58">
        <f>L67-L37</f>
        <v/>
      </c>
      <c r="M77" s="39">
        <f>M67-M37</f>
        <v/>
      </c>
      <c r="N77" s="39">
        <f>N67-N37</f>
        <v/>
      </c>
      <c r="O77" s="39">
        <f>O67-O37</f>
        <v/>
      </c>
      <c r="P77" s="39">
        <f>P67-P37</f>
        <v/>
      </c>
      <c r="Q77" s="39" t="n"/>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39">
        <f>E68-E38</f>
        <v/>
      </c>
      <c r="F78" s="39">
        <f>F68-F38</f>
        <v/>
      </c>
      <c r="G78" s="39">
        <f>G68-G38</f>
        <v/>
      </c>
      <c r="H78" s="39">
        <f>H68-H38</f>
        <v/>
      </c>
      <c r="I78" s="39">
        <f>I68-I38</f>
        <v/>
      </c>
      <c r="J78" s="39" t="n"/>
      <c r="K78" s="79">
        <f>SUM(E78:J78)</f>
        <v/>
      </c>
      <c r="L78" s="58">
        <f>L68-L38</f>
        <v/>
      </c>
      <c r="M78" s="39">
        <f>M68-M38</f>
        <v/>
      </c>
      <c r="N78" s="39">
        <f>N68-N38</f>
        <v/>
      </c>
      <c r="O78" s="39">
        <f>O68-O38</f>
        <v/>
      </c>
      <c r="P78" s="39">
        <f>P68-P38</f>
        <v/>
      </c>
      <c r="Q78" s="39" t="n"/>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39">
        <f>E69-E39</f>
        <v/>
      </c>
      <c r="F79" s="39">
        <f>F69-F39</f>
        <v/>
      </c>
      <c r="G79" s="39">
        <f>G69-G39</f>
        <v/>
      </c>
      <c r="H79" s="39">
        <f>H69-H39</f>
        <v/>
      </c>
      <c r="I79" s="39">
        <f>I69-I39</f>
        <v/>
      </c>
      <c r="J79" s="39" t="n"/>
      <c r="K79" s="79">
        <f>SUM(E79:J79)</f>
        <v/>
      </c>
      <c r="L79" s="58">
        <f>L69-L39</f>
        <v/>
      </c>
      <c r="M79" s="39">
        <f>M69-M39</f>
        <v/>
      </c>
      <c r="N79" s="39">
        <f>N69-N39</f>
        <v/>
      </c>
      <c r="O79" s="39">
        <f>O69-O39</f>
        <v/>
      </c>
      <c r="P79" s="39">
        <f>P69-P39</f>
        <v/>
      </c>
      <c r="Q79" s="39" t="n"/>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X70-X40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39">
        <f>E65-E15</f>
        <v/>
      </c>
      <c r="F85" s="39">
        <f>F65-F15</f>
        <v/>
      </c>
      <c r="G85" s="39">
        <f>G65-G15</f>
        <v/>
      </c>
      <c r="H85" s="39">
        <f>H65-H15</f>
        <v/>
      </c>
      <c r="I85" s="39">
        <f>I65-I15</f>
        <v/>
      </c>
      <c r="J85" s="39" t="n"/>
      <c r="K85" s="79">
        <f>SUM(E85:J85)</f>
        <v/>
      </c>
      <c r="L85" s="58">
        <f>L65-L15</f>
        <v/>
      </c>
      <c r="M85" s="39">
        <f>M65-M15</f>
        <v/>
      </c>
      <c r="N85" s="39">
        <f>N65-N15</f>
        <v/>
      </c>
      <c r="O85" s="39">
        <f>O65-O15</f>
        <v/>
      </c>
      <c r="P85" s="39">
        <f>P65-P15</f>
        <v/>
      </c>
      <c r="Q85" s="39" t="n"/>
      <c r="R85" s="75">
        <f>SUM(L85:Q85)</f>
        <v/>
      </c>
      <c r="S85" s="115">
        <f>S65-S15</f>
        <v/>
      </c>
      <c r="T85" s="116">
        <f>T65-T15</f>
        <v/>
      </c>
      <c r="U85" s="116">
        <f>U65-U15</f>
        <v/>
      </c>
      <c r="V85" s="116">
        <f>V65-V15</f>
        <v/>
      </c>
      <c r="W85" s="116">
        <f>W65-W15</f>
        <v/>
      </c>
      <c r="X85" s="116">
        <f>X65-X15</f>
        <v/>
      </c>
      <c r="Y85" s="117">
        <f>Y65-Y15</f>
        <v/>
      </c>
    </row>
    <row r="86">
      <c r="C86" s="73" t="inlineStr">
        <is>
          <t>0033 集計</t>
        </is>
      </c>
      <c r="D86" s="60" t="inlineStr">
        <is>
          <t>前田課長代</t>
        </is>
      </c>
      <c r="E86" s="39">
        <f>E66-E16</f>
        <v/>
      </c>
      <c r="F86" s="39">
        <f>F66-F16</f>
        <v/>
      </c>
      <c r="G86" s="39">
        <f>G66-G16</f>
        <v/>
      </c>
      <c r="H86" s="39">
        <f>H66-H16</f>
        <v/>
      </c>
      <c r="I86" s="39">
        <f>I66-I16</f>
        <v/>
      </c>
      <c r="J86" s="39" t="n"/>
      <c r="K86" s="79">
        <f>SUM(E86:J86)</f>
        <v/>
      </c>
      <c r="L86" s="58">
        <f>L66-L16</f>
        <v/>
      </c>
      <c r="M86" s="39">
        <f>M66-M16</f>
        <v/>
      </c>
      <c r="N86" s="39">
        <f>N66-N16</f>
        <v/>
      </c>
      <c r="O86" s="39">
        <f>O66-O16</f>
        <v/>
      </c>
      <c r="P86" s="39">
        <f>P66-P16</f>
        <v/>
      </c>
      <c r="Q86" s="39" t="n"/>
      <c r="R86" s="75">
        <f>SUM(L86:Q86)</f>
        <v/>
      </c>
      <c r="S86" s="115">
        <f>S66-S16</f>
        <v/>
      </c>
      <c r="T86" s="116">
        <f>T66-T16</f>
        <v/>
      </c>
      <c r="U86" s="116">
        <f>U66-U16</f>
        <v/>
      </c>
      <c r="V86" s="116">
        <f>V66-V16</f>
        <v/>
      </c>
      <c r="W86" s="116">
        <f>W66-W16</f>
        <v/>
      </c>
      <c r="X86" s="116">
        <f>X66-X16</f>
        <v/>
      </c>
      <c r="Y86" s="117">
        <f>Y66-Y16</f>
        <v/>
      </c>
    </row>
    <row r="87">
      <c r="C87" s="73" t="inlineStr">
        <is>
          <t>0034 集計</t>
        </is>
      </c>
      <c r="D87" s="71" t="inlineStr">
        <is>
          <t>原田</t>
        </is>
      </c>
      <c r="E87" s="39">
        <f>E67-E17</f>
        <v/>
      </c>
      <c r="F87" s="39">
        <f>F67-F17</f>
        <v/>
      </c>
      <c r="G87" s="39">
        <f>G67-G17</f>
        <v/>
      </c>
      <c r="H87" s="39">
        <f>H67-H17</f>
        <v/>
      </c>
      <c r="I87" s="39">
        <f>I67-I17</f>
        <v/>
      </c>
      <c r="J87" s="39" t="n"/>
      <c r="K87" s="79">
        <f>SUM(E87:J87)</f>
        <v/>
      </c>
      <c r="L87" s="58">
        <f>L67-L17</f>
        <v/>
      </c>
      <c r="M87" s="39">
        <f>M67-M17</f>
        <v/>
      </c>
      <c r="N87" s="39">
        <f>N67-N17</f>
        <v/>
      </c>
      <c r="O87" s="39">
        <f>O67-O17</f>
        <v/>
      </c>
      <c r="P87" s="39">
        <f>P67-P17</f>
        <v/>
      </c>
      <c r="Q87" s="39" t="n"/>
      <c r="R87" s="75">
        <f>SUM(L87:Q87)</f>
        <v/>
      </c>
      <c r="S87" s="115">
        <f>S67-S17</f>
        <v/>
      </c>
      <c r="T87" s="116">
        <f>T67-T17</f>
        <v/>
      </c>
      <c r="U87" s="116">
        <f>U67-U17</f>
        <v/>
      </c>
      <c r="V87" s="116">
        <f>V67-V17</f>
        <v/>
      </c>
      <c r="W87" s="116">
        <f>W67-W17</f>
        <v/>
      </c>
      <c r="X87" s="116">
        <f>X67-X17</f>
        <v/>
      </c>
      <c r="Y87" s="117">
        <f>Y67-Y17</f>
        <v/>
      </c>
    </row>
    <row r="88">
      <c r="C88" s="73" t="inlineStr">
        <is>
          <t>0035 集計</t>
        </is>
      </c>
      <c r="D88" s="71" t="inlineStr">
        <is>
          <t>自治体</t>
        </is>
      </c>
      <c r="E88" s="39">
        <f>E68-E18</f>
        <v/>
      </c>
      <c r="F88" s="39">
        <f>F68-F18</f>
        <v/>
      </c>
      <c r="G88" s="39">
        <f>G68-G18</f>
        <v/>
      </c>
      <c r="H88" s="39">
        <f>H68-H18</f>
        <v/>
      </c>
      <c r="I88" s="39">
        <f>I68-I18</f>
        <v/>
      </c>
      <c r="J88" s="39" t="n"/>
      <c r="K88" s="79">
        <f>SUM(E88:J88)</f>
        <v/>
      </c>
      <c r="L88" s="58">
        <f>L68-L18</f>
        <v/>
      </c>
      <c r="M88" s="39">
        <f>M68-M18</f>
        <v/>
      </c>
      <c r="N88" s="39">
        <f>N68-N18</f>
        <v/>
      </c>
      <c r="O88" s="39">
        <f>O68-O18</f>
        <v/>
      </c>
      <c r="P88" s="39">
        <f>P68-P18</f>
        <v/>
      </c>
      <c r="Q88" s="39" t="n"/>
      <c r="R88" s="75">
        <f>SUM(L88:Q88)</f>
        <v/>
      </c>
      <c r="S88" s="115">
        <f>S68-S18</f>
        <v/>
      </c>
      <c r="T88" s="116">
        <f>T68-T18</f>
        <v/>
      </c>
      <c r="U88" s="116">
        <f>U68-U18</f>
        <v/>
      </c>
      <c r="V88" s="116">
        <f>V68-V18</f>
        <v/>
      </c>
      <c r="W88" s="116">
        <f>W68-W18</f>
        <v/>
      </c>
      <c r="X88" s="116">
        <f>X68-X18</f>
        <v/>
      </c>
      <c r="Y88" s="117">
        <f>Y68-Y18</f>
        <v/>
      </c>
    </row>
    <row r="89">
      <c r="C89" s="73" t="inlineStr">
        <is>
          <t>0039 集計</t>
        </is>
      </c>
      <c r="D89" s="71" t="inlineStr">
        <is>
          <t>その他</t>
        </is>
      </c>
      <c r="E89" s="39">
        <f>E69-E19</f>
        <v/>
      </c>
      <c r="F89" s="39">
        <f>F69-F19</f>
        <v/>
      </c>
      <c r="G89" s="39">
        <f>G69-G19</f>
        <v/>
      </c>
      <c r="H89" s="39">
        <f>H69-H19</f>
        <v/>
      </c>
      <c r="I89" s="39">
        <f>I69-I19</f>
        <v/>
      </c>
      <c r="J89" s="39" t="n"/>
      <c r="K89" s="79">
        <f>SUM(E89:J89)</f>
        <v/>
      </c>
      <c r="L89" s="58">
        <f>L69-L19</f>
        <v/>
      </c>
      <c r="M89" s="39">
        <f>M69-M19</f>
        <v/>
      </c>
      <c r="N89" s="39">
        <f>N69-N19</f>
        <v/>
      </c>
      <c r="O89" s="39">
        <f>O69-O19</f>
        <v/>
      </c>
      <c r="P89" s="39">
        <f>P69-P19</f>
        <v/>
      </c>
      <c r="Q89" s="39" t="n"/>
      <c r="R89" s="75">
        <f>SUM(L89:Q89)</f>
        <v/>
      </c>
      <c r="S89" s="115">
        <f>S69-S19</f>
        <v/>
      </c>
      <c r="T89" s="116">
        <f>T69-T19</f>
        <v/>
      </c>
      <c r="U89" s="116">
        <f>U69-U19</f>
        <v/>
      </c>
      <c r="V89" s="116">
        <f>V69-V19</f>
        <v/>
      </c>
      <c r="W89" s="116">
        <f>W69-W19</f>
        <v/>
      </c>
      <c r="X89" s="116">
        <f>X69-X19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76">
        <f>SUM(L85:L89)</f>
        <v/>
      </c>
      <c r="M90" s="63">
        <f>SUM(M85:M89)</f>
        <v/>
      </c>
      <c r="N90" s="63">
        <f>SUM(N85:N89)</f>
        <v/>
      </c>
      <c r="O90" s="63">
        <f>SUM(O85:O89)</f>
        <v/>
      </c>
      <c r="P90" s="63">
        <f>SUM(P85:P89)</f>
        <v/>
      </c>
      <c r="Q90" s="63">
        <f>SUM(Q85:Q89)</f>
        <v/>
      </c>
      <c r="R90" s="77">
        <f>SUM(L90:Q90)</f>
        <v/>
      </c>
      <c r="S90" s="118">
        <f>S70-S20</f>
        <v/>
      </c>
      <c r="T90" s="119">
        <f>T70-T20</f>
        <v/>
      </c>
      <c r="U90" s="119">
        <f>U80-U50</f>
        <v/>
      </c>
      <c r="V90" s="119">
        <f>V80-V50</f>
        <v/>
      </c>
      <c r="W90" s="119">
        <f>W80-W50</f>
        <v/>
      </c>
      <c r="X90" s="119">
        <f>X80-X50</f>
        <v/>
      </c>
      <c r="Y90" s="120">
        <f>Y70-Y20</f>
        <v/>
      </c>
    </row>
  </sheetData>
  <mergeCells count="36">
    <mergeCell ref="C83:D83"/>
    <mergeCell ref="L63:R63"/>
    <mergeCell ref="C33:D33"/>
    <mergeCell ref="S83:Y83"/>
    <mergeCell ref="S63:Y63"/>
    <mergeCell ref="C73:D7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46"/>
</worksheet>
</file>

<file path=xl/worksheets/sheet3.xml><?xml version="1.0" encoding="utf-8"?>
<worksheet xmlns="http://schemas.openxmlformats.org/spreadsheetml/2006/main">
  <sheetPr>
    <outlinePr summaryBelow="1" summaryRight="1"/>
    <pageSetUpPr fitToPage="1"/>
  </sheetPr>
  <dimension ref="C1:Y90"/>
  <sheetViews>
    <sheetView tabSelected="1" workbookViewId="0">
      <pane xSplit="4" ySplit="1" topLeftCell="E37" activePane="bottomRight" state="frozen"/>
      <selection activeCell="M85" sqref="M85:Q89"/>
      <selection pane="topRight" activeCell="M85" sqref="M85:Q89"/>
      <selection pane="bottomLeft" activeCell="M85" sqref="M85:Q89"/>
      <selection pane="bottomRight" activeCell="G65" sqref="G65"/>
    </sheetView>
  </sheetViews>
  <sheetFormatPr baseColWidth="8" defaultRowHeight="18.75"/>
  <cols>
    <col width="9.75" bestFit="1" customWidth="1" style="97" min="3" max="3"/>
    <col width="10.125" customWidth="1" style="97" min="5" max="25"/>
  </cols>
  <sheetData>
    <row r="1" ht="24" customHeight="1" s="97">
      <c r="C1" s="8" t="inlineStr">
        <is>
          <t>松江営業所全体</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2" t="n">
        <v>9394.786000000002</v>
      </c>
      <c r="F5" s="2" t="n">
        <v>11001.362</v>
      </c>
      <c r="G5" s="2" t="n">
        <v>7293.722</v>
      </c>
      <c r="H5" s="2" t="n">
        <v>8370.209999999999</v>
      </c>
      <c r="I5" s="2" t="n">
        <v>10947.936</v>
      </c>
      <c r="J5" s="2" t="n">
        <v>6349.213999999999</v>
      </c>
      <c r="K5" s="79">
        <f>SUM(E5:J5)</f>
        <v/>
      </c>
      <c r="L5" s="1" t="n">
        <v>2690.031</v>
      </c>
      <c r="M5" s="2" t="n">
        <v>3003.793</v>
      </c>
      <c r="N5" s="2" t="n">
        <v>2140.472</v>
      </c>
      <c r="O5" s="2" t="n">
        <v>2358.244</v>
      </c>
      <c r="P5" s="2" t="n">
        <v>3179.772999999999</v>
      </c>
      <c r="Q5" s="2" t="n">
        <v>2397.156</v>
      </c>
      <c r="R5" s="75">
        <f>SUM(L5:Q5)</f>
        <v/>
      </c>
      <c r="S5" s="115">
        <f>IF(E5=0,"***",L5/E5)</f>
        <v/>
      </c>
      <c r="T5" s="116">
        <f>IF(F5=0,"***",M5/F5)</f>
        <v/>
      </c>
      <c r="U5" s="116">
        <f>IF(G5=0,"***",N5/G5)</f>
        <v/>
      </c>
      <c r="V5" s="116">
        <f>IF(H5=0,"***",O5/H5)</f>
        <v/>
      </c>
      <c r="W5" s="116">
        <f>IF(I5=0,"***",P5/I5)</f>
        <v/>
      </c>
      <c r="X5" s="116">
        <f>IF(J5=0,"***",Q5/J5)</f>
        <v/>
      </c>
      <c r="Y5" s="117">
        <f>IF(K5=0,"***",R5/K5)</f>
        <v/>
      </c>
    </row>
    <row r="6">
      <c r="C6" s="73" t="inlineStr">
        <is>
          <t>0033 集計</t>
        </is>
      </c>
      <c r="D6" s="59" t="inlineStr">
        <is>
          <t>前田課長代</t>
        </is>
      </c>
      <c r="E6" s="2" t="n">
        <v>9543.870999999999</v>
      </c>
      <c r="F6" s="2" t="n">
        <v>5743.266</v>
      </c>
      <c r="G6" s="2" t="n">
        <v>9802.850999999999</v>
      </c>
      <c r="H6" s="2" t="n">
        <v>10503.789</v>
      </c>
      <c r="I6" s="2" t="n">
        <v>9769.475999999999</v>
      </c>
      <c r="J6" s="2" t="n">
        <v>9778.494999999999</v>
      </c>
      <c r="K6" s="79">
        <f>SUM(E6:J6)</f>
        <v/>
      </c>
      <c r="L6" s="1" t="n">
        <v>2185.0206</v>
      </c>
      <c r="M6" s="2" t="n">
        <v>1296.05</v>
      </c>
      <c r="N6" s="2" t="n">
        <v>1913.457</v>
      </c>
      <c r="O6" s="2" t="n">
        <v>2257.2438</v>
      </c>
      <c r="P6" s="2" t="n">
        <v>2149.223</v>
      </c>
      <c r="Q6" s="2" t="n">
        <v>2272.588000000001</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2" t="n">
        <v>8422.198999999999</v>
      </c>
      <c r="F7" s="2" t="n">
        <v>7218.111</v>
      </c>
      <c r="G7" s="2" t="n">
        <v>7325.341000000001</v>
      </c>
      <c r="H7" s="2" t="n">
        <v>8652.573</v>
      </c>
      <c r="I7" s="2" t="n">
        <v>9130.425000000001</v>
      </c>
      <c r="J7" s="2" t="n">
        <v>8392.639000000001</v>
      </c>
      <c r="K7" s="79">
        <f>SUM(E7:J7)</f>
        <v/>
      </c>
      <c r="L7" s="1" t="n">
        <v>2032.137</v>
      </c>
      <c r="M7" s="2" t="n">
        <v>1623.651</v>
      </c>
      <c r="N7" s="2" t="n">
        <v>1626.762</v>
      </c>
      <c r="O7" s="2" t="n">
        <v>1875.443</v>
      </c>
      <c r="P7" s="2" t="n">
        <v>1941.406</v>
      </c>
      <c r="Q7" s="2" t="n">
        <v>2104.958</v>
      </c>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2" t="n">
        <v>8514.450000000001</v>
      </c>
      <c r="F8" s="2" t="n">
        <v>3182.96</v>
      </c>
      <c r="G8" s="2" t="n">
        <v>10715.25</v>
      </c>
      <c r="H8" s="2" t="n">
        <v>0</v>
      </c>
      <c r="I8" s="2" t="n">
        <v>0</v>
      </c>
      <c r="J8" s="2" t="n">
        <v>24111.466</v>
      </c>
      <c r="K8" s="79">
        <f>SUM(E8:J8)</f>
        <v/>
      </c>
      <c r="L8" s="1" t="n">
        <v>154.3</v>
      </c>
      <c r="M8" s="2" t="n">
        <v>57.56</v>
      </c>
      <c r="N8" s="2" t="n">
        <v>183.74</v>
      </c>
      <c r="O8" s="2" t="n">
        <v>0</v>
      </c>
      <c r="P8" s="2" t="n">
        <v>0</v>
      </c>
      <c r="Q8" s="2" t="n">
        <v>642.976</v>
      </c>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2" t="n">
        <v>64.19</v>
      </c>
      <c r="F9" s="2" t="n">
        <v>9.220000000000001</v>
      </c>
      <c r="G9" s="2" t="n">
        <v>14.04</v>
      </c>
      <c r="H9" s="2" t="n">
        <v>77.69</v>
      </c>
      <c r="I9" s="2" t="n">
        <v>30.37</v>
      </c>
      <c r="J9" s="2" t="n">
        <v>31.444</v>
      </c>
      <c r="K9" s="79">
        <f>SUM(E9:J9)</f>
        <v/>
      </c>
      <c r="L9" s="1" t="n">
        <v>19.062</v>
      </c>
      <c r="M9" s="2" t="n">
        <v>4.29</v>
      </c>
      <c r="N9" s="2" t="n">
        <v>5.38</v>
      </c>
      <c r="O9" s="2" t="n">
        <v>15.204</v>
      </c>
      <c r="P9" s="2" t="n">
        <v>10.076</v>
      </c>
      <c r="Q9" s="2" t="n">
        <v>13.314</v>
      </c>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74"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2" t="n">
        <v>11871.789</v>
      </c>
      <c r="F15" s="2" t="n">
        <v>7775.014</v>
      </c>
      <c r="G15" s="2" t="n">
        <v>8471.809999999999</v>
      </c>
      <c r="H15" s="2" t="n">
        <v>9957.042000000001</v>
      </c>
      <c r="I15" s="2" t="n">
        <v>10299.5</v>
      </c>
      <c r="J15" s="2" t="n">
        <v>8786.094000000003</v>
      </c>
      <c r="K15" s="79">
        <f>SUM(E15:J15)</f>
        <v/>
      </c>
      <c r="L15" s="1" t="n">
        <v>3691.15</v>
      </c>
      <c r="M15" s="2" t="n">
        <v>2487.929</v>
      </c>
      <c r="N15" s="2" t="n">
        <v>2702.119000000001</v>
      </c>
      <c r="O15" s="2" t="n">
        <v>3122.603</v>
      </c>
      <c r="P15" s="2" t="n">
        <v>3226.146</v>
      </c>
      <c r="Q15" s="2" t="n">
        <v>2730.316000000001</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59" t="inlineStr">
        <is>
          <t>前田課長代</t>
        </is>
      </c>
      <c r="E16" s="2" t="n">
        <v>10187.463</v>
      </c>
      <c r="F16" s="2" t="n">
        <v>8959.196000000002</v>
      </c>
      <c r="G16" s="2" t="n">
        <v>8546.748999999996</v>
      </c>
      <c r="H16" s="2" t="n">
        <v>9593.01</v>
      </c>
      <c r="I16" s="2" t="n">
        <v>7366.301</v>
      </c>
      <c r="J16" s="2" t="n">
        <v>7421.947000000001</v>
      </c>
      <c r="K16" s="79">
        <f>SUM(E16:J16)</f>
        <v/>
      </c>
      <c r="L16" s="1" t="n">
        <v>2708.5808</v>
      </c>
      <c r="M16" s="2" t="n">
        <v>2469.716</v>
      </c>
      <c r="N16" s="2" t="n">
        <v>1977.305799999999</v>
      </c>
      <c r="O16" s="2" t="n">
        <v>2080.844</v>
      </c>
      <c r="P16" s="2" t="n">
        <v>1950.749</v>
      </c>
      <c r="Q16" s="2" t="n">
        <v>1998.123</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2" t="n">
        <v>9422.809000000001</v>
      </c>
      <c r="F17" s="2" t="n">
        <v>7351.248000000001</v>
      </c>
      <c r="G17" s="2" t="n">
        <v>7391.386000000001</v>
      </c>
      <c r="H17" s="2" t="n">
        <v>9599.937</v>
      </c>
      <c r="I17" s="2" t="n">
        <v>8283.083000000002</v>
      </c>
      <c r="J17" s="2" t="n">
        <v>9097.807999999999</v>
      </c>
      <c r="K17" s="79">
        <f>SUM(E17:J17)</f>
        <v/>
      </c>
      <c r="L17" s="1" t="n">
        <v>2241.822999999999</v>
      </c>
      <c r="M17" s="2" t="n">
        <v>1791.091999999999</v>
      </c>
      <c r="N17" s="2" t="n">
        <v>1710.721</v>
      </c>
      <c r="O17" s="2" t="n">
        <v>2300.398</v>
      </c>
      <c r="P17" s="2" t="n">
        <v>2009.645</v>
      </c>
      <c r="Q17" s="2" t="n">
        <v>1844.832</v>
      </c>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2" t="n">
        <v>9358.208000000001</v>
      </c>
      <c r="F18" s="2" t="n">
        <v>2209.46</v>
      </c>
      <c r="G18" s="2" t="n">
        <v>11193.008</v>
      </c>
      <c r="H18" s="2" t="n">
        <v>0</v>
      </c>
      <c r="I18" s="2" t="n">
        <v>6139.904</v>
      </c>
      <c r="J18" s="2" t="n">
        <v>9994.712</v>
      </c>
      <c r="K18" s="79">
        <f>SUM(E18:J18)</f>
        <v/>
      </c>
      <c r="L18" s="1" t="n">
        <v>173.928</v>
      </c>
      <c r="M18" s="2" t="n">
        <v>19.31</v>
      </c>
      <c r="N18" s="2" t="n">
        <v>196.128</v>
      </c>
      <c r="O18" s="2" t="n">
        <v>0</v>
      </c>
      <c r="P18" s="2" t="n">
        <v>115.904</v>
      </c>
      <c r="Q18" s="2" t="n">
        <v>197.752</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2" t="n">
        <v>27.05</v>
      </c>
      <c r="F19" s="2" t="n">
        <v>0</v>
      </c>
      <c r="G19" s="2" t="n">
        <v>11.3</v>
      </c>
      <c r="H19" s="2" t="n">
        <v>12.3</v>
      </c>
      <c r="I19" s="2" t="n">
        <v>1.1</v>
      </c>
      <c r="J19" s="2" t="n">
        <v>0</v>
      </c>
      <c r="K19" s="79">
        <f>SUM(E19:J19)</f>
        <v/>
      </c>
      <c r="L19" s="1" t="n">
        <v>5.301</v>
      </c>
      <c r="M19" s="2" t="n">
        <v>0</v>
      </c>
      <c r="N19" s="2" t="n">
        <v>2.499</v>
      </c>
      <c r="O19" s="2" t="n">
        <v>4.8</v>
      </c>
      <c r="P19" s="2" t="n">
        <v>0.375</v>
      </c>
      <c r="Q19" s="2" t="n">
        <v>0</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59"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2" t="n">
        <v>11800</v>
      </c>
      <c r="F35" s="2" t="n">
        <v>10420</v>
      </c>
      <c r="G35" s="2" t="n">
        <v>8750</v>
      </c>
      <c r="H35" s="2" t="n">
        <v>10170</v>
      </c>
      <c r="I35" s="2" t="n">
        <v>11790</v>
      </c>
      <c r="J35" s="2" t="n">
        <v>8400</v>
      </c>
      <c r="K35" s="79">
        <f>SUM(E35:J35)</f>
        <v/>
      </c>
      <c r="L35" s="1" t="n">
        <v>3540</v>
      </c>
      <c r="M35" s="2" t="n">
        <v>3050</v>
      </c>
      <c r="N35" s="2" t="n">
        <v>2690</v>
      </c>
      <c r="O35" s="2" t="n">
        <v>3040</v>
      </c>
      <c r="P35" s="2" t="n">
        <v>3560</v>
      </c>
      <c r="Q35" s="2" t="n">
        <v>2850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59" t="inlineStr">
        <is>
          <t>前田課長代</t>
        </is>
      </c>
      <c r="E36" s="2" t="n">
        <v>10950</v>
      </c>
      <c r="F36" s="2" t="n">
        <v>8160</v>
      </c>
      <c r="G36" s="2" t="n">
        <v>10180</v>
      </c>
      <c r="H36" s="2" t="n">
        <v>11150</v>
      </c>
      <c r="I36" s="2" t="n">
        <v>9510</v>
      </c>
      <c r="J36" s="2" t="n">
        <v>9550</v>
      </c>
      <c r="K36" s="79">
        <f>SUM(E36:J36)</f>
        <v/>
      </c>
      <c r="L36" s="1" t="n">
        <v>2720</v>
      </c>
      <c r="M36" s="2" t="n">
        <v>2090</v>
      </c>
      <c r="N36" s="2" t="n">
        <v>2160</v>
      </c>
      <c r="O36" s="2" t="n">
        <v>2410</v>
      </c>
      <c r="P36" s="2" t="n">
        <v>2280</v>
      </c>
      <c r="Q36" s="2" t="n">
        <v>2370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2" t="n">
        <v>9900</v>
      </c>
      <c r="F37" s="2" t="n">
        <v>8090</v>
      </c>
      <c r="G37" s="2" t="n">
        <v>8170</v>
      </c>
      <c r="H37" s="2" t="n">
        <v>10130</v>
      </c>
      <c r="I37" s="2" t="n">
        <v>9670</v>
      </c>
      <c r="J37" s="2" t="n">
        <v>9710</v>
      </c>
      <c r="K37" s="79">
        <f>SUM(E37:J37)</f>
        <v/>
      </c>
      <c r="L37" s="1" t="n">
        <v>2370</v>
      </c>
      <c r="M37" s="2" t="n">
        <v>1890</v>
      </c>
      <c r="N37" s="2" t="n">
        <v>1860</v>
      </c>
      <c r="O37" s="2" t="n">
        <v>2320</v>
      </c>
      <c r="P37" s="2" t="n">
        <v>2190</v>
      </c>
      <c r="Q37" s="2" t="n">
        <v>2190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2" t="n">
        <v>0</v>
      </c>
      <c r="F38" s="2" t="n">
        <v>0</v>
      </c>
      <c r="G38" s="2" t="n">
        <v>0</v>
      </c>
      <c r="H38" s="2" t="n">
        <v>0</v>
      </c>
      <c r="I38" s="2" t="n">
        <v>0</v>
      </c>
      <c r="J38" s="2" t="n">
        <v>0</v>
      </c>
      <c r="K38" s="79">
        <f>SUM(E38:J38)</f>
        <v/>
      </c>
      <c r="L38" s="1" t="n">
        <v>0</v>
      </c>
      <c r="M38" s="2" t="n">
        <v>0</v>
      </c>
      <c r="N38" s="2" t="n">
        <v>0</v>
      </c>
      <c r="O38" s="2" t="n">
        <v>0</v>
      </c>
      <c r="P38" s="2" t="n">
        <v>0</v>
      </c>
      <c r="Q38" s="2" t="n">
        <v>0</v>
      </c>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2" t="n"/>
      <c r="F39" s="2" t="n"/>
      <c r="G39" s="2" t="n"/>
      <c r="H39" s="2" t="n"/>
      <c r="I39" s="2" t="n"/>
      <c r="J39" s="2" t="n"/>
      <c r="K39" s="79">
        <f>SUM(E39:J39)</f>
        <v/>
      </c>
      <c r="L39" s="1" t="n"/>
      <c r="M39" s="2" t="n"/>
      <c r="N39" s="2" t="n"/>
      <c r="O39" s="2" t="n"/>
      <c r="P39" s="2" t="n"/>
      <c r="Q39" s="2"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59"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S35-S25</f>
        <v/>
      </c>
      <c r="T55" s="116">
        <f>T35-T25</f>
        <v/>
      </c>
      <c r="U55" s="116">
        <f>U35-U25</f>
        <v/>
      </c>
      <c r="V55" s="116">
        <f>V35-V25</f>
        <v/>
      </c>
      <c r="W55" s="116">
        <f>W35-W25</f>
        <v/>
      </c>
      <c r="X55" s="116">
        <f>X35-X25</f>
        <v/>
      </c>
      <c r="Y55" s="117">
        <f>Y35-Y25</f>
        <v/>
      </c>
    </row>
    <row r="56" hidden="1" s="97">
      <c r="C56" s="73" t="inlineStr">
        <is>
          <t>0033 集計</t>
        </is>
      </c>
      <c r="D56" s="59"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S36-S26</f>
        <v/>
      </c>
      <c r="T56" s="116">
        <f>T36-T26</f>
        <v/>
      </c>
      <c r="U56" s="116">
        <f>U36-U26</f>
        <v/>
      </c>
      <c r="V56" s="116">
        <f>V36-V26</f>
        <v/>
      </c>
      <c r="W56" s="116">
        <f>W36-W26</f>
        <v/>
      </c>
      <c r="X56" s="116">
        <f>X36-X26</f>
        <v/>
      </c>
      <c r="Y56" s="117">
        <f>Y36-Y26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S37-S27</f>
        <v/>
      </c>
      <c r="T57" s="116">
        <f>T37-T27</f>
        <v/>
      </c>
      <c r="U57" s="116">
        <f>U37-U27</f>
        <v/>
      </c>
      <c r="V57" s="116">
        <f>V37-V27</f>
        <v/>
      </c>
      <c r="W57" s="116">
        <f>W37-W27</f>
        <v/>
      </c>
      <c r="X57" s="116">
        <f>X37-X27</f>
        <v/>
      </c>
      <c r="Y57" s="117">
        <f>Y37-Y27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S38-S28</f>
        <v/>
      </c>
      <c r="T58" s="116">
        <f>T38-T28</f>
        <v/>
      </c>
      <c r="U58" s="116">
        <f>U38-U28</f>
        <v/>
      </c>
      <c r="V58" s="116">
        <f>V38-V28</f>
        <v/>
      </c>
      <c r="W58" s="116">
        <f>W38-W28</f>
        <v/>
      </c>
      <c r="X58" s="116">
        <f>X38-X28</f>
        <v/>
      </c>
      <c r="Y58" s="117">
        <f>Y38-Y28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S39-S29</f>
        <v/>
      </c>
      <c r="T59" s="116">
        <f>T39-T29</f>
        <v/>
      </c>
      <c r="U59" s="116">
        <f>U39-U29</f>
        <v/>
      </c>
      <c r="V59" s="116">
        <f>V39-V29</f>
        <v/>
      </c>
      <c r="W59" s="116">
        <f>W39-W29</f>
        <v/>
      </c>
      <c r="X59" s="116">
        <f>X39-X29</f>
        <v/>
      </c>
      <c r="Y59" s="117">
        <f>Y39-Y29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S40-S30</f>
        <v/>
      </c>
      <c r="T60" s="119">
        <f>T40-T30</f>
        <v/>
      </c>
      <c r="U60" s="119">
        <f>U40-U30</f>
        <v/>
      </c>
      <c r="V60" s="119">
        <f>V40-V30</f>
        <v/>
      </c>
      <c r="W60" s="119">
        <f>W40-W30</f>
        <v/>
      </c>
      <c r="X60" s="119">
        <f>X40-X30</f>
        <v/>
      </c>
      <c r="Y60" s="120">
        <f>Y40-Y30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2" t="n">
        <v>15047.04</v>
      </c>
      <c r="F65" s="2" t="n">
        <v>10820.014</v>
      </c>
      <c r="G65" s="86" t="n">
        <v>8876.039000000001</v>
      </c>
      <c r="H65" s="2" t="n">
        <v>10443.425</v>
      </c>
      <c r="I65" s="2" t="n">
        <v>11940.197</v>
      </c>
      <c r="J65" s="2" t="n"/>
      <c r="K65" s="79">
        <f>SUM(E65:J65)</f>
        <v/>
      </c>
      <c r="L65" s="1" t="n">
        <v>4536.348</v>
      </c>
      <c r="M65" s="2" t="n">
        <v>3567.44</v>
      </c>
      <c r="N65" s="86" t="n">
        <v>3002.952</v>
      </c>
      <c r="O65" s="2" t="n">
        <v>3520.407</v>
      </c>
      <c r="P65" s="2" t="n">
        <v>3975.887</v>
      </c>
      <c r="Q65" s="2" t="n"/>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59" t="inlineStr">
        <is>
          <t>前田課長代</t>
        </is>
      </c>
      <c r="E66" s="2" t="n">
        <v>15265.922</v>
      </c>
      <c r="F66" s="2" t="n">
        <v>10070.893</v>
      </c>
      <c r="G66" s="86" t="n">
        <v>12983.805</v>
      </c>
      <c r="H66" s="2" t="n">
        <v>17107.798</v>
      </c>
      <c r="I66" s="2" t="n">
        <v>10370.244</v>
      </c>
      <c r="J66" s="2" t="n"/>
      <c r="K66" s="79">
        <f>SUM(E66:J66)</f>
        <v/>
      </c>
      <c r="L66" s="1" t="n">
        <v>3492.024</v>
      </c>
      <c r="M66" s="2" t="n">
        <v>2365.03</v>
      </c>
      <c r="N66" s="86" t="n">
        <v>2676.518</v>
      </c>
      <c r="O66" s="2" t="n">
        <v>3549.9651</v>
      </c>
      <c r="P66" s="2" t="n">
        <v>2625.623</v>
      </c>
      <c r="Q66" s="2" t="n"/>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2" t="n">
        <v>10061</v>
      </c>
      <c r="F67" s="2" t="n">
        <v>8724</v>
      </c>
      <c r="G67" s="86" t="n">
        <v>8649.739</v>
      </c>
      <c r="H67" s="2" t="n">
        <v>11910.007</v>
      </c>
      <c r="I67" s="2" t="n">
        <v>10792.559</v>
      </c>
      <c r="J67" s="2" t="n"/>
      <c r="K67" s="79">
        <f>SUM(E67:J67)</f>
        <v/>
      </c>
      <c r="L67" s="1" t="n">
        <v>2538</v>
      </c>
      <c r="M67" s="2" t="n">
        <v>2281</v>
      </c>
      <c r="N67" s="86" t="n">
        <v>2121.064</v>
      </c>
      <c r="O67" s="2" t="n">
        <v>3025.832</v>
      </c>
      <c r="P67" s="2" t="n">
        <v>2924.322</v>
      </c>
      <c r="Q67" s="2" t="n"/>
      <c r="R67" s="75">
        <f>SUM(L67:Q67)</f>
        <v/>
      </c>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2" t="n"/>
      <c r="F68" s="2" t="n"/>
      <c r="G68" s="2" t="n"/>
      <c r="H68" s="2" t="n"/>
      <c r="I68" s="2" t="n">
        <v>0</v>
      </c>
      <c r="J68" s="2" t="n"/>
      <c r="K68" s="79">
        <f>SUM(E68:J68)</f>
        <v/>
      </c>
      <c r="L68" s="1" t="n"/>
      <c r="M68" s="2" t="n"/>
      <c r="N68" s="2" t="n"/>
      <c r="O68" s="2" t="n"/>
      <c r="P68" s="2" t="n">
        <v>0</v>
      </c>
      <c r="Q68" s="2" t="n"/>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2" t="n">
        <v>9.300000000000001</v>
      </c>
      <c r="F69" s="2" t="n">
        <v>7.17</v>
      </c>
      <c r="G69" s="2" t="n"/>
      <c r="H69" s="2" t="n">
        <v>0.45</v>
      </c>
      <c r="I69" s="2" t="n">
        <v>10.79</v>
      </c>
      <c r="J69" s="2" t="n"/>
      <c r="K69" s="79">
        <f>SUM(E69:J69)</f>
        <v/>
      </c>
      <c r="L69" s="1" t="n">
        <v>1.5</v>
      </c>
      <c r="M69" s="2" t="n">
        <v>2.751</v>
      </c>
      <c r="N69" s="2" t="n"/>
      <c r="O69" s="2" t="n">
        <v>0.054</v>
      </c>
      <c r="P69" s="2" t="n">
        <v>4.266</v>
      </c>
      <c r="Q69" s="2" t="n"/>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2">
        <f>E65-E35</f>
        <v/>
      </c>
      <c r="F75" s="2">
        <f>F65-F35</f>
        <v/>
      </c>
      <c r="G75" s="86">
        <f>G65-G35</f>
        <v/>
      </c>
      <c r="H75" s="2">
        <f>H65-H35</f>
        <v/>
      </c>
      <c r="I75" s="2">
        <f>I65-I35</f>
        <v/>
      </c>
      <c r="J75" s="2" t="n"/>
      <c r="K75" s="79">
        <f>SUM(E75:J75)</f>
        <v/>
      </c>
      <c r="L75" s="1">
        <f>L65-L35</f>
        <v/>
      </c>
      <c r="M75" s="2">
        <f>M65-M35</f>
        <v/>
      </c>
      <c r="N75" s="86">
        <f>N65-N35</f>
        <v/>
      </c>
      <c r="O75" s="2">
        <f>O65-O35</f>
        <v/>
      </c>
      <c r="P75" s="2">
        <f>P65-P35</f>
        <v/>
      </c>
      <c r="Q75" s="2" t="n"/>
      <c r="R75" s="75">
        <f>SUM(L75:Q75)</f>
        <v/>
      </c>
      <c r="S75" s="115">
        <f>S65-S35</f>
        <v/>
      </c>
      <c r="T75" s="116">
        <f>T65-T35</f>
        <v/>
      </c>
      <c r="U75" s="116">
        <f>U65-U35</f>
        <v/>
      </c>
      <c r="V75" s="116">
        <f>V65-V35</f>
        <v/>
      </c>
      <c r="W75" s="116">
        <f>W65-W35</f>
        <v/>
      </c>
      <c r="X75" s="116">
        <f>X65-X35</f>
        <v/>
      </c>
      <c r="Y75" s="117">
        <f>Y65-Y35</f>
        <v/>
      </c>
    </row>
    <row r="76">
      <c r="C76" s="73" t="inlineStr">
        <is>
          <t>0033 集計</t>
        </is>
      </c>
      <c r="D76" s="59" t="inlineStr">
        <is>
          <t>前田課長代</t>
        </is>
      </c>
      <c r="E76" s="2">
        <f>E66-E36</f>
        <v/>
      </c>
      <c r="F76" s="2">
        <f>F66-F36</f>
        <v/>
      </c>
      <c r="G76" s="86">
        <f>G66-G36</f>
        <v/>
      </c>
      <c r="H76" s="2">
        <f>H66-H36</f>
        <v/>
      </c>
      <c r="I76" s="2">
        <f>I66-I36</f>
        <v/>
      </c>
      <c r="J76" s="2" t="n"/>
      <c r="K76" s="79">
        <f>SUM(E76:J76)</f>
        <v/>
      </c>
      <c r="L76" s="1">
        <f>L66-L36</f>
        <v/>
      </c>
      <c r="M76" s="2">
        <f>M66-M36</f>
        <v/>
      </c>
      <c r="N76" s="86">
        <f>N66-N36</f>
        <v/>
      </c>
      <c r="O76" s="2">
        <f>O66-O36</f>
        <v/>
      </c>
      <c r="P76" s="2">
        <f>P66-P36</f>
        <v/>
      </c>
      <c r="Q76" s="2" t="n"/>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2">
        <f>E67-E37</f>
        <v/>
      </c>
      <c r="F77" s="2">
        <f>F67-F37</f>
        <v/>
      </c>
      <c r="G77" s="86">
        <f>G67-G37</f>
        <v/>
      </c>
      <c r="H77" s="2">
        <f>H67-H37</f>
        <v/>
      </c>
      <c r="I77" s="2">
        <f>I67-I37</f>
        <v/>
      </c>
      <c r="J77" s="2" t="n"/>
      <c r="K77" s="79">
        <f>SUM(E77:J77)</f>
        <v/>
      </c>
      <c r="L77" s="1">
        <f>L67-L37</f>
        <v/>
      </c>
      <c r="M77" s="2">
        <f>M67-M37</f>
        <v/>
      </c>
      <c r="N77" s="86">
        <f>N67-N37</f>
        <v/>
      </c>
      <c r="O77" s="2">
        <f>O67-O37</f>
        <v/>
      </c>
      <c r="P77" s="2">
        <f>P67-P37</f>
        <v/>
      </c>
      <c r="Q77" s="2" t="n"/>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2">
        <f>E68-E38</f>
        <v/>
      </c>
      <c r="F78" s="2">
        <f>F68-F38</f>
        <v/>
      </c>
      <c r="G78" s="86">
        <f>G68-G38</f>
        <v/>
      </c>
      <c r="H78" s="2">
        <f>H68-H38</f>
        <v/>
      </c>
      <c r="I78" s="2">
        <f>I68-I38</f>
        <v/>
      </c>
      <c r="J78" s="2" t="n"/>
      <c r="K78" s="79">
        <f>SUM(E78:J78)</f>
        <v/>
      </c>
      <c r="L78" s="1">
        <f>L68-L38</f>
        <v/>
      </c>
      <c r="M78" s="2">
        <f>M68-M38</f>
        <v/>
      </c>
      <c r="N78" s="86">
        <f>N68-N38</f>
        <v/>
      </c>
      <c r="O78" s="2">
        <f>O68-O38</f>
        <v/>
      </c>
      <c r="P78" s="2">
        <f>P68-P38</f>
        <v/>
      </c>
      <c r="Q78" s="2" t="n"/>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2">
        <f>E69-E39</f>
        <v/>
      </c>
      <c r="F79" s="2">
        <f>F69-F39</f>
        <v/>
      </c>
      <c r="G79" s="86">
        <f>G69-G39</f>
        <v/>
      </c>
      <c r="H79" s="2">
        <f>H69-H39</f>
        <v/>
      </c>
      <c r="I79" s="2">
        <f>I69-I39</f>
        <v/>
      </c>
      <c r="J79" s="2" t="n"/>
      <c r="K79" s="79">
        <f>SUM(E79:J79)</f>
        <v/>
      </c>
      <c r="L79" s="1">
        <f>L69-L39</f>
        <v/>
      </c>
      <c r="M79" s="2">
        <f>M69-M39</f>
        <v/>
      </c>
      <c r="N79" s="86">
        <f>N69-N39</f>
        <v/>
      </c>
      <c r="O79" s="2">
        <f>O69-O39</f>
        <v/>
      </c>
      <c r="P79" s="2">
        <f>P69-P39</f>
        <v/>
      </c>
      <c r="Q79" s="2" t="n"/>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X60-X10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2">
        <f>E65-E15</f>
        <v/>
      </c>
      <c r="F85" s="2">
        <f>F65-F15</f>
        <v/>
      </c>
      <c r="G85" s="86">
        <f>G65-G15</f>
        <v/>
      </c>
      <c r="H85" s="2">
        <f>H65-H15</f>
        <v/>
      </c>
      <c r="I85" s="2">
        <f>I65-I15</f>
        <v/>
      </c>
      <c r="J85" s="2" t="n"/>
      <c r="K85" s="79">
        <f>SUM(E85:J85)</f>
        <v/>
      </c>
      <c r="L85" s="1">
        <f>L65-L15</f>
        <v/>
      </c>
      <c r="M85" s="69">
        <f>M65-M15</f>
        <v/>
      </c>
      <c r="N85" s="86">
        <f>N65-N15</f>
        <v/>
      </c>
      <c r="O85" s="2">
        <f>O65-O15</f>
        <v/>
      </c>
      <c r="P85" s="2">
        <f>P65-P15</f>
        <v/>
      </c>
      <c r="Q85" s="2" t="n"/>
      <c r="R85" s="75">
        <f>SUM(L85:Q85)</f>
        <v/>
      </c>
      <c r="S85" s="115">
        <f>S65-S15</f>
        <v/>
      </c>
      <c r="T85" s="116">
        <f>T65-T15</f>
        <v/>
      </c>
      <c r="U85" s="116">
        <f>U65-U15</f>
        <v/>
      </c>
      <c r="V85" s="116">
        <f>V65-V15</f>
        <v/>
      </c>
      <c r="W85" s="116">
        <f>W65-W15</f>
        <v/>
      </c>
      <c r="X85" s="116">
        <f>X65-X15</f>
        <v/>
      </c>
      <c r="Y85" s="117">
        <f>Y65-Y15</f>
        <v/>
      </c>
    </row>
    <row r="86">
      <c r="C86" s="73" t="inlineStr">
        <is>
          <t>0033 集計</t>
        </is>
      </c>
      <c r="D86" s="59" t="inlineStr">
        <is>
          <t>前田課長代</t>
        </is>
      </c>
      <c r="E86" s="2">
        <f>E66-E16</f>
        <v/>
      </c>
      <c r="F86" s="2">
        <f>F66-F16</f>
        <v/>
      </c>
      <c r="G86" s="86">
        <f>G66-G16</f>
        <v/>
      </c>
      <c r="H86" s="2">
        <f>H66-H16</f>
        <v/>
      </c>
      <c r="I86" s="2">
        <f>I66-I16</f>
        <v/>
      </c>
      <c r="J86" s="2" t="n"/>
      <c r="K86" s="79">
        <f>SUM(E86:J86)</f>
        <v/>
      </c>
      <c r="L86" s="1">
        <f>L66-L16</f>
        <v/>
      </c>
      <c r="M86" s="69">
        <f>M66-M16</f>
        <v/>
      </c>
      <c r="N86" s="86">
        <f>N66-N16</f>
        <v/>
      </c>
      <c r="O86" s="2">
        <f>O66-O16</f>
        <v/>
      </c>
      <c r="P86" s="2">
        <f>P66-P16</f>
        <v/>
      </c>
      <c r="Q86" s="2" t="n"/>
      <c r="R86" s="75">
        <f>SUM(L86:Q86)</f>
        <v/>
      </c>
      <c r="S86" s="115">
        <f>S66-S16</f>
        <v/>
      </c>
      <c r="T86" s="116">
        <f>T66-T16</f>
        <v/>
      </c>
      <c r="U86" s="116">
        <f>U66-U16</f>
        <v/>
      </c>
      <c r="V86" s="116">
        <f>V66-V16</f>
        <v/>
      </c>
      <c r="W86" s="116">
        <f>W66-W16</f>
        <v/>
      </c>
      <c r="X86" s="116">
        <f>X66-X16</f>
        <v/>
      </c>
      <c r="Y86" s="117">
        <f>Y66-Y16</f>
        <v/>
      </c>
    </row>
    <row r="87">
      <c r="C87" s="73" t="inlineStr">
        <is>
          <t>0034 集計</t>
        </is>
      </c>
      <c r="D87" s="71" t="inlineStr">
        <is>
          <t>原田</t>
        </is>
      </c>
      <c r="E87" s="2">
        <f>E67-E17</f>
        <v/>
      </c>
      <c r="F87" s="2">
        <f>F67-F17</f>
        <v/>
      </c>
      <c r="G87" s="86">
        <f>G67-G17</f>
        <v/>
      </c>
      <c r="H87" s="2">
        <f>H67-H17</f>
        <v/>
      </c>
      <c r="I87" s="2">
        <f>I67-I17</f>
        <v/>
      </c>
      <c r="J87" s="2" t="n"/>
      <c r="K87" s="79">
        <f>SUM(E87:J87)</f>
        <v/>
      </c>
      <c r="L87" s="1">
        <f>L67-L17</f>
        <v/>
      </c>
      <c r="M87" s="69">
        <f>M67-M17</f>
        <v/>
      </c>
      <c r="N87" s="86">
        <f>N67-N17</f>
        <v/>
      </c>
      <c r="O87" s="2">
        <f>O67-O17</f>
        <v/>
      </c>
      <c r="P87" s="2">
        <f>P67-P17</f>
        <v/>
      </c>
      <c r="Q87" s="2" t="n"/>
      <c r="R87" s="75">
        <f>SUM(L87:Q87)</f>
        <v/>
      </c>
      <c r="S87" s="115">
        <f>S67-S17</f>
        <v/>
      </c>
      <c r="T87" s="116">
        <f>T67-T17</f>
        <v/>
      </c>
      <c r="U87" s="116">
        <f>U67-U17</f>
        <v/>
      </c>
      <c r="V87" s="116">
        <f>V67-V17</f>
        <v/>
      </c>
      <c r="W87" s="116">
        <f>W67-W17</f>
        <v/>
      </c>
      <c r="X87" s="116">
        <f>X67-X17</f>
        <v/>
      </c>
      <c r="Y87" s="117">
        <f>Y67-Y17</f>
        <v/>
      </c>
    </row>
    <row r="88">
      <c r="C88" s="73" t="inlineStr">
        <is>
          <t>0035 集計</t>
        </is>
      </c>
      <c r="D88" s="71" t="inlineStr">
        <is>
          <t>自治体</t>
        </is>
      </c>
      <c r="E88" s="2">
        <f>E68-E18</f>
        <v/>
      </c>
      <c r="F88" s="2">
        <f>F68-F18</f>
        <v/>
      </c>
      <c r="G88" s="86">
        <f>G68-G18</f>
        <v/>
      </c>
      <c r="H88" s="2">
        <f>H68-H18</f>
        <v/>
      </c>
      <c r="I88" s="2">
        <f>I68-I18</f>
        <v/>
      </c>
      <c r="J88" s="2" t="n"/>
      <c r="K88" s="79">
        <f>SUM(E88:J88)</f>
        <v/>
      </c>
      <c r="L88" s="1">
        <f>L68-L18</f>
        <v/>
      </c>
      <c r="M88" s="69">
        <f>M68-M18</f>
        <v/>
      </c>
      <c r="N88" s="86">
        <f>N68-N18</f>
        <v/>
      </c>
      <c r="O88" s="2">
        <f>O68-O18</f>
        <v/>
      </c>
      <c r="P88" s="2">
        <f>P68-P18</f>
        <v/>
      </c>
      <c r="Q88" s="2" t="n"/>
      <c r="R88" s="75">
        <f>SUM(L88:Q88)</f>
        <v/>
      </c>
      <c r="S88" s="115">
        <f>S68-S18</f>
        <v/>
      </c>
      <c r="T88" s="116">
        <f>T68-T18</f>
        <v/>
      </c>
      <c r="U88" s="116">
        <f>U68-U18</f>
        <v/>
      </c>
      <c r="V88" s="116">
        <f>V68-V18</f>
        <v/>
      </c>
      <c r="W88" s="116">
        <f>W68-W18</f>
        <v/>
      </c>
      <c r="X88" s="116">
        <f>X68-X18</f>
        <v/>
      </c>
      <c r="Y88" s="117">
        <f>Y68-Y18</f>
        <v/>
      </c>
    </row>
    <row r="89">
      <c r="C89" s="73" t="inlineStr">
        <is>
          <t>0039 集計</t>
        </is>
      </c>
      <c r="D89" s="71" t="inlineStr">
        <is>
          <t>その他</t>
        </is>
      </c>
      <c r="E89" s="2">
        <f>E69-E19</f>
        <v/>
      </c>
      <c r="F89" s="2">
        <f>F69-F19</f>
        <v/>
      </c>
      <c r="G89" s="86">
        <f>G69-G19</f>
        <v/>
      </c>
      <c r="H89" s="2">
        <f>H69-H19</f>
        <v/>
      </c>
      <c r="I89" s="2">
        <f>I69-I19</f>
        <v/>
      </c>
      <c r="J89" s="2" t="n"/>
      <c r="K89" s="79">
        <f>SUM(E89:J89)</f>
        <v/>
      </c>
      <c r="L89" s="1">
        <f>L69-L19</f>
        <v/>
      </c>
      <c r="M89" s="69">
        <f>M69-M19</f>
        <v/>
      </c>
      <c r="N89" s="86">
        <f>N69-N19</f>
        <v/>
      </c>
      <c r="O89" s="2">
        <f>O69-O19</f>
        <v/>
      </c>
      <c r="P89" s="2">
        <f>P69-P19</f>
        <v/>
      </c>
      <c r="Q89" s="2" t="n"/>
      <c r="R89" s="75">
        <f>SUM(L89:Q89)</f>
        <v/>
      </c>
      <c r="S89" s="115">
        <f>S69-S19</f>
        <v/>
      </c>
      <c r="T89" s="116">
        <f>T69-T19</f>
        <v/>
      </c>
      <c r="U89" s="116">
        <f>U69-U19</f>
        <v/>
      </c>
      <c r="V89" s="116">
        <f>V69-V19</f>
        <v/>
      </c>
      <c r="W89" s="116">
        <f>W69-W19</f>
        <v/>
      </c>
      <c r="X89" s="116">
        <f>X69-X19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63">
        <f>SUM(L85:L89)</f>
        <v/>
      </c>
      <c r="M90" s="63">
        <f>SUM(M85:M89)</f>
        <v/>
      </c>
      <c r="N90" s="63">
        <f>SUM(N85:N89)</f>
        <v/>
      </c>
      <c r="O90" s="63">
        <f>SUM(O85:O89)</f>
        <v/>
      </c>
      <c r="P90" s="63">
        <f>SUM(P85:P89)</f>
        <v/>
      </c>
      <c r="Q90" s="63">
        <f>SUM(Q85:Q89)</f>
        <v/>
      </c>
      <c r="R90" s="77">
        <f>SUM(L90:Q90)</f>
        <v/>
      </c>
      <c r="S90" s="118">
        <f>S70-S20</f>
        <v/>
      </c>
      <c r="T90" s="119">
        <f>T70-T20</f>
        <v/>
      </c>
      <c r="U90" s="119">
        <f>U80-U50</f>
        <v/>
      </c>
      <c r="V90" s="119">
        <f>V80-V50</f>
        <v/>
      </c>
      <c r="W90" s="119">
        <f>W80-W50</f>
        <v/>
      </c>
      <c r="X90" s="119">
        <f>X80-X50</f>
        <v/>
      </c>
      <c r="Y90" s="120">
        <f>Y70-Y20</f>
        <v/>
      </c>
    </row>
  </sheetData>
  <mergeCells count="36">
    <mergeCell ref="C83:D83"/>
    <mergeCell ref="L63:R63"/>
    <mergeCell ref="C33:D33"/>
    <mergeCell ref="S83:Y83"/>
    <mergeCell ref="C73:D73"/>
    <mergeCell ref="S63:Y6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66"/>
</worksheet>
</file>

<file path=xl/worksheets/sheet4.xml><?xml version="1.0" encoding="utf-8"?>
<worksheet xmlns="http://schemas.openxmlformats.org/spreadsheetml/2006/main">
  <sheetPr>
    <outlinePr summaryBelow="1" summaryRight="1"/>
    <pageSetUpPr fitToPage="1"/>
  </sheetPr>
  <dimension ref="D1:U13"/>
  <sheetViews>
    <sheetView workbookViewId="0">
      <selection activeCell="P12" sqref="P12"/>
    </sheetView>
  </sheetViews>
  <sheetFormatPr baseColWidth="8" defaultRowHeight="18.75"/>
  <cols>
    <col width="1.625" customWidth="1" style="97" min="4" max="5"/>
    <col width="54.375" customWidth="1" style="97" min="21" max="21"/>
  </cols>
  <sheetData>
    <row r="1" ht="21.75" customHeight="1" s="97">
      <c r="D1" s="96" t="inlineStr">
        <is>
          <t>松江営業所第51期下期予算について</t>
        </is>
      </c>
    </row>
    <row r="3">
      <c r="D3" s="20" t="inlineStr">
        <is>
          <t>管理職の業務は数字責任と人材育成です。なので営業所全体の目標達成に取り組みます。</t>
        </is>
      </c>
      <c r="E3" s="21" t="n"/>
      <c r="F3" s="21" t="n"/>
      <c r="G3" s="21" t="n"/>
      <c r="H3" s="21" t="n"/>
      <c r="I3" s="21" t="n"/>
      <c r="J3" s="21" t="n"/>
      <c r="K3" s="21" t="n"/>
      <c r="L3" s="21" t="n"/>
      <c r="M3" s="21" t="n"/>
      <c r="N3" s="21" t="n"/>
      <c r="O3" s="21" t="n"/>
      <c r="P3" s="21" t="n"/>
      <c r="Q3" s="21" t="n"/>
      <c r="R3" s="21" t="n"/>
      <c r="S3" s="21" t="n"/>
      <c r="T3" s="21" t="n"/>
      <c r="U3" s="22" t="n"/>
    </row>
    <row r="4">
      <c r="D4" s="23" t="inlineStr">
        <is>
          <t>部長は予算の過年度平均増加分の人員からは外した上で、営業所全体で計画を作成ます。その営業所全体の予算から所長含めて営業担当に配分するようにお願いします。</t>
        </is>
      </c>
      <c r="U4" s="38" t="n"/>
    </row>
    <row r="5">
      <c r="D5" s="24" t="inlineStr">
        <is>
          <t>(自治体分は別途相談）</t>
        </is>
      </c>
      <c r="E5" s="36" t="n"/>
      <c r="F5" s="36" t="n"/>
      <c r="G5" s="36" t="n"/>
      <c r="H5" s="36" t="n"/>
      <c r="I5" s="36" t="n"/>
      <c r="J5" s="36" t="n"/>
      <c r="K5" s="36" t="n"/>
      <c r="L5" s="36" t="n"/>
      <c r="M5" s="36" t="n"/>
      <c r="N5" s="36" t="n"/>
      <c r="O5" s="36" t="n"/>
      <c r="P5" s="36" t="n"/>
      <c r="Q5" s="36" t="n"/>
      <c r="R5" s="36" t="n"/>
      <c r="S5" s="36" t="n"/>
      <c r="T5" s="36" t="n"/>
      <c r="U5" s="37" t="n"/>
    </row>
    <row r="7">
      <c r="D7" s="87" t="n"/>
      <c r="E7" s="101" t="n"/>
      <c r="F7" s="102" t="n"/>
      <c r="G7" s="93" t="inlineStr">
        <is>
          <t>2024年4～9月</t>
        </is>
      </c>
      <c r="H7" s="94" t="n"/>
      <c r="I7" s="95" t="n"/>
      <c r="J7" s="93" t="inlineStr">
        <is>
          <t>2025年4～9月</t>
        </is>
      </c>
      <c r="K7" s="94" t="n"/>
      <c r="L7" s="95" t="n"/>
      <c r="M7" s="93" t="inlineStr">
        <is>
          <t>過年度平均</t>
        </is>
      </c>
      <c r="N7" s="94" t="n"/>
      <c r="O7" s="95" t="n"/>
      <c r="P7" s="99" t="inlineStr">
        <is>
          <t>計画</t>
        </is>
      </c>
      <c r="Q7" s="94" t="n"/>
      <c r="R7" s="94" t="n"/>
      <c r="S7" s="94" t="n"/>
      <c r="T7" s="100" t="n"/>
      <c r="U7" s="99" t="inlineStr">
        <is>
          <t>根拠</t>
        </is>
      </c>
    </row>
    <row r="8">
      <c r="D8" s="103" t="n"/>
      <c r="E8" s="104" t="n"/>
      <c r="F8" s="105" t="n"/>
      <c r="G8" s="32" t="inlineStr">
        <is>
          <t>売上</t>
        </is>
      </c>
      <c r="H8" s="33" t="inlineStr">
        <is>
          <t>粗利益</t>
        </is>
      </c>
      <c r="I8" s="34" t="inlineStr">
        <is>
          <t>粗利益率</t>
        </is>
      </c>
      <c r="J8" s="32" t="inlineStr">
        <is>
          <t>売上</t>
        </is>
      </c>
      <c r="K8" s="33" t="inlineStr">
        <is>
          <t>粗利益</t>
        </is>
      </c>
      <c r="L8" s="34" t="inlineStr">
        <is>
          <t>粗利益率</t>
        </is>
      </c>
      <c r="M8" s="32" t="inlineStr">
        <is>
          <t>売上</t>
        </is>
      </c>
      <c r="N8" s="33" t="inlineStr">
        <is>
          <t>粗利益</t>
        </is>
      </c>
      <c r="O8" s="34" t="inlineStr">
        <is>
          <t>粗利益率</t>
        </is>
      </c>
      <c r="P8" s="32" t="inlineStr">
        <is>
          <t>売上</t>
        </is>
      </c>
      <c r="Q8" s="33" t="inlineStr">
        <is>
          <t>粗利益</t>
        </is>
      </c>
      <c r="R8" s="35" t="inlineStr">
        <is>
          <t>粗利益率</t>
        </is>
      </c>
      <c r="S8" s="35" t="inlineStr">
        <is>
          <t>売上年率</t>
        </is>
      </c>
      <c r="T8" s="34" t="inlineStr">
        <is>
          <t>粗利益年率</t>
        </is>
      </c>
      <c r="U8" s="106" t="n"/>
    </row>
    <row r="9">
      <c r="D9" s="20" t="inlineStr">
        <is>
          <t>松江営業所</t>
        </is>
      </c>
      <c r="E9" s="21" t="n"/>
      <c r="F9" s="22" t="n"/>
      <c r="G9" s="27" t="n">
        <v>204319</v>
      </c>
      <c r="H9" s="28" t="n">
        <v>40153</v>
      </c>
      <c r="I9" s="122">
        <f>H9/G9</f>
        <v/>
      </c>
      <c r="J9" s="27" t="n">
        <v>199329</v>
      </c>
      <c r="K9" s="28" t="n">
        <v>43760</v>
      </c>
      <c r="L9" s="122">
        <f>K9/J9</f>
        <v/>
      </c>
      <c r="M9" s="27">
        <f>(G9+J9)/2</f>
        <v/>
      </c>
      <c r="N9" s="28">
        <f>(H9+K9)/2</f>
        <v/>
      </c>
      <c r="O9" s="122">
        <f>N9/M9</f>
        <v/>
      </c>
      <c r="P9" s="27">
        <f>P13+P10</f>
        <v/>
      </c>
      <c r="Q9" s="28">
        <f>Q10+Q13</f>
        <v/>
      </c>
      <c r="R9" s="123">
        <f>Q9/P9</f>
        <v/>
      </c>
      <c r="S9" s="123">
        <f>P9/J9-1</f>
        <v/>
      </c>
      <c r="T9" s="122">
        <f>Q9/K9-1</f>
        <v/>
      </c>
      <c r="U9" s="31" t="n"/>
    </row>
    <row r="10">
      <c r="D10" s="23" t="n"/>
      <c r="E10" s="16" t="inlineStr">
        <is>
          <t>営業</t>
        </is>
      </c>
      <c r="F10" s="17" t="n"/>
      <c r="G10" s="1">
        <f>G9-G13</f>
        <v/>
      </c>
      <c r="H10" s="2">
        <f>H9-H13</f>
        <v/>
      </c>
      <c r="I10" s="124">
        <f>H10/G10</f>
        <v/>
      </c>
      <c r="J10" s="1">
        <f>J9-J13</f>
        <v/>
      </c>
      <c r="K10" s="2">
        <f>K9-K13</f>
        <v/>
      </c>
      <c r="L10" s="124">
        <f>K10/J10</f>
        <v/>
      </c>
      <c r="M10" s="1">
        <f>M9-M13</f>
        <v/>
      </c>
      <c r="N10" s="2">
        <f>N9-N13</f>
        <v/>
      </c>
      <c r="O10" s="124">
        <f>N10/M10</f>
        <v/>
      </c>
      <c r="P10" s="1">
        <f>P11+P12</f>
        <v/>
      </c>
      <c r="Q10" s="2">
        <f>Q11+Q12</f>
        <v/>
      </c>
      <c r="R10" s="125">
        <f>Q10/P10</f>
        <v/>
      </c>
      <c r="S10" s="125">
        <f>P10/J10-1</f>
        <v/>
      </c>
      <c r="T10" s="124">
        <f>Q10/K10-1</f>
        <v/>
      </c>
      <c r="U10" s="11" t="n"/>
    </row>
    <row r="11">
      <c r="D11" s="23" t="n"/>
      <c r="E11" s="18" t="n"/>
      <c r="F11" s="15" t="inlineStr">
        <is>
          <t>包装資材</t>
        </is>
      </c>
      <c r="G11" s="1">
        <f>G10-G12</f>
        <v/>
      </c>
      <c r="H11" s="2">
        <f>H10-H12</f>
        <v/>
      </c>
      <c r="I11" s="124">
        <f>H11/G11</f>
        <v/>
      </c>
      <c r="J11" s="1">
        <f>J10-J12</f>
        <v/>
      </c>
      <c r="K11" s="2">
        <f>K10-K12</f>
        <v/>
      </c>
      <c r="L11" s="124">
        <f>K11/J11</f>
        <v/>
      </c>
      <c r="M11" s="1">
        <f>M10-M12</f>
        <v/>
      </c>
      <c r="N11" s="2">
        <f>N10-N12</f>
        <v/>
      </c>
      <c r="O11" s="124">
        <f>N11/M11</f>
        <v/>
      </c>
      <c r="P11" s="1" t="n">
        <v>172600</v>
      </c>
      <c r="Q11" s="2" t="n">
        <v>44770</v>
      </c>
      <c r="R11" s="125">
        <f>Q11/P11</f>
        <v/>
      </c>
      <c r="S11" s="125">
        <f>P11/J11-1</f>
        <v/>
      </c>
      <c r="T11" s="124">
        <f>Q11/K11-1</f>
        <v/>
      </c>
      <c r="U11" s="11" t="inlineStr">
        <is>
          <t>売上過年度平均10％UPで作成。粗利益率過年度平均スライド。</t>
        </is>
      </c>
    </row>
    <row r="12">
      <c r="D12" s="23" t="n"/>
      <c r="E12" s="18" t="n"/>
      <c r="F12" s="19" t="inlineStr">
        <is>
          <t>機械</t>
        </is>
      </c>
      <c r="G12" s="1" t="n">
        <v>2590</v>
      </c>
      <c r="H12" s="2" t="n">
        <v>557</v>
      </c>
      <c r="I12" s="124">
        <f>H12/G12</f>
        <v/>
      </c>
      <c r="J12" s="1" t="n">
        <v>3620</v>
      </c>
      <c r="K12" s="2" t="n">
        <v>738</v>
      </c>
      <c r="L12" s="124">
        <f>K12/J12</f>
        <v/>
      </c>
      <c r="M12" s="1">
        <f>(G12+J12)/2</f>
        <v/>
      </c>
      <c r="N12" s="2">
        <f>(H12+K12)/2</f>
        <v/>
      </c>
      <c r="O12" s="124">
        <f>N12/M12</f>
        <v/>
      </c>
      <c r="P12" s="1" t="n">
        <v>3900</v>
      </c>
      <c r="Q12" s="2" t="n">
        <v>810</v>
      </c>
      <c r="R12" s="125">
        <f>Q12/P12</f>
        <v/>
      </c>
      <c r="S12" s="125">
        <f>P12/J12-1</f>
        <v/>
      </c>
      <c r="T12" s="124">
        <f>Q12/K12-1</f>
        <v/>
      </c>
      <c r="U12" s="11" t="inlineStr">
        <is>
          <t>売上過年度平均25％UPで作成。粗利益率過年度平均スライド。</t>
        </is>
      </c>
    </row>
    <row r="13">
      <c r="D13" s="24" t="n"/>
      <c r="E13" s="25" t="inlineStr">
        <is>
          <t>自治体</t>
        </is>
      </c>
      <c r="F13" s="26" t="n"/>
      <c r="G13" s="3" t="n">
        <v>46524</v>
      </c>
      <c r="H13" s="4" t="n">
        <v>1039</v>
      </c>
      <c r="I13" s="126">
        <f>H13/G13</f>
        <v/>
      </c>
      <c r="J13" s="3" t="n">
        <v>38895</v>
      </c>
      <c r="K13" s="4" t="n">
        <v>703</v>
      </c>
      <c r="L13" s="126">
        <f>K13/J13</f>
        <v/>
      </c>
      <c r="M13" s="3">
        <f>(G13+J13)/2</f>
        <v/>
      </c>
      <c r="N13" s="4">
        <f>(H13+K13)/2</f>
        <v/>
      </c>
      <c r="O13" s="126">
        <f>N13/M13</f>
        <v/>
      </c>
      <c r="P13" s="3" t="n">
        <v>0</v>
      </c>
      <c r="Q13" s="4" t="n">
        <v>0</v>
      </c>
      <c r="R13" s="127">
        <f>Q13/P13</f>
        <v/>
      </c>
      <c r="S13" s="127">
        <f>P13/J13-1</f>
        <v/>
      </c>
      <c r="T13" s="126">
        <f>Q13/K13-1</f>
        <v/>
      </c>
      <c r="U13" s="12" t="inlineStr">
        <is>
          <t>松江市ごみ袋失注の為。</t>
        </is>
      </c>
    </row>
  </sheetData>
  <mergeCells count="7">
    <mergeCell ref="J7:L7"/>
    <mergeCell ref="D1:U1"/>
    <mergeCell ref="P7:T7"/>
    <mergeCell ref="M7:O7"/>
    <mergeCell ref="G7:I7"/>
    <mergeCell ref="D7:F8"/>
    <mergeCell ref="U7:U8"/>
  </mergeCells>
  <pageMargins left="0.7086614173228347" right="0.7086614173228347" top="0.7480314960629921" bottom="0.7480314960629921" header="0.3149606299212598" footer="0.3149606299212598"/>
  <pageSetup orientation="landscape" paperSize="9" scale="63"/>
</worksheet>
</file>

<file path=xl/worksheets/sheet5.xml><?xml version="1.0" encoding="utf-8"?>
<worksheet xmlns="http://schemas.openxmlformats.org/spreadsheetml/2006/main">
  <sheetPr>
    <outlinePr summaryBelow="1" summaryRight="1"/>
    <pageSetUpPr/>
  </sheetPr>
  <dimension ref="A1:L10"/>
  <sheetViews>
    <sheetView workbookViewId="0">
      <selection activeCell="F15" sqref="F15"/>
    </sheetView>
  </sheetViews>
  <sheetFormatPr baseColWidth="8" defaultRowHeight="18.75"/>
  <cols>
    <col width="10.875" customWidth="1" style="97" min="1" max="1"/>
    <col width="8.75" customWidth="1" style="6" min="3" max="4"/>
    <col width="8.75" customWidth="1" style="6" min="6" max="7"/>
  </cols>
  <sheetData>
    <row r="1">
      <c r="A1" s="40" t="n"/>
      <c r="B1" s="40" t="n"/>
      <c r="C1" s="87" t="inlineStr">
        <is>
          <t>売上</t>
        </is>
      </c>
      <c r="D1" s="90" t="n"/>
      <c r="E1" s="88" t="n"/>
      <c r="F1" s="107" t="inlineStr">
        <is>
          <t>粗利</t>
        </is>
      </c>
      <c r="G1" s="108" t="n"/>
      <c r="H1" s="109" t="n"/>
      <c r="I1" s="110" t="inlineStr">
        <is>
          <t>粗利率</t>
        </is>
      </c>
      <c r="J1" s="104" t="n"/>
      <c r="K1" s="104" t="n"/>
    </row>
    <row r="2">
      <c r="A2" s="40" t="inlineStr">
        <is>
          <t>期</t>
        </is>
      </c>
      <c r="B2" s="40" t="inlineStr">
        <is>
          <t>期間</t>
        </is>
      </c>
      <c r="C2" s="41" t="inlineStr">
        <is>
          <t>計画</t>
        </is>
      </c>
      <c r="D2" s="41" t="inlineStr">
        <is>
          <t>見込み</t>
        </is>
      </c>
      <c r="E2" s="40" t="inlineStr">
        <is>
          <t>計画比</t>
        </is>
      </c>
      <c r="F2" s="41" t="inlineStr">
        <is>
          <t>計画</t>
        </is>
      </c>
      <c r="G2" s="41" t="inlineStr">
        <is>
          <t>見込み</t>
        </is>
      </c>
      <c r="H2" s="40" t="inlineStr">
        <is>
          <t>計画比</t>
        </is>
      </c>
      <c r="I2" s="41" t="inlineStr">
        <is>
          <t>計画</t>
        </is>
      </c>
      <c r="J2" s="41" t="inlineStr">
        <is>
          <t>見込</t>
        </is>
      </c>
      <c r="K2" s="41" t="inlineStr">
        <is>
          <t>計画比</t>
        </is>
      </c>
      <c r="L2" s="41" t="inlineStr">
        <is>
          <t>備考</t>
        </is>
      </c>
    </row>
    <row r="3">
      <c r="A3" s="40" t="inlineStr">
        <is>
          <t>49期</t>
        </is>
      </c>
      <c r="B3" s="40" t="inlineStr">
        <is>
          <t>7月～9月</t>
        </is>
      </c>
      <c r="C3" s="41" t="n">
        <v>74190</v>
      </c>
      <c r="D3" s="41" t="n">
        <v>106390</v>
      </c>
      <c r="E3" s="42">
        <f>D3-C3</f>
        <v/>
      </c>
      <c r="F3" s="41" t="n">
        <v>17570</v>
      </c>
      <c r="G3" s="41" t="n">
        <v>24290</v>
      </c>
      <c r="H3" s="42">
        <f>G3-F3</f>
        <v/>
      </c>
      <c r="I3" s="128">
        <f>F3/C3</f>
        <v/>
      </c>
      <c r="J3" s="128">
        <f>G3/D3</f>
        <v/>
      </c>
      <c r="K3" s="129">
        <f>J3-I3</f>
        <v/>
      </c>
      <c r="L3" s="40" t="inlineStr">
        <is>
          <t>ごみ袋込</t>
        </is>
      </c>
    </row>
    <row r="4">
      <c r="A4" s="40" t="inlineStr">
        <is>
          <t>50期</t>
        </is>
      </c>
      <c r="B4" s="40" t="inlineStr">
        <is>
          <t>10月～3月</t>
        </is>
      </c>
      <c r="C4" s="41" t="n">
        <v>163030</v>
      </c>
      <c r="D4" s="41" t="n">
        <v>210040</v>
      </c>
      <c r="E4" s="42">
        <f>D4-C4</f>
        <v/>
      </c>
      <c r="F4" s="41" t="n">
        <v>39830</v>
      </c>
      <c r="G4" s="41" t="n">
        <v>45668</v>
      </c>
      <c r="H4" s="42">
        <f>G4-F4</f>
        <v/>
      </c>
      <c r="I4" s="128">
        <f>F4/C4</f>
        <v/>
      </c>
      <c r="J4" s="128">
        <f>G4/D4</f>
        <v/>
      </c>
      <c r="K4" s="129">
        <f>J4-I4</f>
        <v/>
      </c>
      <c r="L4" s="40" t="inlineStr">
        <is>
          <t>ごみ袋込</t>
        </is>
      </c>
    </row>
    <row r="5">
      <c r="A5" s="44" t="inlineStr">
        <is>
          <t>合計</t>
        </is>
      </c>
      <c r="B5" s="44" t="inlineStr">
        <is>
          <t>7月～3月</t>
        </is>
      </c>
      <c r="C5" s="45">
        <f>SUM(C3:C4)</f>
        <v/>
      </c>
      <c r="D5" s="45">
        <f>SUM(D3:D4)</f>
        <v/>
      </c>
      <c r="E5" s="45">
        <f>SUM(E3:E4)</f>
        <v/>
      </c>
      <c r="F5" s="45">
        <f>F3+F4</f>
        <v/>
      </c>
      <c r="G5" s="45">
        <f>G3+G4</f>
        <v/>
      </c>
      <c r="H5" s="46">
        <f>G5-F5</f>
        <v/>
      </c>
      <c r="I5" s="130">
        <f>F5/C5</f>
        <v/>
      </c>
      <c r="J5" s="130">
        <f>G5/D5</f>
        <v/>
      </c>
      <c r="K5" s="131">
        <f>J5-I5</f>
        <v/>
      </c>
      <c r="L5" s="40" t="inlineStr">
        <is>
          <t>ごみ袋込</t>
        </is>
      </c>
    </row>
    <row r="6">
      <c r="A6" s="52" t="n"/>
      <c r="B6" s="52" t="n"/>
      <c r="C6" s="53" t="n"/>
      <c r="D6" s="53" t="n"/>
      <c r="E6" s="53" t="n"/>
      <c r="F6" s="53" t="n"/>
      <c r="G6" s="53" t="n"/>
      <c r="H6" s="54" t="n"/>
      <c r="I6" s="132" t="n"/>
      <c r="J6" s="132" t="n"/>
      <c r="K6" s="133" t="n"/>
    </row>
    <row r="7">
      <c r="A7" s="57" t="n"/>
      <c r="B7" s="57" t="n"/>
      <c r="C7" s="114" t="inlineStr">
        <is>
          <t>売上</t>
        </is>
      </c>
      <c r="D7" s="104" t="n"/>
      <c r="E7" s="105" t="n"/>
      <c r="F7" s="111" t="inlineStr">
        <is>
          <t>粗利</t>
        </is>
      </c>
      <c r="G7" s="112" t="n"/>
      <c r="H7" s="113" t="n"/>
    </row>
    <row r="8">
      <c r="A8" s="40" t="inlineStr">
        <is>
          <t>期</t>
        </is>
      </c>
      <c r="B8" s="40" t="inlineStr">
        <is>
          <t>期間</t>
        </is>
      </c>
      <c r="C8" s="41" t="inlineStr">
        <is>
          <t>計画</t>
        </is>
      </c>
      <c r="D8" s="41" t="inlineStr">
        <is>
          <t>見込み</t>
        </is>
      </c>
      <c r="E8" s="40" t="inlineStr">
        <is>
          <t>計画比</t>
        </is>
      </c>
      <c r="F8" s="41" t="inlineStr">
        <is>
          <t>計画</t>
        </is>
      </c>
      <c r="G8" s="41" t="inlineStr">
        <is>
          <t>見込み</t>
        </is>
      </c>
      <c r="H8" s="40" t="inlineStr">
        <is>
          <t>計画比</t>
        </is>
      </c>
      <c r="I8" s="41" t="inlineStr">
        <is>
          <t>計画</t>
        </is>
      </c>
      <c r="J8" s="41" t="inlineStr">
        <is>
          <t>見込</t>
        </is>
      </c>
      <c r="K8" s="41" t="inlineStr">
        <is>
          <t>計画比</t>
        </is>
      </c>
    </row>
    <row r="9">
      <c r="A9" s="40" t="inlineStr">
        <is>
          <t>ごみ袋</t>
        </is>
      </c>
      <c r="B9" s="40" t="inlineStr">
        <is>
          <t>7月～3月</t>
        </is>
      </c>
      <c r="C9" s="43" t="inlineStr">
        <is>
          <t>ー</t>
        </is>
      </c>
      <c r="D9" s="41" t="n">
        <v>47910</v>
      </c>
      <c r="E9" s="41" t="n">
        <v>47910</v>
      </c>
      <c r="F9" s="41" t="n"/>
      <c r="G9" s="41" t="n">
        <v>1013</v>
      </c>
      <c r="H9" s="41" t="n">
        <v>1013</v>
      </c>
      <c r="I9" s="49" t="n"/>
      <c r="J9" s="128">
        <f>G9/D9</f>
        <v/>
      </c>
      <c r="K9" s="40" t="n"/>
    </row>
    <row r="10">
      <c r="A10" s="40" t="inlineStr">
        <is>
          <t>資材増加額</t>
        </is>
      </c>
      <c r="B10" s="40" t="inlineStr">
        <is>
          <t>7月～3月</t>
        </is>
      </c>
      <c r="C10" s="43" t="inlineStr">
        <is>
          <t>ー</t>
        </is>
      </c>
      <c r="D10" s="41" t="n"/>
      <c r="E10" s="42">
        <f>E5-E9</f>
        <v/>
      </c>
      <c r="F10" s="41" t="n"/>
      <c r="G10" s="41" t="n"/>
      <c r="H10" s="42">
        <f>H5-H9</f>
        <v/>
      </c>
      <c r="I10" s="40" t="n"/>
      <c r="J10" s="40" t="n"/>
      <c r="K10" s="40" t="n"/>
    </row>
  </sheetData>
  <mergeCells count="5">
    <mergeCell ref="C1:E1"/>
    <mergeCell ref="F1:H1"/>
    <mergeCell ref="I1:K1"/>
    <mergeCell ref="F7:H7"/>
    <mergeCell ref="C7:E7"/>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2026-09-05T01:24:31Z</dcterms:modified>
  <cp:lastModifiedBy>ma-takahashi</cp:lastModifiedBy>
  <cp:lastPrinted>2026-03-24T04:28:13Z</cp:lastPrinted>
</cp:coreProperties>
</file>