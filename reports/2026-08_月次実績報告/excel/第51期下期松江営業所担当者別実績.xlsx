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機械" sheetId="1" state="visible" r:id="rId1"/>
    <sheet xmlns:r="http://schemas.openxmlformats.org/officeDocument/2006/relationships" name="包装資材" sheetId="2" state="visible" r:id="rId2"/>
    <sheet xmlns:r="http://schemas.openxmlformats.org/officeDocument/2006/relationships" name="全体" sheetId="3" state="visible" r:id="rId3"/>
    <sheet xmlns:r="http://schemas.openxmlformats.org/officeDocument/2006/relationships" name="総括" sheetId="4" state="visible" r:id="rId4"/>
    <sheet xmlns:r="http://schemas.openxmlformats.org/officeDocument/2006/relationships" name="Sheet1" sheetId="5" state="visible" r:id="rId5"/>
  </sheets>
  <definedNames>
    <definedName name="_xlnm.Print_Area" localSheetId="0">'機械'!$C$1:$Y$60</definedName>
    <definedName name="_xlnm.Print_Area" localSheetId="1">'包装資材'!$C$1:$Y$60</definedName>
    <definedName name="_xlnm.Print_Area" localSheetId="2">'全体'!$C$1:$Y$60</definedName>
    <definedName name="_xlnm.Print_Area" localSheetId="3">'総括'!$D$1:$U$13</definedName>
  </definedNames>
  <calcPr calcId="191029" fullCalcOnLoad="1"/>
</workbook>
</file>

<file path=xl/styles.xml><?xml version="1.0" encoding="utf-8"?>
<styleSheet xmlns="http://schemas.openxmlformats.org/spreadsheetml/2006/main">
  <numFmts count="1">
    <numFmt numFmtId="164" formatCode="0.0%"/>
  </numFmts>
  <fonts count="9">
    <font>
      <name val="游ゴシック"/>
      <charset val="128"/>
      <family val="2"/>
      <color theme="1"/>
      <sz val="11"/>
      <scheme val="minor"/>
    </font>
    <font>
      <name val="游ゴシック"/>
      <charset val="128"/>
      <family val="2"/>
      <color theme="1"/>
      <sz val="11"/>
      <scheme val="minor"/>
    </font>
    <font>
      <name val="游ゴシック"/>
      <charset val="128"/>
      <family val="2"/>
      <sz val="6"/>
      <scheme val="minor"/>
    </font>
    <font>
      <name val="游ゴシック"/>
      <charset val="128"/>
      <family val="3"/>
      <color theme="1"/>
      <sz val="10"/>
      <scheme val="minor"/>
    </font>
    <font>
      <name val="HGP創英角ｺﾞｼｯｸUB"/>
      <charset val="128"/>
      <family val="3"/>
      <color theme="1"/>
      <sz val="16"/>
    </font>
    <font>
      <name val="游ゴシック"/>
      <charset val="128"/>
      <family val="2"/>
      <color theme="8" tint="-0.249977111117893"/>
      <sz val="11"/>
      <scheme val="minor"/>
    </font>
    <font>
      <name val="游ゴシック"/>
      <charset val="128"/>
      <family val="2"/>
      <sz val="11"/>
      <scheme val="minor"/>
    </font>
    <font>
      <name val="游ゴシック"/>
      <charset val="128"/>
      <family val="2"/>
      <color theme="1"/>
      <sz val="9"/>
      <scheme val="minor"/>
    </font>
    <font>
      <name val="游ゴシック"/>
      <charset val="128"/>
      <family val="3"/>
      <color theme="1"/>
      <sz val="9"/>
      <scheme val="minor"/>
    </font>
  </fonts>
  <fills count="6">
    <fill>
      <patternFill/>
    </fill>
    <fill>
      <patternFill patternType="gray125"/>
    </fill>
    <fill>
      <patternFill patternType="solid">
        <fgColor rgb="FFFFFF00"/>
        <bgColor indexed="64"/>
      </patternFill>
    </fill>
    <fill>
      <patternFill patternType="gray0625"/>
    </fill>
    <fill>
      <patternFill patternType="gray0625">
        <bgColor rgb="FFFFFF00"/>
      </patternFill>
    </fill>
    <fill>
      <patternFill patternType="solid">
        <fgColor theme="4" tint="0.7999816888943144"/>
        <bgColor indexed="64"/>
      </patternFill>
    </fill>
  </fills>
  <borders count="55">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auto="1"/>
      </left>
      <right/>
      <top style="thin">
        <color auto="1"/>
      </top>
      <bottom style="hair">
        <color auto="1"/>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bottom style="thin">
        <color indexed="64"/>
      </bottom>
      <diagonal/>
    </border>
    <border>
      <left/>
      <right style="hair">
        <color auto="1"/>
      </right>
      <top style="thin">
        <color auto="1"/>
      </top>
      <bottom/>
      <diagonal/>
    </border>
    <border>
      <left style="thin">
        <color auto="1"/>
      </left>
      <right style="thin">
        <color auto="1"/>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1" fillId="0" borderId="0" applyAlignment="1">
      <alignment vertical="center"/>
    </xf>
    <xf numFmtId="38" fontId="1" fillId="0" borderId="0" applyAlignment="1">
      <alignment vertical="center"/>
    </xf>
    <xf numFmtId="9" fontId="1" fillId="0" borderId="0" applyAlignment="1">
      <alignment vertical="center"/>
    </xf>
  </cellStyleXfs>
  <cellXfs count="134">
    <xf numFmtId="0" fontId="0" fillId="0" borderId="0" applyAlignment="1" pivotButton="0" quotePrefix="0" xfId="0">
      <alignment vertical="center"/>
    </xf>
    <xf numFmtId="38" fontId="0" fillId="0" borderId="4" applyAlignment="1" pivotButton="0" quotePrefix="0" xfId="1">
      <alignment vertical="center"/>
    </xf>
    <xf numFmtId="38" fontId="0" fillId="0" borderId="5" applyAlignment="1" pivotButton="0" quotePrefix="0" xfId="1">
      <alignment vertical="center"/>
    </xf>
    <xf numFmtId="38" fontId="0" fillId="0" borderId="7" applyAlignment="1" pivotButton="0" quotePrefix="0" xfId="1">
      <alignment vertical="center"/>
    </xf>
    <xf numFmtId="38" fontId="0" fillId="0" borderId="8" applyAlignment="1" pivotButton="0" quotePrefix="0" xfId="1">
      <alignment vertical="center"/>
    </xf>
    <xf numFmtId="38" fontId="0" fillId="0" borderId="0" applyAlignment="1" pivotButton="0" quotePrefix="0" xfId="0">
      <alignment vertical="center"/>
    </xf>
    <xf numFmtId="38" fontId="0" fillId="0" borderId="0" applyAlignment="1" pivotButton="0" quotePrefix="0" xfId="1">
      <alignment vertical="center"/>
    </xf>
    <xf numFmtId="164" fontId="0" fillId="0" borderId="0" applyAlignment="1" pivotButton="0" quotePrefix="0" xfId="2">
      <alignment horizontal="right" vertical="center"/>
    </xf>
    <xf numFmtId="0" fontId="4" fillId="0" borderId="0" applyAlignment="1" pivotButton="0" quotePrefix="0" xfId="0">
      <alignment vertical="center"/>
    </xf>
    <xf numFmtId="164" fontId="0" fillId="0" borderId="6" applyAlignment="1" pivotButton="0" quotePrefix="0" xfId="2">
      <alignment vertical="center"/>
    </xf>
    <xf numFmtId="164" fontId="0" fillId="0" borderId="9" applyAlignment="1" pivotButton="0" quotePrefix="0" xfId="2">
      <alignment vertical="center"/>
    </xf>
    <xf numFmtId="0" fontId="0" fillId="0" borderId="22" applyAlignment="1" pivotButton="0" quotePrefix="0" xfId="0">
      <alignment vertical="center"/>
    </xf>
    <xf numFmtId="0" fontId="0" fillId="0" borderId="23" applyAlignment="1" pivotButton="0" quotePrefix="0" xfId="0">
      <alignment vertical="center"/>
    </xf>
    <xf numFmtId="164" fontId="0" fillId="0" borderId="27" applyAlignment="1" pivotButton="0" quotePrefix="0" xfId="2">
      <alignment vertical="center"/>
    </xf>
    <xf numFmtId="164" fontId="0" fillId="0" borderId="28" applyAlignment="1" pivotButton="0" quotePrefix="0" xfId="2">
      <alignment vertical="center"/>
    </xf>
    <xf numFmtId="0" fontId="0" fillId="0" borderId="6" applyAlignment="1" pivotButton="0" quotePrefix="0" xfId="0">
      <alignment vertical="center"/>
    </xf>
    <xf numFmtId="0" fontId="0" fillId="0" borderId="29" applyAlignment="1" pivotButton="0" quotePrefix="0" xfId="0">
      <alignment vertical="center"/>
    </xf>
    <xf numFmtId="0" fontId="0" fillId="0" borderId="30" applyAlignment="1" pivotButton="0" quotePrefix="0" xfId="0">
      <alignment vertical="center"/>
    </xf>
    <xf numFmtId="0" fontId="0" fillId="0" borderId="31" applyAlignment="1" pivotButton="0" quotePrefix="0" xfId="0">
      <alignment vertical="center"/>
    </xf>
    <xf numFmtId="0" fontId="0" fillId="0" borderId="10" applyAlignment="1" pivotButton="0" quotePrefix="0" xfId="0">
      <alignment vertical="center"/>
    </xf>
    <xf numFmtId="0" fontId="0" fillId="0" borderId="32" applyAlignment="1" pivotButton="0" quotePrefix="0" xfId="0">
      <alignment vertical="center"/>
    </xf>
    <xf numFmtId="0" fontId="0" fillId="0" borderId="33" applyAlignment="1" pivotButton="0" quotePrefix="0" xfId="0">
      <alignment vertical="center"/>
    </xf>
    <xf numFmtId="0" fontId="0" fillId="0" borderId="34" applyAlignment="1" pivotButton="0" quotePrefix="0" xfId="0">
      <alignment vertical="center"/>
    </xf>
    <xf numFmtId="0" fontId="0" fillId="0" borderId="20" applyAlignment="1" pivotButton="0" quotePrefix="0" xfId="0">
      <alignment vertical="center"/>
    </xf>
    <xf numFmtId="0" fontId="0" fillId="0" borderId="15" applyAlignment="1" pivotButton="0" quotePrefix="0" xfId="0">
      <alignment vertical="center"/>
    </xf>
    <xf numFmtId="0" fontId="0" fillId="0" borderId="28" applyAlignment="1" pivotButton="0" quotePrefix="0" xfId="0">
      <alignment vertical="center"/>
    </xf>
    <xf numFmtId="0" fontId="0" fillId="0" borderId="25" applyAlignment="1" pivotButton="0" quotePrefix="0" xfId="0">
      <alignment vertical="center"/>
    </xf>
    <xf numFmtId="38" fontId="0" fillId="0" borderId="35" applyAlignment="1" pivotButton="0" quotePrefix="0" xfId="1">
      <alignment vertical="center"/>
    </xf>
    <xf numFmtId="38" fontId="0" fillId="0" borderId="36" applyAlignment="1" pivotButton="0" quotePrefix="0" xfId="1">
      <alignment vertical="center"/>
    </xf>
    <xf numFmtId="164" fontId="0" fillId="0" borderId="37" applyAlignment="1" pivotButton="0" quotePrefix="0" xfId="2">
      <alignment vertical="center"/>
    </xf>
    <xf numFmtId="164" fontId="0" fillId="0" borderId="38" applyAlignment="1" pivotButton="0" quotePrefix="0" xfId="2">
      <alignment vertical="center"/>
    </xf>
    <xf numFmtId="0" fontId="0" fillId="0" borderId="39" applyAlignment="1" pivotButton="0" quotePrefix="0" xfId="0">
      <alignment vertical="center"/>
    </xf>
    <xf numFmtId="38" fontId="0" fillId="0" borderId="7" applyAlignment="1" pivotButton="0" quotePrefix="0" xfId="1">
      <alignment horizontal="center" vertical="center"/>
    </xf>
    <xf numFmtId="38" fontId="0" fillId="0" borderId="8" applyAlignment="1" pivotButton="0" quotePrefix="0" xfId="1">
      <alignment horizontal="center" vertical="center"/>
    </xf>
    <xf numFmtId="0" fontId="0" fillId="0" borderId="9" applyAlignment="1" pivotButton="0" quotePrefix="0" xfId="0">
      <alignment horizontal="center" vertical="center"/>
    </xf>
    <xf numFmtId="0" fontId="0" fillId="0" borderId="28" applyAlignment="1" pivotButton="0" quotePrefix="0" xfId="0">
      <alignment horizontal="center" vertical="center"/>
    </xf>
    <xf numFmtId="0" fontId="0" fillId="0" borderId="11" applyAlignment="1" pivotButton="0" quotePrefix="0" xfId="0">
      <alignment vertical="center"/>
    </xf>
    <xf numFmtId="0" fontId="0" fillId="0" borderId="16" applyAlignment="1" pivotButton="0" quotePrefix="0" xfId="0">
      <alignment vertical="center"/>
    </xf>
    <xf numFmtId="0" fontId="0" fillId="0" borderId="40" applyAlignment="1" pivotButton="0" quotePrefix="0" xfId="0">
      <alignment vertical="center"/>
    </xf>
    <xf numFmtId="38" fontId="5" fillId="0" borderId="5" applyAlignment="1" pivotButton="0" quotePrefix="0" xfId="1">
      <alignment vertical="center"/>
    </xf>
    <xf numFmtId="0" fontId="0" fillId="0" borderId="41" applyAlignment="1" pivotButton="0" quotePrefix="0" xfId="0">
      <alignment vertical="center"/>
    </xf>
    <xf numFmtId="38" fontId="0" fillId="0" borderId="41" applyAlignment="1" pivotButton="0" quotePrefix="0" xfId="1">
      <alignment vertical="center"/>
    </xf>
    <xf numFmtId="38" fontId="0" fillId="0" borderId="41" applyAlignment="1" pivotButton="0" quotePrefix="0" xfId="0">
      <alignment vertical="center"/>
    </xf>
    <xf numFmtId="38" fontId="0" fillId="0" borderId="41" applyAlignment="1" pivotButton="0" quotePrefix="0" xfId="1">
      <alignment horizontal="center" vertical="center"/>
    </xf>
    <xf numFmtId="0" fontId="0" fillId="5" borderId="41" applyAlignment="1" pivotButton="0" quotePrefix="0" xfId="0">
      <alignment vertical="center"/>
    </xf>
    <xf numFmtId="38" fontId="0" fillId="5" borderId="41" applyAlignment="1" pivotButton="0" quotePrefix="0" xfId="1">
      <alignment vertical="center"/>
    </xf>
    <xf numFmtId="38" fontId="0" fillId="5" borderId="41" applyAlignment="1" pivotButton="0" quotePrefix="0" xfId="0">
      <alignment vertical="center"/>
    </xf>
    <xf numFmtId="164" fontId="0" fillId="0" borderId="41" applyAlignment="1" pivotButton="0" quotePrefix="0" xfId="2">
      <alignment vertical="center"/>
    </xf>
    <xf numFmtId="164" fontId="0" fillId="0" borderId="41" applyAlignment="1" pivotButton="0" quotePrefix="0" xfId="0">
      <alignment vertical="center"/>
    </xf>
    <xf numFmtId="9" fontId="0" fillId="0" borderId="41" applyAlignment="1" pivotButton="0" quotePrefix="0" xfId="2">
      <alignment vertical="center"/>
    </xf>
    <xf numFmtId="164" fontId="0" fillId="5" borderId="41" applyAlignment="1" pivotButton="0" quotePrefix="0" xfId="2">
      <alignment vertical="center"/>
    </xf>
    <xf numFmtId="164" fontId="0" fillId="5" borderId="41" applyAlignment="1" pivotButton="0" quotePrefix="0" xfId="0">
      <alignment vertical="center"/>
    </xf>
    <xf numFmtId="0" fontId="0" fillId="0" borderId="13" applyAlignment="1" pivotButton="0" quotePrefix="0" xfId="0">
      <alignment vertical="center"/>
    </xf>
    <xf numFmtId="38" fontId="0" fillId="0" borderId="13" applyAlignment="1" pivotButton="0" quotePrefix="0" xfId="1">
      <alignment vertical="center"/>
    </xf>
    <xf numFmtId="38" fontId="0" fillId="0" borderId="13" applyAlignment="1" pivotButton="0" quotePrefix="0" xfId="0">
      <alignment vertical="center"/>
    </xf>
    <xf numFmtId="164" fontId="0" fillId="0" borderId="13" applyAlignment="1" pivotButton="0" quotePrefix="0" xfId="2">
      <alignment vertical="center"/>
    </xf>
    <xf numFmtId="164" fontId="0" fillId="0" borderId="13" applyAlignment="1" pivotButton="0" quotePrefix="0" xfId="0">
      <alignment vertical="center"/>
    </xf>
    <xf numFmtId="0" fontId="0" fillId="0" borderId="42" applyAlignment="1" pivotButton="0" quotePrefix="0" xfId="0">
      <alignment vertical="center"/>
    </xf>
    <xf numFmtId="38" fontId="5" fillId="0" borderId="4" applyAlignment="1" pivotButton="0" quotePrefix="0" xfId="1">
      <alignment vertical="center"/>
    </xf>
    <xf numFmtId="38" fontId="7" fillId="0" borderId="6" applyAlignment="1" pivotButton="0" quotePrefix="0" xfId="1">
      <alignment vertical="center"/>
    </xf>
    <xf numFmtId="38" fontId="8" fillId="0" borderId="6" applyAlignment="1" pivotButton="0" quotePrefix="0" xfId="1">
      <alignment vertical="center"/>
    </xf>
    <xf numFmtId="0" fontId="0" fillId="0" borderId="1" applyAlignment="1" pivotButton="0" quotePrefix="0" xfId="0">
      <alignment vertical="center"/>
    </xf>
    <xf numFmtId="55" fontId="3" fillId="0" borderId="2" applyAlignment="1" pivotButton="0" quotePrefix="0" xfId="0">
      <alignment horizontal="center" vertical="center"/>
    </xf>
    <xf numFmtId="38" fontId="0" fillId="3" borderId="8" applyAlignment="1" pivotButton="0" quotePrefix="0" xfId="0">
      <alignment vertical="center"/>
    </xf>
    <xf numFmtId="0" fontId="0" fillId="2" borderId="3" applyAlignment="1" pivotButton="0" quotePrefix="0" xfId="0">
      <alignment horizontal="center" vertical="center"/>
    </xf>
    <xf numFmtId="164" fontId="0" fillId="0" borderId="5" applyAlignment="1" pivotButton="0" quotePrefix="0" xfId="2">
      <alignment horizontal="right" vertical="center"/>
    </xf>
    <xf numFmtId="164" fontId="0" fillId="2" borderId="6" applyAlignment="1" pivotButton="0" quotePrefix="0" xfId="2">
      <alignment horizontal="right" vertical="center"/>
    </xf>
    <xf numFmtId="164" fontId="0" fillId="3" borderId="8" applyAlignment="1" pivotButton="0" quotePrefix="0" xfId="2">
      <alignment horizontal="right" vertical="center"/>
    </xf>
    <xf numFmtId="164" fontId="0" fillId="4" borderId="9" applyAlignment="1" pivotButton="0" quotePrefix="0" xfId="2">
      <alignment horizontal="right" vertical="center"/>
    </xf>
    <xf numFmtId="38" fontId="0" fillId="0" borderId="18" applyAlignment="1" pivotButton="0" quotePrefix="0" xfId="1">
      <alignment vertical="center"/>
    </xf>
    <xf numFmtId="0" fontId="0" fillId="0" borderId="3" applyAlignment="1" pivotButton="0" quotePrefix="0" xfId="0">
      <alignment vertical="center"/>
    </xf>
    <xf numFmtId="38" fontId="0" fillId="0" borderId="6" applyAlignment="1" pivotButton="0" quotePrefix="0" xfId="1">
      <alignment vertical="center"/>
    </xf>
    <xf numFmtId="0" fontId="0" fillId="0" borderId="9" applyAlignment="1" pivotButton="0" quotePrefix="0" xfId="0">
      <alignment vertical="center"/>
    </xf>
    <xf numFmtId="0" fontId="0" fillId="0" borderId="4" applyAlignment="1" pivotButton="0" quotePrefix="0" xfId="0">
      <alignment vertical="center"/>
    </xf>
    <xf numFmtId="55" fontId="3" fillId="0" borderId="1" applyAlignment="1" pivotButton="0" quotePrefix="0" xfId="0">
      <alignment horizontal="center" vertical="center"/>
    </xf>
    <xf numFmtId="38" fontId="0" fillId="2" borderId="6" applyAlignment="1" pivotButton="0" quotePrefix="0" xfId="1">
      <alignment vertical="center"/>
    </xf>
    <xf numFmtId="38" fontId="0" fillId="3" borderId="7" applyAlignment="1" pivotButton="0" quotePrefix="0" xfId="0">
      <alignment vertical="center"/>
    </xf>
    <xf numFmtId="38" fontId="0" fillId="4" borderId="9" applyAlignment="1" pivotButton="0" quotePrefix="0" xfId="1">
      <alignment vertical="center"/>
    </xf>
    <xf numFmtId="0" fontId="0" fillId="2" borderId="43" applyAlignment="1" pivotButton="0" quotePrefix="0" xfId="0">
      <alignment horizontal="center" vertical="center"/>
    </xf>
    <xf numFmtId="38" fontId="0" fillId="2" borderId="27" applyAlignment="1" pivotButton="0" quotePrefix="0" xfId="1">
      <alignment vertical="center"/>
    </xf>
    <xf numFmtId="38" fontId="0" fillId="4" borderId="28" applyAlignment="1" pivotButton="0" quotePrefix="0" xfId="1">
      <alignment vertical="center"/>
    </xf>
    <xf numFmtId="38" fontId="6" fillId="0" borderId="5" applyAlignment="1" pivotButton="0" quotePrefix="0" xfId="1">
      <alignment vertical="center"/>
    </xf>
    <xf numFmtId="164" fontId="0" fillId="3" borderId="19" applyAlignment="1" pivotButton="0" quotePrefix="0" xfId="2">
      <alignment horizontal="right" vertical="center"/>
    </xf>
    <xf numFmtId="55" fontId="3" fillId="0" borderId="17" applyAlignment="1" pivotButton="0" quotePrefix="0" xfId="0">
      <alignment horizontal="center" vertical="center"/>
    </xf>
    <xf numFmtId="164" fontId="0" fillId="0" borderId="18" applyAlignment="1" pivotButton="0" quotePrefix="0" xfId="2">
      <alignment horizontal="right" vertical="center"/>
    </xf>
    <xf numFmtId="0" fontId="0" fillId="0" borderId="0" pivotButton="0" quotePrefix="0" xfId="0"/>
    <xf numFmtId="38" fontId="1" fillId="0" borderId="5" applyAlignment="1" pivotButton="0" quotePrefix="0" xfId="1">
      <alignment vertical="center"/>
    </xf>
    <xf numFmtId="0" fontId="0" fillId="0" borderId="44" applyAlignment="1" pivotButton="0" quotePrefix="0" xfId="0">
      <alignment horizontal="center" vertical="center"/>
    </xf>
    <xf numFmtId="0" fontId="0" fillId="0" borderId="14" pivotButton="0" quotePrefix="0" xfId="0"/>
    <xf numFmtId="38" fontId="0" fillId="0" borderId="14" applyAlignment="1" pivotButton="0" quotePrefix="0" xfId="1">
      <alignment horizontal="center" vertical="center"/>
    </xf>
    <xf numFmtId="0" fontId="0" fillId="0" borderId="13" pivotButton="0" quotePrefix="0" xfId="0"/>
    <xf numFmtId="38" fontId="0" fillId="0" borderId="44" applyAlignment="1" pivotButton="0" quotePrefix="0" xfId="1">
      <alignment horizontal="center" vertical="center"/>
    </xf>
    <xf numFmtId="0" fontId="0" fillId="0" borderId="12" applyAlignment="1" pivotButton="0" quotePrefix="0" xfId="0">
      <alignment horizontal="center" vertical="center"/>
    </xf>
    <xf numFmtId="0" fontId="0" fillId="0" borderId="1" applyAlignment="1" pivotButton="0" quotePrefix="0" xfId="0">
      <alignment horizontal="center" vertical="center"/>
    </xf>
    <xf numFmtId="0" fontId="0" fillId="0" borderId="26" pivotButton="0" quotePrefix="0" xfId="0"/>
    <xf numFmtId="0" fontId="0" fillId="0" borderId="17" pivotButton="0" quotePrefix="0" xfId="0"/>
    <xf numFmtId="0" fontId="4"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0" fillId="0" borderId="21" applyAlignment="1" pivotButton="0" quotePrefix="0" xfId="0">
      <alignment horizontal="center" vertical="center"/>
    </xf>
    <xf numFmtId="0" fontId="0" fillId="0" borderId="24" pivotButton="0" quotePrefix="0" xfId="0"/>
    <xf numFmtId="0" fontId="0" fillId="0" borderId="33" pivotButton="0" quotePrefix="0" xfId="0"/>
    <xf numFmtId="0" fontId="0" fillId="0" borderId="34" pivotButton="0" quotePrefix="0" xfId="0"/>
    <xf numFmtId="0" fontId="0" fillId="0" borderId="15" pivotButton="0" quotePrefix="0" xfId="0"/>
    <xf numFmtId="0" fontId="0" fillId="0" borderId="11" pivotButton="0" quotePrefix="0" xfId="0"/>
    <xf numFmtId="0" fontId="0" fillId="0" borderId="16" pivotButton="0" quotePrefix="0" xfId="0"/>
    <xf numFmtId="0" fontId="0" fillId="0" borderId="39" pivotButton="0" quotePrefix="0" xfId="0"/>
    <xf numFmtId="0" fontId="0" fillId="0" borderId="41" applyAlignment="1" pivotButton="0" quotePrefix="0" xfId="0">
      <alignment horizontal="center" vertical="center"/>
    </xf>
    <xf numFmtId="0" fontId="0" fillId="0" borderId="45" pivotButton="0" quotePrefix="0" xfId="0"/>
    <xf numFmtId="0" fontId="0" fillId="0" borderId="46" pivotButton="0" quotePrefix="0" xfId="0"/>
    <xf numFmtId="0" fontId="0" fillId="0" borderId="15" applyAlignment="1" pivotButton="0" quotePrefix="0" xfId="0">
      <alignment horizontal="center" vertical="center"/>
    </xf>
    <xf numFmtId="0" fontId="0" fillId="0" borderId="42" applyAlignment="1" pivotButton="0" quotePrefix="0" xfId="0">
      <alignment horizontal="center" vertical="center"/>
    </xf>
    <xf numFmtId="0" fontId="0" fillId="0" borderId="48" pivotButton="0" quotePrefix="0" xfId="0"/>
    <xf numFmtId="0" fontId="0" fillId="0" borderId="49" pivotButton="0" quotePrefix="0" xfId="0"/>
    <xf numFmtId="0" fontId="0" fillId="0" borderId="47" applyAlignment="1" pivotButton="0" quotePrefix="0" xfId="0">
      <alignment horizontal="center" vertical="center"/>
    </xf>
    <xf numFmtId="164" fontId="0" fillId="0" borderId="18" applyAlignment="1" pivotButton="0" quotePrefix="0" xfId="2">
      <alignment horizontal="right" vertical="center"/>
    </xf>
    <xf numFmtId="164" fontId="0" fillId="0" borderId="5" applyAlignment="1" pivotButton="0" quotePrefix="0" xfId="2">
      <alignment horizontal="right" vertical="center"/>
    </xf>
    <xf numFmtId="164" fontId="0" fillId="2" borderId="6" applyAlignment="1" pivotButton="0" quotePrefix="0" xfId="2">
      <alignment horizontal="right" vertical="center"/>
    </xf>
    <xf numFmtId="164" fontId="0" fillId="3" borderId="19" applyAlignment="1" pivotButton="0" quotePrefix="0" xfId="2">
      <alignment horizontal="right" vertical="center"/>
    </xf>
    <xf numFmtId="164" fontId="0" fillId="3" borderId="8" applyAlignment="1" pivotButton="0" quotePrefix="0" xfId="2">
      <alignment horizontal="right" vertical="center"/>
    </xf>
    <xf numFmtId="164" fontId="0" fillId="4" borderId="9" applyAlignment="1" pivotButton="0" quotePrefix="0" xfId="2">
      <alignment horizontal="right" vertical="center"/>
    </xf>
    <xf numFmtId="164" fontId="0" fillId="0" borderId="0" applyAlignment="1" pivotButton="0" quotePrefix="0" xfId="2">
      <alignment horizontal="right" vertical="center"/>
    </xf>
    <xf numFmtId="164" fontId="0" fillId="0" borderId="37" applyAlignment="1" pivotButton="0" quotePrefix="0" xfId="2">
      <alignment vertical="center"/>
    </xf>
    <xf numFmtId="164" fontId="0" fillId="0" borderId="38" applyAlignment="1" pivotButton="0" quotePrefix="0" xfId="2">
      <alignment vertical="center"/>
    </xf>
    <xf numFmtId="164" fontId="0" fillId="0" borderId="6" applyAlignment="1" pivotButton="0" quotePrefix="0" xfId="2">
      <alignment vertical="center"/>
    </xf>
    <xf numFmtId="164" fontId="0" fillId="0" borderId="27" applyAlignment="1" pivotButton="0" quotePrefix="0" xfId="2">
      <alignment vertical="center"/>
    </xf>
    <xf numFmtId="164" fontId="0" fillId="0" borderId="9" applyAlignment="1" pivotButton="0" quotePrefix="0" xfId="2">
      <alignment vertical="center"/>
    </xf>
    <xf numFmtId="164" fontId="0" fillId="0" borderId="28" applyAlignment="1" pivotButton="0" quotePrefix="0" xfId="2">
      <alignment vertical="center"/>
    </xf>
    <xf numFmtId="164" fontId="0" fillId="0" borderId="41" applyAlignment="1" pivotButton="0" quotePrefix="0" xfId="2">
      <alignment vertical="center"/>
    </xf>
    <xf numFmtId="164" fontId="0" fillId="0" borderId="41" applyAlignment="1" pivotButton="0" quotePrefix="0" xfId="0">
      <alignment vertical="center"/>
    </xf>
    <xf numFmtId="164" fontId="0" fillId="5" borderId="41" applyAlignment="1" pivotButton="0" quotePrefix="0" xfId="2">
      <alignment vertical="center"/>
    </xf>
    <xf numFmtId="164" fontId="0" fillId="5" borderId="41" applyAlignment="1" pivotButton="0" quotePrefix="0" xfId="0">
      <alignment vertical="center"/>
    </xf>
    <xf numFmtId="164" fontId="0" fillId="0" borderId="13" applyAlignment="1" pivotButton="0" quotePrefix="0" xfId="2">
      <alignment vertical="center"/>
    </xf>
    <xf numFmtId="164" fontId="0" fillId="0" borderId="13" applyAlignment="1" pivotButton="0" quotePrefix="0" xfId="0">
      <alignment vertical="center"/>
    </xf>
  </cellXfs>
  <cellStyles count="3">
    <cellStyle name="標準" xfId="0" builtinId="0"/>
    <cellStyle name="桁区切り" xfId="1" builtinId="6"/>
    <cellStyle name="パーセント"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249977111117893"/>
    <outlinePr summaryBelow="1" summaryRight="1"/>
    <pageSetUpPr fitToPage="1"/>
  </sheetPr>
  <dimension ref="C1:Y90"/>
  <sheetViews>
    <sheetView workbookViewId="0">
      <pane xSplit="4" ySplit="1" topLeftCell="E61" activePane="bottomRight" state="frozen"/>
      <selection activeCell="M85" sqref="M85:Q89"/>
      <selection pane="topRight" activeCell="M85" sqref="M85:Q89"/>
      <selection pane="bottomLeft" activeCell="M85" sqref="M85:Q89"/>
      <selection pane="bottomRight" activeCell="M85" sqref="M85:Q89"/>
    </sheetView>
  </sheetViews>
  <sheetFormatPr baseColWidth="8" defaultRowHeight="18.75"/>
  <cols>
    <col width="9.75" bestFit="1" customWidth="1" style="97" min="3" max="3"/>
    <col width="10.125" customWidth="1" style="97" min="5" max="25"/>
  </cols>
  <sheetData>
    <row r="1" ht="24" customHeight="1" s="97">
      <c r="C1" s="8" t="inlineStr">
        <is>
          <t>松江営業所機械</t>
        </is>
      </c>
    </row>
    <row r="2">
      <c r="C2" s="98" t="inlineStr">
        <is>
          <t>1．2024年</t>
        </is>
      </c>
    </row>
    <row r="3">
      <c r="C3" s="87" t="n"/>
      <c r="D3" s="88" t="n"/>
      <c r="E3" s="92" t="inlineStr">
        <is>
          <t>売上</t>
        </is>
      </c>
      <c r="F3" s="90" t="n"/>
      <c r="G3" s="90" t="n"/>
      <c r="H3" s="90" t="n"/>
      <c r="I3" s="90" t="n"/>
      <c r="J3" s="90" t="n"/>
      <c r="K3" s="90" t="n"/>
      <c r="L3" s="91" t="inlineStr">
        <is>
          <t>粗利益</t>
        </is>
      </c>
      <c r="M3" s="90" t="n"/>
      <c r="N3" s="90" t="n"/>
      <c r="O3" s="90" t="n"/>
      <c r="P3" s="90" t="n"/>
      <c r="Q3" s="90" t="n"/>
      <c r="R3" s="88" t="n"/>
      <c r="S3" s="89" t="inlineStr">
        <is>
          <t>粗利益率</t>
        </is>
      </c>
      <c r="T3" s="90" t="n"/>
      <c r="U3" s="90" t="n"/>
      <c r="V3" s="90" t="n"/>
      <c r="W3" s="90" t="n"/>
      <c r="X3" s="90" t="n"/>
      <c r="Y3" s="88" t="n"/>
    </row>
    <row r="4">
      <c r="C4" s="61" t="n"/>
      <c r="D4" s="70" t="n"/>
      <c r="E4" s="62" t="n">
        <v>45383</v>
      </c>
      <c r="F4" s="62" t="n">
        <v>45413</v>
      </c>
      <c r="G4" s="62" t="n">
        <v>45444</v>
      </c>
      <c r="H4" s="62" t="n">
        <v>45474</v>
      </c>
      <c r="I4" s="62" t="n">
        <v>45505</v>
      </c>
      <c r="J4" s="62" t="n">
        <v>45536</v>
      </c>
      <c r="K4" s="78" t="inlineStr">
        <is>
          <t>合計</t>
        </is>
      </c>
      <c r="L4" s="74" t="n">
        <v>45383</v>
      </c>
      <c r="M4" s="62" t="n">
        <v>45413</v>
      </c>
      <c r="N4" s="62" t="n">
        <v>45444</v>
      </c>
      <c r="O4" s="62" t="n">
        <v>45474</v>
      </c>
      <c r="P4" s="62" t="n">
        <v>45505</v>
      </c>
      <c r="Q4" s="62" t="n">
        <v>45536</v>
      </c>
      <c r="R4" s="64" t="inlineStr">
        <is>
          <t>合計</t>
        </is>
      </c>
      <c r="S4" s="83" t="n">
        <v>45383</v>
      </c>
      <c r="T4" s="62" t="n">
        <v>45413</v>
      </c>
      <c r="U4" s="62" t="n">
        <v>45444</v>
      </c>
      <c r="V4" s="62" t="n">
        <v>45474</v>
      </c>
      <c r="W4" s="62" t="n">
        <v>45505</v>
      </c>
      <c r="X4" s="62" t="n">
        <v>45536</v>
      </c>
      <c r="Y4" s="64" t="inlineStr">
        <is>
          <t>合計</t>
        </is>
      </c>
    </row>
    <row r="5">
      <c r="C5" s="73" t="inlineStr">
        <is>
          <t>0032 集計</t>
        </is>
      </c>
      <c r="D5" s="71" t="inlineStr">
        <is>
          <t>飯塚主任</t>
        </is>
      </c>
      <c r="E5" s="2" t="n">
        <v>205</v>
      </c>
      <c r="F5" s="2" t="n">
        <v>2895</v>
      </c>
      <c r="G5" s="2" t="n">
        <v>20</v>
      </c>
      <c r="H5" s="2" t="n">
        <v>39</v>
      </c>
      <c r="I5" s="2" t="n">
        <v>210</v>
      </c>
      <c r="J5" s="2" t="n">
        <v>-2216</v>
      </c>
      <c r="K5" s="79">
        <f>SUM(E5:J5)</f>
        <v/>
      </c>
      <c r="L5" s="1" t="n">
        <v>45</v>
      </c>
      <c r="M5" s="2" t="n">
        <v>601</v>
      </c>
      <c r="N5" s="2" t="n">
        <v>6</v>
      </c>
      <c r="O5" s="2" t="n">
        <v>9</v>
      </c>
      <c r="P5" s="2" t="n">
        <v>49</v>
      </c>
      <c r="Q5" s="2" t="n">
        <v>-441</v>
      </c>
      <c r="R5" s="75">
        <f>SUM(L5:Q5)</f>
        <v/>
      </c>
      <c r="S5" s="115">
        <f>IF(E5=0,"***",L5/E5)</f>
        <v/>
      </c>
      <c r="T5" s="116">
        <f>IF(F5=0,"***",M5/F5)</f>
        <v/>
      </c>
      <c r="U5" s="116">
        <f>IF(G5=0,"***",N5/G5)</f>
        <v/>
      </c>
      <c r="V5" s="116">
        <f>IF(H5=0,"***",O5/H5)</f>
        <v/>
      </c>
      <c r="W5" s="116">
        <f>IF(I5=0,"***",P5/I5)</f>
        <v/>
      </c>
      <c r="X5" s="116">
        <f>IF(J5=0,"***",Q5/J5)</f>
        <v/>
      </c>
      <c r="Y5" s="117">
        <f>IF(K5=0,"***",R5/K5)</f>
        <v/>
      </c>
    </row>
    <row r="6">
      <c r="C6" s="73" t="inlineStr">
        <is>
          <t>0033 集計</t>
        </is>
      </c>
      <c r="D6" s="60" t="inlineStr">
        <is>
          <t>前田課長代</t>
        </is>
      </c>
      <c r="E6" s="2" t="n">
        <v>558</v>
      </c>
      <c r="F6" s="2" t="n">
        <v>155</v>
      </c>
      <c r="G6" s="2" t="n">
        <v>295</v>
      </c>
      <c r="H6" s="2" t="n">
        <v>126</v>
      </c>
      <c r="I6" s="2" t="n">
        <v>90</v>
      </c>
      <c r="J6" s="2" t="n">
        <v>116</v>
      </c>
      <c r="K6" s="79">
        <f>SUM(E6:J6)</f>
        <v/>
      </c>
      <c r="L6" s="1" t="n">
        <v>130</v>
      </c>
      <c r="M6" s="2" t="n">
        <v>37</v>
      </c>
      <c r="N6" s="2" t="n">
        <v>38</v>
      </c>
      <c r="O6" s="2" t="n">
        <v>18</v>
      </c>
      <c r="P6" s="2" t="n">
        <v>11</v>
      </c>
      <c r="Q6" s="2" t="n">
        <v>35</v>
      </c>
      <c r="R6" s="75">
        <f>SUM(L6:Q6)</f>
        <v/>
      </c>
      <c r="S6" s="115">
        <f>IF(E6=0,"***",L6/E6)</f>
        <v/>
      </c>
      <c r="T6" s="116">
        <f>IF(F6=0,"***",M6/F6)</f>
        <v/>
      </c>
      <c r="U6" s="116">
        <f>IF(G6=0,"***",N6/G6)</f>
        <v/>
      </c>
      <c r="V6" s="116">
        <f>IF(H6=0,"***",O6/H6)</f>
        <v/>
      </c>
      <c r="W6" s="116">
        <f>IF(I6=0,"***",P6/I6)</f>
        <v/>
      </c>
      <c r="X6" s="116">
        <f>IF(J6=0,"***",Q6/J6)</f>
        <v/>
      </c>
      <c r="Y6" s="117">
        <f>IF(K6=0,"***",R6/K6)</f>
        <v/>
      </c>
    </row>
    <row r="7">
      <c r="C7" s="73" t="inlineStr">
        <is>
          <t>0034 集計</t>
        </is>
      </c>
      <c r="D7" s="71" t="inlineStr">
        <is>
          <t>原田</t>
        </is>
      </c>
      <c r="E7" s="2" t="n"/>
      <c r="F7" s="2" t="n"/>
      <c r="G7" s="2" t="n">
        <v>97</v>
      </c>
      <c r="H7" s="2" t="n"/>
      <c r="I7" s="2" t="n"/>
      <c r="J7" s="2" t="n"/>
      <c r="K7" s="79">
        <f>SUM(E7:J7)</f>
        <v/>
      </c>
      <c r="L7" s="1" t="n"/>
      <c r="M7" s="2" t="n"/>
      <c r="N7" s="2" t="n">
        <v>19</v>
      </c>
      <c r="O7" s="2" t="n"/>
      <c r="P7" s="2" t="n"/>
      <c r="Q7" s="2" t="n"/>
      <c r="R7" s="75">
        <f>SUM(L7:Q7)</f>
        <v/>
      </c>
      <c r="S7" s="115">
        <f>IF(E7=0,"***",L7/E7)</f>
        <v/>
      </c>
      <c r="T7" s="116">
        <f>IF(F7=0,"***",M7/F7)</f>
        <v/>
      </c>
      <c r="U7" s="116">
        <f>IF(G7=0,"***",N7/G7)</f>
        <v/>
      </c>
      <c r="V7" s="116">
        <f>IF(H7=0,"***",O7/H7)</f>
        <v/>
      </c>
      <c r="W7" s="116">
        <f>IF(I7=0,"***",P7/I7)</f>
        <v/>
      </c>
      <c r="X7" s="116">
        <f>IF(J7=0,"***",Q7/J7)</f>
        <v/>
      </c>
      <c r="Y7" s="117">
        <f>IF(K7=0,"***",R7/K7)</f>
        <v/>
      </c>
    </row>
    <row r="8">
      <c r="C8" s="73" t="inlineStr">
        <is>
          <t>0035 集計</t>
        </is>
      </c>
      <c r="D8" s="71" t="inlineStr">
        <is>
          <t>自治体</t>
        </is>
      </c>
      <c r="E8" s="2" t="n"/>
      <c r="F8" s="2" t="n"/>
      <c r="G8" s="2" t="n"/>
      <c r="H8" s="2" t="n"/>
      <c r="I8" s="2" t="n"/>
      <c r="J8" s="2" t="n"/>
      <c r="K8" s="79">
        <f>SUM(E8:J8)</f>
        <v/>
      </c>
      <c r="L8" s="1" t="n"/>
      <c r="M8" s="2" t="n"/>
      <c r="N8" s="2" t="n"/>
      <c r="O8" s="2" t="n"/>
      <c r="P8" s="2" t="n"/>
      <c r="Q8" s="2" t="n"/>
      <c r="R8" s="75">
        <f>SUM(L8:Q8)</f>
        <v/>
      </c>
      <c r="S8" s="115">
        <f>IF(E8=0,"***",L8/E8)</f>
        <v/>
      </c>
      <c r="T8" s="116">
        <f>IF(F8=0,"***",M8/F8)</f>
        <v/>
      </c>
      <c r="U8" s="116">
        <f>IF(G8=0,"***",N8/G8)</f>
        <v/>
      </c>
      <c r="V8" s="116">
        <f>IF(H8=0,"***",O8/H8)</f>
        <v/>
      </c>
      <c r="W8" s="116">
        <f>IF(I8=0,"***",P8/I8)</f>
        <v/>
      </c>
      <c r="X8" s="116">
        <f>IF(J8=0,"***",Q8/J8)</f>
        <v/>
      </c>
      <c r="Y8" s="117">
        <f>IF(K8=0,"***",R8/K8)</f>
        <v/>
      </c>
    </row>
    <row r="9">
      <c r="C9" s="73" t="inlineStr">
        <is>
          <t>0039 集計</t>
        </is>
      </c>
      <c r="D9" s="71" t="inlineStr">
        <is>
          <t>その他</t>
        </is>
      </c>
      <c r="E9" s="2" t="n"/>
      <c r="F9" s="2" t="n"/>
      <c r="G9" s="2" t="n"/>
      <c r="H9" s="2" t="n"/>
      <c r="I9" s="2" t="n"/>
      <c r="J9" s="2" t="n"/>
      <c r="K9" s="79">
        <f>SUM(E9:J9)</f>
        <v/>
      </c>
      <c r="L9" s="1" t="n"/>
      <c r="M9" s="2" t="n"/>
      <c r="N9" s="2" t="n"/>
      <c r="O9" s="2" t="n"/>
      <c r="P9" s="2" t="n"/>
      <c r="Q9" s="2" t="n"/>
      <c r="R9" s="75">
        <f>SUM(L9:Q9)</f>
        <v/>
      </c>
      <c r="S9" s="115">
        <f>IF(E9=0,"***",L9/E9)</f>
        <v/>
      </c>
      <c r="T9" s="116">
        <f>IF(F9=0,"***",M9/F9)</f>
        <v/>
      </c>
      <c r="U9" s="116">
        <f>IF(G9=0,"***",N9/G9)</f>
        <v/>
      </c>
      <c r="V9" s="116">
        <f>IF(H9=0,"***",O9/H9)</f>
        <v/>
      </c>
      <c r="W9" s="116">
        <f>IF(I9=0,"***",P9/I9)</f>
        <v/>
      </c>
      <c r="X9" s="116">
        <f>IF(J9=0,"***",Q9/J9)</f>
        <v/>
      </c>
      <c r="Y9" s="117">
        <f>IF(K9=0,"***",R9/K9)</f>
        <v/>
      </c>
    </row>
    <row r="10">
      <c r="C10" s="3" t="inlineStr">
        <is>
          <t>合計</t>
        </is>
      </c>
      <c r="D10" s="72" t="n"/>
      <c r="E10" s="63">
        <f>SUM(E5:E9)</f>
        <v/>
      </c>
      <c r="F10" s="63">
        <f>SUM(F5:F9)</f>
        <v/>
      </c>
      <c r="G10" s="63">
        <f>SUM(G5:G9)</f>
        <v/>
      </c>
      <c r="H10" s="63">
        <f>SUM(H5:H9)</f>
        <v/>
      </c>
      <c r="I10" s="63">
        <f>SUM(I5:I9)</f>
        <v/>
      </c>
      <c r="J10" s="63">
        <f>SUM(J5:J9)</f>
        <v/>
      </c>
      <c r="K10" s="80">
        <f>SUM(E10:J10)</f>
        <v/>
      </c>
      <c r="L10" s="76">
        <f>SUM(L5:L9)</f>
        <v/>
      </c>
      <c r="M10" s="63">
        <f>SUM(M5:M9)</f>
        <v/>
      </c>
      <c r="N10" s="63">
        <f>SUM(N5:N9)</f>
        <v/>
      </c>
      <c r="O10" s="63">
        <f>SUM(O5:O9)</f>
        <v/>
      </c>
      <c r="P10" s="63">
        <f>SUM(P5:P9)</f>
        <v/>
      </c>
      <c r="Q10" s="63">
        <f>SUM(Q5:Q9)</f>
        <v/>
      </c>
      <c r="R10" s="77">
        <f>SUM(L10:Q10)</f>
        <v/>
      </c>
      <c r="S10" s="118">
        <f>IF(E10=0,"***",L10/E10)</f>
        <v/>
      </c>
      <c r="T10" s="119">
        <f>IF(F10=0,"***",M10/F10)</f>
        <v/>
      </c>
      <c r="U10" s="119">
        <f>IF(G10=0,"***",N10/G10)</f>
        <v/>
      </c>
      <c r="V10" s="119">
        <f>IF(H10=0,"***",O10/H10)</f>
        <v/>
      </c>
      <c r="W10" s="119">
        <f>IF(I10=0,"***",P10/I10)</f>
        <v/>
      </c>
      <c r="X10" s="119">
        <f>IF(J10=0,"***",Q10/J10)</f>
        <v/>
      </c>
      <c r="Y10" s="120">
        <f>IF(K10=0,"***",R10/K10)</f>
        <v/>
      </c>
    </row>
    <row r="11">
      <c r="C11" s="6" t="n"/>
      <c r="E11" s="5" t="n"/>
      <c r="F11" s="5" t="n"/>
      <c r="G11" s="5" t="n"/>
      <c r="H11" s="5" t="n"/>
      <c r="I11" s="5" t="n"/>
      <c r="J11" s="5" t="n"/>
      <c r="K11" s="6" t="n"/>
      <c r="L11" s="5" t="n"/>
      <c r="M11" s="5" t="n"/>
      <c r="N11" s="5" t="n"/>
      <c r="O11" s="5" t="n"/>
      <c r="P11" s="5" t="n"/>
      <c r="Q11" s="5" t="n"/>
      <c r="R11" s="6" t="n"/>
      <c r="S11" s="121" t="n"/>
      <c r="T11" s="121" t="n"/>
      <c r="U11" s="121" t="n"/>
      <c r="V11" s="121" t="n"/>
      <c r="W11" s="121" t="n"/>
      <c r="X11" s="121" t="n"/>
      <c r="Y11" s="121" t="n"/>
    </row>
    <row r="12">
      <c r="C12" s="6" t="inlineStr">
        <is>
          <t>2．2025年</t>
        </is>
      </c>
    </row>
    <row r="13">
      <c r="C13" s="87" t="n"/>
      <c r="D13" s="88" t="n"/>
      <c r="E13" s="92" t="inlineStr">
        <is>
          <t>売上</t>
        </is>
      </c>
      <c r="F13" s="90" t="n"/>
      <c r="G13" s="90" t="n"/>
      <c r="H13" s="90" t="n"/>
      <c r="I13" s="90" t="n"/>
      <c r="J13" s="90" t="n"/>
      <c r="K13" s="90" t="n"/>
      <c r="L13" s="91" t="inlineStr">
        <is>
          <t>粗利益</t>
        </is>
      </c>
      <c r="M13" s="90" t="n"/>
      <c r="N13" s="90" t="n"/>
      <c r="O13" s="90" t="n"/>
      <c r="P13" s="90" t="n"/>
      <c r="Q13" s="90" t="n"/>
      <c r="R13" s="88" t="n"/>
      <c r="S13" s="91" t="inlineStr">
        <is>
          <t>粗利益率</t>
        </is>
      </c>
      <c r="T13" s="90" t="n"/>
      <c r="U13" s="90" t="n"/>
      <c r="V13" s="90" t="n"/>
      <c r="W13" s="90" t="n"/>
      <c r="X13" s="90" t="n"/>
      <c r="Y13" s="88" t="n"/>
    </row>
    <row r="14">
      <c r="C14" s="61" t="n"/>
      <c r="D14" s="70" t="n"/>
      <c r="E14" s="74" t="n">
        <v>45748</v>
      </c>
      <c r="F14" s="62" t="n">
        <v>45778</v>
      </c>
      <c r="G14" s="62" t="n">
        <v>45809</v>
      </c>
      <c r="H14" s="62" t="n">
        <v>45839</v>
      </c>
      <c r="I14" s="62" t="n">
        <v>45870</v>
      </c>
      <c r="J14" s="62" t="n">
        <v>45901</v>
      </c>
      <c r="K14" s="64" t="inlineStr">
        <is>
          <t>合計</t>
        </is>
      </c>
      <c r="L14" s="74" t="n">
        <v>45748</v>
      </c>
      <c r="M14" s="62" t="n">
        <v>45778</v>
      </c>
      <c r="N14" s="62" t="n">
        <v>45809</v>
      </c>
      <c r="O14" s="62" t="n">
        <v>45839</v>
      </c>
      <c r="P14" s="62" t="n">
        <v>45870</v>
      </c>
      <c r="Q14" s="62" t="n">
        <v>45901</v>
      </c>
      <c r="R14" s="64" t="inlineStr">
        <is>
          <t>合計</t>
        </is>
      </c>
      <c r="S14" s="74" t="n">
        <v>45748</v>
      </c>
      <c r="T14" s="62" t="n">
        <v>45778</v>
      </c>
      <c r="U14" s="62" t="n">
        <v>45809</v>
      </c>
      <c r="V14" s="62" t="n">
        <v>45839</v>
      </c>
      <c r="W14" s="62" t="n">
        <v>45870</v>
      </c>
      <c r="X14" s="62" t="n">
        <v>45901</v>
      </c>
      <c r="Y14" s="64" t="inlineStr">
        <is>
          <t>合計</t>
        </is>
      </c>
    </row>
    <row r="15">
      <c r="C15" s="73" t="inlineStr">
        <is>
          <t>0032 集計</t>
        </is>
      </c>
      <c r="D15" s="71" t="inlineStr">
        <is>
          <t>飯塚主任</t>
        </is>
      </c>
      <c r="E15" s="2" t="n">
        <v>142</v>
      </c>
      <c r="F15" s="2" t="n">
        <v>131</v>
      </c>
      <c r="G15" s="2" t="n">
        <v>126</v>
      </c>
      <c r="H15" s="2" t="n">
        <v>48</v>
      </c>
      <c r="I15" s="2" t="n">
        <v>18</v>
      </c>
      <c r="J15" s="2" t="n">
        <v>1405</v>
      </c>
      <c r="K15" s="79">
        <f>SUM(E15:J15)</f>
        <v/>
      </c>
      <c r="L15" s="1" t="n">
        <v>26</v>
      </c>
      <c r="M15" s="2" t="n">
        <v>26</v>
      </c>
      <c r="N15" s="2" t="n">
        <v>37</v>
      </c>
      <c r="O15" s="2" t="n">
        <v>11</v>
      </c>
      <c r="P15" s="2" t="n">
        <v>7</v>
      </c>
      <c r="Q15" s="2" t="n">
        <v>283</v>
      </c>
      <c r="R15" s="75">
        <f>SUM(L15:Q15)</f>
        <v/>
      </c>
      <c r="S15" s="115">
        <f>IF(E15=0,"***",L15/E15)</f>
        <v/>
      </c>
      <c r="T15" s="116">
        <f>IF(F15=0,"***",M15/F15)</f>
        <v/>
      </c>
      <c r="U15" s="116">
        <f>IF(G15=0,"***",N15/G15)</f>
        <v/>
      </c>
      <c r="V15" s="116">
        <f>IF(H15=0,"***",O15/H15)</f>
        <v/>
      </c>
      <c r="W15" s="116">
        <f>IF(I15=0,"***",P15/I15)</f>
        <v/>
      </c>
      <c r="X15" s="116">
        <f>IF(J15=0,"***",Q15/J15)</f>
        <v/>
      </c>
      <c r="Y15" s="117">
        <f>IF(K15=0,"***",R15/K15)</f>
        <v/>
      </c>
    </row>
    <row r="16">
      <c r="C16" s="73" t="inlineStr">
        <is>
          <t>0033 集計</t>
        </is>
      </c>
      <c r="D16" s="60" t="inlineStr">
        <is>
          <t>前田課長代</t>
        </is>
      </c>
      <c r="E16" s="2" t="n">
        <v>718</v>
      </c>
      <c r="F16" s="2" t="n">
        <v>123</v>
      </c>
      <c r="G16" s="2" t="n">
        <v>164</v>
      </c>
      <c r="H16" s="2" t="n">
        <v>428</v>
      </c>
      <c r="I16" s="2" t="n">
        <v>201</v>
      </c>
      <c r="J16" s="2" t="n">
        <v>95</v>
      </c>
      <c r="K16" s="79">
        <f>SUM(E16:J16)</f>
        <v/>
      </c>
      <c r="L16" s="1" t="n">
        <v>142</v>
      </c>
      <c r="M16" s="2" t="n">
        <v>16</v>
      </c>
      <c r="N16" s="2" t="n">
        <v>47</v>
      </c>
      <c r="O16" s="2" t="n">
        <v>49</v>
      </c>
      <c r="P16" s="2" t="n">
        <v>70</v>
      </c>
      <c r="Q16" s="2" t="n">
        <v>19</v>
      </c>
      <c r="R16" s="75">
        <f>SUM(L16:Q16)</f>
        <v/>
      </c>
      <c r="S16" s="115">
        <f>IF(E16=0,"***",L16/E16)</f>
        <v/>
      </c>
      <c r="T16" s="116">
        <f>IF(F16=0,"***",M16/F16)</f>
        <v/>
      </c>
      <c r="U16" s="116">
        <f>IF(G16=0,"***",N16/G16)</f>
        <v/>
      </c>
      <c r="V16" s="116">
        <f>IF(H16=0,"***",O16/H16)</f>
        <v/>
      </c>
      <c r="W16" s="116">
        <f>IF(I16=0,"***",P16/I16)</f>
        <v/>
      </c>
      <c r="X16" s="116">
        <f>IF(J16=0,"***",Q16/J16)</f>
        <v/>
      </c>
      <c r="Y16" s="117">
        <f>IF(K16=0,"***",R16/K16)</f>
        <v/>
      </c>
    </row>
    <row r="17">
      <c r="C17" s="73" t="inlineStr">
        <is>
          <t>0034 集計</t>
        </is>
      </c>
      <c r="D17" s="71" t="inlineStr">
        <is>
          <t>原田</t>
        </is>
      </c>
      <c r="E17" s="2" t="n"/>
      <c r="F17" s="2" t="n"/>
      <c r="G17" s="2" t="n"/>
      <c r="H17" s="2" t="n"/>
      <c r="I17" s="2" t="n"/>
      <c r="J17" s="2" t="n"/>
      <c r="K17" s="79">
        <f>SUM(E17:J17)</f>
        <v/>
      </c>
      <c r="L17" s="1" t="n"/>
      <c r="M17" s="2" t="n"/>
      <c r="N17" s="2" t="n"/>
      <c r="O17" s="2" t="n"/>
      <c r="P17" s="2" t="n"/>
      <c r="Q17" s="2" t="n"/>
      <c r="R17" s="75">
        <f>SUM(L17:Q17)</f>
        <v/>
      </c>
      <c r="S17" s="115">
        <f>IF(E17=0,"***",L17/E17)</f>
        <v/>
      </c>
      <c r="T17" s="116">
        <f>IF(F17=0,"***",M17/F17)</f>
        <v/>
      </c>
      <c r="U17" s="116">
        <f>IF(G17=0,"***",N17/G17)</f>
        <v/>
      </c>
      <c r="V17" s="116">
        <f>IF(H17=0,"***",O17/H17)</f>
        <v/>
      </c>
      <c r="W17" s="116">
        <f>IF(I17=0,"***",P17/I17)</f>
        <v/>
      </c>
      <c r="X17" s="116">
        <f>IF(J17=0,"***",Q17/J17)</f>
        <v/>
      </c>
      <c r="Y17" s="117">
        <f>IF(K17=0,"***",R17/K17)</f>
        <v/>
      </c>
    </row>
    <row r="18">
      <c r="C18" s="73" t="inlineStr">
        <is>
          <t>0035 集計</t>
        </is>
      </c>
      <c r="D18" s="71" t="inlineStr">
        <is>
          <t>自治体</t>
        </is>
      </c>
      <c r="E18" s="2" t="n">
        <v>0</v>
      </c>
      <c r="F18" s="2" t="n">
        <v>0</v>
      </c>
      <c r="G18" s="2" t="n">
        <v>0</v>
      </c>
      <c r="H18" s="2" t="n">
        <v>0</v>
      </c>
      <c r="I18" s="2" t="n">
        <v>0</v>
      </c>
      <c r="J18" s="2" t="n">
        <v>0</v>
      </c>
      <c r="K18" s="79">
        <f>SUM(E18:J18)</f>
        <v/>
      </c>
      <c r="L18" s="1" t="n">
        <v>0</v>
      </c>
      <c r="M18" s="2" t="n">
        <v>0</v>
      </c>
      <c r="N18" s="2" t="n">
        <v>0</v>
      </c>
      <c r="O18" s="2" t="n">
        <v>0</v>
      </c>
      <c r="P18" s="2" t="n">
        <v>0</v>
      </c>
      <c r="Q18" s="2" t="n">
        <v>0</v>
      </c>
      <c r="R18" s="75">
        <f>SUM(L18:Q18)</f>
        <v/>
      </c>
      <c r="S18" s="115">
        <f>IF(E18=0,"***",L18/E18)</f>
        <v/>
      </c>
      <c r="T18" s="116">
        <f>IF(F18=0,"***",M18/F18)</f>
        <v/>
      </c>
      <c r="U18" s="116">
        <f>IF(G18=0,"***",N18/G18)</f>
        <v/>
      </c>
      <c r="V18" s="116">
        <f>IF(H18=0,"***",O18/H18)</f>
        <v/>
      </c>
      <c r="W18" s="116">
        <f>IF(I18=0,"***",P18/I18)</f>
        <v/>
      </c>
      <c r="X18" s="116">
        <f>IF(J18=0,"***",Q18/J18)</f>
        <v/>
      </c>
      <c r="Y18" s="117">
        <f>IF(K18=0,"***",R18/K18)</f>
        <v/>
      </c>
    </row>
    <row r="19">
      <c r="C19" s="73" t="inlineStr">
        <is>
          <t>0039 集計</t>
        </is>
      </c>
      <c r="D19" s="71" t="inlineStr">
        <is>
          <t>その他</t>
        </is>
      </c>
      <c r="E19" s="2" t="n">
        <v>21</v>
      </c>
      <c r="F19" s="2" t="n">
        <v>0</v>
      </c>
      <c r="G19" s="2" t="n">
        <v>0</v>
      </c>
      <c r="H19" s="2" t="n">
        <v>0</v>
      </c>
      <c r="I19" s="2" t="n">
        <v>0</v>
      </c>
      <c r="J19" s="2" t="n">
        <v>0</v>
      </c>
      <c r="K19" s="79">
        <f>SUM(E19:J19)</f>
        <v/>
      </c>
      <c r="L19" s="1" t="n">
        <v>5</v>
      </c>
      <c r="M19" s="2" t="n">
        <v>0</v>
      </c>
      <c r="N19" s="2" t="n">
        <v>0</v>
      </c>
      <c r="O19" s="2" t="n">
        <v>0</v>
      </c>
      <c r="P19" s="2" t="n">
        <v>0</v>
      </c>
      <c r="Q19" s="2" t="n">
        <v>0</v>
      </c>
      <c r="R19" s="75">
        <f>SUM(L19:Q19)</f>
        <v/>
      </c>
      <c r="S19" s="115">
        <f>IF(E19=0,"***",L19/E19)</f>
        <v/>
      </c>
      <c r="T19" s="116">
        <f>IF(F19=0,"***",M19/F19)</f>
        <v/>
      </c>
      <c r="U19" s="116">
        <f>IF(G19=0,"***",N19/G19)</f>
        <v/>
      </c>
      <c r="V19" s="116">
        <f>IF(H19=0,"***",O19/H19)</f>
        <v/>
      </c>
      <c r="W19" s="116">
        <f>IF(I19=0,"***",P19/I19)</f>
        <v/>
      </c>
      <c r="X19" s="116">
        <f>IF(J19=0,"***",Q19/J19)</f>
        <v/>
      </c>
      <c r="Y19" s="117">
        <f>IF(K19=0,"***",R19/K19)</f>
        <v/>
      </c>
    </row>
    <row r="20">
      <c r="C20" s="3" t="inlineStr">
        <is>
          <t>合計</t>
        </is>
      </c>
      <c r="D20" s="72" t="n"/>
      <c r="E20" s="63">
        <f>SUM(E15:E19)</f>
        <v/>
      </c>
      <c r="F20" s="63">
        <f>SUM(F15:F19)</f>
        <v/>
      </c>
      <c r="G20" s="63">
        <f>SUM(G15:G19)</f>
        <v/>
      </c>
      <c r="H20" s="63">
        <f>SUM(H15:H19)</f>
        <v/>
      </c>
      <c r="I20" s="63">
        <f>SUM(I15:I19)</f>
        <v/>
      </c>
      <c r="J20" s="63">
        <f>SUM(J15:J19)</f>
        <v/>
      </c>
      <c r="K20" s="80">
        <f>SUM(E20:J20)</f>
        <v/>
      </c>
      <c r="L20" s="76">
        <f>SUM(L15:L19)</f>
        <v/>
      </c>
      <c r="M20" s="63">
        <f>SUM(M15:M19)</f>
        <v/>
      </c>
      <c r="N20" s="63">
        <f>SUM(N15:N19)</f>
        <v/>
      </c>
      <c r="O20" s="63">
        <f>SUM(O15:O19)</f>
        <v/>
      </c>
      <c r="P20" s="63">
        <f>SUM(P15:P19)</f>
        <v/>
      </c>
      <c r="Q20" s="63">
        <f>SUM(Q15:Q19)</f>
        <v/>
      </c>
      <c r="R20" s="77">
        <f>SUM(L20:Q20)</f>
        <v/>
      </c>
      <c r="S20" s="118">
        <f>IF(E20=0,"***",L20/E20)</f>
        <v/>
      </c>
      <c r="T20" s="119">
        <f>IF(F20=0,"***",M20/F20)</f>
        <v/>
      </c>
      <c r="U20" s="119">
        <f>IF(G20=0,"***",N20/G20)</f>
        <v/>
      </c>
      <c r="V20" s="119">
        <f>IF(H20=0,"***",O20/H20)</f>
        <v/>
      </c>
      <c r="W20" s="119">
        <f>IF(I20=0,"***",P20/I20)</f>
        <v/>
      </c>
      <c r="X20" s="119">
        <f>IF(J20=0,"***",Q20/J20)</f>
        <v/>
      </c>
      <c r="Y20" s="120">
        <f>IF(K20=0,"***",R20/K20)</f>
        <v/>
      </c>
    </row>
    <row r="21">
      <c r="C21" s="6" t="n"/>
      <c r="E21" s="5" t="n"/>
      <c r="F21" s="5" t="n"/>
      <c r="G21" s="5" t="n"/>
      <c r="H21" s="5" t="n"/>
      <c r="I21" s="5" t="n"/>
      <c r="J21" s="5" t="n"/>
      <c r="K21" s="6" t="n"/>
      <c r="L21" s="5" t="n"/>
      <c r="M21" s="5" t="n"/>
      <c r="N21" s="5" t="n"/>
      <c r="O21" s="5" t="n"/>
      <c r="P21" s="5" t="n"/>
      <c r="Q21" s="5" t="n"/>
      <c r="R21" s="6" t="n"/>
      <c r="S21" s="121" t="n"/>
      <c r="T21" s="121" t="n"/>
      <c r="U21" s="121" t="n"/>
      <c r="V21" s="121" t="n"/>
      <c r="W21" s="121" t="n"/>
      <c r="X21" s="121" t="n"/>
      <c r="Y21" s="121" t="n"/>
    </row>
    <row r="22">
      <c r="C22" s="6" t="inlineStr">
        <is>
          <t>3．過年度平均</t>
        </is>
      </c>
    </row>
    <row r="23">
      <c r="C23" s="87" t="n"/>
      <c r="D23" s="88" t="n"/>
      <c r="E23" s="92" t="inlineStr">
        <is>
          <t>売上</t>
        </is>
      </c>
      <c r="F23" s="90" t="n"/>
      <c r="G23" s="90" t="n"/>
      <c r="H23" s="90" t="n"/>
      <c r="I23" s="90" t="n"/>
      <c r="J23" s="90" t="n"/>
      <c r="K23" s="90" t="n"/>
      <c r="L23" s="91" t="inlineStr">
        <is>
          <t>粗利益</t>
        </is>
      </c>
      <c r="M23" s="90" t="n"/>
      <c r="N23" s="90" t="n"/>
      <c r="O23" s="90" t="n"/>
      <c r="P23" s="90" t="n"/>
      <c r="Q23" s="90" t="n"/>
      <c r="R23" s="88" t="n"/>
      <c r="S23" s="91" t="inlineStr">
        <is>
          <t>粗利益率</t>
        </is>
      </c>
      <c r="T23" s="90" t="n"/>
      <c r="U23" s="90" t="n"/>
      <c r="V23" s="90" t="n"/>
      <c r="W23" s="90" t="n"/>
      <c r="X23" s="90" t="n"/>
      <c r="Y23" s="88" t="n"/>
    </row>
    <row r="24">
      <c r="C24" s="61" t="n"/>
      <c r="D24" s="70" t="n"/>
      <c r="E24" s="74" t="n">
        <v>45748</v>
      </c>
      <c r="F24" s="62" t="n">
        <v>45778</v>
      </c>
      <c r="G24" s="62" t="n">
        <v>45809</v>
      </c>
      <c r="H24" s="62" t="n">
        <v>45839</v>
      </c>
      <c r="I24" s="62" t="n">
        <v>45870</v>
      </c>
      <c r="J24" s="62" t="n">
        <v>45901</v>
      </c>
      <c r="K24" s="64" t="inlineStr">
        <is>
          <t>合計</t>
        </is>
      </c>
      <c r="L24" s="74" t="n">
        <v>45748</v>
      </c>
      <c r="M24" s="62" t="n">
        <v>45778</v>
      </c>
      <c r="N24" s="62" t="n">
        <v>45809</v>
      </c>
      <c r="O24" s="62" t="n">
        <v>45839</v>
      </c>
      <c r="P24" s="62" t="n">
        <v>45870</v>
      </c>
      <c r="Q24" s="62" t="n">
        <v>45901</v>
      </c>
      <c r="R24" s="64" t="inlineStr">
        <is>
          <t>合計</t>
        </is>
      </c>
      <c r="S24" s="74" t="n">
        <v>45748</v>
      </c>
      <c r="T24" s="62" t="n">
        <v>45778</v>
      </c>
      <c r="U24" s="62" t="n">
        <v>45809</v>
      </c>
      <c r="V24" s="62" t="n">
        <v>45839</v>
      </c>
      <c r="W24" s="62" t="n">
        <v>45870</v>
      </c>
      <c r="X24" s="62" t="n">
        <v>45901</v>
      </c>
      <c r="Y24" s="64" t="inlineStr">
        <is>
          <t>合計</t>
        </is>
      </c>
    </row>
    <row r="25">
      <c r="C25" s="73" t="inlineStr">
        <is>
          <t>0032 集計</t>
        </is>
      </c>
      <c r="D25" s="71" t="inlineStr">
        <is>
          <t>飯塚主任</t>
        </is>
      </c>
      <c r="E25" s="2">
        <f>(E15+E5)/2</f>
        <v/>
      </c>
      <c r="F25" s="2">
        <f>(F15+F5)/2</f>
        <v/>
      </c>
      <c r="G25" s="2">
        <f>(G15+G5)/2</f>
        <v/>
      </c>
      <c r="H25" s="2">
        <f>(H15+H5)/2</f>
        <v/>
      </c>
      <c r="I25" s="2">
        <f>(I15+I5)/2</f>
        <v/>
      </c>
      <c r="J25" s="2">
        <f>(J15+J5)/2</f>
        <v/>
      </c>
      <c r="K25" s="79">
        <f>SUM(E25:J25)</f>
        <v/>
      </c>
      <c r="L25" s="1">
        <f>(L15+L5)/2</f>
        <v/>
      </c>
      <c r="M25" s="2">
        <f>(M15+M5)/2</f>
        <v/>
      </c>
      <c r="N25" s="2">
        <f>(N15+N5)/2</f>
        <v/>
      </c>
      <c r="O25" s="2">
        <f>(O15+O5)/2</f>
        <v/>
      </c>
      <c r="P25" s="2">
        <f>(P15+P5)/2</f>
        <v/>
      </c>
      <c r="Q25" s="2">
        <f>(Q15+Q5)/2</f>
        <v/>
      </c>
      <c r="R25" s="75">
        <f>SUM(L25:Q25)</f>
        <v/>
      </c>
      <c r="S25" s="115">
        <f>IF(E25=0,"***",L25/E25)</f>
        <v/>
      </c>
      <c r="T25" s="116">
        <f>IF(F25=0,"***",M25/F25)</f>
        <v/>
      </c>
      <c r="U25" s="116">
        <f>IF(G25=0,"***",N25/G25)</f>
        <v/>
      </c>
      <c r="V25" s="116">
        <f>IF(H25=0,"***",O25/H25)</f>
        <v/>
      </c>
      <c r="W25" s="116">
        <f>IF(I25=0,"***",P25/I25)</f>
        <v/>
      </c>
      <c r="X25" s="116">
        <f>IF(J25=0,"***",Q25/J25)</f>
        <v/>
      </c>
      <c r="Y25" s="117">
        <f>IF(K25=0,"***",R25/K25)</f>
        <v/>
      </c>
    </row>
    <row r="26">
      <c r="C26" s="73" t="inlineStr">
        <is>
          <t>0033 集計</t>
        </is>
      </c>
      <c r="D26" s="60" t="inlineStr">
        <is>
          <t>前田課長代</t>
        </is>
      </c>
      <c r="E26" s="2">
        <f>(E16+E6)/2</f>
        <v/>
      </c>
      <c r="F26" s="2">
        <f>(F16+F6)/2</f>
        <v/>
      </c>
      <c r="G26" s="2">
        <f>(G16+G6)/2</f>
        <v/>
      </c>
      <c r="H26" s="2">
        <f>(H16+H6)/2</f>
        <v/>
      </c>
      <c r="I26" s="2">
        <f>(I16+I6)/2</f>
        <v/>
      </c>
      <c r="J26" s="2">
        <f>(J16+J6)/2</f>
        <v/>
      </c>
      <c r="K26" s="79">
        <f>SUM(E26:J26)</f>
        <v/>
      </c>
      <c r="L26" s="1">
        <f>(L16+L6)/2</f>
        <v/>
      </c>
      <c r="M26" s="2">
        <f>(M16+M6)/2</f>
        <v/>
      </c>
      <c r="N26" s="2">
        <f>(N16+N6)/2</f>
        <v/>
      </c>
      <c r="O26" s="2">
        <f>(O16+O6)/2</f>
        <v/>
      </c>
      <c r="P26" s="2">
        <f>(P16+P6)/2</f>
        <v/>
      </c>
      <c r="Q26" s="2">
        <f>(Q16+Q6)/2</f>
        <v/>
      </c>
      <c r="R26" s="75">
        <f>SUM(L26:Q26)</f>
        <v/>
      </c>
      <c r="S26" s="115">
        <f>IF(E26=0,"***",L26/E26)</f>
        <v/>
      </c>
      <c r="T26" s="116">
        <f>IF(F26=0,"***",M26/F26)</f>
        <v/>
      </c>
      <c r="U26" s="116">
        <f>IF(G26=0,"***",N26/G26)</f>
        <v/>
      </c>
      <c r="V26" s="116">
        <f>IF(H26=0,"***",O26/H26)</f>
        <v/>
      </c>
      <c r="W26" s="116">
        <f>IF(I26=0,"***",P26/I26)</f>
        <v/>
      </c>
      <c r="X26" s="116">
        <f>IF(J26=0,"***",Q26/J26)</f>
        <v/>
      </c>
      <c r="Y26" s="117">
        <f>IF(K26=0,"***",R26/K26)</f>
        <v/>
      </c>
    </row>
    <row r="27">
      <c r="C27" s="73" t="inlineStr">
        <is>
          <t>0034 集計</t>
        </is>
      </c>
      <c r="D27" s="71" t="inlineStr">
        <is>
          <t>原田</t>
        </is>
      </c>
      <c r="E27" s="2">
        <f>(E17+E7)/2</f>
        <v/>
      </c>
      <c r="F27" s="2">
        <f>(F17+F7)/2</f>
        <v/>
      </c>
      <c r="G27" s="2">
        <f>(G17+G7)/2</f>
        <v/>
      </c>
      <c r="H27" s="2">
        <f>(H17+H7)/2</f>
        <v/>
      </c>
      <c r="I27" s="2">
        <f>(I17+I7)/2</f>
        <v/>
      </c>
      <c r="J27" s="2">
        <f>(J17+J7)/2</f>
        <v/>
      </c>
      <c r="K27" s="79">
        <f>SUM(E27:J27)</f>
        <v/>
      </c>
      <c r="L27" s="1">
        <f>(L17+L7)/2</f>
        <v/>
      </c>
      <c r="M27" s="2">
        <f>(M17+M7)/2</f>
        <v/>
      </c>
      <c r="N27" s="2">
        <f>(N17+N7)/2</f>
        <v/>
      </c>
      <c r="O27" s="2">
        <f>(O17+O7)/2</f>
        <v/>
      </c>
      <c r="P27" s="2">
        <f>(P17+P7)/2</f>
        <v/>
      </c>
      <c r="Q27" s="2">
        <f>(Q17+Q7)/2</f>
        <v/>
      </c>
      <c r="R27" s="75">
        <f>SUM(L27:Q27)</f>
        <v/>
      </c>
      <c r="S27" s="115">
        <f>IF(E27=0,"***",L27/E27)</f>
        <v/>
      </c>
      <c r="T27" s="116">
        <f>IF(F27=0,"***",M27/F27)</f>
        <v/>
      </c>
      <c r="U27" s="116">
        <f>IF(G27=0,"***",N27/G27)</f>
        <v/>
      </c>
      <c r="V27" s="116">
        <f>IF(H27=0,"***",O27/H27)</f>
        <v/>
      </c>
      <c r="W27" s="116">
        <f>IF(I27=0,"***",P27/I27)</f>
        <v/>
      </c>
      <c r="X27" s="116">
        <f>IF(J27=0,"***",Q27/J27)</f>
        <v/>
      </c>
      <c r="Y27" s="117">
        <f>IF(K27=0,"***",R27/K27)</f>
        <v/>
      </c>
    </row>
    <row r="28">
      <c r="C28" s="73" t="inlineStr">
        <is>
          <t>0035 集計</t>
        </is>
      </c>
      <c r="D28" s="71" t="inlineStr">
        <is>
          <t>自治体</t>
        </is>
      </c>
      <c r="E28" s="2">
        <f>(E18+E8)/2</f>
        <v/>
      </c>
      <c r="F28" s="2">
        <f>(F18+F8)/2</f>
        <v/>
      </c>
      <c r="G28" s="2">
        <f>(G18+G8)/2</f>
        <v/>
      </c>
      <c r="H28" s="2">
        <f>(H18+H8)/2</f>
        <v/>
      </c>
      <c r="I28" s="2">
        <f>(I18+I8)/2</f>
        <v/>
      </c>
      <c r="J28" s="2">
        <f>(J18+J8)/2</f>
        <v/>
      </c>
      <c r="K28" s="79">
        <f>SUM(E28:J28)</f>
        <v/>
      </c>
      <c r="L28" s="1">
        <f>(L18+L8)/2</f>
        <v/>
      </c>
      <c r="M28" s="2">
        <f>(M18+M8)/2</f>
        <v/>
      </c>
      <c r="N28" s="2">
        <f>(N18+N8)/2</f>
        <v/>
      </c>
      <c r="O28" s="2">
        <f>(O18+O8)/2</f>
        <v/>
      </c>
      <c r="P28" s="2">
        <f>(P18+P8)/2</f>
        <v/>
      </c>
      <c r="Q28" s="2">
        <f>(Q18+Q8)/2</f>
        <v/>
      </c>
      <c r="R28" s="75">
        <f>SUM(L28:Q28)</f>
        <v/>
      </c>
      <c r="S28" s="115">
        <f>IF(E28=0,"***",L28/E28)</f>
        <v/>
      </c>
      <c r="T28" s="116">
        <f>IF(F28=0,"***",M28/F28)</f>
        <v/>
      </c>
      <c r="U28" s="116">
        <f>IF(G28=0,"***",N28/G28)</f>
        <v/>
      </c>
      <c r="V28" s="116">
        <f>IF(H28=0,"***",O28/H28)</f>
        <v/>
      </c>
      <c r="W28" s="116">
        <f>IF(I28=0,"***",P28/I28)</f>
        <v/>
      </c>
      <c r="X28" s="116">
        <f>IF(J28=0,"***",Q28/J28)</f>
        <v/>
      </c>
      <c r="Y28" s="117">
        <f>IF(K28=0,"***",R28/K28)</f>
        <v/>
      </c>
    </row>
    <row r="29">
      <c r="C29" s="73" t="inlineStr">
        <is>
          <t>0039 集計</t>
        </is>
      </c>
      <c r="D29" s="71" t="inlineStr">
        <is>
          <t>その他</t>
        </is>
      </c>
      <c r="E29" s="2">
        <f>(E19+E9)/2</f>
        <v/>
      </c>
      <c r="F29" s="2">
        <f>(F19+F9)/2</f>
        <v/>
      </c>
      <c r="G29" s="2">
        <f>(G19+G9)/2</f>
        <v/>
      </c>
      <c r="H29" s="2">
        <f>(H19+H9)/2</f>
        <v/>
      </c>
      <c r="I29" s="2">
        <f>(I19+I9)/2</f>
        <v/>
      </c>
      <c r="J29" s="2">
        <f>(J19+J9)/2</f>
        <v/>
      </c>
      <c r="K29" s="79">
        <f>SUM(E29:J29)</f>
        <v/>
      </c>
      <c r="L29" s="1">
        <f>(L19+L9)/2</f>
        <v/>
      </c>
      <c r="M29" s="2">
        <f>(M19+M9)/2</f>
        <v/>
      </c>
      <c r="N29" s="2">
        <f>(N19+N9)/2</f>
        <v/>
      </c>
      <c r="O29" s="2">
        <f>(O19+O9)/2</f>
        <v/>
      </c>
      <c r="P29" s="2">
        <f>(P19+P9)/2</f>
        <v/>
      </c>
      <c r="Q29" s="2">
        <f>(Q19+Q9)/2</f>
        <v/>
      </c>
      <c r="R29" s="75">
        <f>SUM(L29:Q29)</f>
        <v/>
      </c>
      <c r="S29" s="115">
        <f>IF(E29=0,"***",L29/E29)</f>
        <v/>
      </c>
      <c r="T29" s="116">
        <f>IF(F29=0,"***",M29/F29)</f>
        <v/>
      </c>
      <c r="U29" s="116">
        <f>IF(G29=0,"***",N29/G29)</f>
        <v/>
      </c>
      <c r="V29" s="116">
        <f>IF(H29=0,"***",O29/H29)</f>
        <v/>
      </c>
      <c r="W29" s="116">
        <f>IF(I29=0,"***",P29/I29)</f>
        <v/>
      </c>
      <c r="X29" s="116">
        <f>IF(J29=0,"***",Q29/J29)</f>
        <v/>
      </c>
      <c r="Y29" s="117">
        <f>IF(K29=0,"***",R29/K29)</f>
        <v/>
      </c>
    </row>
    <row r="30">
      <c r="C30" s="3" t="inlineStr">
        <is>
          <t>合計</t>
        </is>
      </c>
      <c r="D30" s="72" t="n"/>
      <c r="E30" s="63">
        <f>SUM(E25:E29)</f>
        <v/>
      </c>
      <c r="F30" s="63">
        <f>SUM(F25:F29)</f>
        <v/>
      </c>
      <c r="G30" s="63">
        <f>SUM(G25:G29)</f>
        <v/>
      </c>
      <c r="H30" s="63">
        <f>SUM(H25:H29)</f>
        <v/>
      </c>
      <c r="I30" s="63">
        <f>SUM(I25:I29)</f>
        <v/>
      </c>
      <c r="J30" s="63">
        <f>SUM(J25:J29)</f>
        <v/>
      </c>
      <c r="K30" s="80">
        <f>SUM(E30:J30)</f>
        <v/>
      </c>
      <c r="L30" s="76">
        <f>SUM(L25:L29)</f>
        <v/>
      </c>
      <c r="M30" s="63">
        <f>SUM(M25:M29)</f>
        <v/>
      </c>
      <c r="N30" s="63">
        <f>SUM(N25:N29)</f>
        <v/>
      </c>
      <c r="O30" s="63">
        <f>SUM(O25:O29)</f>
        <v/>
      </c>
      <c r="P30" s="63">
        <f>SUM(P25:P29)</f>
        <v/>
      </c>
      <c r="Q30" s="63">
        <f>SUM(Q25:Q29)</f>
        <v/>
      </c>
      <c r="R30" s="77">
        <f>SUM(L30:Q30)</f>
        <v/>
      </c>
      <c r="S30" s="118">
        <f>IF(E30=0,"***",L30/E30)</f>
        <v/>
      </c>
      <c r="T30" s="119">
        <f>IF(F30=0,"***",M30/F30)</f>
        <v/>
      </c>
      <c r="U30" s="119">
        <f>IF(G30=0,"***",N30/G30)</f>
        <v/>
      </c>
      <c r="V30" s="119">
        <f>IF(H30=0,"***",O30/H30)</f>
        <v/>
      </c>
      <c r="W30" s="119">
        <f>IF(I30=0,"***",P30/I30)</f>
        <v/>
      </c>
      <c r="X30" s="119">
        <f>IF(J30=0,"***",Q30/J30)</f>
        <v/>
      </c>
      <c r="Y30" s="120">
        <f>IF(K30=0,"***",R30/K30)</f>
        <v/>
      </c>
    </row>
    <row r="31">
      <c r="C31" s="6" t="n"/>
      <c r="E31" s="5" t="n"/>
      <c r="F31" s="5" t="n"/>
      <c r="G31" s="5" t="n"/>
      <c r="H31" s="5" t="n"/>
      <c r="I31" s="5" t="n"/>
      <c r="J31" s="5" t="n"/>
      <c r="K31" s="6" t="n"/>
      <c r="L31" s="5" t="n"/>
      <c r="M31" s="5" t="n"/>
      <c r="N31" s="5" t="n"/>
      <c r="O31" s="5" t="n"/>
      <c r="P31" s="5" t="n"/>
      <c r="Q31" s="5" t="n"/>
      <c r="R31" s="6" t="n"/>
      <c r="S31" s="121" t="n"/>
      <c r="T31" s="121" t="n"/>
      <c r="U31" s="121" t="n"/>
      <c r="V31" s="121" t="n"/>
      <c r="W31" s="121" t="n"/>
      <c r="X31" s="121" t="n"/>
      <c r="Y31" s="121" t="n"/>
    </row>
    <row r="32">
      <c r="C32" s="6" t="inlineStr">
        <is>
          <t>4．計画</t>
        </is>
      </c>
    </row>
    <row r="33">
      <c r="C33" s="87" t="n"/>
      <c r="D33" s="88" t="n"/>
      <c r="E33" s="87" t="inlineStr">
        <is>
          <t>売上</t>
        </is>
      </c>
      <c r="F33" s="90" t="n"/>
      <c r="G33" s="90" t="n"/>
      <c r="H33" s="90" t="n"/>
      <c r="I33" s="90" t="n"/>
      <c r="J33" s="90" t="n"/>
      <c r="K33" s="88" t="n"/>
      <c r="L33" s="89" t="inlineStr">
        <is>
          <t>粗利益</t>
        </is>
      </c>
      <c r="M33" s="90" t="n"/>
      <c r="N33" s="90" t="n"/>
      <c r="O33" s="90" t="n"/>
      <c r="P33" s="90" t="n"/>
      <c r="Q33" s="90" t="n"/>
      <c r="R33" s="88" t="n"/>
      <c r="S33" s="89" t="inlineStr">
        <is>
          <t>粗利益率</t>
        </is>
      </c>
      <c r="T33" s="90" t="n"/>
      <c r="U33" s="90" t="n"/>
      <c r="V33" s="90" t="n"/>
      <c r="W33" s="90" t="n"/>
      <c r="X33" s="90" t="n"/>
      <c r="Y33" s="88" t="n"/>
    </row>
    <row r="34">
      <c r="C34" s="61" t="n"/>
      <c r="D34" s="70" t="n"/>
      <c r="E34" s="74" t="n">
        <v>46113</v>
      </c>
      <c r="F34" s="62" t="n">
        <v>46143</v>
      </c>
      <c r="G34" s="62" t="n">
        <v>46174</v>
      </c>
      <c r="H34" s="62" t="n">
        <v>46204</v>
      </c>
      <c r="I34" s="62" t="n">
        <v>46235</v>
      </c>
      <c r="J34" s="62" t="n">
        <v>46266</v>
      </c>
      <c r="K34" s="64" t="inlineStr">
        <is>
          <t>合計</t>
        </is>
      </c>
      <c r="L34" s="83" t="n">
        <v>46113</v>
      </c>
      <c r="M34" s="62" t="n">
        <v>46143</v>
      </c>
      <c r="N34" s="62" t="n">
        <v>46174</v>
      </c>
      <c r="O34" s="62" t="n">
        <v>46204</v>
      </c>
      <c r="P34" s="62" t="n">
        <v>46235</v>
      </c>
      <c r="Q34" s="62" t="n">
        <v>46266</v>
      </c>
      <c r="R34" s="64" t="inlineStr">
        <is>
          <t>合計</t>
        </is>
      </c>
      <c r="S34" s="83" t="n">
        <v>46113</v>
      </c>
      <c r="T34" s="62" t="n">
        <v>46143</v>
      </c>
      <c r="U34" s="62" t="n">
        <v>46174</v>
      </c>
      <c r="V34" s="62" t="n">
        <v>46204</v>
      </c>
      <c r="W34" s="62" t="n">
        <v>46235</v>
      </c>
      <c r="X34" s="62" t="n">
        <v>46266</v>
      </c>
      <c r="Y34" s="64" t="inlineStr">
        <is>
          <t>合計</t>
        </is>
      </c>
    </row>
    <row r="35">
      <c r="C35" s="73" t="inlineStr">
        <is>
          <t>0032 集計</t>
        </is>
      </c>
      <c r="D35" s="71" t="inlineStr">
        <is>
          <t>飯塚主任</t>
        </is>
      </c>
      <c r="E35" s="39" t="n">
        <v>200</v>
      </c>
      <c r="F35" s="39" t="n">
        <v>200</v>
      </c>
      <c r="G35" s="39" t="n">
        <v>200</v>
      </c>
      <c r="H35" s="39" t="n">
        <v>200</v>
      </c>
      <c r="I35" s="39" t="n">
        <v>200</v>
      </c>
      <c r="J35" s="39" t="n">
        <v>200</v>
      </c>
      <c r="K35" s="79">
        <f>SUM(E35:J35)</f>
        <v/>
      </c>
      <c r="L35" s="58" t="n">
        <v>50</v>
      </c>
      <c r="M35" s="39" t="n">
        <v>50</v>
      </c>
      <c r="N35" s="39" t="n">
        <v>50</v>
      </c>
      <c r="O35" s="39" t="n">
        <v>50</v>
      </c>
      <c r="P35" s="39" t="n">
        <v>50</v>
      </c>
      <c r="Q35" s="39" t="n">
        <v>50</v>
      </c>
      <c r="R35" s="75">
        <f>SUM(L35:Q35)</f>
        <v/>
      </c>
      <c r="S35" s="115">
        <f>IF(E35=0,"***",L35/E35)</f>
        <v/>
      </c>
      <c r="T35" s="116">
        <f>IF(F35=0,"***",M35/F35)</f>
        <v/>
      </c>
      <c r="U35" s="116">
        <f>IF(G35=0,"***",N35/G35)</f>
        <v/>
      </c>
      <c r="V35" s="116">
        <f>IF(H35=0,"***",O35/H35)</f>
        <v/>
      </c>
      <c r="W35" s="116">
        <f>IF(I35=0,"***",P35/I35)</f>
        <v/>
      </c>
      <c r="X35" s="116">
        <f>IF(J35=0,"***",Q35/J35)</f>
        <v/>
      </c>
      <c r="Y35" s="117">
        <f>IF(K35=0,"***",R35/K35)</f>
        <v/>
      </c>
    </row>
    <row r="36">
      <c r="C36" s="73" t="inlineStr">
        <is>
          <t>0033 集計</t>
        </is>
      </c>
      <c r="D36" s="60" t="inlineStr">
        <is>
          <t>前田課長代</t>
        </is>
      </c>
      <c r="E36" s="39" t="n">
        <v>200</v>
      </c>
      <c r="F36" s="39" t="n">
        <v>200</v>
      </c>
      <c r="G36" s="39" t="n">
        <v>200</v>
      </c>
      <c r="H36" s="39" t="n">
        <v>1100</v>
      </c>
      <c r="I36" s="39" t="n">
        <v>200</v>
      </c>
      <c r="J36" s="39" t="n">
        <v>200</v>
      </c>
      <c r="K36" s="79">
        <f>SUM(E36:J36)</f>
        <v/>
      </c>
      <c r="L36" s="58" t="n">
        <v>50</v>
      </c>
      <c r="M36" s="39" t="n">
        <v>50</v>
      </c>
      <c r="N36" s="39" t="n">
        <v>50</v>
      </c>
      <c r="O36" s="39" t="n">
        <v>140</v>
      </c>
      <c r="P36" s="39" t="n">
        <v>50</v>
      </c>
      <c r="Q36" s="39" t="n">
        <v>50</v>
      </c>
      <c r="R36" s="75">
        <f>SUM(L36:Q36)</f>
        <v/>
      </c>
      <c r="S36" s="115">
        <f>IF(E36=0,"***",L36/E36)</f>
        <v/>
      </c>
      <c r="T36" s="116">
        <f>IF(F36=0,"***",M36/F36)</f>
        <v/>
      </c>
      <c r="U36" s="116">
        <f>IF(G36=0,"***",N36/G36)</f>
        <v/>
      </c>
      <c r="V36" s="116">
        <f>IF(H36=0,"***",O36/H36)</f>
        <v/>
      </c>
      <c r="W36" s="116">
        <f>IF(I36=0,"***",P36/I36)</f>
        <v/>
      </c>
      <c r="X36" s="116">
        <f>IF(J36=0,"***",Q36/J36)</f>
        <v/>
      </c>
      <c r="Y36" s="117">
        <f>IF(K36=0,"***",R36/K36)</f>
        <v/>
      </c>
    </row>
    <row r="37">
      <c r="C37" s="73" t="inlineStr">
        <is>
          <t>0034 集計</t>
        </is>
      </c>
      <c r="D37" s="71" t="inlineStr">
        <is>
          <t>原田</t>
        </is>
      </c>
      <c r="E37" s="39" t="n">
        <v>100</v>
      </c>
      <c r="F37" s="39" t="n">
        <v>100</v>
      </c>
      <c r="G37" s="39" t="n">
        <v>100</v>
      </c>
      <c r="H37" s="39" t="n">
        <v>100</v>
      </c>
      <c r="I37" s="39" t="n">
        <v>100</v>
      </c>
      <c r="J37" s="39" t="n">
        <v>100</v>
      </c>
      <c r="K37" s="79">
        <f>SUM(E37:J37)</f>
        <v/>
      </c>
      <c r="L37" s="58" t="n">
        <v>20</v>
      </c>
      <c r="M37" s="39" t="n">
        <v>20</v>
      </c>
      <c r="N37" s="39" t="n">
        <v>20</v>
      </c>
      <c r="O37" s="39" t="n">
        <v>20</v>
      </c>
      <c r="P37" s="39" t="n">
        <v>20</v>
      </c>
      <c r="Q37" s="39" t="n">
        <v>20</v>
      </c>
      <c r="R37" s="75">
        <f>SUM(L37:Q37)</f>
        <v/>
      </c>
      <c r="S37" s="115">
        <f>IF(E37=0,"***",L37/E37)</f>
        <v/>
      </c>
      <c r="T37" s="116">
        <f>IF(F37=0,"***",M37/F37)</f>
        <v/>
      </c>
      <c r="U37" s="116">
        <f>IF(G37=0,"***",N37/G37)</f>
        <v/>
      </c>
      <c r="V37" s="116">
        <f>IF(H37=0,"***",O37/H37)</f>
        <v/>
      </c>
      <c r="W37" s="116">
        <f>IF(I37=0,"***",P37/I37)</f>
        <v/>
      </c>
      <c r="X37" s="116">
        <f>IF(J37=0,"***",Q37/J37)</f>
        <v/>
      </c>
      <c r="Y37" s="117">
        <f>IF(K37=0,"***",R37/K37)</f>
        <v/>
      </c>
    </row>
    <row r="38">
      <c r="C38" s="73" t="inlineStr">
        <is>
          <t>0035 集計</t>
        </is>
      </c>
      <c r="D38" s="71" t="inlineStr">
        <is>
          <t>自治体</t>
        </is>
      </c>
      <c r="E38" s="39" t="n"/>
      <c r="F38" s="39" t="n"/>
      <c r="G38" s="39" t="n"/>
      <c r="H38" s="39" t="n"/>
      <c r="I38" s="39" t="n"/>
      <c r="J38" s="39" t="n"/>
      <c r="K38" s="79">
        <f>SUM(E38:J38)</f>
        <v/>
      </c>
      <c r="L38" s="58" t="n"/>
      <c r="M38" s="39" t="n"/>
      <c r="N38" s="39" t="n"/>
      <c r="O38" s="39" t="n"/>
      <c r="P38" s="39" t="n"/>
      <c r="Q38" s="39" t="n"/>
      <c r="R38" s="75">
        <f>SUM(L38:Q38)</f>
        <v/>
      </c>
      <c r="S38" s="115">
        <f>IF(E38=0,"***",L38/E38)</f>
        <v/>
      </c>
      <c r="T38" s="116">
        <f>IF(F38=0,"***",M38/F38)</f>
        <v/>
      </c>
      <c r="U38" s="116">
        <f>IF(G38=0,"***",N38/G38)</f>
        <v/>
      </c>
      <c r="V38" s="116">
        <f>IF(H38=0,"***",O38/H38)</f>
        <v/>
      </c>
      <c r="W38" s="116">
        <f>IF(I38=0,"***",P38/I38)</f>
        <v/>
      </c>
      <c r="X38" s="116">
        <f>IF(J38=0,"***",Q38/J38)</f>
        <v/>
      </c>
      <c r="Y38" s="117">
        <f>IF(K38=0,"***",R38/K38)</f>
        <v/>
      </c>
    </row>
    <row r="39">
      <c r="C39" s="73" t="inlineStr">
        <is>
          <t>0039 集計</t>
        </is>
      </c>
      <c r="D39" s="71" t="inlineStr">
        <is>
          <t>その他</t>
        </is>
      </c>
      <c r="E39" s="39" t="n"/>
      <c r="F39" s="39" t="n"/>
      <c r="G39" s="39" t="n"/>
      <c r="H39" s="39" t="n"/>
      <c r="I39" s="39" t="n"/>
      <c r="J39" s="39" t="n"/>
      <c r="K39" s="79">
        <f>SUM(E39:J39)</f>
        <v/>
      </c>
      <c r="L39" s="58" t="n"/>
      <c r="M39" s="39" t="n"/>
      <c r="N39" s="39" t="n"/>
      <c r="O39" s="39" t="n"/>
      <c r="P39" s="39" t="n"/>
      <c r="Q39" s="39" t="n"/>
      <c r="R39" s="75">
        <f>SUM(L39:Q39)</f>
        <v/>
      </c>
      <c r="S39" s="115">
        <f>IF(E39=0,"***",L39/E39)</f>
        <v/>
      </c>
      <c r="T39" s="116">
        <f>IF(F39=0,"***",M39/F39)</f>
        <v/>
      </c>
      <c r="U39" s="116">
        <f>IF(G39=0,"***",N39/G39)</f>
        <v/>
      </c>
      <c r="V39" s="116">
        <f>IF(H39=0,"***",O39/H39)</f>
        <v/>
      </c>
      <c r="W39" s="116">
        <f>IF(I39=0,"***",P39/I39)</f>
        <v/>
      </c>
      <c r="X39" s="116">
        <f>IF(J39=0,"***",Q39/J39)</f>
        <v/>
      </c>
      <c r="Y39" s="117">
        <f>IF(K39=0,"***",R39/K39)</f>
        <v/>
      </c>
    </row>
    <row r="40">
      <c r="C40" s="3" t="inlineStr">
        <is>
          <t>合計</t>
        </is>
      </c>
      <c r="D40" s="72" t="n"/>
      <c r="E40" s="63">
        <f>SUM(E35:E39)</f>
        <v/>
      </c>
      <c r="F40" s="63">
        <f>SUM(F35:F39)</f>
        <v/>
      </c>
      <c r="G40" s="63">
        <f>SUM(G35:G39)</f>
        <v/>
      </c>
      <c r="H40" s="63">
        <f>SUM(H35:H39)</f>
        <v/>
      </c>
      <c r="I40" s="63">
        <f>SUM(I35:I39)</f>
        <v/>
      </c>
      <c r="J40" s="63">
        <f>SUM(J35:J39)</f>
        <v/>
      </c>
      <c r="K40" s="80">
        <f>SUM(E40:J40)</f>
        <v/>
      </c>
      <c r="L40" s="76">
        <f>SUM(L35:L39)</f>
        <v/>
      </c>
      <c r="M40" s="63">
        <f>SUM(M35:M39)</f>
        <v/>
      </c>
      <c r="N40" s="63">
        <f>SUM(N35:N39)</f>
        <v/>
      </c>
      <c r="O40" s="63">
        <f>SUM(O35:O39)</f>
        <v/>
      </c>
      <c r="P40" s="63">
        <f>SUM(P35:P39)</f>
        <v/>
      </c>
      <c r="Q40" s="63">
        <f>SUM(Q35:Q39)</f>
        <v/>
      </c>
      <c r="R40" s="77">
        <f>SUM(L40:Q40)</f>
        <v/>
      </c>
      <c r="S40" s="118">
        <f>IF(E40=0,"***",L40/E40)</f>
        <v/>
      </c>
      <c r="T40" s="119">
        <f>IF(F40=0,"***",M40/F40)</f>
        <v/>
      </c>
      <c r="U40" s="119">
        <f>IF(G40=0,"***",N40/G40)</f>
        <v/>
      </c>
      <c r="V40" s="119">
        <f>IF(H40=0,"***",O40/H40)</f>
        <v/>
      </c>
      <c r="W40" s="119">
        <f>IF(I40=0,"***",P40/I40)</f>
        <v/>
      </c>
      <c r="X40" s="119">
        <f>IF(J40=0,"***",Q40/J40)</f>
        <v/>
      </c>
      <c r="Y40" s="120">
        <f>IF(K40=0,"***",R40/K40)</f>
        <v/>
      </c>
    </row>
    <row r="41" hidden="1" s="97">
      <c r="C41" s="6" t="n"/>
      <c r="E41" s="5" t="n"/>
      <c r="F41" s="5" t="n"/>
      <c r="G41" s="5" t="n"/>
      <c r="H41" s="5" t="n"/>
      <c r="I41" s="5" t="n"/>
      <c r="J41" s="5" t="n"/>
      <c r="K41" s="6" t="n"/>
      <c r="L41" s="5" t="n"/>
      <c r="M41" s="5" t="n"/>
      <c r="N41" s="5" t="n"/>
      <c r="O41" s="5" t="n"/>
      <c r="P41" s="5" t="n"/>
      <c r="Q41" s="5" t="n"/>
      <c r="R41" s="6" t="n"/>
      <c r="S41" s="121" t="n"/>
      <c r="T41" s="121" t="n"/>
      <c r="U41" s="121" t="n"/>
      <c r="V41" s="121" t="n"/>
      <c r="W41" s="121" t="n"/>
      <c r="X41" s="121" t="n"/>
      <c r="Y41" s="121" t="n"/>
    </row>
    <row r="42" hidden="1" s="97">
      <c r="C42" s="6" t="inlineStr">
        <is>
          <t>５．前期比</t>
        </is>
      </c>
    </row>
    <row r="43" hidden="1" s="97">
      <c r="C43" s="87" t="n"/>
      <c r="D43" s="88" t="n"/>
      <c r="E43" s="87" t="inlineStr">
        <is>
          <t>売上</t>
        </is>
      </c>
      <c r="F43" s="90" t="n"/>
      <c r="G43" s="90" t="n"/>
      <c r="H43" s="90" t="n"/>
      <c r="I43" s="90" t="n"/>
      <c r="J43" s="90" t="n"/>
      <c r="K43" s="88" t="n"/>
      <c r="L43" s="89" t="inlineStr">
        <is>
          <t>粗利益</t>
        </is>
      </c>
      <c r="M43" s="90" t="n"/>
      <c r="N43" s="90" t="n"/>
      <c r="O43" s="90" t="n"/>
      <c r="P43" s="90" t="n"/>
      <c r="Q43" s="90" t="n"/>
      <c r="R43" s="88" t="n"/>
      <c r="S43" s="89" t="inlineStr">
        <is>
          <t>粗利益率</t>
        </is>
      </c>
      <c r="T43" s="90" t="n"/>
      <c r="U43" s="90" t="n"/>
      <c r="V43" s="90" t="n"/>
      <c r="W43" s="90" t="n"/>
      <c r="X43" s="90" t="n"/>
      <c r="Y43" s="88" t="n"/>
    </row>
    <row r="44" hidden="1" s="97">
      <c r="C44" s="61" t="n"/>
      <c r="D44" s="70" t="n"/>
      <c r="E44" s="74" t="n">
        <v>46113</v>
      </c>
      <c r="F44" s="62" t="n">
        <v>46143</v>
      </c>
      <c r="G44" s="62" t="n">
        <v>46174</v>
      </c>
      <c r="H44" s="62" t="n">
        <v>46204</v>
      </c>
      <c r="I44" s="62" t="n">
        <v>46235</v>
      </c>
      <c r="J44" s="62" t="n">
        <v>46266</v>
      </c>
      <c r="K44" s="64" t="inlineStr">
        <is>
          <t>合計</t>
        </is>
      </c>
      <c r="L44" s="83" t="n">
        <v>46113</v>
      </c>
      <c r="M44" s="62" t="n">
        <v>46143</v>
      </c>
      <c r="N44" s="62" t="n">
        <v>46174</v>
      </c>
      <c r="O44" s="62" t="n">
        <v>46204</v>
      </c>
      <c r="P44" s="62" t="n">
        <v>46235</v>
      </c>
      <c r="Q44" s="62" t="n">
        <v>46266</v>
      </c>
      <c r="R44" s="64" t="inlineStr">
        <is>
          <t>合計</t>
        </is>
      </c>
      <c r="S44" s="83" t="n">
        <v>46113</v>
      </c>
      <c r="T44" s="62" t="n">
        <v>46143</v>
      </c>
      <c r="U44" s="62" t="n">
        <v>46174</v>
      </c>
      <c r="V44" s="62" t="n">
        <v>46204</v>
      </c>
      <c r="W44" s="62" t="n">
        <v>46235</v>
      </c>
      <c r="X44" s="62" t="n">
        <v>46266</v>
      </c>
      <c r="Y44" s="64" t="inlineStr">
        <is>
          <t>合計</t>
        </is>
      </c>
    </row>
    <row r="45" hidden="1" s="97">
      <c r="C45" s="73" t="inlineStr">
        <is>
          <t>0032 集計</t>
        </is>
      </c>
      <c r="D45" s="71" t="inlineStr">
        <is>
          <t>飯塚主任</t>
        </is>
      </c>
      <c r="E45" s="2">
        <f>E35-E15</f>
        <v/>
      </c>
      <c r="F45" s="2">
        <f>F35-F15</f>
        <v/>
      </c>
      <c r="G45" s="2">
        <f>G35-G15</f>
        <v/>
      </c>
      <c r="H45" s="2">
        <f>H35-H15</f>
        <v/>
      </c>
      <c r="I45" s="2">
        <f>I35-I15</f>
        <v/>
      </c>
      <c r="J45" s="2">
        <f>J35-J15</f>
        <v/>
      </c>
      <c r="K45" s="79">
        <f>SUM(E45:J45)</f>
        <v/>
      </c>
      <c r="L45" s="1">
        <f>L35-L15</f>
        <v/>
      </c>
      <c r="M45" s="2">
        <f>M35-M15</f>
        <v/>
      </c>
      <c r="N45" s="2">
        <f>N35-N15</f>
        <v/>
      </c>
      <c r="O45" s="2">
        <f>O35-O15</f>
        <v/>
      </c>
      <c r="P45" s="2">
        <f>P35-P15</f>
        <v/>
      </c>
      <c r="Q45" s="2">
        <f>Q35-Q15</f>
        <v/>
      </c>
      <c r="R45" s="75">
        <f>SUM(L45:Q45)</f>
        <v/>
      </c>
      <c r="S45" s="115">
        <f>S35-S15</f>
        <v/>
      </c>
      <c r="T45" s="116">
        <f>T35-T15</f>
        <v/>
      </c>
      <c r="U45" s="116">
        <f>U35-U15</f>
        <v/>
      </c>
      <c r="V45" s="116">
        <f>V35-V15</f>
        <v/>
      </c>
      <c r="W45" s="116">
        <f>W35-W15</f>
        <v/>
      </c>
      <c r="X45" s="116">
        <f>X35-X15</f>
        <v/>
      </c>
      <c r="Y45" s="117">
        <f>Y35-Y15</f>
        <v/>
      </c>
    </row>
    <row r="46" hidden="1" s="97">
      <c r="C46" s="73" t="inlineStr">
        <is>
          <t>0033 集計</t>
        </is>
      </c>
      <c r="D46" s="60" t="inlineStr">
        <is>
          <t>前田課長代</t>
        </is>
      </c>
      <c r="E46" s="2">
        <f>E36-E16</f>
        <v/>
      </c>
      <c r="F46" s="2">
        <f>F36-F16</f>
        <v/>
      </c>
      <c r="G46" s="2">
        <f>G36-G16</f>
        <v/>
      </c>
      <c r="H46" s="2">
        <f>H36-H16</f>
        <v/>
      </c>
      <c r="I46" s="2">
        <f>I36-I16</f>
        <v/>
      </c>
      <c r="J46" s="2">
        <f>J36-J16</f>
        <v/>
      </c>
      <c r="K46" s="79">
        <f>SUM(E46:J46)</f>
        <v/>
      </c>
      <c r="L46" s="1">
        <f>L36-L16</f>
        <v/>
      </c>
      <c r="M46" s="2">
        <f>M36-M16</f>
        <v/>
      </c>
      <c r="N46" s="2">
        <f>N36-N16</f>
        <v/>
      </c>
      <c r="O46" s="2">
        <f>O36-O16</f>
        <v/>
      </c>
      <c r="P46" s="2">
        <f>P36-P16</f>
        <v/>
      </c>
      <c r="Q46" s="2">
        <f>Q36-Q16</f>
        <v/>
      </c>
      <c r="R46" s="75">
        <f>SUM(L46:Q46)</f>
        <v/>
      </c>
      <c r="S46" s="115">
        <f>S36-S16</f>
        <v/>
      </c>
      <c r="T46" s="116">
        <f>T36-T16</f>
        <v/>
      </c>
      <c r="U46" s="116">
        <f>U36-U16</f>
        <v/>
      </c>
      <c r="V46" s="116">
        <f>V36-V16</f>
        <v/>
      </c>
      <c r="W46" s="116">
        <f>W36-W16</f>
        <v/>
      </c>
      <c r="X46" s="116">
        <f>X36-X16</f>
        <v/>
      </c>
      <c r="Y46" s="117">
        <f>Y36-Y16</f>
        <v/>
      </c>
    </row>
    <row r="47" hidden="1" s="97">
      <c r="C47" s="73" t="inlineStr">
        <is>
          <t>0034 集計</t>
        </is>
      </c>
      <c r="D47" s="71" t="inlineStr">
        <is>
          <t>原田</t>
        </is>
      </c>
      <c r="E47" s="2">
        <f>E37-E17</f>
        <v/>
      </c>
      <c r="F47" s="2">
        <f>F37-F17</f>
        <v/>
      </c>
      <c r="G47" s="2">
        <f>G37-G17</f>
        <v/>
      </c>
      <c r="H47" s="2">
        <f>H37-H17</f>
        <v/>
      </c>
      <c r="I47" s="2">
        <f>I37-I17</f>
        <v/>
      </c>
      <c r="J47" s="2">
        <f>J37-J17</f>
        <v/>
      </c>
      <c r="K47" s="79">
        <f>SUM(E47:J47)</f>
        <v/>
      </c>
      <c r="L47" s="1">
        <f>L37-L17</f>
        <v/>
      </c>
      <c r="M47" s="2">
        <f>M37-M17</f>
        <v/>
      </c>
      <c r="N47" s="2">
        <f>N37-N17</f>
        <v/>
      </c>
      <c r="O47" s="2">
        <f>O37-O17</f>
        <v/>
      </c>
      <c r="P47" s="2">
        <f>P37-P17</f>
        <v/>
      </c>
      <c r="Q47" s="2">
        <f>Q37-Q17</f>
        <v/>
      </c>
      <c r="R47" s="75">
        <f>SUM(L47:Q47)</f>
        <v/>
      </c>
      <c r="S47" s="115">
        <f>S37-S17</f>
        <v/>
      </c>
      <c r="T47" s="116">
        <f>T37-T17</f>
        <v/>
      </c>
      <c r="U47" s="116">
        <f>U37-U17</f>
        <v/>
      </c>
      <c r="V47" s="116">
        <f>V37-V17</f>
        <v/>
      </c>
      <c r="W47" s="116">
        <f>W37-W17</f>
        <v/>
      </c>
      <c r="X47" s="116">
        <f>X37-X17</f>
        <v/>
      </c>
      <c r="Y47" s="117">
        <f>Y37-Y17</f>
        <v/>
      </c>
    </row>
    <row r="48" hidden="1" s="97">
      <c r="C48" s="73" t="inlineStr">
        <is>
          <t>0035 集計</t>
        </is>
      </c>
      <c r="D48" s="71" t="inlineStr">
        <is>
          <t>自治体</t>
        </is>
      </c>
      <c r="E48" s="2">
        <f>E38-E18</f>
        <v/>
      </c>
      <c r="F48" s="2">
        <f>F38-F18</f>
        <v/>
      </c>
      <c r="G48" s="2">
        <f>G38-G18</f>
        <v/>
      </c>
      <c r="H48" s="2">
        <f>H38-H18</f>
        <v/>
      </c>
      <c r="I48" s="2">
        <f>I38-I18</f>
        <v/>
      </c>
      <c r="J48" s="2">
        <f>J38-J18</f>
        <v/>
      </c>
      <c r="K48" s="79">
        <f>SUM(E48:J48)</f>
        <v/>
      </c>
      <c r="L48" s="1">
        <f>L38-L18</f>
        <v/>
      </c>
      <c r="M48" s="2">
        <f>M38-M18</f>
        <v/>
      </c>
      <c r="N48" s="2">
        <f>N38-N18</f>
        <v/>
      </c>
      <c r="O48" s="2">
        <f>O38-O18</f>
        <v/>
      </c>
      <c r="P48" s="2">
        <f>P38-P18</f>
        <v/>
      </c>
      <c r="Q48" s="2">
        <f>Q38-Q18</f>
        <v/>
      </c>
      <c r="R48" s="75">
        <f>SUM(L48:Q48)</f>
        <v/>
      </c>
      <c r="S48" s="115">
        <f>S38-S18</f>
        <v/>
      </c>
      <c r="T48" s="116">
        <f>T38-T18</f>
        <v/>
      </c>
      <c r="U48" s="116">
        <f>U38-U18</f>
        <v/>
      </c>
      <c r="V48" s="116">
        <f>V38-V18</f>
        <v/>
      </c>
      <c r="W48" s="116">
        <f>W38-W18</f>
        <v/>
      </c>
      <c r="X48" s="116">
        <f>X38-X18</f>
        <v/>
      </c>
      <c r="Y48" s="117">
        <f>Y38-Y18</f>
        <v/>
      </c>
    </row>
    <row r="49" hidden="1" s="97">
      <c r="C49" s="73" t="inlineStr">
        <is>
          <t>0039 集計</t>
        </is>
      </c>
      <c r="D49" s="71" t="inlineStr">
        <is>
          <t>その他</t>
        </is>
      </c>
      <c r="E49" s="2">
        <f>E39-E19</f>
        <v/>
      </c>
      <c r="F49" s="2">
        <f>F39-F19</f>
        <v/>
      </c>
      <c r="G49" s="2">
        <f>G39-G19</f>
        <v/>
      </c>
      <c r="H49" s="2">
        <f>H39-H19</f>
        <v/>
      </c>
      <c r="I49" s="2">
        <f>I39-I19</f>
        <v/>
      </c>
      <c r="J49" s="2">
        <f>J39-J19</f>
        <v/>
      </c>
      <c r="K49" s="79">
        <f>SUM(E49:J49)</f>
        <v/>
      </c>
      <c r="L49" s="1">
        <f>L39-L19</f>
        <v/>
      </c>
      <c r="M49" s="2">
        <f>M39-M19</f>
        <v/>
      </c>
      <c r="N49" s="2">
        <f>N39-N19</f>
        <v/>
      </c>
      <c r="O49" s="2">
        <f>O39-O19</f>
        <v/>
      </c>
      <c r="P49" s="2">
        <f>P39-P19</f>
        <v/>
      </c>
      <c r="Q49" s="2">
        <f>Q39-Q19</f>
        <v/>
      </c>
      <c r="R49" s="75">
        <f>SUM(L49:Q49)</f>
        <v/>
      </c>
      <c r="S49" s="115">
        <f>S39-S19</f>
        <v/>
      </c>
      <c r="T49" s="116">
        <f>T39-T19</f>
        <v/>
      </c>
      <c r="U49" s="116">
        <f>U39-U19</f>
        <v/>
      </c>
      <c r="V49" s="116">
        <f>V39-V19</f>
        <v/>
      </c>
      <c r="W49" s="116">
        <f>W39-W19</f>
        <v/>
      </c>
      <c r="X49" s="116">
        <f>X39-X19</f>
        <v/>
      </c>
      <c r="Y49" s="117">
        <f>Y39-Y19</f>
        <v/>
      </c>
    </row>
    <row r="50" hidden="1" s="97">
      <c r="C50" s="3" t="inlineStr">
        <is>
          <t>合計</t>
        </is>
      </c>
      <c r="D50" s="72" t="n"/>
      <c r="E50" s="63">
        <f>SUM(E45:E49)</f>
        <v/>
      </c>
      <c r="F50" s="63">
        <f>SUM(F45:F49)</f>
        <v/>
      </c>
      <c r="G50" s="63">
        <f>SUM(G45:G49)</f>
        <v/>
      </c>
      <c r="H50" s="63">
        <f>SUM(H45:H49)</f>
        <v/>
      </c>
      <c r="I50" s="63">
        <f>SUM(I45:I49)</f>
        <v/>
      </c>
      <c r="J50" s="63">
        <f>SUM(J45:J49)</f>
        <v/>
      </c>
      <c r="K50" s="80">
        <f>SUM(E50:J50)</f>
        <v/>
      </c>
      <c r="L50" s="76">
        <f>SUM(L45:L49)</f>
        <v/>
      </c>
      <c r="M50" s="63">
        <f>SUM(M45:M49)</f>
        <v/>
      </c>
      <c r="N50" s="63">
        <f>SUM(N45:N49)</f>
        <v/>
      </c>
      <c r="O50" s="63">
        <f>SUM(O45:O49)</f>
        <v/>
      </c>
      <c r="P50" s="63">
        <f>SUM(P45:P49)</f>
        <v/>
      </c>
      <c r="Q50" s="63">
        <f>SUM(Q45:Q49)</f>
        <v/>
      </c>
      <c r="R50" s="77">
        <f>SUM(L50:Q50)</f>
        <v/>
      </c>
      <c r="S50" s="118">
        <f>S40-S20</f>
        <v/>
      </c>
      <c r="T50" s="119">
        <f>T40-T20</f>
        <v/>
      </c>
      <c r="U50" s="119">
        <f>U40-U20</f>
        <v/>
      </c>
      <c r="V50" s="119">
        <f>V40-V20</f>
        <v/>
      </c>
      <c r="W50" s="119">
        <f>W40-W20</f>
        <v/>
      </c>
      <c r="X50" s="119">
        <f>X40-X20</f>
        <v/>
      </c>
      <c r="Y50" s="120">
        <f>Y40-Y20</f>
        <v/>
      </c>
    </row>
    <row r="51" hidden="1" s="97"/>
    <row r="52" hidden="1" s="97">
      <c r="C52" s="6" t="inlineStr">
        <is>
          <t>6．過年度平均比</t>
        </is>
      </c>
    </row>
    <row r="53" hidden="1" s="97">
      <c r="C53" s="87" t="n"/>
      <c r="D53" s="88" t="n"/>
      <c r="E53" s="87" t="inlineStr">
        <is>
          <t>売上</t>
        </is>
      </c>
      <c r="F53" s="90" t="n"/>
      <c r="G53" s="90" t="n"/>
      <c r="H53" s="90" t="n"/>
      <c r="I53" s="90" t="n"/>
      <c r="J53" s="90" t="n"/>
      <c r="K53" s="88" t="n"/>
      <c r="L53" s="89" t="inlineStr">
        <is>
          <t>粗利益</t>
        </is>
      </c>
      <c r="M53" s="90" t="n"/>
      <c r="N53" s="90" t="n"/>
      <c r="O53" s="90" t="n"/>
      <c r="P53" s="90" t="n"/>
      <c r="Q53" s="90" t="n"/>
      <c r="R53" s="88" t="n"/>
      <c r="S53" s="89" t="inlineStr">
        <is>
          <t>粗利益率</t>
        </is>
      </c>
      <c r="T53" s="90" t="n"/>
      <c r="U53" s="90" t="n"/>
      <c r="V53" s="90" t="n"/>
      <c r="W53" s="90" t="n"/>
      <c r="X53" s="90" t="n"/>
      <c r="Y53" s="88" t="n"/>
    </row>
    <row r="54" hidden="1" s="97">
      <c r="C54" s="61" t="n"/>
      <c r="D54" s="70" t="n"/>
      <c r="E54" s="74" t="n">
        <v>46113</v>
      </c>
      <c r="F54" s="62" t="n">
        <v>46143</v>
      </c>
      <c r="G54" s="62" t="n">
        <v>46174</v>
      </c>
      <c r="H54" s="62" t="n">
        <v>46204</v>
      </c>
      <c r="I54" s="62" t="n">
        <v>46235</v>
      </c>
      <c r="J54" s="62" t="n">
        <v>46266</v>
      </c>
      <c r="K54" s="64" t="inlineStr">
        <is>
          <t>合計</t>
        </is>
      </c>
      <c r="L54" s="83" t="n">
        <v>46113</v>
      </c>
      <c r="M54" s="62" t="n">
        <v>46143</v>
      </c>
      <c r="N54" s="62" t="n">
        <v>46174</v>
      </c>
      <c r="O54" s="62" t="n">
        <v>46204</v>
      </c>
      <c r="P54" s="62" t="n">
        <v>46235</v>
      </c>
      <c r="Q54" s="62" t="n">
        <v>46266</v>
      </c>
      <c r="R54" s="64" t="inlineStr">
        <is>
          <t>合計</t>
        </is>
      </c>
      <c r="S54" s="83" t="n">
        <v>46113</v>
      </c>
      <c r="T54" s="62" t="n">
        <v>46143</v>
      </c>
      <c r="U54" s="62" t="n">
        <v>46174</v>
      </c>
      <c r="V54" s="62" t="n">
        <v>46204</v>
      </c>
      <c r="W54" s="62" t="n">
        <v>46235</v>
      </c>
      <c r="X54" s="62" t="n">
        <v>46266</v>
      </c>
      <c r="Y54" s="64" t="inlineStr">
        <is>
          <t>合計</t>
        </is>
      </c>
    </row>
    <row r="55" hidden="1" s="97">
      <c r="C55" s="73" t="inlineStr">
        <is>
          <t>0032 集計</t>
        </is>
      </c>
      <c r="D55" s="71" t="inlineStr">
        <is>
          <t>飯塚主任</t>
        </is>
      </c>
      <c r="E55" s="2">
        <f>E35-E25</f>
        <v/>
      </c>
      <c r="F55" s="2">
        <f>F35-F25</f>
        <v/>
      </c>
      <c r="G55" s="2">
        <f>G35-G25</f>
        <v/>
      </c>
      <c r="H55" s="2">
        <f>H35-H25</f>
        <v/>
      </c>
      <c r="I55" s="2">
        <f>I35-I25</f>
        <v/>
      </c>
      <c r="J55" s="2">
        <f>J35-J25</f>
        <v/>
      </c>
      <c r="K55" s="79">
        <f>SUM(E55:J55)</f>
        <v/>
      </c>
      <c r="L55" s="1">
        <f>L35-L25</f>
        <v/>
      </c>
      <c r="M55" s="2">
        <f>M35-M25</f>
        <v/>
      </c>
      <c r="N55" s="2">
        <f>N35-N25</f>
        <v/>
      </c>
      <c r="O55" s="2">
        <f>O35-O25</f>
        <v/>
      </c>
      <c r="P55" s="2">
        <f>P35-P25</f>
        <v/>
      </c>
      <c r="Q55" s="2">
        <f>Q35-Q25</f>
        <v/>
      </c>
      <c r="R55" s="75">
        <f>SUM(L55:Q55)</f>
        <v/>
      </c>
      <c r="S55" s="115">
        <f>S35-S25</f>
        <v/>
      </c>
      <c r="T55" s="116">
        <f>T35-T25</f>
        <v/>
      </c>
      <c r="U55" s="116">
        <f>U35-U25</f>
        <v/>
      </c>
      <c r="V55" s="116">
        <f>V35-V25</f>
        <v/>
      </c>
      <c r="W55" s="116">
        <f>W35-W25</f>
        <v/>
      </c>
      <c r="X55" s="116">
        <f>X35-X25</f>
        <v/>
      </c>
      <c r="Y55" s="117">
        <f>Y35-Y25</f>
        <v/>
      </c>
    </row>
    <row r="56" hidden="1" s="97">
      <c r="C56" s="73" t="inlineStr">
        <is>
          <t>0033 集計</t>
        </is>
      </c>
      <c r="D56" s="60" t="inlineStr">
        <is>
          <t>前田課長代</t>
        </is>
      </c>
      <c r="E56" s="2">
        <f>E36-E26</f>
        <v/>
      </c>
      <c r="F56" s="2">
        <f>F36-F26</f>
        <v/>
      </c>
      <c r="G56" s="2">
        <f>G36-G26</f>
        <v/>
      </c>
      <c r="H56" s="2">
        <f>H36-H26</f>
        <v/>
      </c>
      <c r="I56" s="2">
        <f>I36-I26</f>
        <v/>
      </c>
      <c r="J56" s="2">
        <f>J36-J26</f>
        <v/>
      </c>
      <c r="K56" s="79">
        <f>SUM(E56:J56)</f>
        <v/>
      </c>
      <c r="L56" s="1">
        <f>L36-L26</f>
        <v/>
      </c>
      <c r="M56" s="2">
        <f>M36-M26</f>
        <v/>
      </c>
      <c r="N56" s="2">
        <f>N36-N26</f>
        <v/>
      </c>
      <c r="O56" s="2">
        <f>O36-O26</f>
        <v/>
      </c>
      <c r="P56" s="2">
        <f>P36-P26</f>
        <v/>
      </c>
      <c r="Q56" s="2">
        <f>Q36-Q26</f>
        <v/>
      </c>
      <c r="R56" s="75">
        <f>SUM(L56:Q56)</f>
        <v/>
      </c>
      <c r="S56" s="115">
        <f>S36-S26</f>
        <v/>
      </c>
      <c r="T56" s="116">
        <f>T36-T26</f>
        <v/>
      </c>
      <c r="U56" s="116">
        <f>U36-U26</f>
        <v/>
      </c>
      <c r="V56" s="116">
        <f>V36-V26</f>
        <v/>
      </c>
      <c r="W56" s="116">
        <f>W36-W26</f>
        <v/>
      </c>
      <c r="X56" s="116">
        <f>X36-X26</f>
        <v/>
      </c>
      <c r="Y56" s="117">
        <f>Y36-Y26</f>
        <v/>
      </c>
    </row>
    <row r="57" hidden="1" s="97">
      <c r="C57" s="73" t="inlineStr">
        <is>
          <t>0034 集計</t>
        </is>
      </c>
      <c r="D57" s="71" t="inlineStr">
        <is>
          <t>原田</t>
        </is>
      </c>
      <c r="E57" s="2">
        <f>E37-E27</f>
        <v/>
      </c>
      <c r="F57" s="2">
        <f>F37-F27</f>
        <v/>
      </c>
      <c r="G57" s="2">
        <f>G37-G27</f>
        <v/>
      </c>
      <c r="H57" s="2">
        <f>H37-H27</f>
        <v/>
      </c>
      <c r="I57" s="2">
        <f>I37-I27</f>
        <v/>
      </c>
      <c r="J57" s="2">
        <f>J37-J27</f>
        <v/>
      </c>
      <c r="K57" s="79">
        <f>SUM(E57:J57)</f>
        <v/>
      </c>
      <c r="L57" s="1">
        <f>L37-L27</f>
        <v/>
      </c>
      <c r="M57" s="2">
        <f>M37-M27</f>
        <v/>
      </c>
      <c r="N57" s="2">
        <f>N37-N27</f>
        <v/>
      </c>
      <c r="O57" s="2">
        <f>O37-O27</f>
        <v/>
      </c>
      <c r="P57" s="2">
        <f>P37-P27</f>
        <v/>
      </c>
      <c r="Q57" s="2">
        <f>Q37-Q27</f>
        <v/>
      </c>
      <c r="R57" s="75">
        <f>SUM(L57:Q57)</f>
        <v/>
      </c>
      <c r="S57" s="115">
        <f>S37-S27</f>
        <v/>
      </c>
      <c r="T57" s="116">
        <f>T37-T27</f>
        <v/>
      </c>
      <c r="U57" s="116">
        <f>U37-U27</f>
        <v/>
      </c>
      <c r="V57" s="116">
        <f>V37-V27</f>
        <v/>
      </c>
      <c r="W57" s="116">
        <f>W37-W27</f>
        <v/>
      </c>
      <c r="X57" s="116">
        <f>X37-X27</f>
        <v/>
      </c>
      <c r="Y57" s="117">
        <f>Y37-Y27</f>
        <v/>
      </c>
    </row>
    <row r="58" hidden="1" s="97">
      <c r="C58" s="73" t="inlineStr">
        <is>
          <t>0035 集計</t>
        </is>
      </c>
      <c r="D58" s="71" t="inlineStr">
        <is>
          <t>自治体</t>
        </is>
      </c>
      <c r="E58" s="2">
        <f>E38-E28</f>
        <v/>
      </c>
      <c r="F58" s="2">
        <f>F38-F28</f>
        <v/>
      </c>
      <c r="G58" s="2">
        <f>G38-G28</f>
        <v/>
      </c>
      <c r="H58" s="2">
        <f>H38-H28</f>
        <v/>
      </c>
      <c r="I58" s="2">
        <f>I38-I28</f>
        <v/>
      </c>
      <c r="J58" s="2">
        <f>J38-J28</f>
        <v/>
      </c>
      <c r="K58" s="79">
        <f>SUM(E58:J58)</f>
        <v/>
      </c>
      <c r="L58" s="1">
        <f>L38-L28</f>
        <v/>
      </c>
      <c r="M58" s="2">
        <f>M38-M28</f>
        <v/>
      </c>
      <c r="N58" s="2">
        <f>N38-N28</f>
        <v/>
      </c>
      <c r="O58" s="2">
        <f>O38-O28</f>
        <v/>
      </c>
      <c r="P58" s="2">
        <f>P38-P28</f>
        <v/>
      </c>
      <c r="Q58" s="2">
        <f>Q38-Q28</f>
        <v/>
      </c>
      <c r="R58" s="75">
        <f>SUM(L58:Q58)</f>
        <v/>
      </c>
      <c r="S58" s="115">
        <f>S38-S28</f>
        <v/>
      </c>
      <c r="T58" s="116">
        <f>T38-T28</f>
        <v/>
      </c>
      <c r="U58" s="116">
        <f>U38-U28</f>
        <v/>
      </c>
      <c r="V58" s="116">
        <f>V38-V28</f>
        <v/>
      </c>
      <c r="W58" s="116">
        <f>W38-W28</f>
        <v/>
      </c>
      <c r="X58" s="116">
        <f>X38-X28</f>
        <v/>
      </c>
      <c r="Y58" s="117">
        <f>Y38-Y28</f>
        <v/>
      </c>
    </row>
    <row r="59" hidden="1" s="97">
      <c r="C59" s="73" t="inlineStr">
        <is>
          <t>0039 集計</t>
        </is>
      </c>
      <c r="D59" s="71" t="inlineStr">
        <is>
          <t>その他</t>
        </is>
      </c>
      <c r="E59" s="2">
        <f>E39-E29</f>
        <v/>
      </c>
      <c r="F59" s="2">
        <f>F39-F29</f>
        <v/>
      </c>
      <c r="G59" s="2">
        <f>G39-G29</f>
        <v/>
      </c>
      <c r="H59" s="2">
        <f>H39-H29</f>
        <v/>
      </c>
      <c r="I59" s="2">
        <f>I39-I29</f>
        <v/>
      </c>
      <c r="J59" s="2">
        <f>J39-J29</f>
        <v/>
      </c>
      <c r="K59" s="79">
        <f>SUM(E59:J59)</f>
        <v/>
      </c>
      <c r="L59" s="1">
        <f>L39-L29</f>
        <v/>
      </c>
      <c r="M59" s="2">
        <f>M39-M29</f>
        <v/>
      </c>
      <c r="N59" s="2">
        <f>N39-N29</f>
        <v/>
      </c>
      <c r="O59" s="2">
        <f>O39-O29</f>
        <v/>
      </c>
      <c r="P59" s="2">
        <f>P39-P29</f>
        <v/>
      </c>
      <c r="Q59" s="2">
        <f>Q39-Q29</f>
        <v/>
      </c>
      <c r="R59" s="75">
        <f>SUM(L59:Q59)</f>
        <v/>
      </c>
      <c r="S59" s="115">
        <f>S39-S29</f>
        <v/>
      </c>
      <c r="T59" s="116">
        <f>T39-T29</f>
        <v/>
      </c>
      <c r="U59" s="116">
        <f>U39-U29</f>
        <v/>
      </c>
      <c r="V59" s="116">
        <f>V39-V29</f>
        <v/>
      </c>
      <c r="W59" s="116">
        <f>W39-W29</f>
        <v/>
      </c>
      <c r="X59" s="116">
        <f>X39-X29</f>
        <v/>
      </c>
      <c r="Y59" s="117">
        <f>Y39-Y29</f>
        <v/>
      </c>
    </row>
    <row r="60" hidden="1" s="97">
      <c r="C60" s="3" t="inlineStr">
        <is>
          <t>合計</t>
        </is>
      </c>
      <c r="D60" s="72" t="n"/>
      <c r="E60" s="63">
        <f>SUM(E55:E59)</f>
        <v/>
      </c>
      <c r="F60" s="63">
        <f>SUM(F55:F59)</f>
        <v/>
      </c>
      <c r="G60" s="63">
        <f>SUM(G55:G59)</f>
        <v/>
      </c>
      <c r="H60" s="63">
        <f>SUM(H55:H59)</f>
        <v/>
      </c>
      <c r="I60" s="63">
        <f>SUM(I55:I59)</f>
        <v/>
      </c>
      <c r="J60" s="63">
        <f>SUM(J55:J59)</f>
        <v/>
      </c>
      <c r="K60" s="80">
        <f>SUM(E60:J60)</f>
        <v/>
      </c>
      <c r="L60" s="76">
        <f>SUM(L55:L59)</f>
        <v/>
      </c>
      <c r="M60" s="63">
        <f>SUM(M55:M59)</f>
        <v/>
      </c>
      <c r="N60" s="63">
        <f>SUM(N55:N59)</f>
        <v/>
      </c>
      <c r="O60" s="63">
        <f>SUM(O55:O59)</f>
        <v/>
      </c>
      <c r="P60" s="63">
        <f>SUM(P55:P59)</f>
        <v/>
      </c>
      <c r="Q60" s="63">
        <f>SUM(Q55:Q59)</f>
        <v/>
      </c>
      <c r="R60" s="77">
        <f>SUM(L60:Q60)</f>
        <v/>
      </c>
      <c r="S60" s="118">
        <f>S40-S30</f>
        <v/>
      </c>
      <c r="T60" s="119">
        <f>T40-T30</f>
        <v/>
      </c>
      <c r="U60" s="119">
        <f>U40-U30</f>
        <v/>
      </c>
      <c r="V60" s="119">
        <f>V40-V30</f>
        <v/>
      </c>
      <c r="W60" s="119">
        <f>W40-W30</f>
        <v/>
      </c>
      <c r="X60" s="119">
        <f>X40-X30</f>
        <v/>
      </c>
      <c r="Y60" s="120">
        <f>Y40-Y30</f>
        <v/>
      </c>
    </row>
    <row r="61">
      <c r="C61" s="6" t="n"/>
      <c r="E61" s="5" t="n"/>
      <c r="F61" s="5" t="n"/>
      <c r="G61" s="5" t="n"/>
      <c r="H61" s="5" t="n"/>
      <c r="I61" s="5" t="n"/>
      <c r="J61" s="5" t="n"/>
      <c r="K61" s="6" t="n"/>
      <c r="L61" s="5" t="n"/>
      <c r="M61" s="5" t="n"/>
      <c r="N61" s="5" t="n"/>
      <c r="O61" s="5" t="n"/>
      <c r="P61" s="5" t="n"/>
      <c r="Q61" s="5" t="n"/>
      <c r="R61" s="6" t="n"/>
      <c r="S61" s="121" t="n"/>
      <c r="T61" s="121" t="n"/>
      <c r="U61" s="121" t="n"/>
      <c r="V61" s="121" t="n"/>
      <c r="W61" s="121" t="n"/>
      <c r="X61" s="121" t="n"/>
      <c r="Y61" s="121" t="n"/>
    </row>
    <row r="62">
      <c r="C62" s="6" t="inlineStr">
        <is>
          <t>7．実績</t>
        </is>
      </c>
    </row>
    <row r="63">
      <c r="C63" s="87" t="n"/>
      <c r="D63" s="88" t="n"/>
      <c r="E63" s="87" t="inlineStr">
        <is>
          <t>売上</t>
        </is>
      </c>
      <c r="F63" s="90" t="n"/>
      <c r="G63" s="90" t="n"/>
      <c r="H63" s="90" t="n"/>
      <c r="I63" s="90" t="n"/>
      <c r="J63" s="90" t="n"/>
      <c r="K63" s="88" t="n"/>
      <c r="L63" s="89" t="inlineStr">
        <is>
          <t>粗利益</t>
        </is>
      </c>
      <c r="M63" s="90" t="n"/>
      <c r="N63" s="90" t="n"/>
      <c r="O63" s="90" t="n"/>
      <c r="P63" s="90" t="n"/>
      <c r="Q63" s="90" t="n"/>
      <c r="R63" s="88" t="n"/>
      <c r="S63" s="89" t="inlineStr">
        <is>
          <t>粗利益率</t>
        </is>
      </c>
      <c r="T63" s="90" t="n"/>
      <c r="U63" s="90" t="n"/>
      <c r="V63" s="90" t="n"/>
      <c r="W63" s="90" t="n"/>
      <c r="X63" s="90" t="n"/>
      <c r="Y63" s="88" t="n"/>
    </row>
    <row r="64">
      <c r="C64" s="61" t="n"/>
      <c r="D64" s="70" t="n"/>
      <c r="E64" s="74" t="n">
        <v>46113</v>
      </c>
      <c r="F64" s="62" t="n">
        <v>46143</v>
      </c>
      <c r="G64" s="62" t="n">
        <v>46174</v>
      </c>
      <c r="H64" s="62" t="n">
        <v>46204</v>
      </c>
      <c r="I64" s="62" t="n">
        <v>46235</v>
      </c>
      <c r="J64" s="62" t="n">
        <v>46266</v>
      </c>
      <c r="K64" s="64" t="inlineStr">
        <is>
          <t>合計</t>
        </is>
      </c>
      <c r="L64" s="83" t="n">
        <v>46113</v>
      </c>
      <c r="M64" s="62" t="n">
        <v>46143</v>
      </c>
      <c r="N64" s="62" t="n">
        <v>46174</v>
      </c>
      <c r="O64" s="62" t="n">
        <v>46204</v>
      </c>
      <c r="P64" s="62" t="n">
        <v>46235</v>
      </c>
      <c r="Q64" s="62" t="n">
        <v>46266</v>
      </c>
      <c r="R64" s="64" t="inlineStr">
        <is>
          <t>合計</t>
        </is>
      </c>
      <c r="S64" s="83" t="n">
        <v>46113</v>
      </c>
      <c r="T64" s="62" t="n">
        <v>46143</v>
      </c>
      <c r="U64" s="62" t="n">
        <v>46174</v>
      </c>
      <c r="V64" s="62" t="n">
        <v>46204</v>
      </c>
      <c r="W64" s="62" t="n">
        <v>46235</v>
      </c>
      <c r="X64" s="62" t="n">
        <v>46266</v>
      </c>
      <c r="Y64" s="64" t="inlineStr">
        <is>
          <t>合計</t>
        </is>
      </c>
    </row>
    <row r="65">
      <c r="C65" s="73" t="inlineStr">
        <is>
          <t>0032 集計</t>
        </is>
      </c>
      <c r="D65" s="71" t="inlineStr">
        <is>
          <t>飯塚主任</t>
        </is>
      </c>
      <c r="E65" s="39" t="n">
        <v>403.225</v>
      </c>
      <c r="F65" s="39" t="n">
        <v>109.115</v>
      </c>
      <c r="G65" s="39" t="n">
        <v>67.7</v>
      </c>
      <c r="H65" s="39" t="n">
        <v>44.72</v>
      </c>
      <c r="I65" s="39" t="n">
        <v>756.14</v>
      </c>
      <c r="J65" s="39" t="n"/>
      <c r="K65" s="79">
        <f>SUM(E65:J65)</f>
        <v/>
      </c>
      <c r="L65" s="58" t="n">
        <v>81.83499999999999</v>
      </c>
      <c r="M65" s="39" t="n">
        <v>24.075</v>
      </c>
      <c r="N65" s="39" t="n">
        <v>24.31</v>
      </c>
      <c r="O65" s="39" t="n">
        <v>11.192</v>
      </c>
      <c r="P65" s="39" t="n">
        <v>151.195</v>
      </c>
      <c r="Q65" s="39" t="n"/>
      <c r="R65" s="75">
        <f>SUM(L65:Q65)</f>
        <v/>
      </c>
      <c r="S65" s="115">
        <f>IF(E65=0,"***",L65/E65)</f>
        <v/>
      </c>
      <c r="T65" s="116">
        <f>IF(F65=0,"***",M65/F65)</f>
        <v/>
      </c>
      <c r="U65" s="116">
        <f>IF(G65=0,"***",N65/G65)</f>
        <v/>
      </c>
      <c r="V65" s="116">
        <f>IF(H65=0,"***",O65/H65)</f>
        <v/>
      </c>
      <c r="W65" s="116">
        <f>IF(I65=0,"***",P65/I65)</f>
        <v/>
      </c>
      <c r="X65" s="116">
        <f>IF(J65=0,"***",Q65/J65)</f>
        <v/>
      </c>
      <c r="Y65" s="117">
        <f>IF(K65=0,"***",R65/K65)</f>
        <v/>
      </c>
    </row>
    <row r="66">
      <c r="C66" s="73" t="inlineStr">
        <is>
          <t>0033 集計</t>
        </is>
      </c>
      <c r="D66" s="60" t="inlineStr">
        <is>
          <t>前田課長代</t>
        </is>
      </c>
      <c r="E66" s="39" t="n">
        <v>686.744</v>
      </c>
      <c r="F66" s="39" t="n">
        <v>333.19</v>
      </c>
      <c r="G66" s="39" t="n">
        <v>1864.34</v>
      </c>
      <c r="H66" s="39" t="n">
        <v>256</v>
      </c>
      <c r="I66" s="39" t="n">
        <v>695.7</v>
      </c>
      <c r="J66" s="39" t="n"/>
      <c r="K66" s="79">
        <f>SUM(E66:J66)</f>
        <v/>
      </c>
      <c r="L66" s="58" t="n">
        <v>136.484</v>
      </c>
      <c r="M66" s="39" t="n">
        <v>75.944</v>
      </c>
      <c r="N66" s="39" t="n">
        <v>420.08</v>
      </c>
      <c r="O66" s="39" t="n">
        <v>70.3</v>
      </c>
      <c r="P66" s="39" t="n">
        <v>148.74</v>
      </c>
      <c r="Q66" s="39" t="n"/>
      <c r="R66" s="75">
        <f>SUM(L66:Q66)</f>
        <v/>
      </c>
      <c r="S66" s="115">
        <f>IF(E66=0,"***",L66/E66)</f>
        <v/>
      </c>
      <c r="T66" s="116">
        <f>IF(F66=0,"***",M66/F66)</f>
        <v/>
      </c>
      <c r="U66" s="116">
        <f>IF(G66=0,"***",N66/G66)</f>
        <v/>
      </c>
      <c r="V66" s="116">
        <f>IF(H66=0,"***",O66/H66)</f>
        <v/>
      </c>
      <c r="W66" s="116">
        <f>IF(I66=0,"***",P66/I66)</f>
        <v/>
      </c>
      <c r="X66" s="116">
        <f>IF(J66=0,"***",Q66/J66)</f>
        <v/>
      </c>
      <c r="Y66" s="117">
        <f>IF(K66=0,"***",R66/K66)</f>
        <v/>
      </c>
    </row>
    <row r="67">
      <c r="C67" s="73" t="inlineStr">
        <is>
          <t>0034 集計</t>
        </is>
      </c>
      <c r="D67" s="71" t="inlineStr">
        <is>
          <t>原田</t>
        </is>
      </c>
      <c r="E67" s="39" t="n">
        <v>69</v>
      </c>
      <c r="F67" s="39" t="n"/>
      <c r="G67" s="39" t="n"/>
      <c r="H67" s="39" t="n">
        <v>591.39</v>
      </c>
      <c r="I67" s="39" t="n">
        <v>0</v>
      </c>
      <c r="J67" s="39" t="n"/>
      <c r="K67" s="39">
        <f>SUM(E67:J67)</f>
        <v/>
      </c>
      <c r="L67" s="58" t="n">
        <v>9</v>
      </c>
      <c r="M67" s="39" t="n"/>
      <c r="N67" s="39" t="n"/>
      <c r="O67" s="39" t="n">
        <v>130.75</v>
      </c>
      <c r="P67" s="39" t="n">
        <v>0</v>
      </c>
      <c r="Q67" s="39" t="n"/>
      <c r="R67" s="39">
        <f>SUM(L67:Q67)</f>
        <v/>
      </c>
      <c r="S67" s="115">
        <f>IF(E67=0,"***",L67/E67)</f>
        <v/>
      </c>
      <c r="T67" s="116">
        <f>IF(F67=0,"***",M67/F67)</f>
        <v/>
      </c>
      <c r="U67" s="116">
        <f>IF(G67=0,"***",N67/G67)</f>
        <v/>
      </c>
      <c r="V67" s="116">
        <f>IF(H67=0,"***",O67/H67)</f>
        <v/>
      </c>
      <c r="W67" s="116">
        <f>IF(I67=0,"***",P67/I67)</f>
        <v/>
      </c>
      <c r="X67" s="116">
        <f>IF(J67=0,"***",Q67/J67)</f>
        <v/>
      </c>
      <c r="Y67" s="117">
        <f>IF(K67=0,"***",R67/K67)</f>
        <v/>
      </c>
    </row>
    <row r="68">
      <c r="C68" s="73" t="inlineStr">
        <is>
          <t>0035 集計</t>
        </is>
      </c>
      <c r="D68" s="71" t="inlineStr">
        <is>
          <t>自治体</t>
        </is>
      </c>
      <c r="E68" s="39" t="n"/>
      <c r="F68" s="39" t="n"/>
      <c r="G68" s="39" t="n"/>
      <c r="H68" s="39" t="n"/>
      <c r="I68" s="39" t="n">
        <v>0</v>
      </c>
      <c r="J68" s="39" t="n"/>
      <c r="K68" s="79">
        <f>SUM(E68:J68)</f>
        <v/>
      </c>
      <c r="L68" s="58" t="n"/>
      <c r="M68" s="39" t="n"/>
      <c r="N68" s="39" t="n"/>
      <c r="O68" s="39" t="n"/>
      <c r="P68" s="39" t="n">
        <v>0</v>
      </c>
      <c r="Q68" s="39" t="n"/>
      <c r="R68" s="75">
        <f>SUM(L68:Q68)</f>
        <v/>
      </c>
      <c r="S68" s="115">
        <f>IF(E68=0,"***",L68/E68)</f>
        <v/>
      </c>
      <c r="T68" s="116">
        <f>IF(F68=0,"***",M68/F68)</f>
        <v/>
      </c>
      <c r="U68" s="116">
        <f>IF(G68=0,"***",N68/G68)</f>
        <v/>
      </c>
      <c r="V68" s="116">
        <f>IF(H68=0,"***",O68/H68)</f>
        <v/>
      </c>
      <c r="W68" s="116">
        <f>IF(I68=0,"***",P68/I68)</f>
        <v/>
      </c>
      <c r="X68" s="116">
        <f>IF(J68=0,"***",Q68/J68)</f>
        <v/>
      </c>
      <c r="Y68" s="117">
        <f>IF(K68=0,"***",R68/K68)</f>
        <v/>
      </c>
    </row>
    <row r="69">
      <c r="C69" s="73" t="inlineStr">
        <is>
          <t>0039 集計</t>
        </is>
      </c>
      <c r="D69" s="71" t="inlineStr">
        <is>
          <t>その他</t>
        </is>
      </c>
      <c r="E69" s="39" t="n">
        <v>8.5</v>
      </c>
      <c r="F69" s="39" t="n"/>
      <c r="G69" s="39" t="n"/>
      <c r="H69" s="39" t="n"/>
      <c r="I69" s="39" t="n">
        <v>0</v>
      </c>
      <c r="J69" s="39" t="n"/>
      <c r="K69" s="79">
        <f>SUM(E69:J69)</f>
        <v/>
      </c>
      <c r="L69" s="58" t="n">
        <v>1.5</v>
      </c>
      <c r="M69" s="39" t="n"/>
      <c r="N69" s="39" t="n"/>
      <c r="O69" s="39" t="n"/>
      <c r="P69" s="39" t="n">
        <v>0</v>
      </c>
      <c r="Q69" s="39" t="n"/>
      <c r="R69" s="75">
        <f>SUM(L69:Q69)</f>
        <v/>
      </c>
      <c r="S69" s="115">
        <f>IF(E69=0,"***",L69/E69)</f>
        <v/>
      </c>
      <c r="T69" s="116">
        <f>IF(F69=0,"***",M69/F69)</f>
        <v/>
      </c>
      <c r="U69" s="116">
        <f>IF(G69=0,"***",N69/G69)</f>
        <v/>
      </c>
      <c r="V69" s="116">
        <f>IF(H69=0,"***",O69/H69)</f>
        <v/>
      </c>
      <c r="W69" s="116">
        <f>IF(I69=0,"***",P69/I69)</f>
        <v/>
      </c>
      <c r="X69" s="116">
        <f>IF(J69=0,"***",Q69/J69)</f>
        <v/>
      </c>
      <c r="Y69" s="117">
        <f>IF(K69=0,"***",R69/K69)</f>
        <v/>
      </c>
    </row>
    <row r="70">
      <c r="C70" s="3" t="inlineStr">
        <is>
          <t>合計</t>
        </is>
      </c>
      <c r="D70" s="72" t="n"/>
      <c r="E70" s="63">
        <f>SUM(E65:E69)</f>
        <v/>
      </c>
      <c r="F70" s="63">
        <f>SUM(F65:F69)</f>
        <v/>
      </c>
      <c r="G70" s="63">
        <f>SUM(G65:G69)</f>
        <v/>
      </c>
      <c r="H70" s="63">
        <f>SUM(H65:H69)</f>
        <v/>
      </c>
      <c r="I70" s="63">
        <f>SUM(I65:I69)</f>
        <v/>
      </c>
      <c r="J70" s="63">
        <f>SUM(J65:J69)</f>
        <v/>
      </c>
      <c r="K70" s="80">
        <f>SUM(E70:J70)</f>
        <v/>
      </c>
      <c r="L70" s="76">
        <f>SUM(L65:L69)</f>
        <v/>
      </c>
      <c r="M70" s="63">
        <f>SUM(M65:M69)</f>
        <v/>
      </c>
      <c r="N70" s="63">
        <f>SUM(N65:N69)</f>
        <v/>
      </c>
      <c r="O70" s="63">
        <f>SUM(O65:O69)</f>
        <v/>
      </c>
      <c r="P70" s="63">
        <f>SUM(P65:P69)</f>
        <v/>
      </c>
      <c r="Q70" s="63">
        <f>SUM(Q65:Q69)</f>
        <v/>
      </c>
      <c r="R70" s="77">
        <f>SUM(L70:Q70)</f>
        <v/>
      </c>
      <c r="S70" s="118">
        <f>IF(E70=0,"***",L70/E70)</f>
        <v/>
      </c>
      <c r="T70" s="119">
        <f>IF(F70=0,"***",M70/F70)</f>
        <v/>
      </c>
      <c r="U70" s="119">
        <f>IF(G70=0,"***",N70/G70)</f>
        <v/>
      </c>
      <c r="V70" s="119">
        <f>IF(H70=0,"***",O70/H70)</f>
        <v/>
      </c>
      <c r="W70" s="119">
        <f>IF(I70=0,"***",P70/I70)</f>
        <v/>
      </c>
      <c r="X70" s="119">
        <f>IF(J70=0,"***",Q70/J70)</f>
        <v/>
      </c>
      <c r="Y70" s="120">
        <f>IF(K70=0,"***",R70/K70)</f>
        <v/>
      </c>
    </row>
    <row r="71">
      <c r="C71" s="6" t="n"/>
      <c r="E71" s="5" t="n"/>
      <c r="F71" s="5" t="n"/>
      <c r="G71" s="5" t="n"/>
      <c r="H71" s="5" t="n"/>
      <c r="I71" s="5" t="n"/>
      <c r="J71" s="5" t="n"/>
      <c r="K71" s="6" t="n"/>
      <c r="L71" s="5" t="n"/>
      <c r="M71" s="5" t="n"/>
      <c r="N71" s="5" t="n"/>
      <c r="O71" s="5" t="n"/>
      <c r="P71" s="5" t="n"/>
      <c r="Q71" s="5" t="n"/>
      <c r="R71" s="6" t="n"/>
      <c r="S71" s="121" t="n"/>
      <c r="T71" s="121" t="n"/>
      <c r="U71" s="121" t="n"/>
      <c r="V71" s="121" t="n"/>
      <c r="W71" s="121" t="n"/>
      <c r="X71" s="121" t="n"/>
      <c r="Y71" s="121" t="n"/>
    </row>
    <row r="72">
      <c r="C72" s="6" t="inlineStr">
        <is>
          <t>8．計画比</t>
        </is>
      </c>
    </row>
    <row r="73">
      <c r="C73" s="87" t="n"/>
      <c r="D73" s="88" t="n"/>
      <c r="E73" s="87" t="inlineStr">
        <is>
          <t>売上</t>
        </is>
      </c>
      <c r="F73" s="90" t="n"/>
      <c r="G73" s="90" t="n"/>
      <c r="H73" s="90" t="n"/>
      <c r="I73" s="90" t="n"/>
      <c r="J73" s="90" t="n"/>
      <c r="K73" s="88" t="n"/>
      <c r="L73" s="89" t="inlineStr">
        <is>
          <t>粗利益</t>
        </is>
      </c>
      <c r="M73" s="90" t="n"/>
      <c r="N73" s="90" t="n"/>
      <c r="O73" s="90" t="n"/>
      <c r="P73" s="90" t="n"/>
      <c r="Q73" s="90" t="n"/>
      <c r="R73" s="88" t="n"/>
      <c r="S73" s="89" t="inlineStr">
        <is>
          <t>粗利益率</t>
        </is>
      </c>
      <c r="T73" s="90" t="n"/>
      <c r="U73" s="90" t="n"/>
      <c r="V73" s="90" t="n"/>
      <c r="W73" s="90" t="n"/>
      <c r="X73" s="90" t="n"/>
      <c r="Y73" s="88" t="n"/>
    </row>
    <row r="74">
      <c r="C74" s="61" t="n"/>
      <c r="D74" s="70" t="n"/>
      <c r="E74" s="74" t="n">
        <v>46113</v>
      </c>
      <c r="F74" s="62" t="n">
        <v>46143</v>
      </c>
      <c r="G74" s="62" t="n">
        <v>46174</v>
      </c>
      <c r="H74" s="62" t="n">
        <v>46204</v>
      </c>
      <c r="I74" s="62" t="n">
        <v>46235</v>
      </c>
      <c r="J74" s="62" t="n">
        <v>46266</v>
      </c>
      <c r="K74" s="64" t="inlineStr">
        <is>
          <t>合計</t>
        </is>
      </c>
      <c r="L74" s="83" t="n">
        <v>46113</v>
      </c>
      <c r="M74" s="62" t="n">
        <v>46143</v>
      </c>
      <c r="N74" s="62" t="n">
        <v>46174</v>
      </c>
      <c r="O74" s="62" t="n">
        <v>46204</v>
      </c>
      <c r="P74" s="62" t="n">
        <v>46235</v>
      </c>
      <c r="Q74" s="62" t="n">
        <v>46266</v>
      </c>
      <c r="R74" s="64" t="inlineStr">
        <is>
          <t>合計</t>
        </is>
      </c>
      <c r="S74" s="83" t="n">
        <v>46113</v>
      </c>
      <c r="T74" s="62" t="n">
        <v>46143</v>
      </c>
      <c r="U74" s="62" t="n">
        <v>46174</v>
      </c>
      <c r="V74" s="62" t="n">
        <v>46204</v>
      </c>
      <c r="W74" s="62" t="n">
        <v>46235</v>
      </c>
      <c r="X74" s="62" t="n">
        <v>46266</v>
      </c>
      <c r="Y74" s="64" t="inlineStr">
        <is>
          <t>合計</t>
        </is>
      </c>
    </row>
    <row r="75">
      <c r="C75" s="73" t="inlineStr">
        <is>
          <t>0032 集計</t>
        </is>
      </c>
      <c r="D75" s="71" t="inlineStr">
        <is>
          <t>飯塚主任</t>
        </is>
      </c>
      <c r="E75" s="39">
        <f>E65-E35</f>
        <v/>
      </c>
      <c r="F75" s="39">
        <f>F65-F35</f>
        <v/>
      </c>
      <c r="G75" s="39">
        <f>G65-G35</f>
        <v/>
      </c>
      <c r="H75" s="39">
        <f>H65-H35</f>
        <v/>
      </c>
      <c r="I75" s="39">
        <f>I65-I35</f>
        <v/>
      </c>
      <c r="J75" s="39" t="n"/>
      <c r="K75" s="79">
        <f>SUM(E75:J75)</f>
        <v/>
      </c>
      <c r="L75" s="58">
        <f>L65-L35</f>
        <v/>
      </c>
      <c r="M75" s="39">
        <f>M65-M35</f>
        <v/>
      </c>
      <c r="N75" s="39">
        <f>N65-N35</f>
        <v/>
      </c>
      <c r="O75" s="39">
        <f>O65-O35</f>
        <v/>
      </c>
      <c r="P75" s="39">
        <f>P65-P35</f>
        <v/>
      </c>
      <c r="Q75" s="39" t="n"/>
      <c r="R75" s="75">
        <f>SUM(L75:Q75)</f>
        <v/>
      </c>
      <c r="S75" s="115">
        <f>S65-S35</f>
        <v/>
      </c>
      <c r="T75" s="116">
        <f>T65-T35</f>
        <v/>
      </c>
      <c r="U75" s="116">
        <f>U65-U35</f>
        <v/>
      </c>
      <c r="V75" s="116">
        <f>V65-V35</f>
        <v/>
      </c>
      <c r="W75" s="116">
        <f>W65-W35</f>
        <v/>
      </c>
      <c r="X75" s="116">
        <f>X65-X35</f>
        <v/>
      </c>
      <c r="Y75" s="117">
        <f>Y65-Y35</f>
        <v/>
      </c>
    </row>
    <row r="76">
      <c r="C76" s="73" t="inlineStr">
        <is>
          <t>0033 集計</t>
        </is>
      </c>
      <c r="D76" s="60" t="inlineStr">
        <is>
          <t>前田課長代</t>
        </is>
      </c>
      <c r="E76" s="39">
        <f>E66-E36</f>
        <v/>
      </c>
      <c r="F76" s="39">
        <f>F66-F36</f>
        <v/>
      </c>
      <c r="G76" s="39">
        <f>G66-G36</f>
        <v/>
      </c>
      <c r="H76" s="39">
        <f>H66-H36</f>
        <v/>
      </c>
      <c r="I76" s="39">
        <f>I66-I36</f>
        <v/>
      </c>
      <c r="J76" s="39" t="n"/>
      <c r="K76" s="79">
        <f>SUM(E76:J76)</f>
        <v/>
      </c>
      <c r="L76" s="58">
        <f>L66-L36</f>
        <v/>
      </c>
      <c r="M76" s="39">
        <f>M66-M36</f>
        <v/>
      </c>
      <c r="N76" s="39">
        <f>N66-N36</f>
        <v/>
      </c>
      <c r="O76" s="39">
        <f>O66-O36</f>
        <v/>
      </c>
      <c r="P76" s="39">
        <f>P66-P36</f>
        <v/>
      </c>
      <c r="Q76" s="39" t="n"/>
      <c r="R76" s="75">
        <f>SUM(L76:Q76)</f>
        <v/>
      </c>
      <c r="S76" s="115">
        <f>S66-S36</f>
        <v/>
      </c>
      <c r="T76" s="116">
        <f>T66-T36</f>
        <v/>
      </c>
      <c r="U76" s="116">
        <f>U66-U36</f>
        <v/>
      </c>
      <c r="V76" s="116">
        <f>V66-V36</f>
        <v/>
      </c>
      <c r="W76" s="116">
        <f>W66-W36</f>
        <v/>
      </c>
      <c r="X76" s="116">
        <f>X66-X36</f>
        <v/>
      </c>
      <c r="Y76" s="117">
        <f>Y66-Y36</f>
        <v/>
      </c>
    </row>
    <row r="77">
      <c r="C77" s="73" t="inlineStr">
        <is>
          <t>0034 集計</t>
        </is>
      </c>
      <c r="D77" s="71" t="inlineStr">
        <is>
          <t>原田</t>
        </is>
      </c>
      <c r="E77" s="39">
        <f>E67-E37</f>
        <v/>
      </c>
      <c r="F77" s="39">
        <f>F67-F37</f>
        <v/>
      </c>
      <c r="G77" s="39">
        <f>G67-G37</f>
        <v/>
      </c>
      <c r="H77" s="39">
        <f>H67-H37</f>
        <v/>
      </c>
      <c r="I77" s="39">
        <f>I67-I37</f>
        <v/>
      </c>
      <c r="J77" s="39" t="n"/>
      <c r="K77" s="79">
        <f>SUM(E77:J77)</f>
        <v/>
      </c>
      <c r="L77" s="58">
        <f>L67-L37</f>
        <v/>
      </c>
      <c r="M77" s="39">
        <f>M67-M37</f>
        <v/>
      </c>
      <c r="N77" s="39">
        <f>N67-N37</f>
        <v/>
      </c>
      <c r="O77" s="39">
        <f>O67-O37</f>
        <v/>
      </c>
      <c r="P77" s="39">
        <f>P67-P37</f>
        <v/>
      </c>
      <c r="Q77" s="39" t="n"/>
      <c r="R77" s="75">
        <f>SUM(L77:Q77)</f>
        <v/>
      </c>
      <c r="S77" s="115">
        <f>S67-S37</f>
        <v/>
      </c>
      <c r="T77" s="116">
        <f>T67-T37</f>
        <v/>
      </c>
      <c r="U77" s="116">
        <f>U67-U37</f>
        <v/>
      </c>
      <c r="V77" s="116">
        <f>V67-V37</f>
        <v/>
      </c>
      <c r="W77" s="116">
        <f>W67-W37</f>
        <v/>
      </c>
      <c r="X77" s="116">
        <f>X67-X37</f>
        <v/>
      </c>
      <c r="Y77" s="117">
        <f>Y67-Y37</f>
        <v/>
      </c>
    </row>
    <row r="78">
      <c r="C78" s="73" t="inlineStr">
        <is>
          <t>0035 集計</t>
        </is>
      </c>
      <c r="D78" s="71" t="inlineStr">
        <is>
          <t>自治体</t>
        </is>
      </c>
      <c r="E78" s="39">
        <f>E68-E38</f>
        <v/>
      </c>
      <c r="F78" s="39">
        <f>F68-F38</f>
        <v/>
      </c>
      <c r="G78" s="39">
        <f>G68-G38</f>
        <v/>
      </c>
      <c r="H78" s="39">
        <f>H68-H38</f>
        <v/>
      </c>
      <c r="I78" s="39">
        <f>I68-I38</f>
        <v/>
      </c>
      <c r="J78" s="39" t="n"/>
      <c r="K78" s="79">
        <f>SUM(E78:J78)</f>
        <v/>
      </c>
      <c r="L78" s="58">
        <f>L68-L38</f>
        <v/>
      </c>
      <c r="M78" s="39">
        <f>M68-M38</f>
        <v/>
      </c>
      <c r="N78" s="39">
        <f>N68-N38</f>
        <v/>
      </c>
      <c r="O78" s="39">
        <f>O68-O38</f>
        <v/>
      </c>
      <c r="P78" s="39">
        <f>P68-P38</f>
        <v/>
      </c>
      <c r="Q78" s="39" t="n"/>
      <c r="R78" s="75">
        <f>SUM(L78:Q78)</f>
        <v/>
      </c>
      <c r="S78" s="115">
        <f>S68-S38</f>
        <v/>
      </c>
      <c r="T78" s="116">
        <f>T68-T38</f>
        <v/>
      </c>
      <c r="U78" s="116">
        <f>U68-U38</f>
        <v/>
      </c>
      <c r="V78" s="116">
        <f>V68-V38</f>
        <v/>
      </c>
      <c r="W78" s="116">
        <f>W68-W38</f>
        <v/>
      </c>
      <c r="X78" s="116">
        <f>X68-X38</f>
        <v/>
      </c>
      <c r="Y78" s="117">
        <f>Y68-Y38</f>
        <v/>
      </c>
    </row>
    <row r="79">
      <c r="C79" s="73" t="inlineStr">
        <is>
          <t>0039 集計</t>
        </is>
      </c>
      <c r="D79" s="71" t="inlineStr">
        <is>
          <t>その他</t>
        </is>
      </c>
      <c r="E79" s="39">
        <f>E69-E39</f>
        <v/>
      </c>
      <c r="F79" s="39">
        <f>F69-F39</f>
        <v/>
      </c>
      <c r="G79" s="39">
        <f>G69-G39</f>
        <v/>
      </c>
      <c r="H79" s="39">
        <f>H69-H39</f>
        <v/>
      </c>
      <c r="I79" s="39">
        <f>I69-I39</f>
        <v/>
      </c>
      <c r="J79" s="39" t="n"/>
      <c r="K79" s="79">
        <f>SUM(E79:J79)</f>
        <v/>
      </c>
      <c r="L79" s="58">
        <f>L69-L39</f>
        <v/>
      </c>
      <c r="M79" s="39">
        <f>M69-M39</f>
        <v/>
      </c>
      <c r="N79" s="39">
        <f>N69-N39</f>
        <v/>
      </c>
      <c r="O79" s="39">
        <f>O69-O39</f>
        <v/>
      </c>
      <c r="P79" s="39">
        <f>P69-P39</f>
        <v/>
      </c>
      <c r="Q79" s="39" t="n"/>
      <c r="R79" s="75">
        <f>SUM(L79:Q79)</f>
        <v/>
      </c>
      <c r="S79" s="115">
        <f>S69-S39</f>
        <v/>
      </c>
      <c r="T79" s="116">
        <f>T69-T39</f>
        <v/>
      </c>
      <c r="U79" s="116">
        <f>U69-U39</f>
        <v/>
      </c>
      <c r="V79" s="116">
        <f>V69-V39</f>
        <v/>
      </c>
      <c r="W79" s="116">
        <f>W69-W39</f>
        <v/>
      </c>
      <c r="X79" s="116">
        <f>X69-X39</f>
        <v/>
      </c>
      <c r="Y79" s="117">
        <f>Y69-Y39</f>
        <v/>
      </c>
    </row>
    <row r="80">
      <c r="C80" s="3" t="inlineStr">
        <is>
          <t>合計</t>
        </is>
      </c>
      <c r="D80" s="72" t="n"/>
      <c r="E80" s="63">
        <f>SUM(E75:E79)</f>
        <v/>
      </c>
      <c r="F80" s="63">
        <f>SUM(F75:F79)</f>
        <v/>
      </c>
      <c r="G80" s="63">
        <f>SUM(G75:G79)</f>
        <v/>
      </c>
      <c r="H80" s="63">
        <f>SUM(H75:H79)</f>
        <v/>
      </c>
      <c r="I80" s="63">
        <f>SUM(I75:I79)</f>
        <v/>
      </c>
      <c r="J80" s="63">
        <f>SUM(J75:J79)</f>
        <v/>
      </c>
      <c r="K80" s="80">
        <f>SUM(E80:J80)</f>
        <v/>
      </c>
      <c r="L80" s="76">
        <f>SUM(L75:L79)</f>
        <v/>
      </c>
      <c r="M80" s="63">
        <f>SUM(M75:M79)</f>
        <v/>
      </c>
      <c r="N80" s="63">
        <f>SUM(N75:N79)</f>
        <v/>
      </c>
      <c r="O80" s="63">
        <f>SUM(O75:O79)</f>
        <v/>
      </c>
      <c r="P80" s="63">
        <f>SUM(P75:P79)</f>
        <v/>
      </c>
      <c r="Q80" s="63">
        <f>SUM(Q75:Q79)</f>
        <v/>
      </c>
      <c r="R80" s="77">
        <f>SUM(L80:Q80)</f>
        <v/>
      </c>
      <c r="S80" s="118">
        <f>S70-S40</f>
        <v/>
      </c>
      <c r="T80" s="119">
        <f>T70-T40</f>
        <v/>
      </c>
      <c r="U80" s="119">
        <f>U70-U40</f>
        <v/>
      </c>
      <c r="V80" s="119">
        <f>V70-V40</f>
        <v/>
      </c>
      <c r="W80" s="119">
        <f>W70-W40</f>
        <v/>
      </c>
      <c r="X80" s="119">
        <f>X70-X40</f>
        <v/>
      </c>
      <c r="Y80" s="120">
        <f>Y70-Y40</f>
        <v/>
      </c>
    </row>
    <row r="81">
      <c r="C81" s="6" t="n"/>
      <c r="E81" s="5" t="n"/>
      <c r="F81" s="5" t="n"/>
      <c r="G81" s="5" t="n"/>
      <c r="H81" s="5" t="n"/>
      <c r="I81" s="5" t="n"/>
      <c r="J81" s="5" t="n"/>
      <c r="K81" s="6" t="n"/>
      <c r="L81" s="5" t="n"/>
      <c r="M81" s="5" t="n"/>
      <c r="N81" s="5" t="n"/>
      <c r="O81" s="5" t="n"/>
      <c r="P81" s="5" t="n"/>
      <c r="Q81" s="5" t="n"/>
      <c r="R81" s="6" t="n"/>
      <c r="S81" s="121" t="n"/>
      <c r="T81" s="121" t="n"/>
      <c r="U81" s="121" t="n"/>
      <c r="V81" s="121" t="n"/>
      <c r="W81" s="121" t="n"/>
      <c r="X81" s="121" t="n"/>
      <c r="Y81" s="121" t="n"/>
    </row>
    <row r="82">
      <c r="C82" s="6" t="inlineStr">
        <is>
          <t>9．前期比</t>
        </is>
      </c>
    </row>
    <row r="83">
      <c r="C83" s="87" t="n"/>
      <c r="D83" s="88" t="n"/>
      <c r="E83" s="87" t="inlineStr">
        <is>
          <t>売上</t>
        </is>
      </c>
      <c r="F83" s="90" t="n"/>
      <c r="G83" s="90" t="n"/>
      <c r="H83" s="90" t="n"/>
      <c r="I83" s="90" t="n"/>
      <c r="J83" s="90" t="n"/>
      <c r="K83" s="88" t="n"/>
      <c r="L83" s="89" t="inlineStr">
        <is>
          <t>粗利益</t>
        </is>
      </c>
      <c r="M83" s="90" t="n"/>
      <c r="N83" s="90" t="n"/>
      <c r="O83" s="90" t="n"/>
      <c r="P83" s="90" t="n"/>
      <c r="Q83" s="90" t="n"/>
      <c r="R83" s="88" t="n"/>
      <c r="S83" s="89" t="inlineStr">
        <is>
          <t>粗利益率</t>
        </is>
      </c>
      <c r="T83" s="90" t="n"/>
      <c r="U83" s="90" t="n"/>
      <c r="V83" s="90" t="n"/>
      <c r="W83" s="90" t="n"/>
      <c r="X83" s="90" t="n"/>
      <c r="Y83" s="88" t="n"/>
    </row>
    <row r="84">
      <c r="C84" s="61" t="n"/>
      <c r="D84" s="70" t="n"/>
      <c r="E84" s="74" t="n">
        <v>46113</v>
      </c>
      <c r="F84" s="62" t="n">
        <v>46143</v>
      </c>
      <c r="G84" s="62" t="n">
        <v>46174</v>
      </c>
      <c r="H84" s="62" t="n">
        <v>46204</v>
      </c>
      <c r="I84" s="62" t="n">
        <v>46235</v>
      </c>
      <c r="J84" s="62" t="n">
        <v>46266</v>
      </c>
      <c r="K84" s="64" t="inlineStr">
        <is>
          <t>合計</t>
        </is>
      </c>
      <c r="L84" s="83" t="n">
        <v>46113</v>
      </c>
      <c r="M84" s="62" t="n">
        <v>46143</v>
      </c>
      <c r="N84" s="62" t="n">
        <v>46174</v>
      </c>
      <c r="O84" s="62" t="n">
        <v>46204</v>
      </c>
      <c r="P84" s="62" t="n">
        <v>46235</v>
      </c>
      <c r="Q84" s="62" t="n">
        <v>46266</v>
      </c>
      <c r="R84" s="64" t="inlineStr">
        <is>
          <t>合計</t>
        </is>
      </c>
      <c r="S84" s="83" t="n">
        <v>46113</v>
      </c>
      <c r="T84" s="62" t="n">
        <v>46143</v>
      </c>
      <c r="U84" s="62" t="n">
        <v>46174</v>
      </c>
      <c r="V84" s="62" t="n">
        <v>46204</v>
      </c>
      <c r="W84" s="62" t="n">
        <v>46235</v>
      </c>
      <c r="X84" s="62" t="n">
        <v>46266</v>
      </c>
      <c r="Y84" s="64" t="inlineStr">
        <is>
          <t>合計</t>
        </is>
      </c>
    </row>
    <row r="85">
      <c r="C85" s="73" t="inlineStr">
        <is>
          <t>0032 集計</t>
        </is>
      </c>
      <c r="D85" s="71" t="inlineStr">
        <is>
          <t>飯塚主任</t>
        </is>
      </c>
      <c r="E85" s="39">
        <f>E65-E15</f>
        <v/>
      </c>
      <c r="F85" s="39">
        <f>F65-F15</f>
        <v/>
      </c>
      <c r="G85" s="39">
        <f>G65-G15</f>
        <v/>
      </c>
      <c r="H85" s="39">
        <f>H65-H15</f>
        <v/>
      </c>
      <c r="I85" s="39">
        <f>I65-I15</f>
        <v/>
      </c>
      <c r="J85" s="39" t="n"/>
      <c r="K85" s="79">
        <f>SUM(E85:J85)</f>
        <v/>
      </c>
      <c r="L85" s="58">
        <f>L65-L15</f>
        <v/>
      </c>
      <c r="M85" s="39">
        <f>M65-M15</f>
        <v/>
      </c>
      <c r="N85" s="39">
        <f>N65-N15</f>
        <v/>
      </c>
      <c r="O85" s="39">
        <f>O65-O15</f>
        <v/>
      </c>
      <c r="P85" s="39">
        <f>P65-P15</f>
        <v/>
      </c>
      <c r="Q85" s="39" t="n"/>
      <c r="R85" s="75">
        <f>SUM(L85:Q85)</f>
        <v/>
      </c>
      <c r="S85" s="115">
        <f>S65-S15</f>
        <v/>
      </c>
      <c r="T85" s="116">
        <f>T65-T15</f>
        <v/>
      </c>
      <c r="U85" s="116">
        <f>U65-U15</f>
        <v/>
      </c>
      <c r="V85" s="116">
        <f>V65-V15</f>
        <v/>
      </c>
      <c r="W85" s="116">
        <f>W65-W15</f>
        <v/>
      </c>
      <c r="X85" s="116">
        <f>X65-X15</f>
        <v/>
      </c>
      <c r="Y85" s="117">
        <f>Y65-Y15</f>
        <v/>
      </c>
    </row>
    <row r="86">
      <c r="C86" s="73" t="inlineStr">
        <is>
          <t>0033 集計</t>
        </is>
      </c>
      <c r="D86" s="60" t="inlineStr">
        <is>
          <t>前田課長代</t>
        </is>
      </c>
      <c r="E86" s="39">
        <f>E66-E16</f>
        <v/>
      </c>
      <c r="F86" s="39">
        <f>F66-F16</f>
        <v/>
      </c>
      <c r="G86" s="39">
        <f>G66-G16</f>
        <v/>
      </c>
      <c r="H86" s="39">
        <f>H66-H16</f>
        <v/>
      </c>
      <c r="I86" s="39">
        <f>I66-I16</f>
        <v/>
      </c>
      <c r="J86" s="39" t="n"/>
      <c r="K86" s="79">
        <f>SUM(E86:J86)</f>
        <v/>
      </c>
      <c r="L86" s="58">
        <f>L66-L16</f>
        <v/>
      </c>
      <c r="M86" s="39">
        <f>M66-M16</f>
        <v/>
      </c>
      <c r="N86" s="39">
        <f>N66-N16</f>
        <v/>
      </c>
      <c r="O86" s="39">
        <f>O66-O16</f>
        <v/>
      </c>
      <c r="P86" s="39">
        <f>P66-P16</f>
        <v/>
      </c>
      <c r="Q86" s="39" t="n"/>
      <c r="R86" s="75">
        <f>SUM(L86:Q86)</f>
        <v/>
      </c>
      <c r="S86" s="115">
        <f>S66-S16</f>
        <v/>
      </c>
      <c r="T86" s="116">
        <f>T66-T16</f>
        <v/>
      </c>
      <c r="U86" s="116">
        <f>U66-U16</f>
        <v/>
      </c>
      <c r="V86" s="116">
        <f>V66-V16</f>
        <v/>
      </c>
      <c r="W86" s="116">
        <f>W66-W16</f>
        <v/>
      </c>
      <c r="X86" s="116">
        <f>X66-X16</f>
        <v/>
      </c>
      <c r="Y86" s="117">
        <f>Y66-Y16</f>
        <v/>
      </c>
    </row>
    <row r="87">
      <c r="C87" s="73" t="inlineStr">
        <is>
          <t>0034 集計</t>
        </is>
      </c>
      <c r="D87" s="71" t="inlineStr">
        <is>
          <t>原田</t>
        </is>
      </c>
      <c r="E87" s="39">
        <f>E67-E17</f>
        <v/>
      </c>
      <c r="F87" s="39">
        <f>F67-F17</f>
        <v/>
      </c>
      <c r="G87" s="39">
        <f>G67-G17</f>
        <v/>
      </c>
      <c r="H87" s="39">
        <f>H67-H17</f>
        <v/>
      </c>
      <c r="I87" s="39">
        <f>I67-I17</f>
        <v/>
      </c>
      <c r="J87" s="39" t="n"/>
      <c r="K87" s="79">
        <f>SUM(E87:J87)</f>
        <v/>
      </c>
      <c r="L87" s="58">
        <f>L67-L17</f>
        <v/>
      </c>
      <c r="M87" s="39">
        <f>M67-M17</f>
        <v/>
      </c>
      <c r="N87" s="39">
        <f>N67-N17</f>
        <v/>
      </c>
      <c r="O87" s="39">
        <f>O67-O17</f>
        <v/>
      </c>
      <c r="P87" s="39">
        <f>P67-P17</f>
        <v/>
      </c>
      <c r="Q87" s="39" t="n"/>
      <c r="R87" s="75">
        <f>SUM(L87:Q87)</f>
        <v/>
      </c>
      <c r="S87" s="115">
        <f>S67-S17</f>
        <v/>
      </c>
      <c r="T87" s="116">
        <f>T67-T17</f>
        <v/>
      </c>
      <c r="U87" s="116">
        <f>U67-U17</f>
        <v/>
      </c>
      <c r="V87" s="116">
        <f>V67-V17</f>
        <v/>
      </c>
      <c r="W87" s="116">
        <f>W67-W17</f>
        <v/>
      </c>
      <c r="X87" s="116">
        <f>X67-X17</f>
        <v/>
      </c>
      <c r="Y87" s="117">
        <f>Y67-Y17</f>
        <v/>
      </c>
    </row>
    <row r="88">
      <c r="C88" s="73" t="inlineStr">
        <is>
          <t>0035 集計</t>
        </is>
      </c>
      <c r="D88" s="71" t="inlineStr">
        <is>
          <t>自治体</t>
        </is>
      </c>
      <c r="E88" s="39">
        <f>E68-E18</f>
        <v/>
      </c>
      <c r="F88" s="39">
        <f>F68-F18</f>
        <v/>
      </c>
      <c r="G88" s="39">
        <f>G68-G18</f>
        <v/>
      </c>
      <c r="H88" s="39">
        <f>H68-H18</f>
        <v/>
      </c>
      <c r="I88" s="39">
        <f>I68-I18</f>
        <v/>
      </c>
      <c r="J88" s="39" t="n"/>
      <c r="K88" s="79">
        <f>SUM(E88:J88)</f>
        <v/>
      </c>
      <c r="L88" s="58">
        <f>L68-L18</f>
        <v/>
      </c>
      <c r="M88" s="39">
        <f>M68-M18</f>
        <v/>
      </c>
      <c r="N88" s="39">
        <f>N68-N18</f>
        <v/>
      </c>
      <c r="O88" s="39">
        <f>O68-O18</f>
        <v/>
      </c>
      <c r="P88" s="39">
        <f>P68-P18</f>
        <v/>
      </c>
      <c r="Q88" s="39" t="n"/>
      <c r="R88" s="75">
        <f>SUM(L88:Q88)</f>
        <v/>
      </c>
      <c r="S88" s="115">
        <f>S68-S18</f>
        <v/>
      </c>
      <c r="T88" s="116">
        <f>T68-T18</f>
        <v/>
      </c>
      <c r="U88" s="116">
        <f>U68-U18</f>
        <v/>
      </c>
      <c r="V88" s="116">
        <f>V68-V18</f>
        <v/>
      </c>
      <c r="W88" s="116">
        <f>W68-W18</f>
        <v/>
      </c>
      <c r="X88" s="116">
        <f>X68-X18</f>
        <v/>
      </c>
      <c r="Y88" s="117">
        <f>Y68-Y18</f>
        <v/>
      </c>
    </row>
    <row r="89">
      <c r="C89" s="73" t="inlineStr">
        <is>
          <t>0039 集計</t>
        </is>
      </c>
      <c r="D89" s="71" t="inlineStr">
        <is>
          <t>その他</t>
        </is>
      </c>
      <c r="E89" s="39">
        <f>E69-E19</f>
        <v/>
      </c>
      <c r="F89" s="39">
        <f>F69-F19</f>
        <v/>
      </c>
      <c r="G89" s="39">
        <f>G69-G19</f>
        <v/>
      </c>
      <c r="H89" s="39">
        <f>H69-H19</f>
        <v/>
      </c>
      <c r="I89" s="39">
        <f>I69-I19</f>
        <v/>
      </c>
      <c r="J89" s="39" t="n"/>
      <c r="K89" s="79">
        <f>SUM(E89:J89)</f>
        <v/>
      </c>
      <c r="L89" s="58">
        <f>L69-L19</f>
        <v/>
      </c>
      <c r="M89" s="39">
        <f>M69-M19</f>
        <v/>
      </c>
      <c r="N89" s="39">
        <f>N69-N19</f>
        <v/>
      </c>
      <c r="O89" s="39">
        <f>O69-O19</f>
        <v/>
      </c>
      <c r="P89" s="39">
        <f>P69-P19</f>
        <v/>
      </c>
      <c r="Q89" s="39" t="n"/>
      <c r="R89" s="75">
        <f>SUM(L89:Q89)</f>
        <v/>
      </c>
      <c r="S89" s="115">
        <f>S69-S19</f>
        <v/>
      </c>
      <c r="T89" s="116">
        <f>T69-T19</f>
        <v/>
      </c>
      <c r="U89" s="116">
        <f>U69-U19</f>
        <v/>
      </c>
      <c r="V89" s="116">
        <f>V69-V19</f>
        <v/>
      </c>
      <c r="W89" s="116">
        <f>W69-W19</f>
        <v/>
      </c>
      <c r="X89" s="116">
        <f>X69-X19</f>
        <v/>
      </c>
      <c r="Y89" s="117">
        <f>Y69-Y19</f>
        <v/>
      </c>
    </row>
    <row r="90">
      <c r="C90" s="3" t="inlineStr">
        <is>
          <t>合計</t>
        </is>
      </c>
      <c r="D90" s="72" t="n"/>
      <c r="E90" s="63">
        <f>SUM(E85:E89)</f>
        <v/>
      </c>
      <c r="F90" s="63">
        <f>SUM(F85:F89)</f>
        <v/>
      </c>
      <c r="G90" s="63">
        <f>SUM(G85:G89)</f>
        <v/>
      </c>
      <c r="H90" s="63">
        <f>SUM(H85:H89)</f>
        <v/>
      </c>
      <c r="I90" s="63">
        <f>SUM(I85:I89)</f>
        <v/>
      </c>
      <c r="J90" s="63">
        <f>SUM(J85:J89)</f>
        <v/>
      </c>
      <c r="K90" s="80">
        <f>SUM(E90:J90)</f>
        <v/>
      </c>
      <c r="L90" s="76">
        <f>SUM(L85:L89)</f>
        <v/>
      </c>
      <c r="M90" s="63">
        <f>SUM(M85:M89)</f>
        <v/>
      </c>
      <c r="N90" s="63">
        <f>SUM(N85:N89)</f>
        <v/>
      </c>
      <c r="O90" s="63">
        <f>SUM(O85:O89)</f>
        <v/>
      </c>
      <c r="P90" s="63">
        <f>SUM(P85:P89)</f>
        <v/>
      </c>
      <c r="Q90" s="63">
        <f>SUM(Q85:Q89)</f>
        <v/>
      </c>
      <c r="R90" s="77">
        <f>SUM(L90:Q90)</f>
        <v/>
      </c>
      <c r="S90" s="118">
        <f>S70-S20</f>
        <v/>
      </c>
      <c r="T90" s="119">
        <f>T70-T20</f>
        <v/>
      </c>
      <c r="U90" s="119">
        <f>U70-U20</f>
        <v/>
      </c>
      <c r="V90" s="119">
        <f>V70-V20</f>
        <v/>
      </c>
      <c r="W90" s="119">
        <f>W70-W20</f>
        <v/>
      </c>
      <c r="X90" s="119">
        <f>X70-X20</f>
        <v/>
      </c>
      <c r="Y90" s="120">
        <f>Y70-Y20</f>
        <v/>
      </c>
    </row>
  </sheetData>
  <mergeCells count="36">
    <mergeCell ref="C83:D83"/>
    <mergeCell ref="L63:R63"/>
    <mergeCell ref="C33:D33"/>
    <mergeCell ref="S83:Y83"/>
    <mergeCell ref="S63:Y63"/>
    <mergeCell ref="C73:D73"/>
    <mergeCell ref="E53:K53"/>
    <mergeCell ref="C63:D63"/>
    <mergeCell ref="E3:K3"/>
    <mergeCell ref="E43:K43"/>
    <mergeCell ref="S43:Y43"/>
    <mergeCell ref="E33:K33"/>
    <mergeCell ref="C43:D43"/>
    <mergeCell ref="E23:K23"/>
    <mergeCell ref="E83:K83"/>
    <mergeCell ref="L53:R53"/>
    <mergeCell ref="S3:Y3"/>
    <mergeCell ref="L13:R13"/>
    <mergeCell ref="L3:R3"/>
    <mergeCell ref="E73:K73"/>
    <mergeCell ref="L43:R43"/>
    <mergeCell ref="S73:Y73"/>
    <mergeCell ref="C23:D23"/>
    <mergeCell ref="E63:K63"/>
    <mergeCell ref="S23:Y23"/>
    <mergeCell ref="L33:R33"/>
    <mergeCell ref="E13:K13"/>
    <mergeCell ref="L23:R23"/>
    <mergeCell ref="S13:Y13"/>
    <mergeCell ref="L83:R83"/>
    <mergeCell ref="L73:R73"/>
    <mergeCell ref="C13:D13"/>
    <mergeCell ref="C53:D53"/>
    <mergeCell ref="C3:D3"/>
    <mergeCell ref="S53:Y53"/>
    <mergeCell ref="S33:Y33"/>
  </mergeCells>
  <printOptions horizontalCentered="1" verticalCentered="1"/>
  <pageMargins left="0.7086614173228347" right="0.7086614173228347" top="0.7480314960629921" bottom="0.7480314960629921" header="0.3149606299212598" footer="0.3149606299212598"/>
  <pageSetup orientation="landscape" paperSize="8" scale="46"/>
</worksheet>
</file>

<file path=xl/worksheets/sheet2.xml><?xml version="1.0" encoding="utf-8"?>
<worksheet xmlns="http://schemas.openxmlformats.org/spreadsheetml/2006/main">
  <sheetPr>
    <tabColor theme="8" tint="-0.249977111117893"/>
    <outlinePr summaryBelow="1" summaryRight="1"/>
    <pageSetUpPr fitToPage="1"/>
  </sheetPr>
  <dimension ref="C1:Y90"/>
  <sheetViews>
    <sheetView workbookViewId="0">
      <pane xSplit="4" ySplit="1" topLeftCell="E61" activePane="bottomRight" state="frozen"/>
      <selection activeCell="E77" sqref="E77"/>
      <selection pane="topRight" activeCell="E77" sqref="E77"/>
      <selection pane="bottomLeft" activeCell="E77" sqref="E77"/>
      <selection pane="bottomRight" activeCell="M85" sqref="M85:Q89"/>
    </sheetView>
  </sheetViews>
  <sheetFormatPr baseColWidth="8" defaultRowHeight="18.75"/>
  <cols>
    <col width="9.75" bestFit="1" customWidth="1" style="97" min="3" max="3"/>
    <col width="10.125" customWidth="1" style="97" min="5" max="25"/>
  </cols>
  <sheetData>
    <row r="1" ht="24" customHeight="1" s="97">
      <c r="C1" s="8" t="inlineStr">
        <is>
          <t>松江営業所包装資材</t>
        </is>
      </c>
    </row>
    <row r="2">
      <c r="C2" s="98" t="inlineStr">
        <is>
          <t>1．2024年</t>
        </is>
      </c>
    </row>
    <row r="3">
      <c r="C3" s="87" t="n"/>
      <c r="D3" s="88" t="n"/>
      <c r="E3" s="92" t="inlineStr">
        <is>
          <t>売上</t>
        </is>
      </c>
      <c r="F3" s="90" t="n"/>
      <c r="G3" s="90" t="n"/>
      <c r="H3" s="90" t="n"/>
      <c r="I3" s="90" t="n"/>
      <c r="J3" s="90" t="n"/>
      <c r="K3" s="90" t="n"/>
      <c r="L3" s="91" t="inlineStr">
        <is>
          <t>粗利益</t>
        </is>
      </c>
      <c r="M3" s="90" t="n"/>
      <c r="N3" s="90" t="n"/>
      <c r="O3" s="90" t="n"/>
      <c r="P3" s="90" t="n"/>
      <c r="Q3" s="90" t="n"/>
      <c r="R3" s="88" t="n"/>
      <c r="S3" s="89" t="inlineStr">
        <is>
          <t>粗利益率</t>
        </is>
      </c>
      <c r="T3" s="90" t="n"/>
      <c r="U3" s="90" t="n"/>
      <c r="V3" s="90" t="n"/>
      <c r="W3" s="90" t="n"/>
      <c r="X3" s="90" t="n"/>
      <c r="Y3" s="88" t="n"/>
    </row>
    <row r="4">
      <c r="C4" s="61" t="n"/>
      <c r="D4" s="70" t="n"/>
      <c r="E4" s="62" t="n">
        <v>45383</v>
      </c>
      <c r="F4" s="62" t="n">
        <v>45413</v>
      </c>
      <c r="G4" s="62" t="n">
        <v>45444</v>
      </c>
      <c r="H4" s="62" t="n">
        <v>45474</v>
      </c>
      <c r="I4" s="62" t="n">
        <v>45505</v>
      </c>
      <c r="J4" s="62" t="n">
        <v>45536</v>
      </c>
      <c r="K4" s="78" t="inlineStr">
        <is>
          <t>合計</t>
        </is>
      </c>
      <c r="L4" s="74" t="n">
        <v>45383</v>
      </c>
      <c r="M4" s="62" t="n">
        <v>45413</v>
      </c>
      <c r="N4" s="62" t="n">
        <v>45444</v>
      </c>
      <c r="O4" s="62" t="n">
        <v>45474</v>
      </c>
      <c r="P4" s="62" t="n">
        <v>45505</v>
      </c>
      <c r="Q4" s="62" t="n">
        <v>45536</v>
      </c>
      <c r="R4" s="64" t="inlineStr">
        <is>
          <t>合計</t>
        </is>
      </c>
      <c r="S4" s="83" t="n">
        <v>45383</v>
      </c>
      <c r="T4" s="62" t="n">
        <v>45413</v>
      </c>
      <c r="U4" s="62" t="n">
        <v>45444</v>
      </c>
      <c r="V4" s="62" t="n">
        <v>45474</v>
      </c>
      <c r="W4" s="62" t="n">
        <v>45505</v>
      </c>
      <c r="X4" s="62" t="n">
        <v>45536</v>
      </c>
      <c r="Y4" s="64" t="inlineStr">
        <is>
          <t>合計</t>
        </is>
      </c>
    </row>
    <row r="5">
      <c r="C5" s="73" t="inlineStr">
        <is>
          <t>0032 集計</t>
        </is>
      </c>
      <c r="D5" s="71" t="inlineStr">
        <is>
          <t>飯塚主任</t>
        </is>
      </c>
      <c r="E5" s="69">
        <f>全体!E5-機械!E5</f>
        <v/>
      </c>
      <c r="F5" s="69">
        <f>全体!F5-機械!F5</f>
        <v/>
      </c>
      <c r="G5" s="69">
        <f>全体!G5-機械!G5</f>
        <v/>
      </c>
      <c r="H5" s="69">
        <f>全体!H5-機械!H5</f>
        <v/>
      </c>
      <c r="I5" s="69">
        <f>全体!I5-機械!I5</f>
        <v/>
      </c>
      <c r="J5" s="69">
        <f>全体!J5-機械!J5</f>
        <v/>
      </c>
      <c r="K5" s="79">
        <f>SUM(E5:J5)</f>
        <v/>
      </c>
      <c r="L5" s="1">
        <f>全体!L5-機械!L5</f>
        <v/>
      </c>
      <c r="M5" s="69">
        <f>全体!M5-機械!M5</f>
        <v/>
      </c>
      <c r="N5" s="69">
        <f>全体!N5-機械!N5</f>
        <v/>
      </c>
      <c r="O5" s="69">
        <f>全体!O5-機械!O5</f>
        <v/>
      </c>
      <c r="P5" s="69">
        <f>全体!P5-機械!P5</f>
        <v/>
      </c>
      <c r="Q5" s="69">
        <f>全体!Q5-機械!Q5</f>
        <v/>
      </c>
      <c r="R5" s="75">
        <f>SUM(L5:Q5)</f>
        <v/>
      </c>
      <c r="S5" s="115">
        <f>IF(E5=0,"***",L5/E5)</f>
        <v/>
      </c>
      <c r="T5" s="116">
        <f>IF(F5=0,"***",M5/F5)</f>
        <v/>
      </c>
      <c r="U5" s="116">
        <f>IF(G5=0,"***",N5/G5)</f>
        <v/>
      </c>
      <c r="V5" s="116">
        <f>IF(H5=0,"***",O5/H5)</f>
        <v/>
      </c>
      <c r="W5" s="116">
        <f>IF(I5=0,"***",P5/I5)</f>
        <v/>
      </c>
      <c r="X5" s="116">
        <f>IF(J5=0,"***",Q5/J5)</f>
        <v/>
      </c>
      <c r="Y5" s="117">
        <f>IF(K5=0,"***",R5/K5)</f>
        <v/>
      </c>
    </row>
    <row r="6">
      <c r="C6" s="73" t="inlineStr">
        <is>
          <t>0033 集計</t>
        </is>
      </c>
      <c r="D6" s="60" t="inlineStr">
        <is>
          <t>前田課長代</t>
        </is>
      </c>
      <c r="E6" s="69">
        <f>全体!E6-機械!E6</f>
        <v/>
      </c>
      <c r="F6" s="69">
        <f>全体!F6-機械!F6</f>
        <v/>
      </c>
      <c r="G6" s="69">
        <f>全体!G6-機械!G6</f>
        <v/>
      </c>
      <c r="H6" s="69">
        <f>全体!H6-機械!H6</f>
        <v/>
      </c>
      <c r="I6" s="69">
        <f>全体!I6-機械!I6</f>
        <v/>
      </c>
      <c r="J6" s="69">
        <f>全体!J6-機械!J6</f>
        <v/>
      </c>
      <c r="K6" s="79">
        <f>SUM(E6:J6)</f>
        <v/>
      </c>
      <c r="L6" s="1">
        <f>全体!L6-機械!L6</f>
        <v/>
      </c>
      <c r="M6" s="69">
        <f>全体!M6-機械!M6</f>
        <v/>
      </c>
      <c r="N6" s="69">
        <f>全体!N6-機械!N6</f>
        <v/>
      </c>
      <c r="O6" s="69">
        <f>全体!O6-機械!O6</f>
        <v/>
      </c>
      <c r="P6" s="69">
        <f>全体!P6-機械!P6</f>
        <v/>
      </c>
      <c r="Q6" s="69">
        <f>全体!Q6-機械!Q6</f>
        <v/>
      </c>
      <c r="R6" s="75">
        <f>SUM(L6:Q6)</f>
        <v/>
      </c>
      <c r="S6" s="115">
        <f>IF(E6=0,"***",L6/E6)</f>
        <v/>
      </c>
      <c r="T6" s="116">
        <f>IF(F6=0,"***",M6/F6)</f>
        <v/>
      </c>
      <c r="U6" s="116">
        <f>IF(G6=0,"***",N6/G6)</f>
        <v/>
      </c>
      <c r="V6" s="116">
        <f>IF(H6=0,"***",O6/H6)</f>
        <v/>
      </c>
      <c r="W6" s="116">
        <f>IF(I6=0,"***",P6/I6)</f>
        <v/>
      </c>
      <c r="X6" s="116">
        <f>IF(J6=0,"***",Q6/J6)</f>
        <v/>
      </c>
      <c r="Y6" s="117">
        <f>IF(K6=0,"***",R6/K6)</f>
        <v/>
      </c>
    </row>
    <row r="7">
      <c r="C7" s="73" t="inlineStr">
        <is>
          <t>0034 集計</t>
        </is>
      </c>
      <c r="D7" s="71" t="inlineStr">
        <is>
          <t>原田</t>
        </is>
      </c>
      <c r="E7" s="69">
        <f>全体!E7-機械!E7</f>
        <v/>
      </c>
      <c r="F7" s="69">
        <f>全体!F7-機械!F7</f>
        <v/>
      </c>
      <c r="G7" s="69">
        <f>全体!G7-機械!G7</f>
        <v/>
      </c>
      <c r="H7" s="69">
        <f>全体!H7-機械!H7</f>
        <v/>
      </c>
      <c r="I7" s="69">
        <f>全体!I7-機械!I7</f>
        <v/>
      </c>
      <c r="J7" s="69">
        <f>全体!J7-機械!J7</f>
        <v/>
      </c>
      <c r="K7" s="79">
        <f>SUM(E7:J7)</f>
        <v/>
      </c>
      <c r="L7" s="1">
        <f>全体!L7-機械!L7</f>
        <v/>
      </c>
      <c r="M7" s="69">
        <f>全体!M7-機械!M7</f>
        <v/>
      </c>
      <c r="N7" s="69">
        <f>全体!N7-機械!N7</f>
        <v/>
      </c>
      <c r="O7" s="69">
        <f>全体!O7-機械!O7</f>
        <v/>
      </c>
      <c r="P7" s="69">
        <f>全体!P7-機械!P7</f>
        <v/>
      </c>
      <c r="Q7" s="69">
        <f>全体!Q7-機械!Q7</f>
        <v/>
      </c>
      <c r="R7" s="75">
        <f>SUM(L7:Q7)</f>
        <v/>
      </c>
      <c r="S7" s="115">
        <f>IF(E7=0,"***",L7/E7)</f>
        <v/>
      </c>
      <c r="T7" s="116">
        <f>IF(F7=0,"***",M7/F7)</f>
        <v/>
      </c>
      <c r="U7" s="116">
        <f>IF(G7=0,"***",N7/G7)</f>
        <v/>
      </c>
      <c r="V7" s="116">
        <f>IF(H7=0,"***",O7/H7)</f>
        <v/>
      </c>
      <c r="W7" s="116">
        <f>IF(I7=0,"***",P7/I7)</f>
        <v/>
      </c>
      <c r="X7" s="116">
        <f>IF(J7=0,"***",Q7/J7)</f>
        <v/>
      </c>
      <c r="Y7" s="117">
        <f>IF(K7=0,"***",R7/K7)</f>
        <v/>
      </c>
    </row>
    <row r="8">
      <c r="C8" s="73" t="inlineStr">
        <is>
          <t>0035 集計</t>
        </is>
      </c>
      <c r="D8" s="71" t="inlineStr">
        <is>
          <t>自治体</t>
        </is>
      </c>
      <c r="E8" s="69">
        <f>全体!E8-機械!E8</f>
        <v/>
      </c>
      <c r="F8" s="69">
        <f>全体!F8-機械!F8</f>
        <v/>
      </c>
      <c r="G8" s="69">
        <f>全体!G8-機械!G8</f>
        <v/>
      </c>
      <c r="H8" s="69">
        <f>全体!H8-機械!H8</f>
        <v/>
      </c>
      <c r="I8" s="69">
        <f>全体!I8-機械!I8</f>
        <v/>
      </c>
      <c r="J8" s="69">
        <f>全体!J8-機械!J8</f>
        <v/>
      </c>
      <c r="K8" s="79">
        <f>SUM(E8:J8)</f>
        <v/>
      </c>
      <c r="L8" s="1">
        <f>全体!L8-機械!L8</f>
        <v/>
      </c>
      <c r="M8" s="69">
        <f>全体!M8-機械!M8</f>
        <v/>
      </c>
      <c r="N8" s="69">
        <f>全体!N8-機械!N8</f>
        <v/>
      </c>
      <c r="O8" s="69">
        <f>全体!O8-機械!O8</f>
        <v/>
      </c>
      <c r="P8" s="69">
        <f>全体!P8-機械!P8</f>
        <v/>
      </c>
      <c r="Q8" s="69">
        <f>全体!Q8-機械!Q8</f>
        <v/>
      </c>
      <c r="R8" s="75">
        <f>SUM(L8:Q8)</f>
        <v/>
      </c>
      <c r="S8" s="115">
        <f>IF(E8=0,"***",L8/E8)</f>
        <v/>
      </c>
      <c r="T8" s="116">
        <f>IF(F8=0,"***",M8/F8)</f>
        <v/>
      </c>
      <c r="U8" s="116">
        <f>IF(G8=0,"***",N8/G8)</f>
        <v/>
      </c>
      <c r="V8" s="116">
        <f>IF(H8=0,"***",O8/H8)</f>
        <v/>
      </c>
      <c r="W8" s="116">
        <f>IF(I8=0,"***",P8/I8)</f>
        <v/>
      </c>
      <c r="X8" s="116">
        <f>IF(J8=0,"***",Q8/J8)</f>
        <v/>
      </c>
      <c r="Y8" s="117">
        <f>IF(K8=0,"***",R8/K8)</f>
        <v/>
      </c>
    </row>
    <row r="9">
      <c r="C9" s="73" t="inlineStr">
        <is>
          <t>0039 集計</t>
        </is>
      </c>
      <c r="D9" s="71" t="inlineStr">
        <is>
          <t>その他</t>
        </is>
      </c>
      <c r="E9" s="69">
        <f>全体!E9-機械!E9</f>
        <v/>
      </c>
      <c r="F9" s="69">
        <f>全体!F9-機械!F9</f>
        <v/>
      </c>
      <c r="G9" s="69">
        <f>全体!G9-機械!G9</f>
        <v/>
      </c>
      <c r="H9" s="69">
        <f>全体!H9-機械!H9</f>
        <v/>
      </c>
      <c r="I9" s="69">
        <f>全体!I9-機械!I9</f>
        <v/>
      </c>
      <c r="J9" s="69">
        <f>全体!J9-機械!J9</f>
        <v/>
      </c>
      <c r="K9" s="79">
        <f>SUM(E9:J9)</f>
        <v/>
      </c>
      <c r="L9" s="1">
        <f>全体!L9-機械!L9</f>
        <v/>
      </c>
      <c r="M9" s="69">
        <f>全体!M9-機械!M9</f>
        <v/>
      </c>
      <c r="N9" s="69">
        <f>全体!N9-機械!N9</f>
        <v/>
      </c>
      <c r="O9" s="69">
        <f>全体!O9-機械!O9</f>
        <v/>
      </c>
      <c r="P9" s="69">
        <f>全体!P9-機械!P9</f>
        <v/>
      </c>
      <c r="Q9" s="69">
        <f>全体!Q9-機械!Q9</f>
        <v/>
      </c>
      <c r="R9" s="75">
        <f>SUM(L9:Q9)</f>
        <v/>
      </c>
      <c r="S9" s="115">
        <f>IF(E9=0,"***",L9/E9)</f>
        <v/>
      </c>
      <c r="T9" s="116">
        <f>IF(F9=0,"***",M9/F9)</f>
        <v/>
      </c>
      <c r="U9" s="116">
        <f>IF(G9=0,"***",N9/G9)</f>
        <v/>
      </c>
      <c r="V9" s="116">
        <f>IF(H9=0,"***",O9/H9)</f>
        <v/>
      </c>
      <c r="W9" s="116">
        <f>IF(I9=0,"***",P9/I9)</f>
        <v/>
      </c>
      <c r="X9" s="116">
        <f>IF(J9=0,"***",Q9/J9)</f>
        <v/>
      </c>
      <c r="Y9" s="117">
        <f>IF(K9=0,"***",R9/K9)</f>
        <v/>
      </c>
    </row>
    <row r="10">
      <c r="C10" s="3" t="inlineStr">
        <is>
          <t>合計</t>
        </is>
      </c>
      <c r="D10" s="72" t="n"/>
      <c r="E10" s="63">
        <f>SUM(E5:E9)</f>
        <v/>
      </c>
      <c r="F10" s="63">
        <f>SUM(F5:F9)</f>
        <v/>
      </c>
      <c r="G10" s="63">
        <f>SUM(G5:G9)</f>
        <v/>
      </c>
      <c r="H10" s="63">
        <f>SUM(H5:H9)</f>
        <v/>
      </c>
      <c r="I10" s="63">
        <f>SUM(I5:I9)</f>
        <v/>
      </c>
      <c r="J10" s="63">
        <f>SUM(J5:J9)</f>
        <v/>
      </c>
      <c r="K10" s="80">
        <f>SUM(E10:J10)</f>
        <v/>
      </c>
      <c r="L10" s="76">
        <f>SUM(L5:L9)</f>
        <v/>
      </c>
      <c r="M10" s="63">
        <f>SUM(M5:M9)</f>
        <v/>
      </c>
      <c r="N10" s="63">
        <f>SUM(N5:N9)</f>
        <v/>
      </c>
      <c r="O10" s="63">
        <f>SUM(O5:O9)</f>
        <v/>
      </c>
      <c r="P10" s="63">
        <f>SUM(P5:P9)</f>
        <v/>
      </c>
      <c r="Q10" s="63">
        <f>SUM(Q5:Q9)</f>
        <v/>
      </c>
      <c r="R10" s="77">
        <f>SUM(L10:Q10)</f>
        <v/>
      </c>
      <c r="S10" s="118">
        <f>IF(E10=0,"***",L10/E10)</f>
        <v/>
      </c>
      <c r="T10" s="119">
        <f>IF(F10=0,"***",M10/F10)</f>
        <v/>
      </c>
      <c r="U10" s="119">
        <f>IF(G10=0,"***",N10/G10)</f>
        <v/>
      </c>
      <c r="V10" s="119">
        <f>IF(H10=0,"***",O10/H10)</f>
        <v/>
      </c>
      <c r="W10" s="119">
        <f>IF(I10=0,"***",P10/I10)</f>
        <v/>
      </c>
      <c r="X10" s="119">
        <f>IF(J10=0,"***",Q10/J10)</f>
        <v/>
      </c>
      <c r="Y10" s="120">
        <f>IF(K10=0,"***",R10/K10)</f>
        <v/>
      </c>
    </row>
    <row r="11">
      <c r="C11" s="6" t="n"/>
      <c r="E11" s="5" t="n"/>
      <c r="F11" s="5" t="n"/>
      <c r="G11" s="5" t="n"/>
      <c r="H11" s="5" t="n"/>
      <c r="I11" s="5" t="n"/>
      <c r="J11" s="5" t="n"/>
      <c r="K11" s="6" t="n"/>
      <c r="L11" s="5" t="n"/>
      <c r="M11" s="5" t="n"/>
      <c r="N11" s="5" t="n"/>
      <c r="O11" s="5" t="n"/>
      <c r="P11" s="5" t="n"/>
      <c r="Q11" s="5" t="n"/>
      <c r="R11" s="6" t="n"/>
      <c r="S11" s="121" t="n"/>
      <c r="T11" s="121" t="n"/>
      <c r="U11" s="121" t="n"/>
      <c r="V11" s="121" t="n"/>
      <c r="W11" s="121" t="n"/>
      <c r="X11" s="121" t="n"/>
      <c r="Y11" s="121" t="n"/>
    </row>
    <row r="12">
      <c r="C12" s="6" t="inlineStr">
        <is>
          <t>2．2025年</t>
        </is>
      </c>
    </row>
    <row r="13">
      <c r="C13" s="87" t="n"/>
      <c r="D13" s="88" t="n"/>
      <c r="E13" s="92" t="inlineStr">
        <is>
          <t>売上</t>
        </is>
      </c>
      <c r="F13" s="90" t="n"/>
      <c r="G13" s="90" t="n"/>
      <c r="H13" s="90" t="n"/>
      <c r="I13" s="90" t="n"/>
      <c r="J13" s="90" t="n"/>
      <c r="K13" s="90" t="n"/>
      <c r="L13" s="91" t="inlineStr">
        <is>
          <t>粗利益</t>
        </is>
      </c>
      <c r="M13" s="90" t="n"/>
      <c r="N13" s="90" t="n"/>
      <c r="O13" s="90" t="n"/>
      <c r="P13" s="90" t="n"/>
      <c r="Q13" s="90" t="n"/>
      <c r="R13" s="88" t="n"/>
      <c r="S13" s="91" t="inlineStr">
        <is>
          <t>粗利益率</t>
        </is>
      </c>
      <c r="T13" s="90" t="n"/>
      <c r="U13" s="90" t="n"/>
      <c r="V13" s="90" t="n"/>
      <c r="W13" s="90" t="n"/>
      <c r="X13" s="90" t="n"/>
      <c r="Y13" s="88" t="n"/>
    </row>
    <row r="14">
      <c r="C14" s="61" t="n"/>
      <c r="D14" s="70" t="n"/>
      <c r="E14" s="74" t="n">
        <v>45748</v>
      </c>
      <c r="F14" s="62" t="n">
        <v>45778</v>
      </c>
      <c r="G14" s="62" t="n">
        <v>45809</v>
      </c>
      <c r="H14" s="62" t="n">
        <v>45839</v>
      </c>
      <c r="I14" s="62" t="n">
        <v>45870</v>
      </c>
      <c r="J14" s="62" t="n">
        <v>45901</v>
      </c>
      <c r="K14" s="64" t="inlineStr">
        <is>
          <t>合計</t>
        </is>
      </c>
      <c r="L14" s="83" t="n">
        <v>45748</v>
      </c>
      <c r="M14" s="62" t="n">
        <v>45778</v>
      </c>
      <c r="N14" s="62" t="n">
        <v>45809</v>
      </c>
      <c r="O14" s="62" t="n">
        <v>45839</v>
      </c>
      <c r="P14" s="62" t="n">
        <v>45870</v>
      </c>
      <c r="Q14" s="62" t="n">
        <v>45901</v>
      </c>
      <c r="R14" s="64" t="inlineStr">
        <is>
          <t>合計</t>
        </is>
      </c>
      <c r="S14" s="74" t="n">
        <v>45748</v>
      </c>
      <c r="T14" s="62" t="n">
        <v>45778</v>
      </c>
      <c r="U14" s="62" t="n">
        <v>45809</v>
      </c>
      <c r="V14" s="62" t="n">
        <v>45839</v>
      </c>
      <c r="W14" s="62" t="n">
        <v>45870</v>
      </c>
      <c r="X14" s="62" t="n">
        <v>45901</v>
      </c>
      <c r="Y14" s="64" t="inlineStr">
        <is>
          <t>合計</t>
        </is>
      </c>
    </row>
    <row r="15">
      <c r="C15" s="73" t="inlineStr">
        <is>
          <t>0032 集計</t>
        </is>
      </c>
      <c r="D15" s="71" t="inlineStr">
        <is>
          <t>飯塚主任</t>
        </is>
      </c>
      <c r="E15" s="69">
        <f>全体!E15-機械!E15</f>
        <v/>
      </c>
      <c r="F15" s="69">
        <f>全体!F15-機械!F15</f>
        <v/>
      </c>
      <c r="G15" s="69">
        <f>全体!G15-機械!G15</f>
        <v/>
      </c>
      <c r="H15" s="69">
        <f>全体!H15-機械!H15</f>
        <v/>
      </c>
      <c r="I15" s="69">
        <f>全体!I15-機械!I15</f>
        <v/>
      </c>
      <c r="J15" s="69">
        <f>全体!J15-機械!J15</f>
        <v/>
      </c>
      <c r="K15" s="75">
        <f>SUM(E15:J15)</f>
        <v/>
      </c>
      <c r="L15" s="69">
        <f>全体!L15-機械!L15</f>
        <v/>
      </c>
      <c r="M15" s="69">
        <f>全体!M15-機械!M15</f>
        <v/>
      </c>
      <c r="N15" s="69">
        <f>全体!N15-機械!N15</f>
        <v/>
      </c>
      <c r="O15" s="69">
        <f>全体!O15-機械!O15</f>
        <v/>
      </c>
      <c r="P15" s="69">
        <f>全体!P15-機械!P15</f>
        <v/>
      </c>
      <c r="Q15" s="69">
        <f>全体!Q15-機械!Q15</f>
        <v/>
      </c>
      <c r="R15" s="75">
        <f>SUM(L15:Q15)</f>
        <v/>
      </c>
      <c r="S15" s="115">
        <f>IF(E15=0,"***",L15/E15)</f>
        <v/>
      </c>
      <c r="T15" s="116">
        <f>IF(F15=0,"***",M15/F15)</f>
        <v/>
      </c>
      <c r="U15" s="116">
        <f>IF(G15=0,"***",N15/G15)</f>
        <v/>
      </c>
      <c r="V15" s="116">
        <f>IF(H15=0,"***",O15/H15)</f>
        <v/>
      </c>
      <c r="W15" s="116">
        <f>IF(I15=0,"***",P15/I15)</f>
        <v/>
      </c>
      <c r="X15" s="116">
        <f>IF(J15=0,"***",Q15/J15)</f>
        <v/>
      </c>
      <c r="Y15" s="117">
        <f>IF(K15=0,"***",R15/K15)</f>
        <v/>
      </c>
    </row>
    <row r="16">
      <c r="C16" s="73" t="inlineStr">
        <is>
          <t>0033 集計</t>
        </is>
      </c>
      <c r="D16" s="60" t="inlineStr">
        <is>
          <t>前田課長代</t>
        </is>
      </c>
      <c r="E16" s="69">
        <f>全体!E16-機械!E16</f>
        <v/>
      </c>
      <c r="F16" s="69">
        <f>全体!F16-機械!F16</f>
        <v/>
      </c>
      <c r="G16" s="69">
        <f>全体!G16-機械!G16</f>
        <v/>
      </c>
      <c r="H16" s="69">
        <f>全体!H16-機械!H16</f>
        <v/>
      </c>
      <c r="I16" s="69">
        <f>全体!I16-機械!I16</f>
        <v/>
      </c>
      <c r="J16" s="69">
        <f>全体!J16-機械!J16</f>
        <v/>
      </c>
      <c r="K16" s="75">
        <f>SUM(E16:J16)</f>
        <v/>
      </c>
      <c r="L16" s="69">
        <f>全体!L16-機械!L16</f>
        <v/>
      </c>
      <c r="M16" s="69">
        <f>全体!M16-機械!M16</f>
        <v/>
      </c>
      <c r="N16" s="69">
        <f>全体!N16-機械!N16</f>
        <v/>
      </c>
      <c r="O16" s="69">
        <f>全体!O16-機械!O16</f>
        <v/>
      </c>
      <c r="P16" s="69">
        <f>全体!P16-機械!P16</f>
        <v/>
      </c>
      <c r="Q16" s="69">
        <f>全体!Q16-機械!Q16</f>
        <v/>
      </c>
      <c r="R16" s="75">
        <f>SUM(L16:Q16)</f>
        <v/>
      </c>
      <c r="S16" s="115">
        <f>IF(E16=0,"***",L16/E16)</f>
        <v/>
      </c>
      <c r="T16" s="116">
        <f>IF(F16=0,"***",M16/F16)</f>
        <v/>
      </c>
      <c r="U16" s="116">
        <f>IF(G16=0,"***",N16/G16)</f>
        <v/>
      </c>
      <c r="V16" s="116">
        <f>IF(H16=0,"***",O16/H16)</f>
        <v/>
      </c>
      <c r="W16" s="116">
        <f>IF(I16=0,"***",P16/I16)</f>
        <v/>
      </c>
      <c r="X16" s="116">
        <f>IF(J16=0,"***",Q16/J16)</f>
        <v/>
      </c>
      <c r="Y16" s="117">
        <f>IF(K16=0,"***",R16/K16)</f>
        <v/>
      </c>
    </row>
    <row r="17">
      <c r="C17" s="73" t="inlineStr">
        <is>
          <t>0034 集計</t>
        </is>
      </c>
      <c r="D17" s="71" t="inlineStr">
        <is>
          <t>原田</t>
        </is>
      </c>
      <c r="E17" s="69">
        <f>全体!E17-機械!E17</f>
        <v/>
      </c>
      <c r="F17" s="69">
        <f>全体!F17-機械!F17</f>
        <v/>
      </c>
      <c r="G17" s="69">
        <f>全体!G17-機械!G17</f>
        <v/>
      </c>
      <c r="H17" s="69">
        <f>全体!H17-機械!H17</f>
        <v/>
      </c>
      <c r="I17" s="69">
        <f>全体!I17-機械!I17</f>
        <v/>
      </c>
      <c r="J17" s="69">
        <f>全体!J17-機械!J17</f>
        <v/>
      </c>
      <c r="K17" s="75">
        <f>SUM(E17:J17)</f>
        <v/>
      </c>
      <c r="L17" s="69">
        <f>全体!L17-機械!L17</f>
        <v/>
      </c>
      <c r="M17" s="69">
        <f>全体!M17-機械!M17</f>
        <v/>
      </c>
      <c r="N17" s="69">
        <f>全体!N17-機械!N17</f>
        <v/>
      </c>
      <c r="O17" s="69">
        <f>全体!O17-機械!O17</f>
        <v/>
      </c>
      <c r="P17" s="69">
        <f>全体!P17-機械!P17</f>
        <v/>
      </c>
      <c r="Q17" s="69">
        <f>全体!Q17-機械!Q17</f>
        <v/>
      </c>
      <c r="R17" s="75">
        <f>SUM(L17:Q17)</f>
        <v/>
      </c>
      <c r="S17" s="115">
        <f>IF(E17=0,"***",L17/E17)</f>
        <v/>
      </c>
      <c r="T17" s="116">
        <f>IF(F17=0,"***",M17/F17)</f>
        <v/>
      </c>
      <c r="U17" s="116">
        <f>IF(G17=0,"***",N17/G17)</f>
        <v/>
      </c>
      <c r="V17" s="116">
        <f>IF(H17=0,"***",O17/H17)</f>
        <v/>
      </c>
      <c r="W17" s="116">
        <f>IF(I17=0,"***",P17/I17)</f>
        <v/>
      </c>
      <c r="X17" s="116">
        <f>IF(J17=0,"***",Q17/J17)</f>
        <v/>
      </c>
      <c r="Y17" s="117">
        <f>IF(K17=0,"***",R17/K17)</f>
        <v/>
      </c>
    </row>
    <row r="18">
      <c r="C18" s="73" t="inlineStr">
        <is>
          <t>0035 集計</t>
        </is>
      </c>
      <c r="D18" s="71" t="inlineStr">
        <is>
          <t>自治体</t>
        </is>
      </c>
      <c r="E18" s="69">
        <f>全体!E18-機械!E18</f>
        <v/>
      </c>
      <c r="F18" s="69">
        <f>全体!F18-機械!F18</f>
        <v/>
      </c>
      <c r="G18" s="69">
        <f>全体!G18-機械!G18</f>
        <v/>
      </c>
      <c r="H18" s="69">
        <f>全体!H18-機械!H18</f>
        <v/>
      </c>
      <c r="I18" s="69">
        <f>全体!I18-機械!I18</f>
        <v/>
      </c>
      <c r="J18" s="69">
        <f>全体!J18-機械!J18</f>
        <v/>
      </c>
      <c r="K18" s="75">
        <f>SUM(E18:J18)</f>
        <v/>
      </c>
      <c r="L18" s="69">
        <f>全体!L18-機械!L18</f>
        <v/>
      </c>
      <c r="M18" s="69">
        <f>全体!M18-機械!M18</f>
        <v/>
      </c>
      <c r="N18" s="69">
        <f>全体!N18-機械!N18</f>
        <v/>
      </c>
      <c r="O18" s="69">
        <f>全体!O18-機械!O18</f>
        <v/>
      </c>
      <c r="P18" s="69">
        <f>全体!P18-機械!P18</f>
        <v/>
      </c>
      <c r="Q18" s="69">
        <f>全体!Q18-機械!Q18</f>
        <v/>
      </c>
      <c r="R18" s="75">
        <f>SUM(L18:Q18)</f>
        <v/>
      </c>
      <c r="S18" s="115">
        <f>IF(E18=0,"***",L18/E18)</f>
        <v/>
      </c>
      <c r="T18" s="116">
        <f>IF(F18=0,"***",M18/F18)</f>
        <v/>
      </c>
      <c r="U18" s="116">
        <f>IF(G18=0,"***",N18/G18)</f>
        <v/>
      </c>
      <c r="V18" s="116">
        <f>IF(H18=0,"***",O18/H18)</f>
        <v/>
      </c>
      <c r="W18" s="116">
        <f>IF(I18=0,"***",P18/I18)</f>
        <v/>
      </c>
      <c r="X18" s="116">
        <f>IF(J18=0,"***",Q18/J18)</f>
        <v/>
      </c>
      <c r="Y18" s="117">
        <f>IF(K18=0,"***",R18/K18)</f>
        <v/>
      </c>
    </row>
    <row r="19">
      <c r="C19" s="73" t="inlineStr">
        <is>
          <t>0039 集計</t>
        </is>
      </c>
      <c r="D19" s="71" t="inlineStr">
        <is>
          <t>その他</t>
        </is>
      </c>
      <c r="E19" s="69">
        <f>全体!E19-機械!E19</f>
        <v/>
      </c>
      <c r="F19" s="69">
        <f>全体!F19-機械!F19</f>
        <v/>
      </c>
      <c r="G19" s="69">
        <f>全体!G19-機械!G19</f>
        <v/>
      </c>
      <c r="H19" s="69">
        <f>全体!H19-機械!H19</f>
        <v/>
      </c>
      <c r="I19" s="69">
        <f>全体!I19-機械!I19</f>
        <v/>
      </c>
      <c r="J19" s="69">
        <f>全体!J19-機械!J19</f>
        <v/>
      </c>
      <c r="K19" s="75">
        <f>SUM(E19:J19)</f>
        <v/>
      </c>
      <c r="L19" s="69">
        <f>全体!L19-機械!L19</f>
        <v/>
      </c>
      <c r="M19" s="69">
        <f>全体!M19-機械!M19</f>
        <v/>
      </c>
      <c r="N19" s="69">
        <f>全体!N19-機械!N19</f>
        <v/>
      </c>
      <c r="O19" s="69">
        <f>全体!O19-機械!O19</f>
        <v/>
      </c>
      <c r="P19" s="69">
        <f>全体!P19-機械!P19</f>
        <v/>
      </c>
      <c r="Q19" s="69">
        <f>全体!Q19-機械!Q19</f>
        <v/>
      </c>
      <c r="R19" s="75">
        <f>SUM(L19:Q19)</f>
        <v/>
      </c>
      <c r="S19" s="115">
        <f>IF(E19=0,"***",L19/E19)</f>
        <v/>
      </c>
      <c r="T19" s="116">
        <f>IF(F19=0,"***",M19/F19)</f>
        <v/>
      </c>
      <c r="U19" s="116">
        <f>IF(G19=0,"***",N19/G19)</f>
        <v/>
      </c>
      <c r="V19" s="116">
        <f>IF(H19=0,"***",O19/H19)</f>
        <v/>
      </c>
      <c r="W19" s="116">
        <f>IF(I19=0,"***",P19/I19)</f>
        <v/>
      </c>
      <c r="X19" s="116">
        <f>IF(J19=0,"***",Q19/J19)</f>
        <v/>
      </c>
      <c r="Y19" s="117">
        <f>IF(K19=0,"***",R19/K19)</f>
        <v/>
      </c>
    </row>
    <row r="20">
      <c r="C20" s="3" t="inlineStr">
        <is>
          <t>合計</t>
        </is>
      </c>
      <c r="D20" s="72" t="n"/>
      <c r="E20" s="63">
        <f>SUM(E15:E19)</f>
        <v/>
      </c>
      <c r="F20" s="63">
        <f>SUM(F15:F19)</f>
        <v/>
      </c>
      <c r="G20" s="63">
        <f>SUM(G15:G19)</f>
        <v/>
      </c>
      <c r="H20" s="63">
        <f>SUM(H15:H19)</f>
        <v/>
      </c>
      <c r="I20" s="63">
        <f>SUM(I15:I19)</f>
        <v/>
      </c>
      <c r="J20" s="63">
        <f>SUM(J15:J19)</f>
        <v/>
      </c>
      <c r="K20" s="80">
        <f>SUM(E20:J20)</f>
        <v/>
      </c>
      <c r="L20" s="76">
        <f>SUM(L15:L19)</f>
        <v/>
      </c>
      <c r="M20" s="63">
        <f>SUM(M15:M19)</f>
        <v/>
      </c>
      <c r="N20" s="63">
        <f>SUM(N15:N19)</f>
        <v/>
      </c>
      <c r="O20" s="63">
        <f>SUM(O15:O19)</f>
        <v/>
      </c>
      <c r="P20" s="63">
        <f>SUM(P15:P19)</f>
        <v/>
      </c>
      <c r="Q20" s="63">
        <f>SUM(Q15:Q19)</f>
        <v/>
      </c>
      <c r="R20" s="77">
        <f>SUM(L20:Q20)</f>
        <v/>
      </c>
      <c r="S20" s="118">
        <f>IF(E20=0,"***",L20/E20)</f>
        <v/>
      </c>
      <c r="T20" s="119">
        <f>IF(F20=0,"***",M20/F20)</f>
        <v/>
      </c>
      <c r="U20" s="119">
        <f>IF(G20=0,"***",N20/G20)</f>
        <v/>
      </c>
      <c r="V20" s="119">
        <f>IF(H20=0,"***",O20/H20)</f>
        <v/>
      </c>
      <c r="W20" s="119">
        <f>IF(I20=0,"***",P20/I20)</f>
        <v/>
      </c>
      <c r="X20" s="119">
        <f>IF(J20=0,"***",Q20/J20)</f>
        <v/>
      </c>
      <c r="Y20" s="120">
        <f>IF(K20=0,"***",R20/K20)</f>
        <v/>
      </c>
    </row>
    <row r="21">
      <c r="C21" s="6" t="n"/>
      <c r="E21" s="5" t="n"/>
      <c r="F21" s="5" t="n"/>
      <c r="G21" s="5" t="n"/>
      <c r="H21" s="5" t="n"/>
      <c r="I21" s="5" t="n"/>
      <c r="J21" s="5" t="n"/>
      <c r="K21" s="6" t="n"/>
      <c r="L21" s="5" t="n"/>
      <c r="M21" s="5" t="n"/>
      <c r="N21" s="5" t="n"/>
      <c r="O21" s="5" t="n"/>
      <c r="P21" s="5" t="n"/>
      <c r="Q21" s="5" t="n"/>
      <c r="R21" s="6" t="n"/>
      <c r="S21" s="121" t="n"/>
      <c r="T21" s="121" t="n"/>
      <c r="U21" s="121" t="n"/>
      <c r="V21" s="121" t="n"/>
      <c r="W21" s="121" t="n"/>
      <c r="X21" s="121" t="n"/>
      <c r="Y21" s="121" t="n"/>
    </row>
    <row r="22">
      <c r="C22" s="6" t="inlineStr">
        <is>
          <t>3．過年度平均</t>
        </is>
      </c>
    </row>
    <row r="23">
      <c r="C23" s="87" t="n"/>
      <c r="D23" s="88" t="n"/>
      <c r="E23" s="92" t="inlineStr">
        <is>
          <t>売上</t>
        </is>
      </c>
      <c r="F23" s="90" t="n"/>
      <c r="G23" s="90" t="n"/>
      <c r="H23" s="90" t="n"/>
      <c r="I23" s="90" t="n"/>
      <c r="J23" s="90" t="n"/>
      <c r="K23" s="90" t="n"/>
      <c r="L23" s="91" t="inlineStr">
        <is>
          <t>粗利益</t>
        </is>
      </c>
      <c r="M23" s="90" t="n"/>
      <c r="N23" s="90" t="n"/>
      <c r="O23" s="90" t="n"/>
      <c r="P23" s="90" t="n"/>
      <c r="Q23" s="90" t="n"/>
      <c r="R23" s="88" t="n"/>
      <c r="S23" s="91" t="inlineStr">
        <is>
          <t>粗利益率</t>
        </is>
      </c>
      <c r="T23" s="90" t="n"/>
      <c r="U23" s="90" t="n"/>
      <c r="V23" s="90" t="n"/>
      <c r="W23" s="90" t="n"/>
      <c r="X23" s="90" t="n"/>
      <c r="Y23" s="88" t="n"/>
    </row>
    <row r="24">
      <c r="C24" s="61" t="n"/>
      <c r="D24" s="70" t="n"/>
      <c r="E24" s="74" t="n">
        <v>45748</v>
      </c>
      <c r="F24" s="62" t="n">
        <v>45778</v>
      </c>
      <c r="G24" s="62" t="n">
        <v>45809</v>
      </c>
      <c r="H24" s="62" t="n">
        <v>45839</v>
      </c>
      <c r="I24" s="62" t="n">
        <v>45870</v>
      </c>
      <c r="J24" s="62" t="n">
        <v>45901</v>
      </c>
      <c r="K24" s="64" t="inlineStr">
        <is>
          <t>合計</t>
        </is>
      </c>
      <c r="L24" s="74" t="n">
        <v>45748</v>
      </c>
      <c r="M24" s="62" t="n">
        <v>45778</v>
      </c>
      <c r="N24" s="62" t="n">
        <v>45809</v>
      </c>
      <c r="O24" s="62" t="n">
        <v>45839</v>
      </c>
      <c r="P24" s="62" t="n">
        <v>45870</v>
      </c>
      <c r="Q24" s="62" t="n">
        <v>45901</v>
      </c>
      <c r="R24" s="64" t="inlineStr">
        <is>
          <t>合計</t>
        </is>
      </c>
      <c r="S24" s="74" t="n">
        <v>45748</v>
      </c>
      <c r="T24" s="62" t="n">
        <v>45778</v>
      </c>
      <c r="U24" s="62" t="n">
        <v>45809</v>
      </c>
      <c r="V24" s="62" t="n">
        <v>45839</v>
      </c>
      <c r="W24" s="62" t="n">
        <v>45870</v>
      </c>
      <c r="X24" s="62" t="n">
        <v>45901</v>
      </c>
      <c r="Y24" s="64" t="inlineStr">
        <is>
          <t>合計</t>
        </is>
      </c>
    </row>
    <row r="25">
      <c r="C25" s="73" t="inlineStr">
        <is>
          <t>0032 集計</t>
        </is>
      </c>
      <c r="D25" s="71" t="inlineStr">
        <is>
          <t>飯塚主任</t>
        </is>
      </c>
      <c r="E25" s="2">
        <f>(E15+E5)/2</f>
        <v/>
      </c>
      <c r="F25" s="2">
        <f>(F15+F5)/2</f>
        <v/>
      </c>
      <c r="G25" s="2">
        <f>(G15+G5)/2</f>
        <v/>
      </c>
      <c r="H25" s="2">
        <f>(H15+H5)/2</f>
        <v/>
      </c>
      <c r="I25" s="2">
        <f>(I15+I5)/2</f>
        <v/>
      </c>
      <c r="J25" s="2">
        <f>(J15+J5)/2</f>
        <v/>
      </c>
      <c r="K25" s="79">
        <f>SUM(E25:J25)</f>
        <v/>
      </c>
      <c r="L25" s="1">
        <f>(L15+L5)/2</f>
        <v/>
      </c>
      <c r="M25" s="2">
        <f>(M15+M5)/2</f>
        <v/>
      </c>
      <c r="N25" s="2">
        <f>(N15+N5)/2</f>
        <v/>
      </c>
      <c r="O25" s="2">
        <f>(O15+O5)/2</f>
        <v/>
      </c>
      <c r="P25" s="2">
        <f>(P15+P5)/2</f>
        <v/>
      </c>
      <c r="Q25" s="2">
        <f>(Q15+Q5)/2</f>
        <v/>
      </c>
      <c r="R25" s="75">
        <f>SUM(L25:Q25)</f>
        <v/>
      </c>
      <c r="S25" s="115">
        <f>IF(E25=0,"***",L25/E25)</f>
        <v/>
      </c>
      <c r="T25" s="116">
        <f>IF(F25=0,"***",M25/F25)</f>
        <v/>
      </c>
      <c r="U25" s="116">
        <f>IF(G25=0,"***",N25/G25)</f>
        <v/>
      </c>
      <c r="V25" s="116">
        <f>IF(H25=0,"***",O25/H25)</f>
        <v/>
      </c>
      <c r="W25" s="116">
        <f>IF(I25=0,"***",P25/I25)</f>
        <v/>
      </c>
      <c r="X25" s="116">
        <f>IF(J25=0,"***",Q25/J25)</f>
        <v/>
      </c>
      <c r="Y25" s="117">
        <f>IF(K25=0,"***",R25/K25)</f>
        <v/>
      </c>
    </row>
    <row r="26">
      <c r="C26" s="73" t="inlineStr">
        <is>
          <t>0033 集計</t>
        </is>
      </c>
      <c r="D26" s="60" t="inlineStr">
        <is>
          <t>前田課長代</t>
        </is>
      </c>
      <c r="E26" s="2">
        <f>(E16+E6)/2</f>
        <v/>
      </c>
      <c r="F26" s="2">
        <f>(F16+F6)/2</f>
        <v/>
      </c>
      <c r="G26" s="2">
        <f>(G16+G6)/2</f>
        <v/>
      </c>
      <c r="H26" s="2">
        <f>(H16+H6)/2</f>
        <v/>
      </c>
      <c r="I26" s="2">
        <f>(I16+I6)/2</f>
        <v/>
      </c>
      <c r="J26" s="2">
        <f>(J16+J6)/2</f>
        <v/>
      </c>
      <c r="K26" s="79">
        <f>SUM(E26:J26)</f>
        <v/>
      </c>
      <c r="L26" s="1">
        <f>(L16+L6)/2</f>
        <v/>
      </c>
      <c r="M26" s="2">
        <f>(M16+M6)/2</f>
        <v/>
      </c>
      <c r="N26" s="2">
        <f>(N16+N6)/2</f>
        <v/>
      </c>
      <c r="O26" s="2">
        <f>(O16+O6)/2</f>
        <v/>
      </c>
      <c r="P26" s="2">
        <f>(P16+P6)/2</f>
        <v/>
      </c>
      <c r="Q26" s="2">
        <f>(Q16+Q6)/2</f>
        <v/>
      </c>
      <c r="R26" s="75">
        <f>SUM(L26:Q26)</f>
        <v/>
      </c>
      <c r="S26" s="115">
        <f>IF(E26=0,"***",L26/E26)</f>
        <v/>
      </c>
      <c r="T26" s="116">
        <f>IF(F26=0,"***",M26/F26)</f>
        <v/>
      </c>
      <c r="U26" s="116">
        <f>IF(G26=0,"***",N26/G26)</f>
        <v/>
      </c>
      <c r="V26" s="116">
        <f>IF(H26=0,"***",O26/H26)</f>
        <v/>
      </c>
      <c r="W26" s="116">
        <f>IF(I26=0,"***",P26/I26)</f>
        <v/>
      </c>
      <c r="X26" s="116">
        <f>IF(J26=0,"***",Q26/J26)</f>
        <v/>
      </c>
      <c r="Y26" s="117">
        <f>IF(K26=0,"***",R26/K26)</f>
        <v/>
      </c>
    </row>
    <row r="27">
      <c r="C27" s="73" t="inlineStr">
        <is>
          <t>0034 集計</t>
        </is>
      </c>
      <c r="D27" s="71" t="inlineStr">
        <is>
          <t>原田</t>
        </is>
      </c>
      <c r="E27" s="2">
        <f>(E17+E7)/2</f>
        <v/>
      </c>
      <c r="F27" s="2">
        <f>(F17+F7)/2</f>
        <v/>
      </c>
      <c r="G27" s="2">
        <f>(G17+G7)/2</f>
        <v/>
      </c>
      <c r="H27" s="2">
        <f>(H17+H7)/2</f>
        <v/>
      </c>
      <c r="I27" s="2">
        <f>(I17+I7)/2</f>
        <v/>
      </c>
      <c r="J27" s="2">
        <f>(J17+J7)/2</f>
        <v/>
      </c>
      <c r="K27" s="79">
        <f>SUM(E27:J27)</f>
        <v/>
      </c>
      <c r="L27" s="1">
        <f>(L17+L7)/2</f>
        <v/>
      </c>
      <c r="M27" s="2">
        <f>(M17+M7)/2</f>
        <v/>
      </c>
      <c r="N27" s="2">
        <f>(N17+N7)/2</f>
        <v/>
      </c>
      <c r="O27" s="2">
        <f>(O17+O7)/2</f>
        <v/>
      </c>
      <c r="P27" s="2">
        <f>(P17+P7)/2</f>
        <v/>
      </c>
      <c r="Q27" s="2">
        <f>(Q17+Q7)/2</f>
        <v/>
      </c>
      <c r="R27" s="75">
        <f>SUM(L27:Q27)</f>
        <v/>
      </c>
      <c r="S27" s="115">
        <f>IF(E27=0,"***",L27/E27)</f>
        <v/>
      </c>
      <c r="T27" s="116">
        <f>IF(F27=0,"***",M27/F27)</f>
        <v/>
      </c>
      <c r="U27" s="116">
        <f>IF(G27=0,"***",N27/G27)</f>
        <v/>
      </c>
      <c r="V27" s="116">
        <f>IF(H27=0,"***",O27/H27)</f>
        <v/>
      </c>
      <c r="W27" s="116">
        <f>IF(I27=0,"***",P27/I27)</f>
        <v/>
      </c>
      <c r="X27" s="116">
        <f>IF(J27=0,"***",Q27/J27)</f>
        <v/>
      </c>
      <c r="Y27" s="117">
        <f>IF(K27=0,"***",R27/K27)</f>
        <v/>
      </c>
    </row>
    <row r="28">
      <c r="C28" s="73" t="inlineStr">
        <is>
          <t>0035 集計</t>
        </is>
      </c>
      <c r="D28" s="71" t="inlineStr">
        <is>
          <t>自治体</t>
        </is>
      </c>
      <c r="E28" s="2">
        <f>(E18+E8)/2</f>
        <v/>
      </c>
      <c r="F28" s="2">
        <f>(F18+F8)/2</f>
        <v/>
      </c>
      <c r="G28" s="2">
        <f>(G18+G8)/2</f>
        <v/>
      </c>
      <c r="H28" s="2">
        <f>(H18+H8)/2</f>
        <v/>
      </c>
      <c r="I28" s="2">
        <f>(I18+I8)/2</f>
        <v/>
      </c>
      <c r="J28" s="2">
        <f>(J18+J8)/2</f>
        <v/>
      </c>
      <c r="K28" s="79">
        <f>SUM(E28:J28)</f>
        <v/>
      </c>
      <c r="L28" s="1">
        <f>(L18+L8)/2</f>
        <v/>
      </c>
      <c r="M28" s="2">
        <f>(M18+M8)/2</f>
        <v/>
      </c>
      <c r="N28" s="2">
        <f>(N18+N8)/2</f>
        <v/>
      </c>
      <c r="O28" s="2">
        <f>(O18+O8)/2</f>
        <v/>
      </c>
      <c r="P28" s="2">
        <f>(P18+P8)/2</f>
        <v/>
      </c>
      <c r="Q28" s="2">
        <f>(Q18+Q8)/2</f>
        <v/>
      </c>
      <c r="R28" s="75">
        <f>SUM(L28:Q28)</f>
        <v/>
      </c>
      <c r="S28" s="115">
        <f>IF(E28=0,"***",L28/E28)</f>
        <v/>
      </c>
      <c r="T28" s="116">
        <f>IF(F28=0,"***",M28/F28)</f>
        <v/>
      </c>
      <c r="U28" s="116">
        <f>IF(G28=0,"***",N28/G28)</f>
        <v/>
      </c>
      <c r="V28" s="116">
        <f>IF(H28=0,"***",O28/H28)</f>
        <v/>
      </c>
      <c r="W28" s="116">
        <f>IF(I28=0,"***",P28/I28)</f>
        <v/>
      </c>
      <c r="X28" s="116">
        <f>IF(J28=0,"***",Q28/J28)</f>
        <v/>
      </c>
      <c r="Y28" s="117">
        <f>IF(K28=0,"***",R28/K28)</f>
        <v/>
      </c>
    </row>
    <row r="29">
      <c r="C29" s="73" t="inlineStr">
        <is>
          <t>0039 集計</t>
        </is>
      </c>
      <c r="D29" s="71" t="inlineStr">
        <is>
          <t>その他</t>
        </is>
      </c>
      <c r="E29" s="2">
        <f>(E19+E9)/2</f>
        <v/>
      </c>
      <c r="F29" s="2">
        <f>(F19+F9)/2</f>
        <v/>
      </c>
      <c r="G29" s="2">
        <f>(G19+G9)/2</f>
        <v/>
      </c>
      <c r="H29" s="2">
        <f>(H19+H9)/2</f>
        <v/>
      </c>
      <c r="I29" s="2">
        <f>(I19+I9)/2</f>
        <v/>
      </c>
      <c r="J29" s="2">
        <f>(J19+J9)/2</f>
        <v/>
      </c>
      <c r="K29" s="79">
        <f>SUM(E29:J29)</f>
        <v/>
      </c>
      <c r="L29" s="1">
        <f>(L19+L9)/2</f>
        <v/>
      </c>
      <c r="M29" s="2">
        <f>(M19+M9)/2</f>
        <v/>
      </c>
      <c r="N29" s="2">
        <f>(N19+N9)/2</f>
        <v/>
      </c>
      <c r="O29" s="2">
        <f>(O19+O9)/2</f>
        <v/>
      </c>
      <c r="P29" s="2">
        <f>(P19+P9)/2</f>
        <v/>
      </c>
      <c r="Q29" s="2">
        <f>(Q19+Q9)/2</f>
        <v/>
      </c>
      <c r="R29" s="75">
        <f>SUM(L29:Q29)</f>
        <v/>
      </c>
      <c r="S29" s="115">
        <f>IF(E29=0,"***",L29/E29)</f>
        <v/>
      </c>
      <c r="T29" s="116">
        <f>IF(F29=0,"***",M29/F29)</f>
        <v/>
      </c>
      <c r="U29" s="116">
        <f>IF(G29=0,"***",N29/G29)</f>
        <v/>
      </c>
      <c r="V29" s="116">
        <f>IF(H29=0,"***",O29/H29)</f>
        <v/>
      </c>
      <c r="W29" s="116">
        <f>IF(I29=0,"***",P29/I29)</f>
        <v/>
      </c>
      <c r="X29" s="116">
        <f>IF(J29=0,"***",Q29/J29)</f>
        <v/>
      </c>
      <c r="Y29" s="117">
        <f>IF(K29=0,"***",R29/K29)</f>
        <v/>
      </c>
    </row>
    <row r="30">
      <c r="C30" s="3" t="inlineStr">
        <is>
          <t>合計</t>
        </is>
      </c>
      <c r="D30" s="72" t="n"/>
      <c r="E30" s="63">
        <f>SUM(E25:E29)</f>
        <v/>
      </c>
      <c r="F30" s="63">
        <f>SUM(F25:F29)</f>
        <v/>
      </c>
      <c r="G30" s="63">
        <f>SUM(G25:G29)</f>
        <v/>
      </c>
      <c r="H30" s="63">
        <f>SUM(H25:H29)</f>
        <v/>
      </c>
      <c r="I30" s="63">
        <f>SUM(I25:I29)</f>
        <v/>
      </c>
      <c r="J30" s="63">
        <f>SUM(J25:J29)</f>
        <v/>
      </c>
      <c r="K30" s="80">
        <f>SUM(E30:J30)</f>
        <v/>
      </c>
      <c r="L30" s="76">
        <f>SUM(L25:L29)</f>
        <v/>
      </c>
      <c r="M30" s="63">
        <f>SUM(M25:M29)</f>
        <v/>
      </c>
      <c r="N30" s="63">
        <f>SUM(N25:N29)</f>
        <v/>
      </c>
      <c r="O30" s="63">
        <f>SUM(O25:O29)</f>
        <v/>
      </c>
      <c r="P30" s="63">
        <f>SUM(P25:P29)</f>
        <v/>
      </c>
      <c r="Q30" s="63">
        <f>SUM(Q25:Q29)</f>
        <v/>
      </c>
      <c r="R30" s="77">
        <f>SUM(L30:Q30)</f>
        <v/>
      </c>
      <c r="S30" s="118">
        <f>IF(E30=0,"***",L30/E30)</f>
        <v/>
      </c>
      <c r="T30" s="119">
        <f>IF(F30=0,"***",M30/F30)</f>
        <v/>
      </c>
      <c r="U30" s="119">
        <f>IF(G30=0,"***",N30/G30)</f>
        <v/>
      </c>
      <c r="V30" s="119">
        <f>IF(H30=0,"***",O30/H30)</f>
        <v/>
      </c>
      <c r="W30" s="119">
        <f>IF(I30=0,"***",P30/I30)</f>
        <v/>
      </c>
      <c r="X30" s="119">
        <f>IF(J30=0,"***",Q30/J30)</f>
        <v/>
      </c>
      <c r="Y30" s="120">
        <f>IF(K30=0,"***",R30/K30)</f>
        <v/>
      </c>
    </row>
    <row r="31">
      <c r="C31" s="6" t="n"/>
      <c r="E31" s="5" t="n"/>
      <c r="F31" s="5" t="n"/>
      <c r="G31" s="5" t="n"/>
      <c r="H31" s="5" t="n"/>
      <c r="I31" s="5" t="n"/>
      <c r="J31" s="5" t="n"/>
      <c r="K31" s="6" t="n"/>
      <c r="L31" s="5" t="n"/>
      <c r="M31" s="5" t="n"/>
      <c r="N31" s="5" t="n"/>
      <c r="O31" s="5" t="n"/>
      <c r="P31" s="5" t="n"/>
      <c r="Q31" s="5" t="n"/>
      <c r="R31" s="6" t="n"/>
      <c r="S31" s="121" t="n"/>
      <c r="T31" s="121" t="n"/>
      <c r="U31" s="121" t="n"/>
      <c r="V31" s="121" t="n"/>
      <c r="W31" s="121" t="n"/>
      <c r="X31" s="121" t="n"/>
      <c r="Y31" s="121" t="n"/>
    </row>
    <row r="32">
      <c r="C32" s="6" t="inlineStr">
        <is>
          <t>4．計画</t>
        </is>
      </c>
    </row>
    <row r="33">
      <c r="C33" s="87" t="n"/>
      <c r="D33" s="88" t="n"/>
      <c r="E33" s="87" t="inlineStr">
        <is>
          <t>売上</t>
        </is>
      </c>
      <c r="F33" s="90" t="n"/>
      <c r="G33" s="90" t="n"/>
      <c r="H33" s="90" t="n"/>
      <c r="I33" s="90" t="n"/>
      <c r="J33" s="90" t="n"/>
      <c r="K33" s="88" t="n"/>
      <c r="L33" s="89" t="inlineStr">
        <is>
          <t>粗利益</t>
        </is>
      </c>
      <c r="M33" s="90" t="n"/>
      <c r="N33" s="90" t="n"/>
      <c r="O33" s="90" t="n"/>
      <c r="P33" s="90" t="n"/>
      <c r="Q33" s="90" t="n"/>
      <c r="R33" s="88" t="n"/>
      <c r="S33" s="89" t="inlineStr">
        <is>
          <t>粗利益率</t>
        </is>
      </c>
      <c r="T33" s="90" t="n"/>
      <c r="U33" s="90" t="n"/>
      <c r="V33" s="90" t="n"/>
      <c r="W33" s="90" t="n"/>
      <c r="X33" s="90" t="n"/>
      <c r="Y33" s="88" t="n"/>
    </row>
    <row r="34">
      <c r="C34" s="61" t="n"/>
      <c r="D34" s="70" t="n"/>
      <c r="E34" s="74" t="n">
        <v>46113</v>
      </c>
      <c r="F34" s="62" t="n">
        <v>46143</v>
      </c>
      <c r="G34" s="62" t="n">
        <v>46174</v>
      </c>
      <c r="H34" s="62" t="n">
        <v>46204</v>
      </c>
      <c r="I34" s="62" t="n">
        <v>46235</v>
      </c>
      <c r="J34" s="62" t="n">
        <v>46266</v>
      </c>
      <c r="K34" s="64" t="inlineStr">
        <is>
          <t>合計</t>
        </is>
      </c>
      <c r="L34" s="83" t="n">
        <v>46113</v>
      </c>
      <c r="M34" s="62" t="n">
        <v>46143</v>
      </c>
      <c r="N34" s="62" t="n">
        <v>46174</v>
      </c>
      <c r="O34" s="62" t="n">
        <v>46204</v>
      </c>
      <c r="P34" s="62" t="n">
        <v>46235</v>
      </c>
      <c r="Q34" s="62" t="n">
        <v>46266</v>
      </c>
      <c r="R34" s="64" t="inlineStr">
        <is>
          <t>合計</t>
        </is>
      </c>
      <c r="S34" s="83" t="n">
        <v>46113</v>
      </c>
      <c r="T34" s="62" t="n">
        <v>46143</v>
      </c>
      <c r="U34" s="62" t="n">
        <v>46174</v>
      </c>
      <c r="V34" s="62" t="n">
        <v>46204</v>
      </c>
      <c r="W34" s="62" t="n">
        <v>46235</v>
      </c>
      <c r="X34" s="62" t="n">
        <v>46266</v>
      </c>
      <c r="Y34" s="64" t="inlineStr">
        <is>
          <t>合計</t>
        </is>
      </c>
    </row>
    <row r="35">
      <c r="C35" s="73" t="inlineStr">
        <is>
          <t>0032 集計</t>
        </is>
      </c>
      <c r="D35" s="71" t="inlineStr">
        <is>
          <t>飯塚主任</t>
        </is>
      </c>
      <c r="E35" s="2" t="n">
        <v>11600</v>
      </c>
      <c r="F35" s="2" t="n">
        <v>10220</v>
      </c>
      <c r="G35" s="2" t="n">
        <v>8550</v>
      </c>
      <c r="H35" s="2" t="n">
        <v>9970</v>
      </c>
      <c r="I35" s="2" t="n">
        <v>11590</v>
      </c>
      <c r="J35" s="2" t="n">
        <v>8200</v>
      </c>
      <c r="K35" s="79">
        <f>SUM(E35:J35)</f>
        <v/>
      </c>
      <c r="L35" s="1" t="n">
        <v>3490</v>
      </c>
      <c r="M35" s="2" t="n">
        <v>3000</v>
      </c>
      <c r="N35" s="2" t="n">
        <v>2640</v>
      </c>
      <c r="O35" s="2" t="n">
        <v>2990</v>
      </c>
      <c r="P35" s="2" t="n">
        <v>3510</v>
      </c>
      <c r="Q35" s="2" t="n">
        <v>2800</v>
      </c>
      <c r="R35" s="75">
        <f>SUM(L35:Q35)</f>
        <v/>
      </c>
      <c r="S35" s="115">
        <f>IF(E35=0,"***",L35/E35)</f>
        <v/>
      </c>
      <c r="T35" s="116">
        <f>IF(F35=0,"***",M35/F35)</f>
        <v/>
      </c>
      <c r="U35" s="116">
        <f>IF(G35=0,"***",N35/G35)</f>
        <v/>
      </c>
      <c r="V35" s="116">
        <f>IF(H35=0,"***",O35/H35)</f>
        <v/>
      </c>
      <c r="W35" s="116">
        <f>IF(I35=0,"***",P35/I35)</f>
        <v/>
      </c>
      <c r="X35" s="116">
        <f>IF(J35=0,"***",Q35/J35)</f>
        <v/>
      </c>
      <c r="Y35" s="117">
        <f>IF(K35=0,"***",R35/K35)</f>
        <v/>
      </c>
    </row>
    <row r="36">
      <c r="C36" s="73" t="inlineStr">
        <is>
          <t>0033 集計</t>
        </is>
      </c>
      <c r="D36" s="60" t="inlineStr">
        <is>
          <t>前田課長代</t>
        </is>
      </c>
      <c r="E36" s="2" t="n">
        <v>10750</v>
      </c>
      <c r="F36" s="2" t="n">
        <v>7960</v>
      </c>
      <c r="G36" s="2" t="n">
        <v>9980</v>
      </c>
      <c r="H36" s="2" t="n">
        <v>10050</v>
      </c>
      <c r="I36" s="2" t="n">
        <v>9310</v>
      </c>
      <c r="J36" s="2" t="n">
        <v>9350</v>
      </c>
      <c r="K36" s="79">
        <f>SUM(E36:J36)</f>
        <v/>
      </c>
      <c r="L36" s="1" t="n">
        <v>2670</v>
      </c>
      <c r="M36" s="2" t="n">
        <v>2040</v>
      </c>
      <c r="N36" s="2" t="n">
        <v>2110</v>
      </c>
      <c r="O36" s="2" t="n">
        <v>2270</v>
      </c>
      <c r="P36" s="2" t="n">
        <v>2230</v>
      </c>
      <c r="Q36" s="2" t="n">
        <v>2320</v>
      </c>
      <c r="R36" s="75">
        <f>SUM(L36:Q36)</f>
        <v/>
      </c>
      <c r="S36" s="115">
        <f>IF(E36=0,"***",L36/E36)</f>
        <v/>
      </c>
      <c r="T36" s="116">
        <f>IF(F36=0,"***",M36/F36)</f>
        <v/>
      </c>
      <c r="U36" s="116">
        <f>IF(G36=0,"***",N36/G36)</f>
        <v/>
      </c>
      <c r="V36" s="116">
        <f>IF(H36=0,"***",O36/H36)</f>
        <v/>
      </c>
      <c r="W36" s="116">
        <f>IF(I36=0,"***",P36/I36)</f>
        <v/>
      </c>
      <c r="X36" s="116">
        <f>IF(J36=0,"***",Q36/J36)</f>
        <v/>
      </c>
      <c r="Y36" s="117">
        <f>IF(K36=0,"***",R36/K36)</f>
        <v/>
      </c>
    </row>
    <row r="37">
      <c r="C37" s="73" t="inlineStr">
        <is>
          <t>0034 集計</t>
        </is>
      </c>
      <c r="D37" s="71" t="inlineStr">
        <is>
          <t>原田</t>
        </is>
      </c>
      <c r="E37" s="2" t="n">
        <v>9800</v>
      </c>
      <c r="F37" s="2" t="n">
        <v>7990</v>
      </c>
      <c r="G37" s="2" t="n">
        <v>8070</v>
      </c>
      <c r="H37" s="2" t="n">
        <v>10030</v>
      </c>
      <c r="I37" s="2" t="n">
        <v>9570</v>
      </c>
      <c r="J37" s="2" t="n">
        <v>9610</v>
      </c>
      <c r="K37" s="79">
        <f>SUM(E37:J37)</f>
        <v/>
      </c>
      <c r="L37" s="1" t="n">
        <v>2350</v>
      </c>
      <c r="M37" s="2" t="n">
        <v>1870</v>
      </c>
      <c r="N37" s="2" t="n">
        <v>1840</v>
      </c>
      <c r="O37" s="2" t="n">
        <v>2300</v>
      </c>
      <c r="P37" s="2" t="n">
        <v>2170</v>
      </c>
      <c r="Q37" s="2" t="n">
        <v>2170</v>
      </c>
      <c r="R37" s="75">
        <f>SUM(L37:Q37)</f>
        <v/>
      </c>
      <c r="S37" s="115">
        <f>IF(E37=0,"***",L37/E37)</f>
        <v/>
      </c>
      <c r="T37" s="116">
        <f>IF(F37=0,"***",M37/F37)</f>
        <v/>
      </c>
      <c r="U37" s="116">
        <f>IF(G37=0,"***",N37/G37)</f>
        <v/>
      </c>
      <c r="V37" s="116">
        <f>IF(H37=0,"***",O37/H37)</f>
        <v/>
      </c>
      <c r="W37" s="116">
        <f>IF(I37=0,"***",P37/I37)</f>
        <v/>
      </c>
      <c r="X37" s="116">
        <f>IF(J37=0,"***",Q37/J37)</f>
        <v/>
      </c>
      <c r="Y37" s="117">
        <f>IF(K37=0,"***",R37/K37)</f>
        <v/>
      </c>
    </row>
    <row r="38">
      <c r="C38" s="73" t="inlineStr">
        <is>
          <t>0035 集計</t>
        </is>
      </c>
      <c r="D38" s="71" t="inlineStr">
        <is>
          <t>自治体</t>
        </is>
      </c>
      <c r="E38" s="39" t="n"/>
      <c r="F38" s="39" t="n"/>
      <c r="G38" s="39" t="n"/>
      <c r="H38" s="39" t="n"/>
      <c r="I38" s="39" t="n"/>
      <c r="J38" s="39" t="n"/>
      <c r="K38" s="79">
        <f>SUM(E38:J38)</f>
        <v/>
      </c>
      <c r="L38" s="58" t="n"/>
      <c r="M38" s="39" t="n"/>
      <c r="N38" s="39" t="n"/>
      <c r="O38" s="39" t="n"/>
      <c r="P38" s="39" t="n"/>
      <c r="Q38" s="39" t="n"/>
      <c r="R38" s="75">
        <f>SUM(L38:Q38)</f>
        <v/>
      </c>
      <c r="S38" s="115">
        <f>IF(E38=0,"***",L38/E38)</f>
        <v/>
      </c>
      <c r="T38" s="116">
        <f>IF(F38=0,"***",M38/F38)</f>
        <v/>
      </c>
      <c r="U38" s="116">
        <f>IF(G38=0,"***",N38/G38)</f>
        <v/>
      </c>
      <c r="V38" s="116">
        <f>IF(H38=0,"***",O38/H38)</f>
        <v/>
      </c>
      <c r="W38" s="116">
        <f>IF(I38=0,"***",P38/I38)</f>
        <v/>
      </c>
      <c r="X38" s="116">
        <f>IF(J38=0,"***",Q38/J38)</f>
        <v/>
      </c>
      <c r="Y38" s="117">
        <f>IF(K38=0,"***",R38/K38)</f>
        <v/>
      </c>
    </row>
    <row r="39">
      <c r="C39" s="73" t="inlineStr">
        <is>
          <t>0039 集計</t>
        </is>
      </c>
      <c r="D39" s="71" t="inlineStr">
        <is>
          <t>その他</t>
        </is>
      </c>
      <c r="E39" s="39" t="n"/>
      <c r="F39" s="39" t="n"/>
      <c r="G39" s="39" t="n"/>
      <c r="H39" s="39" t="n"/>
      <c r="I39" s="39" t="n"/>
      <c r="J39" s="39" t="n"/>
      <c r="K39" s="79">
        <f>SUM(E39:J39)</f>
        <v/>
      </c>
      <c r="L39" s="58" t="n"/>
      <c r="M39" s="39" t="n"/>
      <c r="N39" s="39" t="n"/>
      <c r="O39" s="39" t="n"/>
      <c r="P39" s="39" t="n"/>
      <c r="Q39" s="39" t="n"/>
      <c r="R39" s="75">
        <f>SUM(L39:Q39)</f>
        <v/>
      </c>
      <c r="S39" s="115">
        <f>IF(E39=0,"***",L39/E39)</f>
        <v/>
      </c>
      <c r="T39" s="116">
        <f>IF(F39=0,"***",M39/F39)</f>
        <v/>
      </c>
      <c r="U39" s="116">
        <f>IF(G39=0,"***",N39/G39)</f>
        <v/>
      </c>
      <c r="V39" s="116">
        <f>IF(H39=0,"***",O39/H39)</f>
        <v/>
      </c>
      <c r="W39" s="116">
        <f>IF(I39=0,"***",P39/I39)</f>
        <v/>
      </c>
      <c r="X39" s="116">
        <f>IF(J39=0,"***",Q39/J39)</f>
        <v/>
      </c>
      <c r="Y39" s="117">
        <f>IF(K39=0,"***",R39/K39)</f>
        <v/>
      </c>
    </row>
    <row r="40">
      <c r="C40" s="3" t="inlineStr">
        <is>
          <t>合計</t>
        </is>
      </c>
      <c r="D40" s="72" t="n"/>
      <c r="E40" s="63">
        <f>SUM(E35:E39)</f>
        <v/>
      </c>
      <c r="F40" s="63">
        <f>SUM(F35:F39)</f>
        <v/>
      </c>
      <c r="G40" s="63">
        <f>SUM(G35:G39)</f>
        <v/>
      </c>
      <c r="H40" s="63">
        <f>SUM(H35:H39)</f>
        <v/>
      </c>
      <c r="I40" s="63">
        <f>SUM(I35:I39)</f>
        <v/>
      </c>
      <c r="J40" s="63">
        <f>SUM(J35:J39)</f>
        <v/>
      </c>
      <c r="K40" s="80">
        <f>SUM(E40:J40)</f>
        <v/>
      </c>
      <c r="L40" s="76">
        <f>SUM(L35:L39)</f>
        <v/>
      </c>
      <c r="M40" s="63">
        <f>SUM(M35:M39)</f>
        <v/>
      </c>
      <c r="N40" s="63">
        <f>SUM(N35:N39)</f>
        <v/>
      </c>
      <c r="O40" s="63">
        <f>SUM(O35:O39)</f>
        <v/>
      </c>
      <c r="P40" s="63">
        <f>SUM(P35:P39)</f>
        <v/>
      </c>
      <c r="Q40" s="63">
        <f>SUM(Q35:Q39)</f>
        <v/>
      </c>
      <c r="R40" s="77">
        <f>SUM(L40:Q40)</f>
        <v/>
      </c>
      <c r="S40" s="118">
        <f>IF(E40=0,"***",L40/E40)</f>
        <v/>
      </c>
      <c r="T40" s="119">
        <f>IF(F40=0,"***",M40/F40)</f>
        <v/>
      </c>
      <c r="U40" s="119">
        <f>IF(G40=0,"***",N40/G40)</f>
        <v/>
      </c>
      <c r="V40" s="119">
        <f>IF(H40=0,"***",O40/H40)</f>
        <v/>
      </c>
      <c r="W40" s="119">
        <f>IF(I40=0,"***",P40/I40)</f>
        <v/>
      </c>
      <c r="X40" s="119">
        <f>IF(J40=0,"***",Q40/J40)</f>
        <v/>
      </c>
      <c r="Y40" s="120">
        <f>IF(K40=0,"***",R40/K40)</f>
        <v/>
      </c>
    </row>
    <row r="41" hidden="1" s="97">
      <c r="C41" s="6" t="n"/>
      <c r="E41" s="5" t="n"/>
      <c r="F41" s="5" t="n"/>
      <c r="G41" s="5" t="n"/>
      <c r="H41" s="5" t="n"/>
      <c r="I41" s="5" t="n"/>
      <c r="J41" s="5" t="n"/>
      <c r="K41" s="6" t="n"/>
      <c r="L41" s="5" t="n"/>
      <c r="M41" s="5" t="n"/>
      <c r="N41" s="5" t="n"/>
      <c r="O41" s="5" t="n"/>
      <c r="P41" s="5" t="n"/>
      <c r="Q41" s="5" t="n"/>
      <c r="R41" s="6" t="n"/>
      <c r="S41" s="121" t="n"/>
      <c r="T41" s="121" t="n"/>
      <c r="U41" s="121" t="n"/>
      <c r="V41" s="121" t="n"/>
      <c r="W41" s="121" t="n"/>
      <c r="X41" s="121" t="n"/>
      <c r="Y41" s="121" t="n"/>
    </row>
    <row r="42" hidden="1" s="97">
      <c r="C42" s="6" t="inlineStr">
        <is>
          <t>５．前期比</t>
        </is>
      </c>
    </row>
    <row r="43" hidden="1" s="97">
      <c r="C43" s="87" t="n"/>
      <c r="D43" s="88" t="n"/>
      <c r="E43" s="87" t="inlineStr">
        <is>
          <t>売上</t>
        </is>
      </c>
      <c r="F43" s="90" t="n"/>
      <c r="G43" s="90" t="n"/>
      <c r="H43" s="90" t="n"/>
      <c r="I43" s="90" t="n"/>
      <c r="J43" s="90" t="n"/>
      <c r="K43" s="88" t="n"/>
      <c r="L43" s="89" t="inlineStr">
        <is>
          <t>粗利益</t>
        </is>
      </c>
      <c r="M43" s="90" t="n"/>
      <c r="N43" s="90" t="n"/>
      <c r="O43" s="90" t="n"/>
      <c r="P43" s="90" t="n"/>
      <c r="Q43" s="90" t="n"/>
      <c r="R43" s="88" t="n"/>
      <c r="S43" s="89" t="inlineStr">
        <is>
          <t>粗利益率</t>
        </is>
      </c>
      <c r="T43" s="90" t="n"/>
      <c r="U43" s="90" t="n"/>
      <c r="V43" s="90" t="n"/>
      <c r="W43" s="90" t="n"/>
      <c r="X43" s="90" t="n"/>
      <c r="Y43" s="88" t="n"/>
    </row>
    <row r="44" hidden="1" s="97">
      <c r="C44" s="61" t="n"/>
      <c r="D44" s="70" t="n"/>
      <c r="E44" s="74" t="n">
        <v>46113</v>
      </c>
      <c r="F44" s="62" t="n">
        <v>46143</v>
      </c>
      <c r="G44" s="62" t="n">
        <v>46174</v>
      </c>
      <c r="H44" s="62" t="n">
        <v>46204</v>
      </c>
      <c r="I44" s="62" t="n">
        <v>46235</v>
      </c>
      <c r="J44" s="62" t="n">
        <v>46266</v>
      </c>
      <c r="K44" s="64" t="inlineStr">
        <is>
          <t>合計</t>
        </is>
      </c>
      <c r="L44" s="83" t="n">
        <v>46113</v>
      </c>
      <c r="M44" s="62" t="n">
        <v>46143</v>
      </c>
      <c r="N44" s="62" t="n">
        <v>46174</v>
      </c>
      <c r="O44" s="62" t="n">
        <v>46204</v>
      </c>
      <c r="P44" s="62" t="n">
        <v>46235</v>
      </c>
      <c r="Q44" s="62" t="n">
        <v>46266</v>
      </c>
      <c r="R44" s="64" t="inlineStr">
        <is>
          <t>合計</t>
        </is>
      </c>
      <c r="S44" s="83" t="n">
        <v>46113</v>
      </c>
      <c r="T44" s="62" t="n">
        <v>46143</v>
      </c>
      <c r="U44" s="62" t="n">
        <v>46174</v>
      </c>
      <c r="V44" s="62" t="n">
        <v>46204</v>
      </c>
      <c r="W44" s="62" t="n">
        <v>46235</v>
      </c>
      <c r="X44" s="62" t="n">
        <v>46266</v>
      </c>
      <c r="Y44" s="64" t="inlineStr">
        <is>
          <t>合計</t>
        </is>
      </c>
    </row>
    <row r="45" hidden="1" s="97">
      <c r="C45" s="73" t="inlineStr">
        <is>
          <t>0032 集計</t>
        </is>
      </c>
      <c r="D45" s="71" t="inlineStr">
        <is>
          <t>飯塚主任</t>
        </is>
      </c>
      <c r="E45" s="2">
        <f>E35-E15</f>
        <v/>
      </c>
      <c r="F45" s="2">
        <f>F35-F15</f>
        <v/>
      </c>
      <c r="G45" s="2">
        <f>G35-G15</f>
        <v/>
      </c>
      <c r="H45" s="2">
        <f>H35-H15</f>
        <v/>
      </c>
      <c r="I45" s="2">
        <f>I35-I15</f>
        <v/>
      </c>
      <c r="J45" s="2">
        <f>J35-J15</f>
        <v/>
      </c>
      <c r="K45" s="79">
        <f>SUM(E45:J45)</f>
        <v/>
      </c>
      <c r="L45" s="1">
        <f>L35-L15</f>
        <v/>
      </c>
      <c r="M45" s="2">
        <f>M35-M15</f>
        <v/>
      </c>
      <c r="N45" s="2">
        <f>N35-N15</f>
        <v/>
      </c>
      <c r="O45" s="2">
        <f>O35-O15</f>
        <v/>
      </c>
      <c r="P45" s="2">
        <f>P35-P15</f>
        <v/>
      </c>
      <c r="Q45" s="2">
        <f>Q35-Q15</f>
        <v/>
      </c>
      <c r="R45" s="75">
        <f>SUM(L45:Q45)</f>
        <v/>
      </c>
      <c r="S45" s="115">
        <f>S35-S15</f>
        <v/>
      </c>
      <c r="T45" s="116">
        <f>T35-T15</f>
        <v/>
      </c>
      <c r="U45" s="116">
        <f>U35-U15</f>
        <v/>
      </c>
      <c r="V45" s="116">
        <f>V35-V15</f>
        <v/>
      </c>
      <c r="W45" s="116">
        <f>W35-W15</f>
        <v/>
      </c>
      <c r="X45" s="116">
        <f>X35-X15</f>
        <v/>
      </c>
      <c r="Y45" s="117">
        <f>Y35-Y15</f>
        <v/>
      </c>
    </row>
    <row r="46" hidden="1" s="97">
      <c r="C46" s="73" t="inlineStr">
        <is>
          <t>0033 集計</t>
        </is>
      </c>
      <c r="D46" s="60" t="inlineStr">
        <is>
          <t>前田課長代</t>
        </is>
      </c>
      <c r="E46" s="2">
        <f>E36-E16</f>
        <v/>
      </c>
      <c r="F46" s="2">
        <f>F36-F16</f>
        <v/>
      </c>
      <c r="G46" s="2">
        <f>G36-G16</f>
        <v/>
      </c>
      <c r="H46" s="2">
        <f>H36-H16</f>
        <v/>
      </c>
      <c r="I46" s="2">
        <f>I36-I16</f>
        <v/>
      </c>
      <c r="J46" s="2">
        <f>J36-J16</f>
        <v/>
      </c>
      <c r="K46" s="79">
        <f>SUM(E46:J46)</f>
        <v/>
      </c>
      <c r="L46" s="1">
        <f>L36-L16</f>
        <v/>
      </c>
      <c r="M46" s="2">
        <f>M36-M16</f>
        <v/>
      </c>
      <c r="N46" s="2">
        <f>N36-N16</f>
        <v/>
      </c>
      <c r="O46" s="2">
        <f>O36-O16</f>
        <v/>
      </c>
      <c r="P46" s="2">
        <f>P36-P16</f>
        <v/>
      </c>
      <c r="Q46" s="2">
        <f>Q36-Q16</f>
        <v/>
      </c>
      <c r="R46" s="75">
        <f>SUM(L46:Q46)</f>
        <v/>
      </c>
      <c r="S46" s="115">
        <f>S36-S16</f>
        <v/>
      </c>
      <c r="T46" s="116">
        <f>T36-T16</f>
        <v/>
      </c>
      <c r="U46" s="116">
        <f>U36-U16</f>
        <v/>
      </c>
      <c r="V46" s="116">
        <f>V36-V16</f>
        <v/>
      </c>
      <c r="W46" s="116">
        <f>W36-W16</f>
        <v/>
      </c>
      <c r="X46" s="116">
        <f>X36-X16</f>
        <v/>
      </c>
      <c r="Y46" s="117">
        <f>Y36-Y16</f>
        <v/>
      </c>
    </row>
    <row r="47" hidden="1" s="97">
      <c r="C47" s="73" t="inlineStr">
        <is>
          <t>0034 集計</t>
        </is>
      </c>
      <c r="D47" s="71" t="inlineStr">
        <is>
          <t>原田</t>
        </is>
      </c>
      <c r="E47" s="2">
        <f>E37-E17</f>
        <v/>
      </c>
      <c r="F47" s="2">
        <f>F37-F17</f>
        <v/>
      </c>
      <c r="G47" s="2">
        <f>G37-G17</f>
        <v/>
      </c>
      <c r="H47" s="2">
        <f>H37-H17</f>
        <v/>
      </c>
      <c r="I47" s="2">
        <f>I37-I17</f>
        <v/>
      </c>
      <c r="J47" s="2">
        <f>J37-J17</f>
        <v/>
      </c>
      <c r="K47" s="79">
        <f>SUM(E47:J47)</f>
        <v/>
      </c>
      <c r="L47" s="1">
        <f>L37-L17</f>
        <v/>
      </c>
      <c r="M47" s="2">
        <f>M37-M17</f>
        <v/>
      </c>
      <c r="N47" s="2">
        <f>N37-N17</f>
        <v/>
      </c>
      <c r="O47" s="2">
        <f>O37-O17</f>
        <v/>
      </c>
      <c r="P47" s="2">
        <f>P37-P17</f>
        <v/>
      </c>
      <c r="Q47" s="2">
        <f>Q37-Q17</f>
        <v/>
      </c>
      <c r="R47" s="75">
        <f>SUM(L47:Q47)</f>
        <v/>
      </c>
      <c r="S47" s="115">
        <f>S37-S17</f>
        <v/>
      </c>
      <c r="T47" s="116">
        <f>T37-T17</f>
        <v/>
      </c>
      <c r="U47" s="116">
        <f>U37-U17</f>
        <v/>
      </c>
      <c r="V47" s="116">
        <f>V37-V17</f>
        <v/>
      </c>
      <c r="W47" s="116">
        <f>W37-W17</f>
        <v/>
      </c>
      <c r="X47" s="116">
        <f>X37-X17</f>
        <v/>
      </c>
      <c r="Y47" s="117">
        <f>Y37-Y17</f>
        <v/>
      </c>
    </row>
    <row r="48" hidden="1" s="97">
      <c r="C48" s="73" t="inlineStr">
        <is>
          <t>0035 集計</t>
        </is>
      </c>
      <c r="D48" s="71" t="inlineStr">
        <is>
          <t>自治体</t>
        </is>
      </c>
      <c r="E48" s="2">
        <f>E38-E18</f>
        <v/>
      </c>
      <c r="F48" s="2">
        <f>F38-F18</f>
        <v/>
      </c>
      <c r="G48" s="2">
        <f>G38-G18</f>
        <v/>
      </c>
      <c r="H48" s="2">
        <f>H38-H18</f>
        <v/>
      </c>
      <c r="I48" s="2">
        <f>I38-I18</f>
        <v/>
      </c>
      <c r="J48" s="2">
        <f>J38-J18</f>
        <v/>
      </c>
      <c r="K48" s="79">
        <f>SUM(E48:J48)</f>
        <v/>
      </c>
      <c r="L48" s="1">
        <f>L38-L18</f>
        <v/>
      </c>
      <c r="M48" s="2">
        <f>M38-M18</f>
        <v/>
      </c>
      <c r="N48" s="2">
        <f>N38-N18</f>
        <v/>
      </c>
      <c r="O48" s="2">
        <f>O38-O18</f>
        <v/>
      </c>
      <c r="P48" s="2">
        <f>P38-P18</f>
        <v/>
      </c>
      <c r="Q48" s="2">
        <f>Q38-Q18</f>
        <v/>
      </c>
      <c r="R48" s="75">
        <f>SUM(L48:Q48)</f>
        <v/>
      </c>
      <c r="S48" s="115">
        <f>S38-S18</f>
        <v/>
      </c>
      <c r="T48" s="116">
        <f>T38-T18</f>
        <v/>
      </c>
      <c r="U48" s="116">
        <f>U38-U18</f>
        <v/>
      </c>
      <c r="V48" s="116">
        <f>V38-V18</f>
        <v/>
      </c>
      <c r="W48" s="116">
        <f>W38-W18</f>
        <v/>
      </c>
      <c r="X48" s="116">
        <f>X38-X18</f>
        <v/>
      </c>
      <c r="Y48" s="117">
        <f>Y38-Y18</f>
        <v/>
      </c>
    </row>
    <row r="49" hidden="1" s="97">
      <c r="C49" s="73" t="inlineStr">
        <is>
          <t>0039 集計</t>
        </is>
      </c>
      <c r="D49" s="71" t="inlineStr">
        <is>
          <t>その他</t>
        </is>
      </c>
      <c r="E49" s="2">
        <f>E39-E19</f>
        <v/>
      </c>
      <c r="F49" s="2">
        <f>F39-F19</f>
        <v/>
      </c>
      <c r="G49" s="2">
        <f>G39-G19</f>
        <v/>
      </c>
      <c r="H49" s="2">
        <f>H39-H19</f>
        <v/>
      </c>
      <c r="I49" s="2">
        <f>I39-I19</f>
        <v/>
      </c>
      <c r="J49" s="2">
        <f>J39-J19</f>
        <v/>
      </c>
      <c r="K49" s="79">
        <f>SUM(E49:J49)</f>
        <v/>
      </c>
      <c r="L49" s="1">
        <f>L39-L19</f>
        <v/>
      </c>
      <c r="M49" s="2">
        <f>M39-M19</f>
        <v/>
      </c>
      <c r="N49" s="2">
        <f>N39-N19</f>
        <v/>
      </c>
      <c r="O49" s="2">
        <f>O39-O19</f>
        <v/>
      </c>
      <c r="P49" s="2">
        <f>P39-P19</f>
        <v/>
      </c>
      <c r="Q49" s="2">
        <f>Q39-Q19</f>
        <v/>
      </c>
      <c r="R49" s="75">
        <f>SUM(L49:Q49)</f>
        <v/>
      </c>
      <c r="S49" s="115">
        <f>S39-S19</f>
        <v/>
      </c>
      <c r="T49" s="116">
        <f>T39-T19</f>
        <v/>
      </c>
      <c r="U49" s="116">
        <f>U39-U19</f>
        <v/>
      </c>
      <c r="V49" s="116">
        <f>V39-V19</f>
        <v/>
      </c>
      <c r="W49" s="116">
        <f>W39-W19</f>
        <v/>
      </c>
      <c r="X49" s="116">
        <f>X39-X19</f>
        <v/>
      </c>
      <c r="Y49" s="117">
        <f>Y39-Y19</f>
        <v/>
      </c>
    </row>
    <row r="50" hidden="1" s="97">
      <c r="C50" s="3" t="inlineStr">
        <is>
          <t>合計</t>
        </is>
      </c>
      <c r="D50" s="72" t="n"/>
      <c r="E50" s="63">
        <f>SUM(E45:E49)</f>
        <v/>
      </c>
      <c r="F50" s="63">
        <f>SUM(F45:F49)</f>
        <v/>
      </c>
      <c r="G50" s="63">
        <f>SUM(G45:G49)</f>
        <v/>
      </c>
      <c r="H50" s="63">
        <f>SUM(H45:H49)</f>
        <v/>
      </c>
      <c r="I50" s="63">
        <f>SUM(I45:I49)</f>
        <v/>
      </c>
      <c r="J50" s="63">
        <f>SUM(J45:J49)</f>
        <v/>
      </c>
      <c r="K50" s="80">
        <f>SUM(E50:J50)</f>
        <v/>
      </c>
      <c r="L50" s="76">
        <f>SUM(L45:L49)</f>
        <v/>
      </c>
      <c r="M50" s="63">
        <f>SUM(M45:M49)</f>
        <v/>
      </c>
      <c r="N50" s="63">
        <f>SUM(N45:N49)</f>
        <v/>
      </c>
      <c r="O50" s="63">
        <f>SUM(O45:O49)</f>
        <v/>
      </c>
      <c r="P50" s="63">
        <f>SUM(P45:P49)</f>
        <v/>
      </c>
      <c r="Q50" s="63">
        <f>SUM(Q45:Q49)</f>
        <v/>
      </c>
      <c r="R50" s="77">
        <f>SUM(L50:Q50)</f>
        <v/>
      </c>
      <c r="S50" s="118">
        <f>S40-S20</f>
        <v/>
      </c>
      <c r="T50" s="119">
        <f>T40-T20</f>
        <v/>
      </c>
      <c r="U50" s="119">
        <f>U40-U20</f>
        <v/>
      </c>
      <c r="V50" s="119">
        <f>V40-V20</f>
        <v/>
      </c>
      <c r="W50" s="119">
        <f>W40-W20</f>
        <v/>
      </c>
      <c r="X50" s="119">
        <f>X40-X20</f>
        <v/>
      </c>
      <c r="Y50" s="120">
        <f>Y40-Y20</f>
        <v/>
      </c>
    </row>
    <row r="51" hidden="1" s="97"/>
    <row r="52" hidden="1" s="97">
      <c r="C52" s="6" t="inlineStr">
        <is>
          <t>6．過年度平均比</t>
        </is>
      </c>
    </row>
    <row r="53" hidden="1" s="97">
      <c r="C53" s="87" t="n"/>
      <c r="D53" s="88" t="n"/>
      <c r="E53" s="87" t="inlineStr">
        <is>
          <t>売上</t>
        </is>
      </c>
      <c r="F53" s="90" t="n"/>
      <c r="G53" s="90" t="n"/>
      <c r="H53" s="90" t="n"/>
      <c r="I53" s="90" t="n"/>
      <c r="J53" s="90" t="n"/>
      <c r="K53" s="88" t="n"/>
      <c r="L53" s="89" t="inlineStr">
        <is>
          <t>粗利益</t>
        </is>
      </c>
      <c r="M53" s="90" t="n"/>
      <c r="N53" s="90" t="n"/>
      <c r="O53" s="90" t="n"/>
      <c r="P53" s="90" t="n"/>
      <c r="Q53" s="90" t="n"/>
      <c r="R53" s="88" t="n"/>
      <c r="S53" s="89" t="inlineStr">
        <is>
          <t>粗利益率</t>
        </is>
      </c>
      <c r="T53" s="90" t="n"/>
      <c r="U53" s="90" t="n"/>
      <c r="V53" s="90" t="n"/>
      <c r="W53" s="90" t="n"/>
      <c r="X53" s="90" t="n"/>
      <c r="Y53" s="88" t="n"/>
    </row>
    <row r="54" hidden="1" s="97">
      <c r="C54" s="61" t="n"/>
      <c r="D54" s="70" t="n"/>
      <c r="E54" s="74" t="n">
        <v>46113</v>
      </c>
      <c r="F54" s="62" t="n">
        <v>46143</v>
      </c>
      <c r="G54" s="62" t="n">
        <v>46174</v>
      </c>
      <c r="H54" s="62" t="n">
        <v>46204</v>
      </c>
      <c r="I54" s="62" t="n">
        <v>46235</v>
      </c>
      <c r="J54" s="62" t="n">
        <v>46266</v>
      </c>
      <c r="K54" s="64" t="inlineStr">
        <is>
          <t>合計</t>
        </is>
      </c>
      <c r="L54" s="83" t="n">
        <v>46113</v>
      </c>
      <c r="M54" s="62" t="n">
        <v>46143</v>
      </c>
      <c r="N54" s="62" t="n">
        <v>46174</v>
      </c>
      <c r="O54" s="62" t="n">
        <v>46204</v>
      </c>
      <c r="P54" s="62" t="n">
        <v>46235</v>
      </c>
      <c r="Q54" s="62" t="n">
        <v>46266</v>
      </c>
      <c r="R54" s="64" t="inlineStr">
        <is>
          <t>合計</t>
        </is>
      </c>
      <c r="S54" s="83" t="n">
        <v>46113</v>
      </c>
      <c r="T54" s="62" t="n">
        <v>46143</v>
      </c>
      <c r="U54" s="62" t="n">
        <v>46174</v>
      </c>
      <c r="V54" s="62" t="n">
        <v>46204</v>
      </c>
      <c r="W54" s="62" t="n">
        <v>46235</v>
      </c>
      <c r="X54" s="62" t="n">
        <v>46266</v>
      </c>
      <c r="Y54" s="64" t="inlineStr">
        <is>
          <t>合計</t>
        </is>
      </c>
    </row>
    <row r="55" hidden="1" s="97">
      <c r="C55" s="73" t="inlineStr">
        <is>
          <t>0032 集計</t>
        </is>
      </c>
      <c r="D55" s="71" t="inlineStr">
        <is>
          <t>飯塚主任</t>
        </is>
      </c>
      <c r="E55" s="2">
        <f>E35-E25</f>
        <v/>
      </c>
      <c r="F55" s="2">
        <f>F35-F25</f>
        <v/>
      </c>
      <c r="G55" s="2">
        <f>G35-G25</f>
        <v/>
      </c>
      <c r="H55" s="2">
        <f>H35-H25</f>
        <v/>
      </c>
      <c r="I55" s="2">
        <f>I35-I25</f>
        <v/>
      </c>
      <c r="J55" s="2">
        <f>J35-J25</f>
        <v/>
      </c>
      <c r="K55" s="79">
        <f>SUM(E55:J55)</f>
        <v/>
      </c>
      <c r="L55" s="1">
        <f>L35-L25</f>
        <v/>
      </c>
      <c r="M55" s="2">
        <f>M35-M25</f>
        <v/>
      </c>
      <c r="N55" s="2">
        <f>N35-N25</f>
        <v/>
      </c>
      <c r="O55" s="2">
        <f>O35-O25</f>
        <v/>
      </c>
      <c r="P55" s="2">
        <f>P35-P25</f>
        <v/>
      </c>
      <c r="Q55" s="2">
        <f>Q35-Q25</f>
        <v/>
      </c>
      <c r="R55" s="75">
        <f>SUM(L55:Q55)</f>
        <v/>
      </c>
      <c r="S55" s="115">
        <f>IF(E55=0,"***",L55/E55)</f>
        <v/>
      </c>
      <c r="T55" s="116">
        <f>IF(F55=0,"***",M55/F55)</f>
        <v/>
      </c>
      <c r="U55" s="116">
        <f>IF(G55=0,"***",N55/G55)</f>
        <v/>
      </c>
      <c r="V55" s="116">
        <f>IF(H55=0,"***",O55/H55)</f>
        <v/>
      </c>
      <c r="W55" s="116">
        <f>IF(I55=0,"***",P55/I55)</f>
        <v/>
      </c>
      <c r="X55" s="116">
        <f>IF(J55=0,"***",Q55/J55)</f>
        <v/>
      </c>
      <c r="Y55" s="117">
        <f>IF(K55=0,"***",R55/K55)</f>
        <v/>
      </c>
    </row>
    <row r="56" hidden="1" s="97">
      <c r="C56" s="73" t="inlineStr">
        <is>
          <t>0033 集計</t>
        </is>
      </c>
      <c r="D56" s="60" t="inlineStr">
        <is>
          <t>前田課長代</t>
        </is>
      </c>
      <c r="E56" s="2">
        <f>E36-E26</f>
        <v/>
      </c>
      <c r="F56" s="2">
        <f>F36-F26</f>
        <v/>
      </c>
      <c r="G56" s="2">
        <f>G36-G26</f>
        <v/>
      </c>
      <c r="H56" s="2">
        <f>H36-H26</f>
        <v/>
      </c>
      <c r="I56" s="2">
        <f>I36-I26</f>
        <v/>
      </c>
      <c r="J56" s="2">
        <f>J36-J26</f>
        <v/>
      </c>
      <c r="K56" s="79">
        <f>SUM(E56:J56)</f>
        <v/>
      </c>
      <c r="L56" s="1">
        <f>L36-L26</f>
        <v/>
      </c>
      <c r="M56" s="2">
        <f>M36-M26</f>
        <v/>
      </c>
      <c r="N56" s="2">
        <f>N36-N26</f>
        <v/>
      </c>
      <c r="O56" s="2">
        <f>O36-O26</f>
        <v/>
      </c>
      <c r="P56" s="2">
        <f>P36-P26</f>
        <v/>
      </c>
      <c r="Q56" s="2">
        <f>Q36-Q26</f>
        <v/>
      </c>
      <c r="R56" s="75">
        <f>SUM(L56:Q56)</f>
        <v/>
      </c>
      <c r="S56" s="115">
        <f>IF(E56=0,"***",L56/E56)</f>
        <v/>
      </c>
      <c r="T56" s="116">
        <f>IF(F56=0,"***",M56/F56)</f>
        <v/>
      </c>
      <c r="U56" s="116">
        <f>IF(G56=0,"***",N56/G56)</f>
        <v/>
      </c>
      <c r="V56" s="116">
        <f>IF(H56=0,"***",O56/H56)</f>
        <v/>
      </c>
      <c r="W56" s="116">
        <f>IF(I56=0,"***",P56/I56)</f>
        <v/>
      </c>
      <c r="X56" s="116">
        <f>IF(J56=0,"***",Q56/J56)</f>
        <v/>
      </c>
      <c r="Y56" s="117">
        <f>IF(K56=0,"***",R56/K56)</f>
        <v/>
      </c>
    </row>
    <row r="57" hidden="1" s="97">
      <c r="C57" s="73" t="inlineStr">
        <is>
          <t>0034 集計</t>
        </is>
      </c>
      <c r="D57" s="71" t="inlineStr">
        <is>
          <t>原田</t>
        </is>
      </c>
      <c r="E57" s="2">
        <f>E37-E27</f>
        <v/>
      </c>
      <c r="F57" s="2">
        <f>F37-F27</f>
        <v/>
      </c>
      <c r="G57" s="2">
        <f>G37-G27</f>
        <v/>
      </c>
      <c r="H57" s="2">
        <f>H37-H27</f>
        <v/>
      </c>
      <c r="I57" s="2">
        <f>I37-I27</f>
        <v/>
      </c>
      <c r="J57" s="2">
        <f>J37-J27</f>
        <v/>
      </c>
      <c r="K57" s="79">
        <f>SUM(E57:J57)</f>
        <v/>
      </c>
      <c r="L57" s="1">
        <f>L37-L27</f>
        <v/>
      </c>
      <c r="M57" s="2">
        <f>M37-M27</f>
        <v/>
      </c>
      <c r="N57" s="2">
        <f>N37-N27</f>
        <v/>
      </c>
      <c r="O57" s="2">
        <f>O37-O27</f>
        <v/>
      </c>
      <c r="P57" s="2">
        <f>P37-P27</f>
        <v/>
      </c>
      <c r="Q57" s="2">
        <f>Q37-Q27</f>
        <v/>
      </c>
      <c r="R57" s="75">
        <f>SUM(L57:Q57)</f>
        <v/>
      </c>
      <c r="S57" s="115">
        <f>IF(E57=0,"***",L57/E57)</f>
        <v/>
      </c>
      <c r="T57" s="116">
        <f>IF(F57=0,"***",M57/F57)</f>
        <v/>
      </c>
      <c r="U57" s="116">
        <f>IF(G57=0,"***",N57/G57)</f>
        <v/>
      </c>
      <c r="V57" s="116">
        <f>IF(H57=0,"***",O57/H57)</f>
        <v/>
      </c>
      <c r="W57" s="116">
        <f>IF(I57=0,"***",P57/I57)</f>
        <v/>
      </c>
      <c r="X57" s="116">
        <f>IF(J57=0,"***",Q57/J57)</f>
        <v/>
      </c>
      <c r="Y57" s="117">
        <f>IF(K57=0,"***",R57/K57)</f>
        <v/>
      </c>
    </row>
    <row r="58" hidden="1" s="97">
      <c r="C58" s="73" t="inlineStr">
        <is>
          <t>0035 集計</t>
        </is>
      </c>
      <c r="D58" s="71" t="inlineStr">
        <is>
          <t>自治体</t>
        </is>
      </c>
      <c r="E58" s="2">
        <f>E38-E28</f>
        <v/>
      </c>
      <c r="F58" s="2">
        <f>F38-F28</f>
        <v/>
      </c>
      <c r="G58" s="2">
        <f>G38-G28</f>
        <v/>
      </c>
      <c r="H58" s="2">
        <f>H38-H28</f>
        <v/>
      </c>
      <c r="I58" s="2">
        <f>I38-I28</f>
        <v/>
      </c>
      <c r="J58" s="2">
        <f>J38-J28</f>
        <v/>
      </c>
      <c r="K58" s="79">
        <f>SUM(E58:J58)</f>
        <v/>
      </c>
      <c r="L58" s="1">
        <f>L38-L28</f>
        <v/>
      </c>
      <c r="M58" s="2">
        <f>M38-M28</f>
        <v/>
      </c>
      <c r="N58" s="2">
        <f>N38-N28</f>
        <v/>
      </c>
      <c r="O58" s="2">
        <f>O38-O28</f>
        <v/>
      </c>
      <c r="P58" s="2">
        <f>P38-P28</f>
        <v/>
      </c>
      <c r="Q58" s="2">
        <f>Q38-Q28</f>
        <v/>
      </c>
      <c r="R58" s="75">
        <f>SUM(L58:Q58)</f>
        <v/>
      </c>
      <c r="S58" s="115">
        <f>IF(E58=0,"***",L58/E58)</f>
        <v/>
      </c>
      <c r="T58" s="116">
        <f>IF(F58=0,"***",M58/F58)</f>
        <v/>
      </c>
      <c r="U58" s="116">
        <f>IF(G58=0,"***",N58/G58)</f>
        <v/>
      </c>
      <c r="V58" s="116">
        <f>IF(H58=0,"***",O58/H58)</f>
        <v/>
      </c>
      <c r="W58" s="116">
        <f>IF(I58=0,"***",P58/I58)</f>
        <v/>
      </c>
      <c r="X58" s="116">
        <f>IF(J58=0,"***",Q58/J58)</f>
        <v/>
      </c>
      <c r="Y58" s="117">
        <f>IF(K58=0,"***",R58/K58)</f>
        <v/>
      </c>
    </row>
    <row r="59" hidden="1" s="97">
      <c r="C59" s="73" t="inlineStr">
        <is>
          <t>0039 集計</t>
        </is>
      </c>
      <c r="D59" s="71" t="inlineStr">
        <is>
          <t>その他</t>
        </is>
      </c>
      <c r="E59" s="2">
        <f>E39-E29</f>
        <v/>
      </c>
      <c r="F59" s="2">
        <f>F39-F29</f>
        <v/>
      </c>
      <c r="G59" s="2">
        <f>G39-G29</f>
        <v/>
      </c>
      <c r="H59" s="2">
        <f>H39-H29</f>
        <v/>
      </c>
      <c r="I59" s="2">
        <f>I39-I29</f>
        <v/>
      </c>
      <c r="J59" s="2">
        <f>J39-J29</f>
        <v/>
      </c>
      <c r="K59" s="79">
        <f>SUM(E59:J59)</f>
        <v/>
      </c>
      <c r="L59" s="1">
        <f>L39-L29</f>
        <v/>
      </c>
      <c r="M59" s="2">
        <f>M39-M29</f>
        <v/>
      </c>
      <c r="N59" s="2">
        <f>N39-N29</f>
        <v/>
      </c>
      <c r="O59" s="2">
        <f>O39-O29</f>
        <v/>
      </c>
      <c r="P59" s="2">
        <f>P39-P29</f>
        <v/>
      </c>
      <c r="Q59" s="2">
        <f>Q39-Q29</f>
        <v/>
      </c>
      <c r="R59" s="75">
        <f>SUM(L59:Q59)</f>
        <v/>
      </c>
      <c r="S59" s="115">
        <f>IF(E59=0,"***",L59/E59)</f>
        <v/>
      </c>
      <c r="T59" s="116">
        <f>IF(F59=0,"***",M59/F59)</f>
        <v/>
      </c>
      <c r="U59" s="116">
        <f>IF(G59=0,"***",N59/G59)</f>
        <v/>
      </c>
      <c r="V59" s="116">
        <f>IF(H59=0,"***",O59/H59)</f>
        <v/>
      </c>
      <c r="W59" s="116">
        <f>IF(I59=0,"***",P59/I59)</f>
        <v/>
      </c>
      <c r="X59" s="116">
        <f>IF(J59=0,"***",Q59/J59)</f>
        <v/>
      </c>
      <c r="Y59" s="117">
        <f>IF(K59=0,"***",R59/K59)</f>
        <v/>
      </c>
    </row>
    <row r="60" hidden="1" s="97">
      <c r="C60" s="3" t="inlineStr">
        <is>
          <t>合計</t>
        </is>
      </c>
      <c r="D60" s="72" t="n"/>
      <c r="E60" s="63">
        <f>SUM(E55:E59)</f>
        <v/>
      </c>
      <c r="F60" s="63">
        <f>SUM(F55:F59)</f>
        <v/>
      </c>
      <c r="G60" s="63">
        <f>SUM(G55:G59)</f>
        <v/>
      </c>
      <c r="H60" s="63">
        <f>SUM(H55:H59)</f>
        <v/>
      </c>
      <c r="I60" s="63">
        <f>SUM(I55:I59)</f>
        <v/>
      </c>
      <c r="J60" s="63">
        <f>SUM(J55:J59)</f>
        <v/>
      </c>
      <c r="K60" s="80">
        <f>SUM(E60:J60)</f>
        <v/>
      </c>
      <c r="L60" s="76">
        <f>SUM(L55:L59)</f>
        <v/>
      </c>
      <c r="M60" s="63">
        <f>SUM(M55:M59)</f>
        <v/>
      </c>
      <c r="N60" s="63">
        <f>SUM(N55:N59)</f>
        <v/>
      </c>
      <c r="O60" s="63">
        <f>SUM(O55:O59)</f>
        <v/>
      </c>
      <c r="P60" s="63">
        <f>SUM(P55:P59)</f>
        <v/>
      </c>
      <c r="Q60" s="63">
        <f>SUM(Q55:Q59)</f>
        <v/>
      </c>
      <c r="R60" s="77">
        <f>SUM(L60:Q60)</f>
        <v/>
      </c>
      <c r="S60" s="118">
        <f>IF(E60=0,"***",L60/E60)</f>
        <v/>
      </c>
      <c r="T60" s="119">
        <f>IF(F60=0,"***",M60/F60)</f>
        <v/>
      </c>
      <c r="U60" s="119">
        <f>IF(G60=0,"***",N60/G60)</f>
        <v/>
      </c>
      <c r="V60" s="119">
        <f>IF(H60=0,"***",O60/H60)</f>
        <v/>
      </c>
      <c r="W60" s="119">
        <f>IF(I60=0,"***",P60/I60)</f>
        <v/>
      </c>
      <c r="X60" s="119">
        <f>IF(J60=0,"***",Q60/J60)</f>
        <v/>
      </c>
      <c r="Y60" s="120">
        <f>IF(K60=0,"***",R60/K60)</f>
        <v/>
      </c>
    </row>
    <row r="61">
      <c r="C61" s="6" t="n"/>
      <c r="E61" s="5" t="n"/>
      <c r="F61" s="5" t="n"/>
      <c r="G61" s="5" t="n"/>
      <c r="H61" s="5" t="n"/>
      <c r="I61" s="5" t="n"/>
      <c r="J61" s="5" t="n"/>
      <c r="K61" s="6" t="n"/>
      <c r="L61" s="5" t="n"/>
      <c r="M61" s="5" t="n"/>
      <c r="N61" s="5" t="n"/>
      <c r="O61" s="5" t="n"/>
      <c r="P61" s="5" t="n"/>
      <c r="Q61" s="5" t="n"/>
      <c r="R61" s="6" t="n"/>
      <c r="S61" s="121" t="n"/>
      <c r="T61" s="121" t="n"/>
      <c r="U61" s="121" t="n"/>
      <c r="V61" s="121" t="n"/>
      <c r="W61" s="121" t="n"/>
      <c r="X61" s="121" t="n"/>
      <c r="Y61" s="121" t="n"/>
    </row>
    <row r="62">
      <c r="C62" s="6" t="inlineStr">
        <is>
          <t>7．実績</t>
        </is>
      </c>
    </row>
    <row r="63">
      <c r="C63" s="87" t="n"/>
      <c r="D63" s="88" t="n"/>
      <c r="E63" s="87" t="inlineStr">
        <is>
          <t>売上</t>
        </is>
      </c>
      <c r="F63" s="90" t="n"/>
      <c r="G63" s="90" t="n"/>
      <c r="H63" s="90" t="n"/>
      <c r="I63" s="90" t="n"/>
      <c r="J63" s="90" t="n"/>
      <c r="K63" s="88" t="n"/>
      <c r="L63" s="89" t="inlineStr">
        <is>
          <t>粗利益</t>
        </is>
      </c>
      <c r="M63" s="90" t="n"/>
      <c r="N63" s="90" t="n"/>
      <c r="O63" s="90" t="n"/>
      <c r="P63" s="90" t="n"/>
      <c r="Q63" s="90" t="n"/>
      <c r="R63" s="88" t="n"/>
      <c r="S63" s="89" t="inlineStr">
        <is>
          <t>粗利益率</t>
        </is>
      </c>
      <c r="T63" s="90" t="n"/>
      <c r="U63" s="90" t="n"/>
      <c r="V63" s="90" t="n"/>
      <c r="W63" s="90" t="n"/>
      <c r="X63" s="90" t="n"/>
      <c r="Y63" s="88" t="n"/>
    </row>
    <row r="64">
      <c r="C64" s="61" t="n"/>
      <c r="D64" s="70" t="n"/>
      <c r="E64" s="74" t="n">
        <v>46113</v>
      </c>
      <c r="F64" s="62" t="n">
        <v>46143</v>
      </c>
      <c r="G64" s="62" t="n">
        <v>46174</v>
      </c>
      <c r="H64" s="62" t="n">
        <v>46204</v>
      </c>
      <c r="I64" s="62" t="n">
        <v>46235</v>
      </c>
      <c r="J64" s="62" t="n">
        <v>46266</v>
      </c>
      <c r="K64" s="64" t="inlineStr">
        <is>
          <t>合計</t>
        </is>
      </c>
      <c r="L64" s="83" t="n">
        <v>46113</v>
      </c>
      <c r="M64" s="62" t="n">
        <v>46143</v>
      </c>
      <c r="N64" s="62" t="n">
        <v>46174</v>
      </c>
      <c r="O64" s="62" t="n">
        <v>46204</v>
      </c>
      <c r="P64" s="62" t="n">
        <v>46235</v>
      </c>
      <c r="Q64" s="62" t="n">
        <v>46266</v>
      </c>
      <c r="R64" s="64" t="inlineStr">
        <is>
          <t>合計</t>
        </is>
      </c>
      <c r="S64" s="83" t="n">
        <v>46113</v>
      </c>
      <c r="T64" s="62" t="n">
        <v>46143</v>
      </c>
      <c r="U64" s="62" t="n">
        <v>46174</v>
      </c>
      <c r="V64" s="62" t="n">
        <v>46204</v>
      </c>
      <c r="W64" s="62" t="n">
        <v>46235</v>
      </c>
      <c r="X64" s="62" t="n">
        <v>46266</v>
      </c>
      <c r="Y64" s="64" t="inlineStr">
        <is>
          <t>合計</t>
        </is>
      </c>
    </row>
    <row r="65">
      <c r="C65" s="73" t="inlineStr">
        <is>
          <t>0032 集計</t>
        </is>
      </c>
      <c r="D65" s="71" t="inlineStr">
        <is>
          <t>飯塚主任</t>
        </is>
      </c>
      <c r="E65" s="81">
        <f>全体!E65-機械!E65</f>
        <v/>
      </c>
      <c r="F65" s="81">
        <f>全体!F65-機械!F65</f>
        <v/>
      </c>
      <c r="G65" s="81">
        <f>全体!G65-機械!G65</f>
        <v/>
      </c>
      <c r="H65" s="39">
        <f>全体!H65-機械!H65</f>
        <v/>
      </c>
      <c r="I65" s="39">
        <f>全体!I65-機械!I65</f>
        <v/>
      </c>
      <c r="J65" s="39" t="n"/>
      <c r="K65" s="79">
        <f>SUM(E65:J65)</f>
        <v/>
      </c>
      <c r="L65" s="81">
        <f>全体!L65-機械!L65</f>
        <v/>
      </c>
      <c r="M65" s="39">
        <f>全体!M65-機械!M65</f>
        <v/>
      </c>
      <c r="N65" s="81">
        <f>全体!N65-機械!N65</f>
        <v/>
      </c>
      <c r="O65" s="39">
        <f>全体!O65-機械!O65</f>
        <v/>
      </c>
      <c r="P65" s="39">
        <f>全体!P65-機械!P65</f>
        <v/>
      </c>
      <c r="Q65" s="39" t="n"/>
      <c r="R65" s="75">
        <f>SUM(L65:Q65)</f>
        <v/>
      </c>
      <c r="S65" s="115">
        <f>IF(E65=0,"***",L65/E65)</f>
        <v/>
      </c>
      <c r="T65" s="116">
        <f>IF(F65=0,"***",M65/F65)</f>
        <v/>
      </c>
      <c r="U65" s="116">
        <f>IF(G65=0,"***",N65/G65)</f>
        <v/>
      </c>
      <c r="V65" s="116">
        <f>IF(H65=0,"***",O65/H65)</f>
        <v/>
      </c>
      <c r="W65" s="116">
        <f>IF(I65=0,"***",P65/I65)</f>
        <v/>
      </c>
      <c r="X65" s="116">
        <f>IF(J65=0,"***",Q65/J65)</f>
        <v/>
      </c>
      <c r="Y65" s="117">
        <f>IF(K65=0,"***",R65/K65)</f>
        <v/>
      </c>
    </row>
    <row r="66">
      <c r="C66" s="73" t="inlineStr">
        <is>
          <t>0033 集計</t>
        </is>
      </c>
      <c r="D66" s="60" t="inlineStr">
        <is>
          <t>前田課長代</t>
        </is>
      </c>
      <c r="E66" s="81">
        <f>全体!E66-機械!E66</f>
        <v/>
      </c>
      <c r="F66" s="81">
        <f>全体!F66-機械!F66</f>
        <v/>
      </c>
      <c r="G66" s="81">
        <f>全体!G66-機械!G66</f>
        <v/>
      </c>
      <c r="H66" s="39">
        <f>全体!H66-機械!H66</f>
        <v/>
      </c>
      <c r="I66" s="39">
        <f>全体!I66-機械!I66</f>
        <v/>
      </c>
      <c r="J66" s="39" t="n"/>
      <c r="K66" s="79">
        <f>SUM(E66:J66)</f>
        <v/>
      </c>
      <c r="L66" s="81">
        <f>全体!L66-機械!L66</f>
        <v/>
      </c>
      <c r="M66" s="39">
        <f>全体!M66-機械!M66</f>
        <v/>
      </c>
      <c r="N66" s="81">
        <f>全体!N66-機械!N66</f>
        <v/>
      </c>
      <c r="O66" s="39">
        <f>全体!O66-機械!O66</f>
        <v/>
      </c>
      <c r="P66" s="39">
        <f>全体!P66-機械!P66</f>
        <v/>
      </c>
      <c r="Q66" s="39" t="n"/>
      <c r="R66" s="75">
        <f>SUM(L66:Q66)</f>
        <v/>
      </c>
      <c r="S66" s="115">
        <f>IF(E66=0,"***",L66/E66)</f>
        <v/>
      </c>
      <c r="T66" s="116">
        <f>IF(F66=0,"***",M66/F66)</f>
        <v/>
      </c>
      <c r="U66" s="116">
        <f>IF(G66=0,"***",N66/G66)</f>
        <v/>
      </c>
      <c r="V66" s="116">
        <f>IF(H66=0,"***",O66/H66)</f>
        <v/>
      </c>
      <c r="W66" s="116">
        <f>IF(I66=0,"***",P66/I66)</f>
        <v/>
      </c>
      <c r="X66" s="116">
        <f>IF(J66=0,"***",Q66/J66)</f>
        <v/>
      </c>
      <c r="Y66" s="117">
        <f>IF(K66=0,"***",R66/K66)</f>
        <v/>
      </c>
    </row>
    <row r="67">
      <c r="C67" s="73" t="inlineStr">
        <is>
          <t>0034 集計</t>
        </is>
      </c>
      <c r="D67" s="71" t="inlineStr">
        <is>
          <t>原田</t>
        </is>
      </c>
      <c r="E67" s="81">
        <f>全体!E67-機械!E67</f>
        <v/>
      </c>
      <c r="F67" s="81">
        <f>全体!F67-機械!F67</f>
        <v/>
      </c>
      <c r="G67" s="81">
        <f>全体!G67-機械!G67</f>
        <v/>
      </c>
      <c r="H67" s="39">
        <f>全体!H67-機械!H67</f>
        <v/>
      </c>
      <c r="I67" s="39">
        <f>全体!I67-機械!I67</f>
        <v/>
      </c>
      <c r="J67" s="39" t="n"/>
      <c r="K67" s="39">
        <f>SUM(E67:J67)</f>
        <v/>
      </c>
      <c r="L67" s="81">
        <f>全体!L67-機械!L67</f>
        <v/>
      </c>
      <c r="M67" s="39">
        <f>全体!M67-機械!M67</f>
        <v/>
      </c>
      <c r="N67" s="81">
        <f>全体!N67-機械!N67</f>
        <v/>
      </c>
      <c r="O67" s="39">
        <f>全体!O67-機械!O67</f>
        <v/>
      </c>
      <c r="P67" s="39">
        <f>全体!P67-機械!P67</f>
        <v/>
      </c>
      <c r="Q67" s="39" t="n"/>
      <c r="R67" s="39">
        <f>SUM(L67:Q67)</f>
        <v/>
      </c>
      <c r="S67" s="115">
        <f>IF(E67=0,"***",L67/E67)</f>
        <v/>
      </c>
      <c r="T67" s="116">
        <f>IF(F67=0,"***",M67/F67)</f>
        <v/>
      </c>
      <c r="U67" s="116">
        <f>IF(G67=0,"***",N67/G67)</f>
        <v/>
      </c>
      <c r="V67" s="116">
        <f>IF(H67=0,"***",O67/H67)</f>
        <v/>
      </c>
      <c r="W67" s="116">
        <f>IF(I67=0,"***",P67/I67)</f>
        <v/>
      </c>
      <c r="X67" s="116">
        <f>IF(J67=0,"***",Q67/J67)</f>
        <v/>
      </c>
      <c r="Y67" s="117">
        <f>IF(K67=0,"***",R67/K67)</f>
        <v/>
      </c>
    </row>
    <row r="68">
      <c r="C68" s="73" t="inlineStr">
        <is>
          <t>0035 集計</t>
        </is>
      </c>
      <c r="D68" s="71" t="inlineStr">
        <is>
          <t>自治体</t>
        </is>
      </c>
      <c r="E68" s="81">
        <f>全体!E68-機械!E68</f>
        <v/>
      </c>
      <c r="F68" s="81" t="n"/>
      <c r="G68" s="81">
        <f>全体!G68-機械!G68</f>
        <v/>
      </c>
      <c r="H68" s="39">
        <f>全体!H68-機械!H68</f>
        <v/>
      </c>
      <c r="I68" s="39">
        <f>全体!I68-機械!I68</f>
        <v/>
      </c>
      <c r="J68" s="39" t="n"/>
      <c r="K68" s="79">
        <f>SUM(E68:J68)</f>
        <v/>
      </c>
      <c r="L68" s="81">
        <f>全体!L68-機械!L68</f>
        <v/>
      </c>
      <c r="M68" s="39" t="n"/>
      <c r="N68" s="81">
        <f>全体!N68-機械!N68</f>
        <v/>
      </c>
      <c r="O68" s="39">
        <f>全体!O68-機械!O68</f>
        <v/>
      </c>
      <c r="P68" s="39">
        <f>全体!P68-機械!P68</f>
        <v/>
      </c>
      <c r="Q68" s="39" t="n"/>
      <c r="R68" s="75">
        <f>SUM(L68:Q68)</f>
        <v/>
      </c>
      <c r="S68" s="115">
        <f>IF(E68=0,"***",L68/E68)</f>
        <v/>
      </c>
      <c r="T68" s="116">
        <f>IF(F68=0,"***",M68/F68)</f>
        <v/>
      </c>
      <c r="U68" s="116">
        <f>IF(G68=0,"***",N68/G68)</f>
        <v/>
      </c>
      <c r="V68" s="116">
        <f>IF(H68=0,"***",O68/H68)</f>
        <v/>
      </c>
      <c r="W68" s="116">
        <f>IF(I68=0,"***",P68/I68)</f>
        <v/>
      </c>
      <c r="X68" s="116">
        <f>IF(J68=0,"***",Q68/J68)</f>
        <v/>
      </c>
      <c r="Y68" s="117">
        <f>IF(K68=0,"***",R68/K68)</f>
        <v/>
      </c>
    </row>
    <row r="69">
      <c r="C69" s="73" t="inlineStr">
        <is>
          <t>0039 集計</t>
        </is>
      </c>
      <c r="D69" s="71" t="inlineStr">
        <is>
          <t>その他</t>
        </is>
      </c>
      <c r="E69" s="81">
        <f>全体!E69-機械!E69</f>
        <v/>
      </c>
      <c r="F69" s="81">
        <f>全体!F69-機械!F69</f>
        <v/>
      </c>
      <c r="G69" s="81">
        <f>全体!G69-機械!G69</f>
        <v/>
      </c>
      <c r="H69" s="39">
        <f>全体!H69-機械!H69</f>
        <v/>
      </c>
      <c r="I69" s="39">
        <f>全体!I69-機械!I69</f>
        <v/>
      </c>
      <c r="J69" s="39" t="n"/>
      <c r="K69" s="79">
        <f>SUM(E69:J69)</f>
        <v/>
      </c>
      <c r="L69" s="81">
        <f>全体!L69-機械!L69</f>
        <v/>
      </c>
      <c r="M69" s="39">
        <f>全体!M69-機械!M69</f>
        <v/>
      </c>
      <c r="N69" s="81">
        <f>全体!N69-機械!N69</f>
        <v/>
      </c>
      <c r="O69" s="39">
        <f>全体!O69-機械!O69</f>
        <v/>
      </c>
      <c r="P69" s="39">
        <f>全体!P69-機械!P69</f>
        <v/>
      </c>
      <c r="Q69" s="39" t="n"/>
      <c r="R69" s="75">
        <f>SUM(L69:Q69)</f>
        <v/>
      </c>
      <c r="S69" s="115">
        <f>IF(E69=0,"***",L69/E69)</f>
        <v/>
      </c>
      <c r="T69" s="116">
        <f>IF(F69=0,"***",M69/F69)</f>
        <v/>
      </c>
      <c r="U69" s="116">
        <f>IF(G69=0,"***",N69/G69)</f>
        <v/>
      </c>
      <c r="V69" s="116">
        <f>IF(H69=0,"***",O69/H69)</f>
        <v/>
      </c>
      <c r="W69" s="116">
        <f>IF(I69=0,"***",P69/I69)</f>
        <v/>
      </c>
      <c r="X69" s="116">
        <f>IF(J69=0,"***",Q69/J69)</f>
        <v/>
      </c>
      <c r="Y69" s="117">
        <f>IF(K69=0,"***",R69/K69)</f>
        <v/>
      </c>
    </row>
    <row r="70">
      <c r="C70" s="3" t="inlineStr">
        <is>
          <t>合計</t>
        </is>
      </c>
      <c r="D70" s="72" t="n"/>
      <c r="E70" s="63">
        <f>SUM(E65:E69)</f>
        <v/>
      </c>
      <c r="F70" s="63">
        <f>SUM(F65:F69)</f>
        <v/>
      </c>
      <c r="G70" s="63">
        <f>SUM(G65:G69)</f>
        <v/>
      </c>
      <c r="H70" s="63">
        <f>SUM(H65:H69)</f>
        <v/>
      </c>
      <c r="I70" s="63">
        <f>SUM(I65:I69)</f>
        <v/>
      </c>
      <c r="J70" s="63">
        <f>SUM(J65:J69)</f>
        <v/>
      </c>
      <c r="K70" s="80">
        <f>SUM(E70:J70)</f>
        <v/>
      </c>
      <c r="L70" s="76">
        <f>SUM(L65:L69)</f>
        <v/>
      </c>
      <c r="M70" s="63">
        <f>SUM(M65:M69)</f>
        <v/>
      </c>
      <c r="N70" s="63">
        <f>SUM(N65:N69)</f>
        <v/>
      </c>
      <c r="O70" s="63">
        <f>SUM(O65:O69)</f>
        <v/>
      </c>
      <c r="P70" s="63">
        <f>SUM(P65:P69)</f>
        <v/>
      </c>
      <c r="Q70" s="63">
        <f>SUM(Q65:Q69)</f>
        <v/>
      </c>
      <c r="R70" s="77">
        <f>SUM(L70:Q70)</f>
        <v/>
      </c>
      <c r="S70" s="118">
        <f>IF(E70=0,"***",L70/E70)</f>
        <v/>
      </c>
      <c r="T70" s="119">
        <f>IF(F70=0,"***",M70/F70)</f>
        <v/>
      </c>
      <c r="U70" s="119">
        <f>IF(G70=0,"***",N70/G70)</f>
        <v/>
      </c>
      <c r="V70" s="119">
        <f>IF(H70=0,"***",O70/H70)</f>
        <v/>
      </c>
      <c r="W70" s="119">
        <f>IF(I70=0,"***",P70/I70)</f>
        <v/>
      </c>
      <c r="X70" s="119">
        <f>IF(J70=0,"***",Q70/J70)</f>
        <v/>
      </c>
      <c r="Y70" s="120">
        <f>IF(K70=0,"***",R70/K70)</f>
        <v/>
      </c>
    </row>
    <row r="71">
      <c r="C71" s="6" t="n"/>
      <c r="E71" s="5" t="n"/>
      <c r="F71" s="5" t="n"/>
      <c r="G71" s="5" t="n"/>
      <c r="H71" s="5" t="n"/>
      <c r="I71" s="5" t="n"/>
      <c r="J71" s="5" t="n"/>
      <c r="K71" s="6" t="n"/>
      <c r="L71" s="5" t="n"/>
      <c r="M71" s="5" t="n"/>
      <c r="N71" s="5" t="n"/>
      <c r="O71" s="5" t="n"/>
      <c r="P71" s="5" t="n"/>
      <c r="Q71" s="5" t="n"/>
      <c r="R71" s="6" t="n"/>
      <c r="S71" s="121" t="n"/>
      <c r="T71" s="121" t="n"/>
      <c r="U71" s="121" t="n"/>
      <c r="V71" s="121" t="n"/>
      <c r="W71" s="121" t="n"/>
      <c r="X71" s="121" t="n"/>
      <c r="Y71" s="121" t="n"/>
    </row>
    <row r="72">
      <c r="C72" s="6" t="inlineStr">
        <is>
          <t>8．計画比</t>
        </is>
      </c>
    </row>
    <row r="73">
      <c r="C73" s="87" t="n"/>
      <c r="D73" s="88" t="n"/>
      <c r="E73" s="87" t="inlineStr">
        <is>
          <t>売上</t>
        </is>
      </c>
      <c r="F73" s="90" t="n"/>
      <c r="G73" s="90" t="n"/>
      <c r="H73" s="90" t="n"/>
      <c r="I73" s="90" t="n"/>
      <c r="J73" s="90" t="n"/>
      <c r="K73" s="88" t="n"/>
      <c r="L73" s="89" t="inlineStr">
        <is>
          <t>粗利益</t>
        </is>
      </c>
      <c r="M73" s="90" t="n"/>
      <c r="N73" s="90" t="n"/>
      <c r="O73" s="90" t="n"/>
      <c r="P73" s="90" t="n"/>
      <c r="Q73" s="90" t="n"/>
      <c r="R73" s="88" t="n"/>
      <c r="S73" s="89" t="inlineStr">
        <is>
          <t>粗利益率</t>
        </is>
      </c>
      <c r="T73" s="90" t="n"/>
      <c r="U73" s="90" t="n"/>
      <c r="V73" s="90" t="n"/>
      <c r="W73" s="90" t="n"/>
      <c r="X73" s="90" t="n"/>
      <c r="Y73" s="88" t="n"/>
    </row>
    <row r="74">
      <c r="C74" s="61" t="n"/>
      <c r="D74" s="70" t="n"/>
      <c r="E74" s="74" t="n">
        <v>46113</v>
      </c>
      <c r="F74" s="62" t="n">
        <v>46143</v>
      </c>
      <c r="G74" s="62" t="n">
        <v>46174</v>
      </c>
      <c r="H74" s="62" t="n">
        <v>46204</v>
      </c>
      <c r="I74" s="62" t="n">
        <v>46235</v>
      </c>
      <c r="J74" s="62" t="n">
        <v>46266</v>
      </c>
      <c r="K74" s="64" t="inlineStr">
        <is>
          <t>合計</t>
        </is>
      </c>
      <c r="L74" s="83" t="n">
        <v>46113</v>
      </c>
      <c r="M74" s="62" t="n">
        <v>46143</v>
      </c>
      <c r="N74" s="62" t="n">
        <v>46174</v>
      </c>
      <c r="O74" s="62" t="n">
        <v>46204</v>
      </c>
      <c r="P74" s="62" t="n">
        <v>46235</v>
      </c>
      <c r="Q74" s="62" t="n">
        <v>46266</v>
      </c>
      <c r="R74" s="64" t="inlineStr">
        <is>
          <t>合計</t>
        </is>
      </c>
      <c r="S74" s="83" t="n">
        <v>46113</v>
      </c>
      <c r="T74" s="62" t="n">
        <v>46143</v>
      </c>
      <c r="U74" s="62" t="n">
        <v>46174</v>
      </c>
      <c r="V74" s="62" t="n">
        <v>46204</v>
      </c>
      <c r="W74" s="62" t="n">
        <v>46235</v>
      </c>
      <c r="X74" s="62" t="n">
        <v>46266</v>
      </c>
      <c r="Y74" s="64" t="inlineStr">
        <is>
          <t>合計</t>
        </is>
      </c>
    </row>
    <row r="75">
      <c r="C75" s="73" t="inlineStr">
        <is>
          <t>0032 集計</t>
        </is>
      </c>
      <c r="D75" s="71" t="inlineStr">
        <is>
          <t>飯塚主任</t>
        </is>
      </c>
      <c r="E75" s="39">
        <f>E65-E35</f>
        <v/>
      </c>
      <c r="F75" s="39">
        <f>F65-F35</f>
        <v/>
      </c>
      <c r="G75" s="39">
        <f>G65-G35</f>
        <v/>
      </c>
      <c r="H75" s="39">
        <f>H65-H35</f>
        <v/>
      </c>
      <c r="I75" s="39">
        <f>I65-I35</f>
        <v/>
      </c>
      <c r="J75" s="39" t="n"/>
      <c r="K75" s="79">
        <f>SUM(E75:J75)</f>
        <v/>
      </c>
      <c r="L75" s="58">
        <f>L65-L35</f>
        <v/>
      </c>
      <c r="M75" s="39">
        <f>M65-M35</f>
        <v/>
      </c>
      <c r="N75" s="39">
        <f>N65-N35</f>
        <v/>
      </c>
      <c r="O75" s="39">
        <f>O65-O35</f>
        <v/>
      </c>
      <c r="P75" s="39">
        <f>P65-P35</f>
        <v/>
      </c>
      <c r="Q75" s="39" t="n"/>
      <c r="R75" s="75">
        <f>SUM(L75:Q75)</f>
        <v/>
      </c>
      <c r="S75" s="115">
        <f>S65-S35</f>
        <v/>
      </c>
      <c r="T75" s="116">
        <f>T65-T35</f>
        <v/>
      </c>
      <c r="U75" s="116">
        <f>U65-U35</f>
        <v/>
      </c>
      <c r="V75" s="116">
        <f>V65-V35</f>
        <v/>
      </c>
      <c r="W75" s="116">
        <f>W65-W35</f>
        <v/>
      </c>
      <c r="X75" s="116">
        <f>X65-X35</f>
        <v/>
      </c>
      <c r="Y75" s="117">
        <f>Y65-Y35</f>
        <v/>
      </c>
    </row>
    <row r="76">
      <c r="C76" s="73" t="inlineStr">
        <is>
          <t>0033 集計</t>
        </is>
      </c>
      <c r="D76" s="60" t="inlineStr">
        <is>
          <t>前田課長代</t>
        </is>
      </c>
      <c r="E76" s="39">
        <f>E66-E36</f>
        <v/>
      </c>
      <c r="F76" s="39">
        <f>F66-F36</f>
        <v/>
      </c>
      <c r="G76" s="39">
        <f>G66-G36</f>
        <v/>
      </c>
      <c r="H76" s="39">
        <f>H66-H36</f>
        <v/>
      </c>
      <c r="I76" s="39">
        <f>I66-I36</f>
        <v/>
      </c>
      <c r="J76" s="39" t="n"/>
      <c r="K76" s="79">
        <f>SUM(E76:J76)</f>
        <v/>
      </c>
      <c r="L76" s="58">
        <f>L66-L36</f>
        <v/>
      </c>
      <c r="M76" s="39">
        <f>M66-M36</f>
        <v/>
      </c>
      <c r="N76" s="39">
        <f>N66-N36</f>
        <v/>
      </c>
      <c r="O76" s="39">
        <f>O66-O36</f>
        <v/>
      </c>
      <c r="P76" s="39">
        <f>P66-P36</f>
        <v/>
      </c>
      <c r="Q76" s="39" t="n"/>
      <c r="R76" s="75">
        <f>SUM(L76:Q76)</f>
        <v/>
      </c>
      <c r="S76" s="115">
        <f>S66-S36</f>
        <v/>
      </c>
      <c r="T76" s="116">
        <f>T66-T36</f>
        <v/>
      </c>
      <c r="U76" s="116">
        <f>U66-U36</f>
        <v/>
      </c>
      <c r="V76" s="116">
        <f>V66-V36</f>
        <v/>
      </c>
      <c r="W76" s="116">
        <f>W66-W36</f>
        <v/>
      </c>
      <c r="X76" s="116">
        <f>X66-X36</f>
        <v/>
      </c>
      <c r="Y76" s="117">
        <f>Y66-Y36</f>
        <v/>
      </c>
    </row>
    <row r="77">
      <c r="C77" s="73" t="inlineStr">
        <is>
          <t>0034 集計</t>
        </is>
      </c>
      <c r="D77" s="71" t="inlineStr">
        <is>
          <t>原田</t>
        </is>
      </c>
      <c r="E77" s="39">
        <f>E67-E37</f>
        <v/>
      </c>
      <c r="F77" s="39">
        <f>F67-F37</f>
        <v/>
      </c>
      <c r="G77" s="39">
        <f>G67-G37</f>
        <v/>
      </c>
      <c r="H77" s="39">
        <f>H67-H37</f>
        <v/>
      </c>
      <c r="I77" s="39">
        <f>I67-I37</f>
        <v/>
      </c>
      <c r="J77" s="39" t="n"/>
      <c r="K77" s="79">
        <f>SUM(E77:J77)</f>
        <v/>
      </c>
      <c r="L77" s="58">
        <f>L67-L37</f>
        <v/>
      </c>
      <c r="M77" s="39">
        <f>M67-M37</f>
        <v/>
      </c>
      <c r="N77" s="39">
        <f>N67-N37</f>
        <v/>
      </c>
      <c r="O77" s="39">
        <f>O67-O37</f>
        <v/>
      </c>
      <c r="P77" s="39">
        <f>P67-P37</f>
        <v/>
      </c>
      <c r="Q77" s="39" t="n"/>
      <c r="R77" s="75">
        <f>SUM(L77:Q77)</f>
        <v/>
      </c>
      <c r="S77" s="115">
        <f>S67-S37</f>
        <v/>
      </c>
      <c r="T77" s="116">
        <f>T67-T37</f>
        <v/>
      </c>
      <c r="U77" s="116">
        <f>U67-U37</f>
        <v/>
      </c>
      <c r="V77" s="116">
        <f>V67-V37</f>
        <v/>
      </c>
      <c r="W77" s="116">
        <f>W67-W37</f>
        <v/>
      </c>
      <c r="X77" s="116">
        <f>X67-X37</f>
        <v/>
      </c>
      <c r="Y77" s="117">
        <f>Y67-Y37</f>
        <v/>
      </c>
    </row>
    <row r="78">
      <c r="C78" s="73" t="inlineStr">
        <is>
          <t>0035 集計</t>
        </is>
      </c>
      <c r="D78" s="71" t="inlineStr">
        <is>
          <t>自治体</t>
        </is>
      </c>
      <c r="E78" s="39">
        <f>E68-E38</f>
        <v/>
      </c>
      <c r="F78" s="39">
        <f>F68-F38</f>
        <v/>
      </c>
      <c r="G78" s="39">
        <f>G68-G38</f>
        <v/>
      </c>
      <c r="H78" s="39">
        <f>H68-H38</f>
        <v/>
      </c>
      <c r="I78" s="39">
        <f>I68-I38</f>
        <v/>
      </c>
      <c r="J78" s="39" t="n"/>
      <c r="K78" s="79">
        <f>SUM(E78:J78)</f>
        <v/>
      </c>
      <c r="L78" s="58">
        <f>L68-L38</f>
        <v/>
      </c>
      <c r="M78" s="39">
        <f>M68-M38</f>
        <v/>
      </c>
      <c r="N78" s="39">
        <f>N68-N38</f>
        <v/>
      </c>
      <c r="O78" s="39">
        <f>O68-O38</f>
        <v/>
      </c>
      <c r="P78" s="39">
        <f>P68-P38</f>
        <v/>
      </c>
      <c r="Q78" s="39" t="n"/>
      <c r="R78" s="75">
        <f>SUM(L78:Q78)</f>
        <v/>
      </c>
      <c r="S78" s="115">
        <f>S68-S38</f>
        <v/>
      </c>
      <c r="T78" s="116">
        <f>T68-T38</f>
        <v/>
      </c>
      <c r="U78" s="116">
        <f>U68-U38</f>
        <v/>
      </c>
      <c r="V78" s="116">
        <f>V68-V38</f>
        <v/>
      </c>
      <c r="W78" s="116">
        <f>W68-W38</f>
        <v/>
      </c>
      <c r="X78" s="116">
        <f>X68-X38</f>
        <v/>
      </c>
      <c r="Y78" s="117">
        <f>Y68-Y38</f>
        <v/>
      </c>
    </row>
    <row r="79">
      <c r="C79" s="73" t="inlineStr">
        <is>
          <t>0039 集計</t>
        </is>
      </c>
      <c r="D79" s="71" t="inlineStr">
        <is>
          <t>その他</t>
        </is>
      </c>
      <c r="E79" s="39">
        <f>E69-E39</f>
        <v/>
      </c>
      <c r="F79" s="39">
        <f>F69-F39</f>
        <v/>
      </c>
      <c r="G79" s="39">
        <f>G69-G39</f>
        <v/>
      </c>
      <c r="H79" s="39">
        <f>H69-H39</f>
        <v/>
      </c>
      <c r="I79" s="39">
        <f>I69-I39</f>
        <v/>
      </c>
      <c r="J79" s="39" t="n"/>
      <c r="K79" s="79">
        <f>SUM(E79:J79)</f>
        <v/>
      </c>
      <c r="L79" s="58">
        <f>L69-L39</f>
        <v/>
      </c>
      <c r="M79" s="39">
        <f>M69-M39</f>
        <v/>
      </c>
      <c r="N79" s="39">
        <f>N69-N39</f>
        <v/>
      </c>
      <c r="O79" s="39">
        <f>O69-O39</f>
        <v/>
      </c>
      <c r="P79" s="39">
        <f>P69-P39</f>
        <v/>
      </c>
      <c r="Q79" s="39" t="n"/>
      <c r="R79" s="75">
        <f>SUM(L79:Q79)</f>
        <v/>
      </c>
      <c r="S79" s="115">
        <f>S69-S39</f>
        <v/>
      </c>
      <c r="T79" s="116">
        <f>T69-T39</f>
        <v/>
      </c>
      <c r="U79" s="116">
        <f>U69-U39</f>
        <v/>
      </c>
      <c r="V79" s="116">
        <f>V69-V39</f>
        <v/>
      </c>
      <c r="W79" s="116">
        <f>W69-W39</f>
        <v/>
      </c>
      <c r="X79" s="116">
        <f>X69-X39</f>
        <v/>
      </c>
      <c r="Y79" s="117">
        <f>Y69-Y39</f>
        <v/>
      </c>
    </row>
    <row r="80">
      <c r="C80" s="3" t="inlineStr">
        <is>
          <t>合計</t>
        </is>
      </c>
      <c r="D80" s="72" t="n"/>
      <c r="E80" s="63">
        <f>SUM(E75:E79)</f>
        <v/>
      </c>
      <c r="F80" s="63">
        <f>SUM(F75:F79)</f>
        <v/>
      </c>
      <c r="G80" s="63">
        <f>SUM(G75:G79)</f>
        <v/>
      </c>
      <c r="H80" s="63">
        <f>SUM(H75:H79)</f>
        <v/>
      </c>
      <c r="I80" s="63">
        <f>SUM(I75:I79)</f>
        <v/>
      </c>
      <c r="J80" s="63">
        <f>SUM(J75:J79)</f>
        <v/>
      </c>
      <c r="K80" s="80">
        <f>SUM(E80:J80)</f>
        <v/>
      </c>
      <c r="L80" s="76">
        <f>SUM(L75:L79)</f>
        <v/>
      </c>
      <c r="M80" s="63">
        <f>SUM(M75:M79)</f>
        <v/>
      </c>
      <c r="N80" s="63">
        <f>SUM(N75:N79)</f>
        <v/>
      </c>
      <c r="O80" s="63">
        <f>SUM(O75:O79)</f>
        <v/>
      </c>
      <c r="P80" s="63">
        <f>SUM(P75:P79)</f>
        <v/>
      </c>
      <c r="Q80" s="63">
        <f>SUM(Q75:Q79)</f>
        <v/>
      </c>
      <c r="R80" s="77">
        <f>SUM(L80:Q80)</f>
        <v/>
      </c>
      <c r="S80" s="118">
        <f>S70-S40</f>
        <v/>
      </c>
      <c r="T80" s="119">
        <f>T70-T40</f>
        <v/>
      </c>
      <c r="U80" s="119">
        <f>U70-U40</f>
        <v/>
      </c>
      <c r="V80" s="119">
        <f>V70-V40</f>
        <v/>
      </c>
      <c r="W80" s="119">
        <f>W70-W40</f>
        <v/>
      </c>
      <c r="X80" s="119">
        <f>X70-X40</f>
        <v/>
      </c>
      <c r="Y80" s="120">
        <f>Y70-Y40</f>
        <v/>
      </c>
    </row>
    <row r="81">
      <c r="C81" s="6" t="n"/>
      <c r="E81" s="5" t="n"/>
      <c r="F81" s="5" t="n"/>
      <c r="G81" s="5" t="n"/>
      <c r="H81" s="5" t="n"/>
      <c r="I81" s="5" t="n"/>
      <c r="J81" s="5" t="n"/>
      <c r="K81" s="6" t="n"/>
      <c r="L81" s="5" t="n"/>
      <c r="M81" s="5" t="n"/>
      <c r="N81" s="5" t="n"/>
      <c r="O81" s="5" t="n"/>
      <c r="P81" s="5" t="n"/>
      <c r="Q81" s="5" t="n"/>
      <c r="R81" s="6" t="n"/>
      <c r="S81" s="121" t="n"/>
      <c r="T81" s="121" t="n"/>
      <c r="U81" s="121" t="n"/>
      <c r="V81" s="121" t="n"/>
      <c r="W81" s="121" t="n"/>
      <c r="X81" s="121" t="n"/>
      <c r="Y81" s="121" t="n"/>
    </row>
    <row r="82">
      <c r="C82" s="6" t="inlineStr">
        <is>
          <t>9．前期比</t>
        </is>
      </c>
    </row>
    <row r="83">
      <c r="C83" s="87" t="n"/>
      <c r="D83" s="88" t="n"/>
      <c r="E83" s="87" t="inlineStr">
        <is>
          <t>売上</t>
        </is>
      </c>
      <c r="F83" s="90" t="n"/>
      <c r="G83" s="90" t="n"/>
      <c r="H83" s="90" t="n"/>
      <c r="I83" s="90" t="n"/>
      <c r="J83" s="90" t="n"/>
      <c r="K83" s="88" t="n"/>
      <c r="L83" s="89" t="inlineStr">
        <is>
          <t>粗利益</t>
        </is>
      </c>
      <c r="M83" s="90" t="n"/>
      <c r="N83" s="90" t="n"/>
      <c r="O83" s="90" t="n"/>
      <c r="P83" s="90" t="n"/>
      <c r="Q83" s="90" t="n"/>
      <c r="R83" s="88" t="n"/>
      <c r="S83" s="89" t="inlineStr">
        <is>
          <t>粗利益率</t>
        </is>
      </c>
      <c r="T83" s="90" t="n"/>
      <c r="U83" s="90" t="n"/>
      <c r="V83" s="90" t="n"/>
      <c r="W83" s="90" t="n"/>
      <c r="X83" s="90" t="n"/>
      <c r="Y83" s="88" t="n"/>
    </row>
    <row r="84">
      <c r="C84" s="61" t="n"/>
      <c r="D84" s="70" t="n"/>
      <c r="E84" s="74" t="n">
        <v>46113</v>
      </c>
      <c r="F84" s="62" t="n">
        <v>46143</v>
      </c>
      <c r="G84" s="62" t="n">
        <v>46174</v>
      </c>
      <c r="H84" s="62" t="n">
        <v>46204</v>
      </c>
      <c r="I84" s="62" t="n">
        <v>46235</v>
      </c>
      <c r="J84" s="62" t="n">
        <v>46266</v>
      </c>
      <c r="K84" s="64" t="inlineStr">
        <is>
          <t>合計</t>
        </is>
      </c>
      <c r="L84" s="83" t="n">
        <v>46113</v>
      </c>
      <c r="M84" s="62" t="n">
        <v>46143</v>
      </c>
      <c r="N84" s="62" t="n">
        <v>46174</v>
      </c>
      <c r="O84" s="62" t="n">
        <v>46204</v>
      </c>
      <c r="P84" s="62" t="n">
        <v>46235</v>
      </c>
      <c r="Q84" s="62" t="n">
        <v>46266</v>
      </c>
      <c r="R84" s="64" t="inlineStr">
        <is>
          <t>合計</t>
        </is>
      </c>
      <c r="S84" s="83" t="n">
        <v>46113</v>
      </c>
      <c r="T84" s="62" t="n">
        <v>46143</v>
      </c>
      <c r="U84" s="62" t="n">
        <v>46174</v>
      </c>
      <c r="V84" s="62" t="n">
        <v>46204</v>
      </c>
      <c r="W84" s="62" t="n">
        <v>46235</v>
      </c>
      <c r="X84" s="62" t="n">
        <v>46266</v>
      </c>
      <c r="Y84" s="64" t="inlineStr">
        <is>
          <t>合計</t>
        </is>
      </c>
    </row>
    <row r="85">
      <c r="C85" s="73" t="inlineStr">
        <is>
          <t>0032 集計</t>
        </is>
      </c>
      <c r="D85" s="71" t="inlineStr">
        <is>
          <t>飯塚主任</t>
        </is>
      </c>
      <c r="E85" s="39">
        <f>E65-E15</f>
        <v/>
      </c>
      <c r="F85" s="39">
        <f>F65-F15</f>
        <v/>
      </c>
      <c r="G85" s="39">
        <f>G65-G15</f>
        <v/>
      </c>
      <c r="H85" s="39">
        <f>H65-H15</f>
        <v/>
      </c>
      <c r="I85" s="39">
        <f>I65-I15</f>
        <v/>
      </c>
      <c r="J85" s="39" t="n"/>
      <c r="K85" s="79">
        <f>SUM(E85:J85)</f>
        <v/>
      </c>
      <c r="L85" s="58">
        <f>L65-L15</f>
        <v/>
      </c>
      <c r="M85" s="39">
        <f>M65-M15</f>
        <v/>
      </c>
      <c r="N85" s="39">
        <f>N65-N15</f>
        <v/>
      </c>
      <c r="O85" s="39">
        <f>O65-O15</f>
        <v/>
      </c>
      <c r="P85" s="39">
        <f>P65-P15</f>
        <v/>
      </c>
      <c r="Q85" s="39" t="n"/>
      <c r="R85" s="75">
        <f>SUM(L85:Q85)</f>
        <v/>
      </c>
      <c r="S85" s="115">
        <f>S65-S15</f>
        <v/>
      </c>
      <c r="T85" s="116">
        <f>T65-T15</f>
        <v/>
      </c>
      <c r="U85" s="116">
        <f>U65-U15</f>
        <v/>
      </c>
      <c r="V85" s="116">
        <f>V65-V15</f>
        <v/>
      </c>
      <c r="W85" s="116">
        <f>W65-W15</f>
        <v/>
      </c>
      <c r="X85" s="116">
        <f>X65-X15</f>
        <v/>
      </c>
      <c r="Y85" s="117">
        <f>Y65-Y15</f>
        <v/>
      </c>
    </row>
    <row r="86">
      <c r="C86" s="73" t="inlineStr">
        <is>
          <t>0033 集計</t>
        </is>
      </c>
      <c r="D86" s="60" t="inlineStr">
        <is>
          <t>前田課長代</t>
        </is>
      </c>
      <c r="E86" s="39">
        <f>E66-E16</f>
        <v/>
      </c>
      <c r="F86" s="39">
        <f>F66-F16</f>
        <v/>
      </c>
      <c r="G86" s="39">
        <f>G66-G16</f>
        <v/>
      </c>
      <c r="H86" s="39">
        <f>H66-H16</f>
        <v/>
      </c>
      <c r="I86" s="39">
        <f>I66-I16</f>
        <v/>
      </c>
      <c r="J86" s="39" t="n"/>
      <c r="K86" s="79">
        <f>SUM(E86:J86)</f>
        <v/>
      </c>
      <c r="L86" s="58">
        <f>L66-L16</f>
        <v/>
      </c>
      <c r="M86" s="39">
        <f>M66-M16</f>
        <v/>
      </c>
      <c r="N86" s="39">
        <f>N66-N16</f>
        <v/>
      </c>
      <c r="O86" s="39">
        <f>O66-O16</f>
        <v/>
      </c>
      <c r="P86" s="39">
        <f>P66-P16</f>
        <v/>
      </c>
      <c r="Q86" s="39" t="n"/>
      <c r="R86" s="75">
        <f>SUM(L86:Q86)</f>
        <v/>
      </c>
      <c r="S86" s="115">
        <f>S66-S16</f>
        <v/>
      </c>
      <c r="T86" s="116">
        <f>T66-T16</f>
        <v/>
      </c>
      <c r="U86" s="116">
        <f>U66-U16</f>
        <v/>
      </c>
      <c r="V86" s="116">
        <f>V66-V16</f>
        <v/>
      </c>
      <c r="W86" s="116">
        <f>W66-W16</f>
        <v/>
      </c>
      <c r="X86" s="116">
        <f>X66-X16</f>
        <v/>
      </c>
      <c r="Y86" s="117">
        <f>Y66-Y16</f>
        <v/>
      </c>
    </row>
    <row r="87">
      <c r="C87" s="73" t="inlineStr">
        <is>
          <t>0034 集計</t>
        </is>
      </c>
      <c r="D87" s="71" t="inlineStr">
        <is>
          <t>原田</t>
        </is>
      </c>
      <c r="E87" s="39">
        <f>E67-E17</f>
        <v/>
      </c>
      <c r="F87" s="39">
        <f>F67-F17</f>
        <v/>
      </c>
      <c r="G87" s="39">
        <f>G67-G17</f>
        <v/>
      </c>
      <c r="H87" s="39">
        <f>H67-H17</f>
        <v/>
      </c>
      <c r="I87" s="39">
        <f>I67-I17</f>
        <v/>
      </c>
      <c r="J87" s="39" t="n"/>
      <c r="K87" s="79">
        <f>SUM(E87:J87)</f>
        <v/>
      </c>
      <c r="L87" s="58">
        <f>L67-L17</f>
        <v/>
      </c>
      <c r="M87" s="39">
        <f>M67-M17</f>
        <v/>
      </c>
      <c r="N87" s="39">
        <f>N67-N17</f>
        <v/>
      </c>
      <c r="O87" s="39">
        <f>O67-O17</f>
        <v/>
      </c>
      <c r="P87" s="39">
        <f>P67-P17</f>
        <v/>
      </c>
      <c r="Q87" s="39" t="n"/>
      <c r="R87" s="75">
        <f>SUM(L87:Q87)</f>
        <v/>
      </c>
      <c r="S87" s="115">
        <f>S67-S17</f>
        <v/>
      </c>
      <c r="T87" s="116">
        <f>T67-T17</f>
        <v/>
      </c>
      <c r="U87" s="116">
        <f>U67-U17</f>
        <v/>
      </c>
      <c r="V87" s="116">
        <f>V67-V17</f>
        <v/>
      </c>
      <c r="W87" s="116">
        <f>W67-W17</f>
        <v/>
      </c>
      <c r="X87" s="116">
        <f>X67-X17</f>
        <v/>
      </c>
      <c r="Y87" s="117">
        <f>Y67-Y17</f>
        <v/>
      </c>
    </row>
    <row r="88">
      <c r="C88" s="73" t="inlineStr">
        <is>
          <t>0035 集計</t>
        </is>
      </c>
      <c r="D88" s="71" t="inlineStr">
        <is>
          <t>自治体</t>
        </is>
      </c>
      <c r="E88" s="39">
        <f>E68-E18</f>
        <v/>
      </c>
      <c r="F88" s="39">
        <f>F68-F18</f>
        <v/>
      </c>
      <c r="G88" s="39">
        <f>G68-G18</f>
        <v/>
      </c>
      <c r="H88" s="39">
        <f>H68-H18</f>
        <v/>
      </c>
      <c r="I88" s="39">
        <f>I68-I18</f>
        <v/>
      </c>
      <c r="J88" s="39" t="n"/>
      <c r="K88" s="79">
        <f>SUM(E88:J88)</f>
        <v/>
      </c>
      <c r="L88" s="58">
        <f>L68-L18</f>
        <v/>
      </c>
      <c r="M88" s="39">
        <f>M68-M18</f>
        <v/>
      </c>
      <c r="N88" s="39">
        <f>N68-N18</f>
        <v/>
      </c>
      <c r="O88" s="39">
        <f>O68-O18</f>
        <v/>
      </c>
      <c r="P88" s="39">
        <f>P68-P18</f>
        <v/>
      </c>
      <c r="Q88" s="39" t="n"/>
      <c r="R88" s="75">
        <f>SUM(L88:Q88)</f>
        <v/>
      </c>
      <c r="S88" s="115">
        <f>S68-S18</f>
        <v/>
      </c>
      <c r="T88" s="116">
        <f>T68-T18</f>
        <v/>
      </c>
      <c r="U88" s="116">
        <f>U68-U18</f>
        <v/>
      </c>
      <c r="V88" s="116">
        <f>V68-V18</f>
        <v/>
      </c>
      <c r="W88" s="116">
        <f>W68-W18</f>
        <v/>
      </c>
      <c r="X88" s="116">
        <f>X68-X18</f>
        <v/>
      </c>
      <c r="Y88" s="117">
        <f>Y68-Y18</f>
        <v/>
      </c>
    </row>
    <row r="89">
      <c r="C89" s="73" t="inlineStr">
        <is>
          <t>0039 集計</t>
        </is>
      </c>
      <c r="D89" s="71" t="inlineStr">
        <is>
          <t>その他</t>
        </is>
      </c>
      <c r="E89" s="39">
        <f>E69-E19</f>
        <v/>
      </c>
      <c r="F89" s="39">
        <f>F69-F19</f>
        <v/>
      </c>
      <c r="G89" s="39">
        <f>G69-G19</f>
        <v/>
      </c>
      <c r="H89" s="39">
        <f>H69-H19</f>
        <v/>
      </c>
      <c r="I89" s="39">
        <f>I69-I19</f>
        <v/>
      </c>
      <c r="J89" s="39" t="n"/>
      <c r="K89" s="79">
        <f>SUM(E89:J89)</f>
        <v/>
      </c>
      <c r="L89" s="58">
        <f>L69-L19</f>
        <v/>
      </c>
      <c r="M89" s="39">
        <f>M69-M19</f>
        <v/>
      </c>
      <c r="N89" s="39">
        <f>N69-N19</f>
        <v/>
      </c>
      <c r="O89" s="39">
        <f>O69-O19</f>
        <v/>
      </c>
      <c r="P89" s="39">
        <f>P69-P19</f>
        <v/>
      </c>
      <c r="Q89" s="39" t="n"/>
      <c r="R89" s="75">
        <f>SUM(L89:Q89)</f>
        <v/>
      </c>
      <c r="S89" s="115">
        <f>S69-S19</f>
        <v/>
      </c>
      <c r="T89" s="116">
        <f>T69-T19</f>
        <v/>
      </c>
      <c r="U89" s="116">
        <f>U69-U19</f>
        <v/>
      </c>
      <c r="V89" s="116">
        <f>V69-V19</f>
        <v/>
      </c>
      <c r="W89" s="116">
        <f>W69-W19</f>
        <v/>
      </c>
      <c r="X89" s="116">
        <f>X69-X19</f>
        <v/>
      </c>
      <c r="Y89" s="117">
        <f>Y69-Y19</f>
        <v/>
      </c>
    </row>
    <row r="90">
      <c r="C90" s="3" t="inlineStr">
        <is>
          <t>合計</t>
        </is>
      </c>
      <c r="D90" s="72" t="n"/>
      <c r="E90" s="63">
        <f>SUM(E85:E89)</f>
        <v/>
      </c>
      <c r="F90" s="63">
        <f>SUM(F85:F89)</f>
        <v/>
      </c>
      <c r="G90" s="63">
        <f>SUM(G85:G89)</f>
        <v/>
      </c>
      <c r="H90" s="63">
        <f>SUM(H85:H89)</f>
        <v/>
      </c>
      <c r="I90" s="63">
        <f>SUM(I85:I89)</f>
        <v/>
      </c>
      <c r="J90" s="63">
        <f>SUM(J85:J89)</f>
        <v/>
      </c>
      <c r="K90" s="80">
        <f>SUM(E90:J90)</f>
        <v/>
      </c>
      <c r="L90" s="76">
        <f>SUM(L85:L89)</f>
        <v/>
      </c>
      <c r="M90" s="63">
        <f>SUM(M85:M89)</f>
        <v/>
      </c>
      <c r="N90" s="63">
        <f>SUM(N85:N89)</f>
        <v/>
      </c>
      <c r="O90" s="63">
        <f>SUM(O85:O89)</f>
        <v/>
      </c>
      <c r="P90" s="63">
        <f>SUM(P85:P89)</f>
        <v/>
      </c>
      <c r="Q90" s="63">
        <f>SUM(Q85:Q89)</f>
        <v/>
      </c>
      <c r="R90" s="77">
        <f>SUM(L90:Q90)</f>
        <v/>
      </c>
      <c r="S90" s="118">
        <f>S70-S20</f>
        <v/>
      </c>
      <c r="T90" s="119">
        <f>T70-T20</f>
        <v/>
      </c>
      <c r="U90" s="119">
        <f>U80-U50</f>
        <v/>
      </c>
      <c r="V90" s="119">
        <f>V80-V50</f>
        <v/>
      </c>
      <c r="W90" s="119">
        <f>W80-W50</f>
        <v/>
      </c>
      <c r="X90" s="119">
        <f>X80-X50</f>
        <v/>
      </c>
      <c r="Y90" s="120">
        <f>Y70-Y20</f>
        <v/>
      </c>
    </row>
  </sheetData>
  <mergeCells count="36">
    <mergeCell ref="C83:D83"/>
    <mergeCell ref="L63:R63"/>
    <mergeCell ref="C33:D33"/>
    <mergeCell ref="S83:Y83"/>
    <mergeCell ref="S63:Y63"/>
    <mergeCell ref="C73:D73"/>
    <mergeCell ref="E53:K53"/>
    <mergeCell ref="C63:D63"/>
    <mergeCell ref="E3:K3"/>
    <mergeCell ref="E43:K43"/>
    <mergeCell ref="S43:Y43"/>
    <mergeCell ref="E33:K33"/>
    <mergeCell ref="C43:D43"/>
    <mergeCell ref="E23:K23"/>
    <mergeCell ref="E83:K83"/>
    <mergeCell ref="L53:R53"/>
    <mergeCell ref="S3:Y3"/>
    <mergeCell ref="L13:R13"/>
    <mergeCell ref="L3:R3"/>
    <mergeCell ref="E73:K73"/>
    <mergeCell ref="L43:R43"/>
    <mergeCell ref="S73:Y73"/>
    <mergeCell ref="C23:D23"/>
    <mergeCell ref="E63:K63"/>
    <mergeCell ref="S23:Y23"/>
    <mergeCell ref="L33:R33"/>
    <mergeCell ref="E13:K13"/>
    <mergeCell ref="L23:R23"/>
    <mergeCell ref="S13:Y13"/>
    <mergeCell ref="L83:R83"/>
    <mergeCell ref="L73:R73"/>
    <mergeCell ref="C13:D13"/>
    <mergeCell ref="C53:D53"/>
    <mergeCell ref="C3:D3"/>
    <mergeCell ref="S53:Y53"/>
    <mergeCell ref="S33:Y33"/>
  </mergeCells>
  <printOptions horizontalCentered="1" verticalCentered="1"/>
  <pageMargins left="0.7086614173228347" right="0.7086614173228347" top="0.7480314960629921" bottom="0.7480314960629921" header="0.3149606299212598" footer="0.3149606299212598"/>
  <pageSetup orientation="landscape" paperSize="8" scale="46"/>
</worksheet>
</file>

<file path=xl/worksheets/sheet3.xml><?xml version="1.0" encoding="utf-8"?>
<worksheet xmlns="http://schemas.openxmlformats.org/spreadsheetml/2006/main">
  <sheetPr>
    <outlinePr summaryBelow="1" summaryRight="1"/>
    <pageSetUpPr fitToPage="1"/>
  </sheetPr>
  <dimension ref="C1:Y90"/>
  <sheetViews>
    <sheetView tabSelected="1" workbookViewId="0">
      <pane xSplit="4" ySplit="1" topLeftCell="E37" activePane="bottomRight" state="frozen"/>
      <selection activeCell="M85" sqref="M85:Q89"/>
      <selection pane="topRight" activeCell="M85" sqref="M85:Q89"/>
      <selection pane="bottomLeft" activeCell="M85" sqref="M85:Q89"/>
      <selection pane="bottomRight" activeCell="G65" sqref="G65"/>
    </sheetView>
  </sheetViews>
  <sheetFormatPr baseColWidth="8" defaultRowHeight="18.75"/>
  <cols>
    <col width="9.75" bestFit="1" customWidth="1" style="97" min="3" max="3"/>
    <col width="10.125" customWidth="1" style="97" min="5" max="25"/>
  </cols>
  <sheetData>
    <row r="1" ht="24" customHeight="1" s="97">
      <c r="C1" s="8" t="inlineStr">
        <is>
          <t>松江営業所全体</t>
        </is>
      </c>
    </row>
    <row r="2">
      <c r="C2" s="98" t="inlineStr">
        <is>
          <t>1．2024年</t>
        </is>
      </c>
    </row>
    <row r="3">
      <c r="C3" s="87" t="n"/>
      <c r="D3" s="88" t="n"/>
      <c r="E3" s="92" t="inlineStr">
        <is>
          <t>売上</t>
        </is>
      </c>
      <c r="F3" s="90" t="n"/>
      <c r="G3" s="90" t="n"/>
      <c r="H3" s="90" t="n"/>
      <c r="I3" s="90" t="n"/>
      <c r="J3" s="90" t="n"/>
      <c r="K3" s="90" t="n"/>
      <c r="L3" s="91" t="inlineStr">
        <is>
          <t>粗利益</t>
        </is>
      </c>
      <c r="M3" s="90" t="n"/>
      <c r="N3" s="90" t="n"/>
      <c r="O3" s="90" t="n"/>
      <c r="P3" s="90" t="n"/>
      <c r="Q3" s="90" t="n"/>
      <c r="R3" s="88" t="n"/>
      <c r="S3" s="89" t="inlineStr">
        <is>
          <t>粗利益率</t>
        </is>
      </c>
      <c r="T3" s="90" t="n"/>
      <c r="U3" s="90" t="n"/>
      <c r="V3" s="90" t="n"/>
      <c r="W3" s="90" t="n"/>
      <c r="X3" s="90" t="n"/>
      <c r="Y3" s="88" t="n"/>
    </row>
    <row r="4">
      <c r="C4" s="61" t="n"/>
      <c r="D4" s="70" t="n"/>
      <c r="E4" s="62" t="n">
        <v>45383</v>
      </c>
      <c r="F4" s="62" t="n">
        <v>45413</v>
      </c>
      <c r="G4" s="62" t="n">
        <v>45444</v>
      </c>
      <c r="H4" s="62" t="n">
        <v>45474</v>
      </c>
      <c r="I4" s="62" t="n">
        <v>45505</v>
      </c>
      <c r="J4" s="62" t="n">
        <v>45536</v>
      </c>
      <c r="K4" s="78" t="inlineStr">
        <is>
          <t>合計</t>
        </is>
      </c>
      <c r="L4" s="74" t="n">
        <v>45383</v>
      </c>
      <c r="M4" s="62" t="n">
        <v>45413</v>
      </c>
      <c r="N4" s="62" t="n">
        <v>45444</v>
      </c>
      <c r="O4" s="62" t="n">
        <v>45474</v>
      </c>
      <c r="P4" s="62" t="n">
        <v>45505</v>
      </c>
      <c r="Q4" s="62" t="n">
        <v>45536</v>
      </c>
      <c r="R4" s="64" t="inlineStr">
        <is>
          <t>合計</t>
        </is>
      </c>
      <c r="S4" s="83" t="n">
        <v>45383</v>
      </c>
      <c r="T4" s="62" t="n">
        <v>45413</v>
      </c>
      <c r="U4" s="62" t="n">
        <v>45444</v>
      </c>
      <c r="V4" s="62" t="n">
        <v>45474</v>
      </c>
      <c r="W4" s="62" t="n">
        <v>45505</v>
      </c>
      <c r="X4" s="62" t="n">
        <v>45536</v>
      </c>
      <c r="Y4" s="64" t="inlineStr">
        <is>
          <t>合計</t>
        </is>
      </c>
    </row>
    <row r="5">
      <c r="C5" s="73" t="inlineStr">
        <is>
          <t>0032 集計</t>
        </is>
      </c>
      <c r="D5" s="71" t="inlineStr">
        <is>
          <t>飯塚主任</t>
        </is>
      </c>
      <c r="E5" s="2" t="n">
        <v>9394.786000000002</v>
      </c>
      <c r="F5" s="2" t="n">
        <v>11001.362</v>
      </c>
      <c r="G5" s="2" t="n">
        <v>7293.722</v>
      </c>
      <c r="H5" s="2" t="n">
        <v>8370.209999999999</v>
      </c>
      <c r="I5" s="2" t="n">
        <v>10947.936</v>
      </c>
      <c r="J5" s="2" t="n">
        <v>6349.213999999999</v>
      </c>
      <c r="K5" s="79">
        <f>SUM(E5:J5)</f>
        <v/>
      </c>
      <c r="L5" s="1" t="n">
        <v>2690.031</v>
      </c>
      <c r="M5" s="2" t="n">
        <v>3003.793</v>
      </c>
      <c r="N5" s="2" t="n">
        <v>2140.472</v>
      </c>
      <c r="O5" s="2" t="n">
        <v>2358.244</v>
      </c>
      <c r="P5" s="2" t="n">
        <v>3179.772999999999</v>
      </c>
      <c r="Q5" s="2" t="n">
        <v>2397.156</v>
      </c>
      <c r="R5" s="75">
        <f>SUM(L5:Q5)</f>
        <v/>
      </c>
      <c r="S5" s="115">
        <f>IF(E5=0,"***",L5/E5)</f>
        <v/>
      </c>
      <c r="T5" s="116">
        <f>IF(F5=0,"***",M5/F5)</f>
        <v/>
      </c>
      <c r="U5" s="116">
        <f>IF(G5=0,"***",N5/G5)</f>
        <v/>
      </c>
      <c r="V5" s="116">
        <f>IF(H5=0,"***",O5/H5)</f>
        <v/>
      </c>
      <c r="W5" s="116">
        <f>IF(I5=0,"***",P5/I5)</f>
        <v/>
      </c>
      <c r="X5" s="116">
        <f>IF(J5=0,"***",Q5/J5)</f>
        <v/>
      </c>
      <c r="Y5" s="117">
        <f>IF(K5=0,"***",R5/K5)</f>
        <v/>
      </c>
    </row>
    <row r="6">
      <c r="C6" s="73" t="inlineStr">
        <is>
          <t>0033 集計</t>
        </is>
      </c>
      <c r="D6" s="59" t="inlineStr">
        <is>
          <t>前田課長代</t>
        </is>
      </c>
      <c r="E6" s="2" t="n">
        <v>9543.870999999999</v>
      </c>
      <c r="F6" s="2" t="n">
        <v>5743.266</v>
      </c>
      <c r="G6" s="2" t="n">
        <v>9802.850999999999</v>
      </c>
      <c r="H6" s="2" t="n">
        <v>10503.789</v>
      </c>
      <c r="I6" s="2" t="n">
        <v>9769.475999999999</v>
      </c>
      <c r="J6" s="2" t="n">
        <v>9778.494999999999</v>
      </c>
      <c r="K6" s="79">
        <f>SUM(E6:J6)</f>
        <v/>
      </c>
      <c r="L6" s="1" t="n">
        <v>2185.0206</v>
      </c>
      <c r="M6" s="2" t="n">
        <v>1296.05</v>
      </c>
      <c r="N6" s="2" t="n">
        <v>1913.457</v>
      </c>
      <c r="O6" s="2" t="n">
        <v>2257.2438</v>
      </c>
      <c r="P6" s="2" t="n">
        <v>2149.223</v>
      </c>
      <c r="Q6" s="2" t="n">
        <v>2272.588000000001</v>
      </c>
      <c r="R6" s="75">
        <f>SUM(L6:Q6)</f>
        <v/>
      </c>
      <c r="S6" s="115">
        <f>IF(E6=0,"***",L6/E6)</f>
        <v/>
      </c>
      <c r="T6" s="116">
        <f>IF(F6=0,"***",M6/F6)</f>
        <v/>
      </c>
      <c r="U6" s="116">
        <f>IF(G6=0,"***",N6/G6)</f>
        <v/>
      </c>
      <c r="V6" s="116">
        <f>IF(H6=0,"***",O6/H6)</f>
        <v/>
      </c>
      <c r="W6" s="116">
        <f>IF(I6=0,"***",P6/I6)</f>
        <v/>
      </c>
      <c r="X6" s="116">
        <f>IF(J6=0,"***",Q6/J6)</f>
        <v/>
      </c>
      <c r="Y6" s="117">
        <f>IF(K6=0,"***",R6/K6)</f>
        <v/>
      </c>
    </row>
    <row r="7">
      <c r="C7" s="73" t="inlineStr">
        <is>
          <t>0034 集計</t>
        </is>
      </c>
      <c r="D7" s="71" t="inlineStr">
        <is>
          <t>原田</t>
        </is>
      </c>
      <c r="E7" s="2" t="n">
        <v>8422.198999999999</v>
      </c>
      <c r="F7" s="2" t="n">
        <v>7218.111</v>
      </c>
      <c r="G7" s="2" t="n">
        <v>7325.341000000001</v>
      </c>
      <c r="H7" s="2" t="n">
        <v>8652.573</v>
      </c>
      <c r="I7" s="2" t="n">
        <v>9130.425000000001</v>
      </c>
      <c r="J7" s="2" t="n">
        <v>8392.639000000001</v>
      </c>
      <c r="K7" s="79">
        <f>SUM(E7:J7)</f>
        <v/>
      </c>
      <c r="L7" s="1" t="n">
        <v>2032.137</v>
      </c>
      <c r="M7" s="2" t="n">
        <v>1623.651</v>
      </c>
      <c r="N7" s="2" t="n">
        <v>1626.762</v>
      </c>
      <c r="O7" s="2" t="n">
        <v>1875.443</v>
      </c>
      <c r="P7" s="2" t="n">
        <v>1941.406</v>
      </c>
      <c r="Q7" s="2" t="n">
        <v>2104.958</v>
      </c>
      <c r="R7" s="75">
        <f>SUM(L7:Q7)</f>
        <v/>
      </c>
      <c r="S7" s="115">
        <f>IF(E7=0,"***",L7/E7)</f>
        <v/>
      </c>
      <c r="T7" s="116">
        <f>IF(F7=0,"***",M7/F7)</f>
        <v/>
      </c>
      <c r="U7" s="116">
        <f>IF(G7=0,"***",N7/G7)</f>
        <v/>
      </c>
      <c r="V7" s="116">
        <f>IF(H7=0,"***",O7/H7)</f>
        <v/>
      </c>
      <c r="W7" s="116">
        <f>IF(I7=0,"***",P7/I7)</f>
        <v/>
      </c>
      <c r="X7" s="116">
        <f>IF(J7=0,"***",Q7/J7)</f>
        <v/>
      </c>
      <c r="Y7" s="117">
        <f>IF(K7=0,"***",R7/K7)</f>
        <v/>
      </c>
    </row>
    <row r="8">
      <c r="C8" s="73" t="inlineStr">
        <is>
          <t>0035 集計</t>
        </is>
      </c>
      <c r="D8" s="71" t="inlineStr">
        <is>
          <t>自治体</t>
        </is>
      </c>
      <c r="E8" s="2" t="n">
        <v>8514.450000000001</v>
      </c>
      <c r="F8" s="2" t="n">
        <v>3182.96</v>
      </c>
      <c r="G8" s="2" t="n">
        <v>10715.25</v>
      </c>
      <c r="H8" s="2" t="n">
        <v>0</v>
      </c>
      <c r="I8" s="2" t="n">
        <v>0</v>
      </c>
      <c r="J8" s="2" t="n">
        <v>24111.466</v>
      </c>
      <c r="K8" s="79">
        <f>SUM(E8:J8)</f>
        <v/>
      </c>
      <c r="L8" s="1" t="n">
        <v>154.3</v>
      </c>
      <c r="M8" s="2" t="n">
        <v>57.56</v>
      </c>
      <c r="N8" s="2" t="n">
        <v>183.74</v>
      </c>
      <c r="O8" s="2" t="n">
        <v>0</v>
      </c>
      <c r="P8" s="2" t="n">
        <v>0</v>
      </c>
      <c r="Q8" s="2" t="n">
        <v>642.976</v>
      </c>
      <c r="R8" s="75">
        <f>SUM(L8:Q8)</f>
        <v/>
      </c>
      <c r="S8" s="115">
        <f>IF(E8=0,"***",L8/E8)</f>
        <v/>
      </c>
      <c r="T8" s="116">
        <f>IF(F8=0,"***",M8/F8)</f>
        <v/>
      </c>
      <c r="U8" s="116">
        <f>IF(G8=0,"***",N8/G8)</f>
        <v/>
      </c>
      <c r="V8" s="116">
        <f>IF(H8=0,"***",O8/H8)</f>
        <v/>
      </c>
      <c r="W8" s="116">
        <f>IF(I8=0,"***",P8/I8)</f>
        <v/>
      </c>
      <c r="X8" s="116">
        <f>IF(J8=0,"***",Q8/J8)</f>
        <v/>
      </c>
      <c r="Y8" s="117">
        <f>IF(K8=0,"***",R8/K8)</f>
        <v/>
      </c>
    </row>
    <row r="9">
      <c r="C9" s="73" t="inlineStr">
        <is>
          <t>0039 集計</t>
        </is>
      </c>
      <c r="D9" s="71" t="inlineStr">
        <is>
          <t>その他</t>
        </is>
      </c>
      <c r="E9" s="2" t="n">
        <v>64.19</v>
      </c>
      <c r="F9" s="2" t="n">
        <v>9.220000000000001</v>
      </c>
      <c r="G9" s="2" t="n">
        <v>14.04</v>
      </c>
      <c r="H9" s="2" t="n">
        <v>77.69</v>
      </c>
      <c r="I9" s="2" t="n">
        <v>30.37</v>
      </c>
      <c r="J9" s="2" t="n">
        <v>31.444</v>
      </c>
      <c r="K9" s="79">
        <f>SUM(E9:J9)</f>
        <v/>
      </c>
      <c r="L9" s="1" t="n">
        <v>19.062</v>
      </c>
      <c r="M9" s="2" t="n">
        <v>4.29</v>
      </c>
      <c r="N9" s="2" t="n">
        <v>5.38</v>
      </c>
      <c r="O9" s="2" t="n">
        <v>15.204</v>
      </c>
      <c r="P9" s="2" t="n">
        <v>10.076</v>
      </c>
      <c r="Q9" s="2" t="n">
        <v>13.314</v>
      </c>
      <c r="R9" s="75">
        <f>SUM(L9:Q9)</f>
        <v/>
      </c>
      <c r="S9" s="115">
        <f>IF(E9=0,"***",L9/E9)</f>
        <v/>
      </c>
      <c r="T9" s="116">
        <f>IF(F9=0,"***",M9/F9)</f>
        <v/>
      </c>
      <c r="U9" s="116">
        <f>IF(G9=0,"***",N9/G9)</f>
        <v/>
      </c>
      <c r="V9" s="116">
        <f>IF(H9=0,"***",O9/H9)</f>
        <v/>
      </c>
      <c r="W9" s="116">
        <f>IF(I9=0,"***",P9/I9)</f>
        <v/>
      </c>
      <c r="X9" s="116">
        <f>IF(J9=0,"***",Q9/J9)</f>
        <v/>
      </c>
      <c r="Y9" s="117">
        <f>IF(K9=0,"***",R9/K9)</f>
        <v/>
      </c>
    </row>
    <row r="10">
      <c r="C10" s="3" t="inlineStr">
        <is>
          <t>合計</t>
        </is>
      </c>
      <c r="D10" s="72" t="n"/>
      <c r="E10" s="63">
        <f>SUM(E5:E9)</f>
        <v/>
      </c>
      <c r="F10" s="63">
        <f>SUM(F5:F9)</f>
        <v/>
      </c>
      <c r="G10" s="63">
        <f>SUM(G5:G9)</f>
        <v/>
      </c>
      <c r="H10" s="63">
        <f>SUM(H5:H9)</f>
        <v/>
      </c>
      <c r="I10" s="63">
        <f>SUM(I5:I9)</f>
        <v/>
      </c>
      <c r="J10" s="63">
        <f>SUM(J5:J9)</f>
        <v/>
      </c>
      <c r="K10" s="80">
        <f>SUM(E10:J10)</f>
        <v/>
      </c>
      <c r="L10" s="76">
        <f>SUM(L5:L9)</f>
        <v/>
      </c>
      <c r="M10" s="63">
        <f>SUM(M5:M9)</f>
        <v/>
      </c>
      <c r="N10" s="63">
        <f>SUM(N5:N9)</f>
        <v/>
      </c>
      <c r="O10" s="63">
        <f>SUM(O5:O9)</f>
        <v/>
      </c>
      <c r="P10" s="63">
        <f>SUM(P5:P9)</f>
        <v/>
      </c>
      <c r="Q10" s="63">
        <f>SUM(Q5:Q9)</f>
        <v/>
      </c>
      <c r="R10" s="77">
        <f>SUM(L10:Q10)</f>
        <v/>
      </c>
      <c r="S10" s="118">
        <f>IF(E10=0,"***",L10/E10)</f>
        <v/>
      </c>
      <c r="T10" s="119">
        <f>IF(F10=0,"***",M10/F10)</f>
        <v/>
      </c>
      <c r="U10" s="119">
        <f>IF(G10=0,"***",N10/G10)</f>
        <v/>
      </c>
      <c r="V10" s="119">
        <f>IF(H10=0,"***",O10/H10)</f>
        <v/>
      </c>
      <c r="W10" s="119">
        <f>IF(I10=0,"***",P10/I10)</f>
        <v/>
      </c>
      <c r="X10" s="119">
        <f>IF(J10=0,"***",Q10/J10)</f>
        <v/>
      </c>
      <c r="Y10" s="120">
        <f>IF(K10=0,"***",R10/K10)</f>
        <v/>
      </c>
    </row>
    <row r="11">
      <c r="C11" s="6" t="n"/>
      <c r="E11" s="5" t="n"/>
      <c r="F11" s="5" t="n"/>
      <c r="G11" s="5" t="n"/>
      <c r="H11" s="5" t="n"/>
      <c r="I11" s="5" t="n"/>
      <c r="J11" s="5" t="n"/>
      <c r="K11" s="6" t="n"/>
      <c r="L11" s="5" t="n"/>
      <c r="M11" s="5" t="n"/>
      <c r="N11" s="5" t="n"/>
      <c r="O11" s="5" t="n"/>
      <c r="P11" s="5" t="n"/>
      <c r="Q11" s="5" t="n"/>
      <c r="R11" s="6" t="n"/>
      <c r="S11" s="121" t="n"/>
      <c r="T11" s="121" t="n"/>
      <c r="U11" s="121" t="n"/>
      <c r="V11" s="121" t="n"/>
      <c r="W11" s="121" t="n"/>
      <c r="X11" s="121" t="n"/>
      <c r="Y11" s="121" t="n"/>
    </row>
    <row r="12">
      <c r="C12" s="6" t="inlineStr">
        <is>
          <t>2．2025年</t>
        </is>
      </c>
    </row>
    <row r="13">
      <c r="C13" s="87" t="n"/>
      <c r="D13" s="88" t="n"/>
      <c r="E13" s="92" t="inlineStr">
        <is>
          <t>売上</t>
        </is>
      </c>
      <c r="F13" s="90" t="n"/>
      <c r="G13" s="90" t="n"/>
      <c r="H13" s="90" t="n"/>
      <c r="I13" s="90" t="n"/>
      <c r="J13" s="90" t="n"/>
      <c r="K13" s="90" t="n"/>
      <c r="L13" s="91" t="inlineStr">
        <is>
          <t>粗利益</t>
        </is>
      </c>
      <c r="M13" s="90" t="n"/>
      <c r="N13" s="90" t="n"/>
      <c r="O13" s="90" t="n"/>
      <c r="P13" s="90" t="n"/>
      <c r="Q13" s="90" t="n"/>
      <c r="R13" s="88" t="n"/>
      <c r="S13" s="91" t="inlineStr">
        <is>
          <t>粗利益率</t>
        </is>
      </c>
      <c r="T13" s="90" t="n"/>
      <c r="U13" s="90" t="n"/>
      <c r="V13" s="90" t="n"/>
      <c r="W13" s="90" t="n"/>
      <c r="X13" s="90" t="n"/>
      <c r="Y13" s="88" t="n"/>
    </row>
    <row r="14">
      <c r="C14" s="61" t="n"/>
      <c r="D14" s="70" t="n"/>
      <c r="E14" s="74" t="n">
        <v>45748</v>
      </c>
      <c r="F14" s="62" t="n">
        <v>45778</v>
      </c>
      <c r="G14" s="62" t="n">
        <v>45809</v>
      </c>
      <c r="H14" s="62" t="n">
        <v>45839</v>
      </c>
      <c r="I14" s="62" t="n">
        <v>45870</v>
      </c>
      <c r="J14" s="62" t="n">
        <v>45901</v>
      </c>
      <c r="K14" s="64" t="inlineStr">
        <is>
          <t>合計</t>
        </is>
      </c>
      <c r="L14" s="74" t="n">
        <v>45748</v>
      </c>
      <c r="M14" s="62" t="n">
        <v>45778</v>
      </c>
      <c r="N14" s="62" t="n">
        <v>45809</v>
      </c>
      <c r="O14" s="62" t="n">
        <v>45839</v>
      </c>
      <c r="P14" s="62" t="n">
        <v>45870</v>
      </c>
      <c r="Q14" s="62" t="n">
        <v>45901</v>
      </c>
      <c r="R14" s="64" t="inlineStr">
        <is>
          <t>合計</t>
        </is>
      </c>
      <c r="S14" s="74" t="n">
        <v>45748</v>
      </c>
      <c r="T14" s="62" t="n">
        <v>45778</v>
      </c>
      <c r="U14" s="62" t="n">
        <v>45809</v>
      </c>
      <c r="V14" s="62" t="n">
        <v>45839</v>
      </c>
      <c r="W14" s="62" t="n">
        <v>45870</v>
      </c>
      <c r="X14" s="62" t="n">
        <v>45901</v>
      </c>
      <c r="Y14" s="64" t="inlineStr">
        <is>
          <t>合計</t>
        </is>
      </c>
    </row>
    <row r="15">
      <c r="C15" s="73" t="inlineStr">
        <is>
          <t>0032 集計</t>
        </is>
      </c>
      <c r="D15" s="71" t="inlineStr">
        <is>
          <t>飯塚主任</t>
        </is>
      </c>
      <c r="E15" s="2" t="n">
        <v>11871.789</v>
      </c>
      <c r="F15" s="2" t="n">
        <v>7775.014</v>
      </c>
      <c r="G15" s="2" t="n">
        <v>8471.809999999999</v>
      </c>
      <c r="H15" s="2" t="n">
        <v>9957.042000000001</v>
      </c>
      <c r="I15" s="2" t="n">
        <v>10299.5</v>
      </c>
      <c r="J15" s="2" t="n">
        <v>8786.094000000003</v>
      </c>
      <c r="K15" s="79">
        <f>SUM(E15:J15)</f>
        <v/>
      </c>
      <c r="L15" s="1" t="n">
        <v>3691.15</v>
      </c>
      <c r="M15" s="2" t="n">
        <v>2487.929</v>
      </c>
      <c r="N15" s="2" t="n">
        <v>2702.119000000001</v>
      </c>
      <c r="O15" s="2" t="n">
        <v>3122.603</v>
      </c>
      <c r="P15" s="2" t="n">
        <v>3226.146</v>
      </c>
      <c r="Q15" s="2" t="n">
        <v>2730.316000000001</v>
      </c>
      <c r="R15" s="75">
        <f>SUM(L15:Q15)</f>
        <v/>
      </c>
      <c r="S15" s="115">
        <f>IF(E15=0,"***",L15/E15)</f>
        <v/>
      </c>
      <c r="T15" s="116">
        <f>IF(F15=0,"***",M15/F15)</f>
        <v/>
      </c>
      <c r="U15" s="116">
        <f>IF(G15=0,"***",N15/G15)</f>
        <v/>
      </c>
      <c r="V15" s="116">
        <f>IF(H15=0,"***",O15/H15)</f>
        <v/>
      </c>
      <c r="W15" s="116">
        <f>IF(I15=0,"***",P15/I15)</f>
        <v/>
      </c>
      <c r="X15" s="116">
        <f>IF(J15=0,"***",Q15/J15)</f>
        <v/>
      </c>
      <c r="Y15" s="117">
        <f>IF(K15=0,"***",R15/K15)</f>
        <v/>
      </c>
    </row>
    <row r="16">
      <c r="C16" s="73" t="inlineStr">
        <is>
          <t>0033 集計</t>
        </is>
      </c>
      <c r="D16" s="59" t="inlineStr">
        <is>
          <t>前田課長代</t>
        </is>
      </c>
      <c r="E16" s="2" t="n">
        <v>10187.463</v>
      </c>
      <c r="F16" s="2" t="n">
        <v>8959.196000000002</v>
      </c>
      <c r="G16" s="2" t="n">
        <v>8546.748999999996</v>
      </c>
      <c r="H16" s="2" t="n">
        <v>9593.01</v>
      </c>
      <c r="I16" s="2" t="n">
        <v>7366.301</v>
      </c>
      <c r="J16" s="2" t="n">
        <v>7421.947000000001</v>
      </c>
      <c r="K16" s="79">
        <f>SUM(E16:J16)</f>
        <v/>
      </c>
      <c r="L16" s="1" t="n">
        <v>2708.5808</v>
      </c>
      <c r="M16" s="2" t="n">
        <v>2469.716</v>
      </c>
      <c r="N16" s="2" t="n">
        <v>1977.305799999999</v>
      </c>
      <c r="O16" s="2" t="n">
        <v>2080.844</v>
      </c>
      <c r="P16" s="2" t="n">
        <v>1950.749</v>
      </c>
      <c r="Q16" s="2" t="n">
        <v>1998.123</v>
      </c>
      <c r="R16" s="75">
        <f>SUM(L16:Q16)</f>
        <v/>
      </c>
      <c r="S16" s="115">
        <f>IF(E16=0,"***",L16/E16)</f>
        <v/>
      </c>
      <c r="T16" s="116">
        <f>IF(F16=0,"***",M16/F16)</f>
        <v/>
      </c>
      <c r="U16" s="116">
        <f>IF(G16=0,"***",N16/G16)</f>
        <v/>
      </c>
      <c r="V16" s="116">
        <f>IF(H16=0,"***",O16/H16)</f>
        <v/>
      </c>
      <c r="W16" s="116">
        <f>IF(I16=0,"***",P16/I16)</f>
        <v/>
      </c>
      <c r="X16" s="116">
        <f>IF(J16=0,"***",Q16/J16)</f>
        <v/>
      </c>
      <c r="Y16" s="117">
        <f>IF(K16=0,"***",R16/K16)</f>
        <v/>
      </c>
    </row>
    <row r="17">
      <c r="C17" s="73" t="inlineStr">
        <is>
          <t>0034 集計</t>
        </is>
      </c>
      <c r="D17" s="71" t="inlineStr">
        <is>
          <t>原田</t>
        </is>
      </c>
      <c r="E17" s="2" t="n">
        <v>9422.809000000001</v>
      </c>
      <c r="F17" s="2" t="n">
        <v>7351.248000000001</v>
      </c>
      <c r="G17" s="2" t="n">
        <v>7391.386000000001</v>
      </c>
      <c r="H17" s="2" t="n">
        <v>9599.937</v>
      </c>
      <c r="I17" s="2" t="n">
        <v>8283.083000000002</v>
      </c>
      <c r="J17" s="2" t="n">
        <v>9097.807999999999</v>
      </c>
      <c r="K17" s="79">
        <f>SUM(E17:J17)</f>
        <v/>
      </c>
      <c r="L17" s="1" t="n">
        <v>2241.822999999999</v>
      </c>
      <c r="M17" s="2" t="n">
        <v>1791.091999999999</v>
      </c>
      <c r="N17" s="2" t="n">
        <v>1710.721</v>
      </c>
      <c r="O17" s="2" t="n">
        <v>2300.398</v>
      </c>
      <c r="P17" s="2" t="n">
        <v>2009.645</v>
      </c>
      <c r="Q17" s="2" t="n">
        <v>1844.832</v>
      </c>
      <c r="R17" s="75">
        <f>SUM(L17:Q17)</f>
        <v/>
      </c>
      <c r="S17" s="115">
        <f>IF(E17=0,"***",L17/E17)</f>
        <v/>
      </c>
      <c r="T17" s="116">
        <f>IF(F17=0,"***",M17/F17)</f>
        <v/>
      </c>
      <c r="U17" s="116">
        <f>IF(G17=0,"***",N17/G17)</f>
        <v/>
      </c>
      <c r="V17" s="116">
        <f>IF(H17=0,"***",O17/H17)</f>
        <v/>
      </c>
      <c r="W17" s="116">
        <f>IF(I17=0,"***",P17/I17)</f>
        <v/>
      </c>
      <c r="X17" s="116">
        <f>IF(J17=0,"***",Q17/J17)</f>
        <v/>
      </c>
      <c r="Y17" s="117">
        <f>IF(K17=0,"***",R17/K17)</f>
        <v/>
      </c>
    </row>
    <row r="18">
      <c r="C18" s="73" t="inlineStr">
        <is>
          <t>0035 集計</t>
        </is>
      </c>
      <c r="D18" s="71" t="inlineStr">
        <is>
          <t>自治体</t>
        </is>
      </c>
      <c r="E18" s="2" t="n">
        <v>9358.208000000001</v>
      </c>
      <c r="F18" s="2" t="n">
        <v>2209.46</v>
      </c>
      <c r="G18" s="2" t="n">
        <v>11193.008</v>
      </c>
      <c r="H18" s="2" t="n">
        <v>0</v>
      </c>
      <c r="I18" s="2" t="n">
        <v>6139.904</v>
      </c>
      <c r="J18" s="2" t="n">
        <v>9994.712</v>
      </c>
      <c r="K18" s="79">
        <f>SUM(E18:J18)</f>
        <v/>
      </c>
      <c r="L18" s="1" t="n">
        <v>173.928</v>
      </c>
      <c r="M18" s="2" t="n">
        <v>19.31</v>
      </c>
      <c r="N18" s="2" t="n">
        <v>196.128</v>
      </c>
      <c r="O18" s="2" t="n">
        <v>0</v>
      </c>
      <c r="P18" s="2" t="n">
        <v>115.904</v>
      </c>
      <c r="Q18" s="2" t="n">
        <v>197.752</v>
      </c>
      <c r="R18" s="75">
        <f>SUM(L18:Q18)</f>
        <v/>
      </c>
      <c r="S18" s="115">
        <f>IF(E18=0,"***",L18/E18)</f>
        <v/>
      </c>
      <c r="T18" s="116">
        <f>IF(F18=0,"***",M18/F18)</f>
        <v/>
      </c>
      <c r="U18" s="116">
        <f>IF(G18=0,"***",N18/G18)</f>
        <v/>
      </c>
      <c r="V18" s="116">
        <f>IF(H18=0,"***",O18/H18)</f>
        <v/>
      </c>
      <c r="W18" s="116">
        <f>IF(I18=0,"***",P18/I18)</f>
        <v/>
      </c>
      <c r="X18" s="116">
        <f>IF(J18=0,"***",Q18/J18)</f>
        <v/>
      </c>
      <c r="Y18" s="117">
        <f>IF(K18=0,"***",R18/K18)</f>
        <v/>
      </c>
    </row>
    <row r="19">
      <c r="C19" s="73" t="inlineStr">
        <is>
          <t>0039 集計</t>
        </is>
      </c>
      <c r="D19" s="71" t="inlineStr">
        <is>
          <t>その他</t>
        </is>
      </c>
      <c r="E19" s="2" t="n">
        <v>27.05</v>
      </c>
      <c r="F19" s="2" t="n">
        <v>0</v>
      </c>
      <c r="G19" s="2" t="n">
        <v>11.3</v>
      </c>
      <c r="H19" s="2" t="n">
        <v>12.3</v>
      </c>
      <c r="I19" s="2" t="n">
        <v>1.1</v>
      </c>
      <c r="J19" s="2" t="n">
        <v>0</v>
      </c>
      <c r="K19" s="79">
        <f>SUM(E19:J19)</f>
        <v/>
      </c>
      <c r="L19" s="1" t="n">
        <v>5.301</v>
      </c>
      <c r="M19" s="2" t="n">
        <v>0</v>
      </c>
      <c r="N19" s="2" t="n">
        <v>2.499</v>
      </c>
      <c r="O19" s="2" t="n">
        <v>4.8</v>
      </c>
      <c r="P19" s="2" t="n">
        <v>0.375</v>
      </c>
      <c r="Q19" s="2" t="n">
        <v>0</v>
      </c>
      <c r="R19" s="75">
        <f>SUM(L19:Q19)</f>
        <v/>
      </c>
      <c r="S19" s="115">
        <f>IF(E19=0,"***",L19/E19)</f>
        <v/>
      </c>
      <c r="T19" s="116">
        <f>IF(F19=0,"***",M19/F19)</f>
        <v/>
      </c>
      <c r="U19" s="116">
        <f>IF(G19=0,"***",N19/G19)</f>
        <v/>
      </c>
      <c r="V19" s="116">
        <f>IF(H19=0,"***",O19/H19)</f>
        <v/>
      </c>
      <c r="W19" s="116">
        <f>IF(I19=0,"***",P19/I19)</f>
        <v/>
      </c>
      <c r="X19" s="116">
        <f>IF(J19=0,"***",Q19/J19)</f>
        <v/>
      </c>
      <c r="Y19" s="117">
        <f>IF(K19=0,"***",R19/K19)</f>
        <v/>
      </c>
    </row>
    <row r="20">
      <c r="C20" s="3" t="inlineStr">
        <is>
          <t>合計</t>
        </is>
      </c>
      <c r="D20" s="72" t="n"/>
      <c r="E20" s="63">
        <f>SUM(E15:E19)</f>
        <v/>
      </c>
      <c r="F20" s="63">
        <f>SUM(F15:F19)</f>
        <v/>
      </c>
      <c r="G20" s="63">
        <f>SUM(G15:G19)</f>
        <v/>
      </c>
      <c r="H20" s="63">
        <f>SUM(H15:H19)</f>
        <v/>
      </c>
      <c r="I20" s="63">
        <f>SUM(I15:I19)</f>
        <v/>
      </c>
      <c r="J20" s="63">
        <f>SUM(J15:J19)</f>
        <v/>
      </c>
      <c r="K20" s="80">
        <f>SUM(E20:J20)</f>
        <v/>
      </c>
      <c r="L20" s="76">
        <f>SUM(L15:L19)</f>
        <v/>
      </c>
      <c r="M20" s="63">
        <f>SUM(M15:M19)</f>
        <v/>
      </c>
      <c r="N20" s="63">
        <f>SUM(N15:N19)</f>
        <v/>
      </c>
      <c r="O20" s="63">
        <f>SUM(O15:O19)</f>
        <v/>
      </c>
      <c r="P20" s="63">
        <f>SUM(P15:P19)</f>
        <v/>
      </c>
      <c r="Q20" s="63">
        <f>SUM(Q15:Q19)</f>
        <v/>
      </c>
      <c r="R20" s="77">
        <f>SUM(L20:Q20)</f>
        <v/>
      </c>
      <c r="S20" s="118">
        <f>IF(E20=0,"***",L20/E20)</f>
        <v/>
      </c>
      <c r="T20" s="119">
        <f>IF(F20=0,"***",M20/F20)</f>
        <v/>
      </c>
      <c r="U20" s="119">
        <f>IF(G20=0,"***",N20/G20)</f>
        <v/>
      </c>
      <c r="V20" s="119">
        <f>IF(H20=0,"***",O20/H20)</f>
        <v/>
      </c>
      <c r="W20" s="119">
        <f>IF(I20=0,"***",P20/I20)</f>
        <v/>
      </c>
      <c r="X20" s="119">
        <f>IF(J20=0,"***",Q20/J20)</f>
        <v/>
      </c>
      <c r="Y20" s="120">
        <f>IF(K20=0,"***",R20/K20)</f>
        <v/>
      </c>
    </row>
    <row r="21">
      <c r="C21" s="6" t="n"/>
      <c r="E21" s="5" t="n"/>
      <c r="F21" s="5" t="n"/>
      <c r="G21" s="5" t="n"/>
      <c r="H21" s="5" t="n"/>
      <c r="I21" s="5" t="n"/>
      <c r="J21" s="5" t="n"/>
      <c r="K21" s="6" t="n"/>
      <c r="L21" s="5" t="n"/>
      <c r="M21" s="5" t="n"/>
      <c r="N21" s="5" t="n"/>
      <c r="O21" s="5" t="n"/>
      <c r="P21" s="5" t="n"/>
      <c r="Q21" s="5" t="n"/>
      <c r="R21" s="6" t="n"/>
      <c r="S21" s="121" t="n"/>
      <c r="T21" s="121" t="n"/>
      <c r="U21" s="121" t="n"/>
      <c r="V21" s="121" t="n"/>
      <c r="W21" s="121" t="n"/>
      <c r="X21" s="121" t="n"/>
      <c r="Y21" s="121" t="n"/>
    </row>
    <row r="22">
      <c r="C22" s="6" t="inlineStr">
        <is>
          <t>3．過年度平均</t>
        </is>
      </c>
    </row>
    <row r="23">
      <c r="C23" s="87" t="n"/>
      <c r="D23" s="88" t="n"/>
      <c r="E23" s="92" t="inlineStr">
        <is>
          <t>売上</t>
        </is>
      </c>
      <c r="F23" s="90" t="n"/>
      <c r="G23" s="90" t="n"/>
      <c r="H23" s="90" t="n"/>
      <c r="I23" s="90" t="n"/>
      <c r="J23" s="90" t="n"/>
      <c r="K23" s="90" t="n"/>
      <c r="L23" s="91" t="inlineStr">
        <is>
          <t>粗利益</t>
        </is>
      </c>
      <c r="M23" s="90" t="n"/>
      <c r="N23" s="90" t="n"/>
      <c r="O23" s="90" t="n"/>
      <c r="P23" s="90" t="n"/>
      <c r="Q23" s="90" t="n"/>
      <c r="R23" s="88" t="n"/>
      <c r="S23" s="91" t="inlineStr">
        <is>
          <t>粗利益率</t>
        </is>
      </c>
      <c r="T23" s="90" t="n"/>
      <c r="U23" s="90" t="n"/>
      <c r="V23" s="90" t="n"/>
      <c r="W23" s="90" t="n"/>
      <c r="X23" s="90" t="n"/>
      <c r="Y23" s="88" t="n"/>
    </row>
    <row r="24">
      <c r="C24" s="61" t="n"/>
      <c r="D24" s="70" t="n"/>
      <c r="E24" s="74" t="n">
        <v>45748</v>
      </c>
      <c r="F24" s="62" t="n">
        <v>45778</v>
      </c>
      <c r="G24" s="62" t="n">
        <v>45809</v>
      </c>
      <c r="H24" s="62" t="n">
        <v>45839</v>
      </c>
      <c r="I24" s="62" t="n">
        <v>45870</v>
      </c>
      <c r="J24" s="62" t="n">
        <v>45901</v>
      </c>
      <c r="K24" s="64" t="inlineStr">
        <is>
          <t>合計</t>
        </is>
      </c>
      <c r="L24" s="74" t="n">
        <v>45748</v>
      </c>
      <c r="M24" s="62" t="n">
        <v>45778</v>
      </c>
      <c r="N24" s="62" t="n">
        <v>45809</v>
      </c>
      <c r="O24" s="62" t="n">
        <v>45839</v>
      </c>
      <c r="P24" s="62" t="n">
        <v>45870</v>
      </c>
      <c r="Q24" s="62" t="n">
        <v>45901</v>
      </c>
      <c r="R24" s="64" t="inlineStr">
        <is>
          <t>合計</t>
        </is>
      </c>
      <c r="S24" s="74" t="n">
        <v>45748</v>
      </c>
      <c r="T24" s="62" t="n">
        <v>45778</v>
      </c>
      <c r="U24" s="62" t="n">
        <v>45809</v>
      </c>
      <c r="V24" s="62" t="n">
        <v>45839</v>
      </c>
      <c r="W24" s="62" t="n">
        <v>45870</v>
      </c>
      <c r="X24" s="62" t="n">
        <v>45901</v>
      </c>
      <c r="Y24" s="64" t="inlineStr">
        <is>
          <t>合計</t>
        </is>
      </c>
    </row>
    <row r="25">
      <c r="C25" s="73" t="inlineStr">
        <is>
          <t>0032 集計</t>
        </is>
      </c>
      <c r="D25" s="71" t="inlineStr">
        <is>
          <t>飯塚主任</t>
        </is>
      </c>
      <c r="E25" s="2">
        <f>(E15+E5)/2</f>
        <v/>
      </c>
      <c r="F25" s="2">
        <f>(F15+F5)/2</f>
        <v/>
      </c>
      <c r="G25" s="2">
        <f>(G15+G5)/2</f>
        <v/>
      </c>
      <c r="H25" s="2">
        <f>(H15+H5)/2</f>
        <v/>
      </c>
      <c r="I25" s="2">
        <f>(I15+I5)/2</f>
        <v/>
      </c>
      <c r="J25" s="2">
        <f>(J15+J5)/2</f>
        <v/>
      </c>
      <c r="K25" s="79">
        <f>SUM(E25:J25)</f>
        <v/>
      </c>
      <c r="L25" s="1">
        <f>(L15+L5)/2</f>
        <v/>
      </c>
      <c r="M25" s="2">
        <f>(M15+M5)/2</f>
        <v/>
      </c>
      <c r="N25" s="2">
        <f>(N15+N5)/2</f>
        <v/>
      </c>
      <c r="O25" s="2">
        <f>(O15+O5)/2</f>
        <v/>
      </c>
      <c r="P25" s="2">
        <f>(P15+P5)/2</f>
        <v/>
      </c>
      <c r="Q25" s="2">
        <f>(Q15+Q5)/2</f>
        <v/>
      </c>
      <c r="R25" s="75">
        <f>SUM(L25:Q25)</f>
        <v/>
      </c>
      <c r="S25" s="115">
        <f>IF(E25=0,"***",L25/E25)</f>
        <v/>
      </c>
      <c r="T25" s="116">
        <f>IF(F25=0,"***",M25/F25)</f>
        <v/>
      </c>
      <c r="U25" s="116">
        <f>IF(G25=0,"***",N25/G25)</f>
        <v/>
      </c>
      <c r="V25" s="116">
        <f>IF(H25=0,"***",O25/H25)</f>
        <v/>
      </c>
      <c r="W25" s="116">
        <f>IF(I25=0,"***",P25/I25)</f>
        <v/>
      </c>
      <c r="X25" s="116">
        <f>IF(J25=0,"***",Q25/J25)</f>
        <v/>
      </c>
      <c r="Y25" s="117">
        <f>IF(K25=0,"***",R25/K25)</f>
        <v/>
      </c>
    </row>
    <row r="26">
      <c r="C26" s="73" t="inlineStr">
        <is>
          <t>0033 集計</t>
        </is>
      </c>
      <c r="D26" s="59" t="inlineStr">
        <is>
          <t>前田課長代</t>
        </is>
      </c>
      <c r="E26" s="2">
        <f>(E16+E6)/2</f>
        <v/>
      </c>
      <c r="F26" s="2">
        <f>(F16+F6)/2</f>
        <v/>
      </c>
      <c r="G26" s="2">
        <f>(G16+G6)/2</f>
        <v/>
      </c>
      <c r="H26" s="2">
        <f>(H16+H6)/2</f>
        <v/>
      </c>
      <c r="I26" s="2">
        <f>(I16+I6)/2</f>
        <v/>
      </c>
      <c r="J26" s="2">
        <f>(J16+J6)/2</f>
        <v/>
      </c>
      <c r="K26" s="79">
        <f>SUM(E26:J26)</f>
        <v/>
      </c>
      <c r="L26" s="1">
        <f>(L16+L6)/2</f>
        <v/>
      </c>
      <c r="M26" s="2">
        <f>(M16+M6)/2</f>
        <v/>
      </c>
      <c r="N26" s="2">
        <f>(N16+N6)/2</f>
        <v/>
      </c>
      <c r="O26" s="2">
        <f>(O16+O6)/2</f>
        <v/>
      </c>
      <c r="P26" s="2">
        <f>(P16+P6)/2</f>
        <v/>
      </c>
      <c r="Q26" s="2">
        <f>(Q16+Q6)/2</f>
        <v/>
      </c>
      <c r="R26" s="75">
        <f>SUM(L26:Q26)</f>
        <v/>
      </c>
      <c r="S26" s="115">
        <f>IF(E26=0,"***",L26/E26)</f>
        <v/>
      </c>
      <c r="T26" s="116">
        <f>IF(F26=0,"***",M26/F26)</f>
        <v/>
      </c>
      <c r="U26" s="116">
        <f>IF(G26=0,"***",N26/G26)</f>
        <v/>
      </c>
      <c r="V26" s="116">
        <f>IF(H26=0,"***",O26/H26)</f>
        <v/>
      </c>
      <c r="W26" s="116">
        <f>IF(I26=0,"***",P26/I26)</f>
        <v/>
      </c>
      <c r="X26" s="116">
        <f>IF(J26=0,"***",Q26/J26)</f>
        <v/>
      </c>
      <c r="Y26" s="117">
        <f>IF(K26=0,"***",R26/K26)</f>
        <v/>
      </c>
    </row>
    <row r="27">
      <c r="C27" s="73" t="inlineStr">
        <is>
          <t>0034 集計</t>
        </is>
      </c>
      <c r="D27" s="71" t="inlineStr">
        <is>
          <t>原田</t>
        </is>
      </c>
      <c r="E27" s="2">
        <f>(E17+E7)/2</f>
        <v/>
      </c>
      <c r="F27" s="2">
        <f>(F17+F7)/2</f>
        <v/>
      </c>
      <c r="G27" s="2">
        <f>(G17+G7)/2</f>
        <v/>
      </c>
      <c r="H27" s="2">
        <f>(H17+H7)/2</f>
        <v/>
      </c>
      <c r="I27" s="2">
        <f>(I17+I7)/2</f>
        <v/>
      </c>
      <c r="J27" s="2">
        <f>(J17+J7)/2</f>
        <v/>
      </c>
      <c r="K27" s="79">
        <f>SUM(E27:J27)</f>
        <v/>
      </c>
      <c r="L27" s="1">
        <f>(L17+L7)/2</f>
        <v/>
      </c>
      <c r="M27" s="2">
        <f>(M17+M7)/2</f>
        <v/>
      </c>
      <c r="N27" s="2">
        <f>(N17+N7)/2</f>
        <v/>
      </c>
      <c r="O27" s="2">
        <f>(O17+O7)/2</f>
        <v/>
      </c>
      <c r="P27" s="2">
        <f>(P17+P7)/2</f>
        <v/>
      </c>
      <c r="Q27" s="2">
        <f>(Q17+Q7)/2</f>
        <v/>
      </c>
      <c r="R27" s="75">
        <f>SUM(L27:Q27)</f>
        <v/>
      </c>
      <c r="S27" s="115">
        <f>IF(E27=0,"***",L27/E27)</f>
        <v/>
      </c>
      <c r="T27" s="116">
        <f>IF(F27=0,"***",M27/F27)</f>
        <v/>
      </c>
      <c r="U27" s="116">
        <f>IF(G27=0,"***",N27/G27)</f>
        <v/>
      </c>
      <c r="V27" s="116">
        <f>IF(H27=0,"***",O27/H27)</f>
        <v/>
      </c>
      <c r="W27" s="116">
        <f>IF(I27=0,"***",P27/I27)</f>
        <v/>
      </c>
      <c r="X27" s="116">
        <f>IF(J27=0,"***",Q27/J27)</f>
        <v/>
      </c>
      <c r="Y27" s="117">
        <f>IF(K27=0,"***",R27/K27)</f>
        <v/>
      </c>
    </row>
    <row r="28">
      <c r="C28" s="73" t="inlineStr">
        <is>
          <t>0035 集計</t>
        </is>
      </c>
      <c r="D28" s="71" t="inlineStr">
        <is>
          <t>自治体</t>
        </is>
      </c>
      <c r="E28" s="2">
        <f>(E18+E8)/2</f>
        <v/>
      </c>
      <c r="F28" s="2">
        <f>(F18+F8)/2</f>
        <v/>
      </c>
      <c r="G28" s="2">
        <f>(G18+G8)/2</f>
        <v/>
      </c>
      <c r="H28" s="2">
        <f>(H18+H8)/2</f>
        <v/>
      </c>
      <c r="I28" s="2">
        <f>(I18+I8)/2</f>
        <v/>
      </c>
      <c r="J28" s="2">
        <f>(J18+J8)/2</f>
        <v/>
      </c>
      <c r="K28" s="79">
        <f>SUM(E28:J28)</f>
        <v/>
      </c>
      <c r="L28" s="1">
        <f>(L18+L8)/2</f>
        <v/>
      </c>
      <c r="M28" s="2">
        <f>(M18+M8)/2</f>
        <v/>
      </c>
      <c r="N28" s="2">
        <f>(N18+N8)/2</f>
        <v/>
      </c>
      <c r="O28" s="2">
        <f>(O18+O8)/2</f>
        <v/>
      </c>
      <c r="P28" s="2">
        <f>(P18+P8)/2</f>
        <v/>
      </c>
      <c r="Q28" s="2">
        <f>(Q18+Q8)/2</f>
        <v/>
      </c>
      <c r="R28" s="75">
        <f>SUM(L28:Q28)</f>
        <v/>
      </c>
      <c r="S28" s="115">
        <f>IF(E28=0,"***",L28/E28)</f>
        <v/>
      </c>
      <c r="T28" s="116">
        <f>IF(F28=0,"***",M28/F28)</f>
        <v/>
      </c>
      <c r="U28" s="116">
        <f>IF(G28=0,"***",N28/G28)</f>
        <v/>
      </c>
      <c r="V28" s="116">
        <f>IF(H28=0,"***",O28/H28)</f>
        <v/>
      </c>
      <c r="W28" s="116">
        <f>IF(I28=0,"***",P28/I28)</f>
        <v/>
      </c>
      <c r="X28" s="116">
        <f>IF(J28=0,"***",Q28/J28)</f>
        <v/>
      </c>
      <c r="Y28" s="117">
        <f>IF(K28=0,"***",R28/K28)</f>
        <v/>
      </c>
    </row>
    <row r="29">
      <c r="C29" s="73" t="inlineStr">
        <is>
          <t>0039 集計</t>
        </is>
      </c>
      <c r="D29" s="71" t="inlineStr">
        <is>
          <t>その他</t>
        </is>
      </c>
      <c r="E29" s="2">
        <f>(E19+E9)/2</f>
        <v/>
      </c>
      <c r="F29" s="2">
        <f>(F19+F9)/2</f>
        <v/>
      </c>
      <c r="G29" s="2">
        <f>(G19+G9)/2</f>
        <v/>
      </c>
      <c r="H29" s="2">
        <f>(H19+H9)/2</f>
        <v/>
      </c>
      <c r="I29" s="2">
        <f>(I19+I9)/2</f>
        <v/>
      </c>
      <c r="J29" s="2">
        <f>(J19+J9)/2</f>
        <v/>
      </c>
      <c r="K29" s="79">
        <f>SUM(E29:J29)</f>
        <v/>
      </c>
      <c r="L29" s="1">
        <f>(L19+L9)/2</f>
        <v/>
      </c>
      <c r="M29" s="2">
        <f>(M19+M9)/2</f>
        <v/>
      </c>
      <c r="N29" s="2">
        <f>(N19+N9)/2</f>
        <v/>
      </c>
      <c r="O29" s="2">
        <f>(O19+O9)/2</f>
        <v/>
      </c>
      <c r="P29" s="2">
        <f>(P19+P9)/2</f>
        <v/>
      </c>
      <c r="Q29" s="2">
        <f>(Q19+Q9)/2</f>
        <v/>
      </c>
      <c r="R29" s="75">
        <f>SUM(L29:Q29)</f>
        <v/>
      </c>
      <c r="S29" s="115">
        <f>IF(E29=0,"***",L29/E29)</f>
        <v/>
      </c>
      <c r="T29" s="116">
        <f>IF(F29=0,"***",M29/F29)</f>
        <v/>
      </c>
      <c r="U29" s="116">
        <f>IF(G29=0,"***",N29/G29)</f>
        <v/>
      </c>
      <c r="V29" s="116">
        <f>IF(H29=0,"***",O29/H29)</f>
        <v/>
      </c>
      <c r="W29" s="116">
        <f>IF(I29=0,"***",P29/I29)</f>
        <v/>
      </c>
      <c r="X29" s="116">
        <f>IF(J29=0,"***",Q29/J29)</f>
        <v/>
      </c>
      <c r="Y29" s="117">
        <f>IF(K29=0,"***",R29/K29)</f>
        <v/>
      </c>
    </row>
    <row r="30">
      <c r="C30" s="3" t="inlineStr">
        <is>
          <t>合計</t>
        </is>
      </c>
      <c r="D30" s="72" t="n"/>
      <c r="E30" s="63">
        <f>SUM(E25:E29)</f>
        <v/>
      </c>
      <c r="F30" s="63">
        <f>SUM(F25:F29)</f>
        <v/>
      </c>
      <c r="G30" s="63">
        <f>SUM(G25:G29)</f>
        <v/>
      </c>
      <c r="H30" s="63">
        <f>SUM(H25:H29)</f>
        <v/>
      </c>
      <c r="I30" s="63">
        <f>SUM(I25:I29)</f>
        <v/>
      </c>
      <c r="J30" s="63">
        <f>SUM(J25:J29)</f>
        <v/>
      </c>
      <c r="K30" s="80">
        <f>SUM(E30:J30)</f>
        <v/>
      </c>
      <c r="L30" s="76">
        <f>SUM(L25:L29)</f>
        <v/>
      </c>
      <c r="M30" s="63">
        <f>SUM(M25:M29)</f>
        <v/>
      </c>
      <c r="N30" s="63">
        <f>SUM(N25:N29)</f>
        <v/>
      </c>
      <c r="O30" s="63">
        <f>SUM(O25:O29)</f>
        <v/>
      </c>
      <c r="P30" s="63">
        <f>SUM(P25:P29)</f>
        <v/>
      </c>
      <c r="Q30" s="63">
        <f>SUM(Q25:Q29)</f>
        <v/>
      </c>
      <c r="R30" s="77">
        <f>SUM(L30:Q30)</f>
        <v/>
      </c>
      <c r="S30" s="118">
        <f>IF(E30=0,"***",L30/E30)</f>
        <v/>
      </c>
      <c r="T30" s="119">
        <f>IF(F30=0,"***",M30/F30)</f>
        <v/>
      </c>
      <c r="U30" s="119">
        <f>IF(G30=0,"***",N30/G30)</f>
        <v/>
      </c>
      <c r="V30" s="119">
        <f>IF(H30=0,"***",O30/H30)</f>
        <v/>
      </c>
      <c r="W30" s="119">
        <f>IF(I30=0,"***",P30/I30)</f>
        <v/>
      </c>
      <c r="X30" s="119">
        <f>IF(J30=0,"***",Q30/J30)</f>
        <v/>
      </c>
      <c r="Y30" s="120">
        <f>IF(K30=0,"***",R30/K30)</f>
        <v/>
      </c>
    </row>
    <row r="31">
      <c r="C31" s="6" t="n"/>
      <c r="E31" s="5" t="n"/>
      <c r="F31" s="5" t="n"/>
      <c r="G31" s="5" t="n"/>
      <c r="H31" s="5" t="n"/>
      <c r="I31" s="5" t="n"/>
      <c r="J31" s="5" t="n"/>
      <c r="K31" s="6" t="n"/>
      <c r="L31" s="5" t="n"/>
      <c r="M31" s="5" t="n"/>
      <c r="N31" s="5" t="n"/>
      <c r="O31" s="5" t="n"/>
      <c r="P31" s="5" t="n"/>
      <c r="Q31" s="5" t="n"/>
      <c r="R31" s="6" t="n"/>
      <c r="S31" s="121" t="n"/>
      <c r="T31" s="121" t="n"/>
      <c r="U31" s="121" t="n"/>
      <c r="V31" s="121" t="n"/>
      <c r="W31" s="121" t="n"/>
      <c r="X31" s="121" t="n"/>
      <c r="Y31" s="121" t="n"/>
    </row>
    <row r="32">
      <c r="C32" s="6" t="inlineStr">
        <is>
          <t>4．計画</t>
        </is>
      </c>
    </row>
    <row r="33">
      <c r="C33" s="87" t="n"/>
      <c r="D33" s="88" t="n"/>
      <c r="E33" s="87" t="inlineStr">
        <is>
          <t>売上</t>
        </is>
      </c>
      <c r="F33" s="90" t="n"/>
      <c r="G33" s="90" t="n"/>
      <c r="H33" s="90" t="n"/>
      <c r="I33" s="90" t="n"/>
      <c r="J33" s="90" t="n"/>
      <c r="K33" s="88" t="n"/>
      <c r="L33" s="89" t="inlineStr">
        <is>
          <t>粗利益</t>
        </is>
      </c>
      <c r="M33" s="90" t="n"/>
      <c r="N33" s="90" t="n"/>
      <c r="O33" s="90" t="n"/>
      <c r="P33" s="90" t="n"/>
      <c r="Q33" s="90" t="n"/>
      <c r="R33" s="88" t="n"/>
      <c r="S33" s="89" t="inlineStr">
        <is>
          <t>粗利益率</t>
        </is>
      </c>
      <c r="T33" s="90" t="n"/>
      <c r="U33" s="90" t="n"/>
      <c r="V33" s="90" t="n"/>
      <c r="W33" s="90" t="n"/>
      <c r="X33" s="90" t="n"/>
      <c r="Y33" s="88" t="n"/>
    </row>
    <row r="34">
      <c r="C34" s="61" t="n"/>
      <c r="D34" s="70" t="n"/>
      <c r="E34" s="74" t="n">
        <v>46113</v>
      </c>
      <c r="F34" s="62" t="n">
        <v>46143</v>
      </c>
      <c r="G34" s="62" t="n">
        <v>46174</v>
      </c>
      <c r="H34" s="62" t="n">
        <v>46204</v>
      </c>
      <c r="I34" s="62" t="n">
        <v>46235</v>
      </c>
      <c r="J34" s="62" t="n">
        <v>46266</v>
      </c>
      <c r="K34" s="64" t="inlineStr">
        <is>
          <t>合計</t>
        </is>
      </c>
      <c r="L34" s="83" t="n">
        <v>46113</v>
      </c>
      <c r="M34" s="62" t="n">
        <v>46143</v>
      </c>
      <c r="N34" s="62" t="n">
        <v>46174</v>
      </c>
      <c r="O34" s="62" t="n">
        <v>46204</v>
      </c>
      <c r="P34" s="62" t="n">
        <v>46235</v>
      </c>
      <c r="Q34" s="62" t="n">
        <v>46266</v>
      </c>
      <c r="R34" s="64" t="inlineStr">
        <is>
          <t>合計</t>
        </is>
      </c>
      <c r="S34" s="83" t="n">
        <v>46113</v>
      </c>
      <c r="T34" s="62" t="n">
        <v>46143</v>
      </c>
      <c r="U34" s="62" t="n">
        <v>46174</v>
      </c>
      <c r="V34" s="62" t="n">
        <v>46204</v>
      </c>
      <c r="W34" s="62" t="n">
        <v>46235</v>
      </c>
      <c r="X34" s="62" t="n">
        <v>46266</v>
      </c>
      <c r="Y34" s="64" t="inlineStr">
        <is>
          <t>合計</t>
        </is>
      </c>
    </row>
    <row r="35">
      <c r="C35" s="73" t="inlineStr">
        <is>
          <t>0032 集計</t>
        </is>
      </c>
      <c r="D35" s="71" t="inlineStr">
        <is>
          <t>飯塚主任</t>
        </is>
      </c>
      <c r="E35" s="2" t="n">
        <v>11800</v>
      </c>
      <c r="F35" s="2" t="n">
        <v>10420</v>
      </c>
      <c r="G35" s="2" t="n">
        <v>8750</v>
      </c>
      <c r="H35" s="2" t="n">
        <v>10170</v>
      </c>
      <c r="I35" s="2" t="n">
        <v>11790</v>
      </c>
      <c r="J35" s="2" t="n">
        <v>8400</v>
      </c>
      <c r="K35" s="79">
        <f>SUM(E35:J35)</f>
        <v/>
      </c>
      <c r="L35" s="1" t="n">
        <v>3540</v>
      </c>
      <c r="M35" s="2" t="n">
        <v>3050</v>
      </c>
      <c r="N35" s="2" t="n">
        <v>2690</v>
      </c>
      <c r="O35" s="2" t="n">
        <v>3040</v>
      </c>
      <c r="P35" s="2" t="n">
        <v>3560</v>
      </c>
      <c r="Q35" s="2" t="n">
        <v>2850</v>
      </c>
      <c r="R35" s="75">
        <f>SUM(L35:Q35)</f>
        <v/>
      </c>
      <c r="S35" s="115">
        <f>IF(E35=0,"***",L35/E35)</f>
        <v/>
      </c>
      <c r="T35" s="116">
        <f>IF(F35=0,"***",M35/F35)</f>
        <v/>
      </c>
      <c r="U35" s="116">
        <f>IF(G35=0,"***",N35/G35)</f>
        <v/>
      </c>
      <c r="V35" s="116">
        <f>IF(H35=0,"***",O35/H35)</f>
        <v/>
      </c>
      <c r="W35" s="116">
        <f>IF(I35=0,"***",P35/I35)</f>
        <v/>
      </c>
      <c r="X35" s="116">
        <f>IF(J35=0,"***",Q35/J35)</f>
        <v/>
      </c>
      <c r="Y35" s="117">
        <f>IF(K35=0,"***",R35/K35)</f>
        <v/>
      </c>
    </row>
    <row r="36">
      <c r="C36" s="73" t="inlineStr">
        <is>
          <t>0033 集計</t>
        </is>
      </c>
      <c r="D36" s="59" t="inlineStr">
        <is>
          <t>前田課長代</t>
        </is>
      </c>
      <c r="E36" s="2" t="n">
        <v>10950</v>
      </c>
      <c r="F36" s="2" t="n">
        <v>8160</v>
      </c>
      <c r="G36" s="2" t="n">
        <v>10180</v>
      </c>
      <c r="H36" s="2" t="n">
        <v>11150</v>
      </c>
      <c r="I36" s="2" t="n">
        <v>9510</v>
      </c>
      <c r="J36" s="2" t="n">
        <v>9550</v>
      </c>
      <c r="K36" s="79">
        <f>SUM(E36:J36)</f>
        <v/>
      </c>
      <c r="L36" s="1" t="n">
        <v>2720</v>
      </c>
      <c r="M36" s="2" t="n">
        <v>2090</v>
      </c>
      <c r="N36" s="2" t="n">
        <v>2160</v>
      </c>
      <c r="O36" s="2" t="n">
        <v>2410</v>
      </c>
      <c r="P36" s="2" t="n">
        <v>2280</v>
      </c>
      <c r="Q36" s="2" t="n">
        <v>2370</v>
      </c>
      <c r="R36" s="75">
        <f>SUM(L36:Q36)</f>
        <v/>
      </c>
      <c r="S36" s="115">
        <f>IF(E36=0,"***",L36/E36)</f>
        <v/>
      </c>
      <c r="T36" s="116">
        <f>IF(F36=0,"***",M36/F36)</f>
        <v/>
      </c>
      <c r="U36" s="116">
        <f>IF(G36=0,"***",N36/G36)</f>
        <v/>
      </c>
      <c r="V36" s="116">
        <f>IF(H36=0,"***",O36/H36)</f>
        <v/>
      </c>
      <c r="W36" s="116">
        <f>IF(I36=0,"***",P36/I36)</f>
        <v/>
      </c>
      <c r="X36" s="116">
        <f>IF(J36=0,"***",Q36/J36)</f>
        <v/>
      </c>
      <c r="Y36" s="117">
        <f>IF(K36=0,"***",R36/K36)</f>
        <v/>
      </c>
    </row>
    <row r="37">
      <c r="C37" s="73" t="inlineStr">
        <is>
          <t>0034 集計</t>
        </is>
      </c>
      <c r="D37" s="71" t="inlineStr">
        <is>
          <t>原田</t>
        </is>
      </c>
      <c r="E37" s="2" t="n">
        <v>9900</v>
      </c>
      <c r="F37" s="2" t="n">
        <v>8090</v>
      </c>
      <c r="G37" s="2" t="n">
        <v>8170</v>
      </c>
      <c r="H37" s="2" t="n">
        <v>10130</v>
      </c>
      <c r="I37" s="2" t="n">
        <v>9670</v>
      </c>
      <c r="J37" s="2" t="n">
        <v>9710</v>
      </c>
      <c r="K37" s="79">
        <f>SUM(E37:J37)</f>
        <v/>
      </c>
      <c r="L37" s="1" t="n">
        <v>2370</v>
      </c>
      <c r="M37" s="2" t="n">
        <v>1890</v>
      </c>
      <c r="N37" s="2" t="n">
        <v>1860</v>
      </c>
      <c r="O37" s="2" t="n">
        <v>2320</v>
      </c>
      <c r="P37" s="2" t="n">
        <v>2190</v>
      </c>
      <c r="Q37" s="2" t="n">
        <v>2190</v>
      </c>
      <c r="R37" s="75">
        <f>SUM(L37:Q37)</f>
        <v/>
      </c>
      <c r="S37" s="115">
        <f>IF(E37=0,"***",L37/E37)</f>
        <v/>
      </c>
      <c r="T37" s="116">
        <f>IF(F37=0,"***",M37/F37)</f>
        <v/>
      </c>
      <c r="U37" s="116">
        <f>IF(G37=0,"***",N37/G37)</f>
        <v/>
      </c>
      <c r="V37" s="116">
        <f>IF(H37=0,"***",O37/H37)</f>
        <v/>
      </c>
      <c r="W37" s="116">
        <f>IF(I37=0,"***",P37/I37)</f>
        <v/>
      </c>
      <c r="X37" s="116">
        <f>IF(J37=0,"***",Q37/J37)</f>
        <v/>
      </c>
      <c r="Y37" s="117">
        <f>IF(K37=0,"***",R37/K37)</f>
        <v/>
      </c>
    </row>
    <row r="38">
      <c r="C38" s="73" t="inlineStr">
        <is>
          <t>0035 集計</t>
        </is>
      </c>
      <c r="D38" s="71" t="inlineStr">
        <is>
          <t>自治体</t>
        </is>
      </c>
      <c r="E38" s="2" t="n">
        <v>0</v>
      </c>
      <c r="F38" s="2" t="n">
        <v>0</v>
      </c>
      <c r="G38" s="2" t="n">
        <v>0</v>
      </c>
      <c r="H38" s="2" t="n">
        <v>0</v>
      </c>
      <c r="I38" s="2" t="n">
        <v>0</v>
      </c>
      <c r="J38" s="2" t="n">
        <v>0</v>
      </c>
      <c r="K38" s="79">
        <f>SUM(E38:J38)</f>
        <v/>
      </c>
      <c r="L38" s="1" t="n">
        <v>0</v>
      </c>
      <c r="M38" s="2" t="n">
        <v>0</v>
      </c>
      <c r="N38" s="2" t="n">
        <v>0</v>
      </c>
      <c r="O38" s="2" t="n">
        <v>0</v>
      </c>
      <c r="P38" s="2" t="n">
        <v>0</v>
      </c>
      <c r="Q38" s="2" t="n">
        <v>0</v>
      </c>
      <c r="R38" s="75">
        <f>SUM(L38:Q38)</f>
        <v/>
      </c>
      <c r="S38" s="115">
        <f>IF(E38=0,"***",L38/E38)</f>
        <v/>
      </c>
      <c r="T38" s="116">
        <f>IF(F38=0,"***",M38/F38)</f>
        <v/>
      </c>
      <c r="U38" s="116">
        <f>IF(G38=0,"***",N38/G38)</f>
        <v/>
      </c>
      <c r="V38" s="116">
        <f>IF(H38=0,"***",O38/H38)</f>
        <v/>
      </c>
      <c r="W38" s="116">
        <f>IF(I38=0,"***",P38/I38)</f>
        <v/>
      </c>
      <c r="X38" s="116">
        <f>IF(J38=0,"***",Q38/J38)</f>
        <v/>
      </c>
      <c r="Y38" s="117">
        <f>IF(K38=0,"***",R38/K38)</f>
        <v/>
      </c>
    </row>
    <row r="39">
      <c r="C39" s="73" t="inlineStr">
        <is>
          <t>0039 集計</t>
        </is>
      </c>
      <c r="D39" s="71" t="inlineStr">
        <is>
          <t>その他</t>
        </is>
      </c>
      <c r="E39" s="2" t="n"/>
      <c r="F39" s="2" t="n"/>
      <c r="G39" s="2" t="n"/>
      <c r="H39" s="2" t="n"/>
      <c r="I39" s="2" t="n"/>
      <c r="J39" s="2" t="n"/>
      <c r="K39" s="79">
        <f>SUM(E39:J39)</f>
        <v/>
      </c>
      <c r="L39" s="1" t="n"/>
      <c r="M39" s="2" t="n"/>
      <c r="N39" s="2" t="n"/>
      <c r="O39" s="2" t="n"/>
      <c r="P39" s="2" t="n"/>
      <c r="Q39" s="2" t="n"/>
      <c r="R39" s="75">
        <f>SUM(L39:Q39)</f>
        <v/>
      </c>
      <c r="S39" s="115">
        <f>IF(E39=0,"***",L39/E39)</f>
        <v/>
      </c>
      <c r="T39" s="116">
        <f>IF(F39=0,"***",M39/F39)</f>
        <v/>
      </c>
      <c r="U39" s="116">
        <f>IF(G39=0,"***",N39/G39)</f>
        <v/>
      </c>
      <c r="V39" s="116">
        <f>IF(H39=0,"***",O39/H39)</f>
        <v/>
      </c>
      <c r="W39" s="116">
        <f>IF(I39=0,"***",P39/I39)</f>
        <v/>
      </c>
      <c r="X39" s="116">
        <f>IF(J39=0,"***",Q39/J39)</f>
        <v/>
      </c>
      <c r="Y39" s="117">
        <f>IF(K39=0,"***",R39/K39)</f>
        <v/>
      </c>
    </row>
    <row r="40">
      <c r="C40" s="3" t="inlineStr">
        <is>
          <t>合計</t>
        </is>
      </c>
      <c r="D40" s="72" t="n"/>
      <c r="E40" s="63">
        <f>SUM(E35:E39)</f>
        <v/>
      </c>
      <c r="F40" s="63">
        <f>SUM(F35:F39)</f>
        <v/>
      </c>
      <c r="G40" s="63">
        <f>SUM(G35:G39)</f>
        <v/>
      </c>
      <c r="H40" s="63">
        <f>SUM(H35:H39)</f>
        <v/>
      </c>
      <c r="I40" s="63">
        <f>SUM(I35:I39)</f>
        <v/>
      </c>
      <c r="J40" s="63">
        <f>SUM(J35:J39)</f>
        <v/>
      </c>
      <c r="K40" s="80">
        <f>SUM(E40:J40)</f>
        <v/>
      </c>
      <c r="L40" s="76">
        <f>SUM(L35:L39)</f>
        <v/>
      </c>
      <c r="M40" s="63">
        <f>SUM(M35:M39)</f>
        <v/>
      </c>
      <c r="N40" s="63">
        <f>SUM(N35:N39)</f>
        <v/>
      </c>
      <c r="O40" s="63">
        <f>SUM(O35:O39)</f>
        <v/>
      </c>
      <c r="P40" s="63">
        <f>SUM(P35:P39)</f>
        <v/>
      </c>
      <c r="Q40" s="63">
        <f>SUM(Q35:Q39)</f>
        <v/>
      </c>
      <c r="R40" s="77">
        <f>SUM(L40:Q40)</f>
        <v/>
      </c>
      <c r="S40" s="118">
        <f>IF(E40=0,"***",L40/E40)</f>
        <v/>
      </c>
      <c r="T40" s="119">
        <f>IF(F40=0,"***",M40/F40)</f>
        <v/>
      </c>
      <c r="U40" s="119">
        <f>IF(G40=0,"***",N40/G40)</f>
        <v/>
      </c>
      <c r="V40" s="119">
        <f>IF(H40=0,"***",O40/H40)</f>
        <v/>
      </c>
      <c r="W40" s="119">
        <f>IF(I40=0,"***",P40/I40)</f>
        <v/>
      </c>
      <c r="X40" s="119">
        <f>IF(J40=0,"***",Q40/J40)</f>
        <v/>
      </c>
      <c r="Y40" s="120">
        <f>IF(K40=0,"***",R40/K40)</f>
        <v/>
      </c>
    </row>
    <row r="41" hidden="1" s="97">
      <c r="C41" s="6" t="n"/>
      <c r="E41" s="5" t="n"/>
      <c r="F41" s="5" t="n"/>
      <c r="G41" s="5" t="n"/>
      <c r="H41" s="5" t="n"/>
      <c r="I41" s="5" t="n"/>
      <c r="J41" s="5" t="n"/>
      <c r="K41" s="6" t="n"/>
      <c r="L41" s="5" t="n"/>
      <c r="M41" s="5" t="n"/>
      <c r="N41" s="5" t="n"/>
      <c r="O41" s="5" t="n"/>
      <c r="P41" s="5" t="n"/>
      <c r="Q41" s="5" t="n"/>
      <c r="R41" s="6" t="n"/>
      <c r="S41" s="121" t="n"/>
      <c r="T41" s="121" t="n"/>
      <c r="U41" s="121" t="n"/>
      <c r="V41" s="121" t="n"/>
      <c r="W41" s="121" t="n"/>
      <c r="X41" s="121" t="n"/>
      <c r="Y41" s="121" t="n"/>
    </row>
    <row r="42" hidden="1" s="97">
      <c r="C42" s="6" t="inlineStr">
        <is>
          <t>５．前期比</t>
        </is>
      </c>
    </row>
    <row r="43" hidden="1" s="97">
      <c r="C43" s="87" t="n"/>
      <c r="D43" s="88" t="n"/>
      <c r="E43" s="87" t="inlineStr">
        <is>
          <t>売上</t>
        </is>
      </c>
      <c r="F43" s="90" t="n"/>
      <c r="G43" s="90" t="n"/>
      <c r="H43" s="90" t="n"/>
      <c r="I43" s="90" t="n"/>
      <c r="J43" s="90" t="n"/>
      <c r="K43" s="88" t="n"/>
      <c r="L43" s="89" t="inlineStr">
        <is>
          <t>粗利益</t>
        </is>
      </c>
      <c r="M43" s="90" t="n"/>
      <c r="N43" s="90" t="n"/>
      <c r="O43" s="90" t="n"/>
      <c r="P43" s="90" t="n"/>
      <c r="Q43" s="90" t="n"/>
      <c r="R43" s="88" t="n"/>
      <c r="S43" s="89" t="inlineStr">
        <is>
          <t>粗利益率</t>
        </is>
      </c>
      <c r="T43" s="90" t="n"/>
      <c r="U43" s="90" t="n"/>
      <c r="V43" s="90" t="n"/>
      <c r="W43" s="90" t="n"/>
      <c r="X43" s="90" t="n"/>
      <c r="Y43" s="88" t="n"/>
    </row>
    <row r="44" hidden="1" s="97">
      <c r="C44" s="61" t="n"/>
      <c r="D44" s="70" t="n"/>
      <c r="E44" s="74" t="n">
        <v>46113</v>
      </c>
      <c r="F44" s="62" t="n">
        <v>46143</v>
      </c>
      <c r="G44" s="62" t="n">
        <v>46174</v>
      </c>
      <c r="H44" s="62" t="n">
        <v>46204</v>
      </c>
      <c r="I44" s="62" t="n">
        <v>46235</v>
      </c>
      <c r="J44" s="62" t="n">
        <v>46266</v>
      </c>
      <c r="K44" s="64" t="inlineStr">
        <is>
          <t>合計</t>
        </is>
      </c>
      <c r="L44" s="83" t="n">
        <v>46113</v>
      </c>
      <c r="M44" s="62" t="n">
        <v>46143</v>
      </c>
      <c r="N44" s="62" t="n">
        <v>46174</v>
      </c>
      <c r="O44" s="62" t="n">
        <v>46204</v>
      </c>
      <c r="P44" s="62" t="n">
        <v>46235</v>
      </c>
      <c r="Q44" s="62" t="n">
        <v>46266</v>
      </c>
      <c r="R44" s="64" t="inlineStr">
        <is>
          <t>合計</t>
        </is>
      </c>
      <c r="S44" s="83" t="n">
        <v>46113</v>
      </c>
      <c r="T44" s="62" t="n">
        <v>46143</v>
      </c>
      <c r="U44" s="62" t="n">
        <v>46174</v>
      </c>
      <c r="V44" s="62" t="n">
        <v>46204</v>
      </c>
      <c r="W44" s="62" t="n">
        <v>46235</v>
      </c>
      <c r="X44" s="62" t="n">
        <v>46266</v>
      </c>
      <c r="Y44" s="64" t="inlineStr">
        <is>
          <t>合計</t>
        </is>
      </c>
    </row>
    <row r="45" hidden="1" s="97">
      <c r="C45" s="73" t="inlineStr">
        <is>
          <t>0032 集計</t>
        </is>
      </c>
      <c r="D45" s="71" t="inlineStr">
        <is>
          <t>飯塚主任</t>
        </is>
      </c>
      <c r="E45" s="2">
        <f>E35-E15</f>
        <v/>
      </c>
      <c r="F45" s="2">
        <f>F35-F15</f>
        <v/>
      </c>
      <c r="G45" s="2">
        <f>G35-G15</f>
        <v/>
      </c>
      <c r="H45" s="2">
        <f>H35-H15</f>
        <v/>
      </c>
      <c r="I45" s="2">
        <f>I35-I15</f>
        <v/>
      </c>
      <c r="J45" s="2">
        <f>J35-J15</f>
        <v/>
      </c>
      <c r="K45" s="79">
        <f>SUM(E45:J45)</f>
        <v/>
      </c>
      <c r="L45" s="1">
        <f>L35-L15</f>
        <v/>
      </c>
      <c r="M45" s="2">
        <f>M35-M15</f>
        <v/>
      </c>
      <c r="N45" s="2">
        <f>N35-N15</f>
        <v/>
      </c>
      <c r="O45" s="2">
        <f>O35-O15</f>
        <v/>
      </c>
      <c r="P45" s="2">
        <f>P35-P15</f>
        <v/>
      </c>
      <c r="Q45" s="2">
        <f>Q35-Q15</f>
        <v/>
      </c>
      <c r="R45" s="75">
        <f>SUM(L45:Q45)</f>
        <v/>
      </c>
      <c r="S45" s="115">
        <f>S35-S15</f>
        <v/>
      </c>
      <c r="T45" s="116">
        <f>T35-T15</f>
        <v/>
      </c>
      <c r="U45" s="116">
        <f>U35-U15</f>
        <v/>
      </c>
      <c r="V45" s="116">
        <f>V35-V15</f>
        <v/>
      </c>
      <c r="W45" s="116">
        <f>W35-W15</f>
        <v/>
      </c>
      <c r="X45" s="116">
        <f>X35-X15</f>
        <v/>
      </c>
      <c r="Y45" s="117">
        <f>Y35-Y15</f>
        <v/>
      </c>
    </row>
    <row r="46" hidden="1" s="97">
      <c r="C46" s="73" t="inlineStr">
        <is>
          <t>0033 集計</t>
        </is>
      </c>
      <c r="D46" s="59" t="inlineStr">
        <is>
          <t>前田課長代</t>
        </is>
      </c>
      <c r="E46" s="2">
        <f>E36-E16</f>
        <v/>
      </c>
      <c r="F46" s="2">
        <f>F36-F16</f>
        <v/>
      </c>
      <c r="G46" s="2">
        <f>G36-G16</f>
        <v/>
      </c>
      <c r="H46" s="2">
        <f>H36-H16</f>
        <v/>
      </c>
      <c r="I46" s="2">
        <f>I36-I16</f>
        <v/>
      </c>
      <c r="J46" s="2">
        <f>J36-J16</f>
        <v/>
      </c>
      <c r="K46" s="79">
        <f>SUM(E46:J46)</f>
        <v/>
      </c>
      <c r="L46" s="1">
        <f>L36-L16</f>
        <v/>
      </c>
      <c r="M46" s="2">
        <f>M36-M16</f>
        <v/>
      </c>
      <c r="N46" s="2">
        <f>N36-N16</f>
        <v/>
      </c>
      <c r="O46" s="2">
        <f>O36-O16</f>
        <v/>
      </c>
      <c r="P46" s="2">
        <f>P36-P16</f>
        <v/>
      </c>
      <c r="Q46" s="2">
        <f>Q36-Q16</f>
        <v/>
      </c>
      <c r="R46" s="75">
        <f>SUM(L46:Q46)</f>
        <v/>
      </c>
      <c r="S46" s="115">
        <f>S36-S16</f>
        <v/>
      </c>
      <c r="T46" s="116">
        <f>T36-T16</f>
        <v/>
      </c>
      <c r="U46" s="116">
        <f>U36-U16</f>
        <v/>
      </c>
      <c r="V46" s="116">
        <f>V36-V16</f>
        <v/>
      </c>
      <c r="W46" s="116">
        <f>W36-W16</f>
        <v/>
      </c>
      <c r="X46" s="116">
        <f>X36-X16</f>
        <v/>
      </c>
      <c r="Y46" s="117">
        <f>Y36-Y16</f>
        <v/>
      </c>
    </row>
    <row r="47" hidden="1" s="97">
      <c r="C47" s="73" t="inlineStr">
        <is>
          <t>0034 集計</t>
        </is>
      </c>
      <c r="D47" s="71" t="inlineStr">
        <is>
          <t>原田</t>
        </is>
      </c>
      <c r="E47" s="2">
        <f>E37-E17</f>
        <v/>
      </c>
      <c r="F47" s="2">
        <f>F37-F17</f>
        <v/>
      </c>
      <c r="G47" s="2">
        <f>G37-G17</f>
        <v/>
      </c>
      <c r="H47" s="2">
        <f>H37-H17</f>
        <v/>
      </c>
      <c r="I47" s="2">
        <f>I37-I17</f>
        <v/>
      </c>
      <c r="J47" s="2">
        <f>J37-J17</f>
        <v/>
      </c>
      <c r="K47" s="79">
        <f>SUM(E47:J47)</f>
        <v/>
      </c>
      <c r="L47" s="1">
        <f>L37-L17</f>
        <v/>
      </c>
      <c r="M47" s="2">
        <f>M37-M17</f>
        <v/>
      </c>
      <c r="N47" s="2">
        <f>N37-N17</f>
        <v/>
      </c>
      <c r="O47" s="2">
        <f>O37-O17</f>
        <v/>
      </c>
      <c r="P47" s="2">
        <f>P37-P17</f>
        <v/>
      </c>
      <c r="Q47" s="2">
        <f>Q37-Q17</f>
        <v/>
      </c>
      <c r="R47" s="75">
        <f>SUM(L47:Q47)</f>
        <v/>
      </c>
      <c r="S47" s="115">
        <f>S37-S17</f>
        <v/>
      </c>
      <c r="T47" s="116">
        <f>T37-T17</f>
        <v/>
      </c>
      <c r="U47" s="116">
        <f>U37-U17</f>
        <v/>
      </c>
      <c r="V47" s="116">
        <f>V37-V17</f>
        <v/>
      </c>
      <c r="W47" s="116">
        <f>W37-W17</f>
        <v/>
      </c>
      <c r="X47" s="116">
        <f>X37-X17</f>
        <v/>
      </c>
      <c r="Y47" s="117">
        <f>Y37-Y17</f>
        <v/>
      </c>
    </row>
    <row r="48" hidden="1" s="97">
      <c r="C48" s="73" t="inlineStr">
        <is>
          <t>0035 集計</t>
        </is>
      </c>
      <c r="D48" s="71" t="inlineStr">
        <is>
          <t>自治体</t>
        </is>
      </c>
      <c r="E48" s="2">
        <f>E38-E18</f>
        <v/>
      </c>
      <c r="F48" s="2">
        <f>F38-F18</f>
        <v/>
      </c>
      <c r="G48" s="2">
        <f>G38-G18</f>
        <v/>
      </c>
      <c r="H48" s="2">
        <f>H38-H18</f>
        <v/>
      </c>
      <c r="I48" s="2">
        <f>I38-I18</f>
        <v/>
      </c>
      <c r="J48" s="2">
        <f>J38-J18</f>
        <v/>
      </c>
      <c r="K48" s="79">
        <f>SUM(E48:J48)</f>
        <v/>
      </c>
      <c r="L48" s="1">
        <f>L38-L18</f>
        <v/>
      </c>
      <c r="M48" s="2">
        <f>M38-M18</f>
        <v/>
      </c>
      <c r="N48" s="2">
        <f>N38-N18</f>
        <v/>
      </c>
      <c r="O48" s="2">
        <f>O38-O18</f>
        <v/>
      </c>
      <c r="P48" s="2">
        <f>P38-P18</f>
        <v/>
      </c>
      <c r="Q48" s="2">
        <f>Q38-Q18</f>
        <v/>
      </c>
      <c r="R48" s="75">
        <f>SUM(L48:Q48)</f>
        <v/>
      </c>
      <c r="S48" s="115">
        <f>S38-S18</f>
        <v/>
      </c>
      <c r="T48" s="116">
        <f>T38-T18</f>
        <v/>
      </c>
      <c r="U48" s="116">
        <f>U38-U18</f>
        <v/>
      </c>
      <c r="V48" s="116">
        <f>V38-V18</f>
        <v/>
      </c>
      <c r="W48" s="116">
        <f>W38-W18</f>
        <v/>
      </c>
      <c r="X48" s="116">
        <f>X38-X18</f>
        <v/>
      </c>
      <c r="Y48" s="117">
        <f>Y38-Y18</f>
        <v/>
      </c>
    </row>
    <row r="49" hidden="1" s="97">
      <c r="C49" s="73" t="inlineStr">
        <is>
          <t>0039 集計</t>
        </is>
      </c>
      <c r="D49" s="71" t="inlineStr">
        <is>
          <t>その他</t>
        </is>
      </c>
      <c r="E49" s="2">
        <f>E39-E19</f>
        <v/>
      </c>
      <c r="F49" s="2">
        <f>F39-F19</f>
        <v/>
      </c>
      <c r="G49" s="2">
        <f>G39-G19</f>
        <v/>
      </c>
      <c r="H49" s="2">
        <f>H39-H19</f>
        <v/>
      </c>
      <c r="I49" s="2">
        <f>I39-I19</f>
        <v/>
      </c>
      <c r="J49" s="2">
        <f>J39-J19</f>
        <v/>
      </c>
      <c r="K49" s="79">
        <f>SUM(E49:J49)</f>
        <v/>
      </c>
      <c r="L49" s="1">
        <f>L39-L19</f>
        <v/>
      </c>
      <c r="M49" s="2">
        <f>M39-M19</f>
        <v/>
      </c>
      <c r="N49" s="2">
        <f>N39-N19</f>
        <v/>
      </c>
      <c r="O49" s="2">
        <f>O39-O19</f>
        <v/>
      </c>
      <c r="P49" s="2">
        <f>P39-P19</f>
        <v/>
      </c>
      <c r="Q49" s="2">
        <f>Q39-Q19</f>
        <v/>
      </c>
      <c r="R49" s="75">
        <f>SUM(L49:Q49)</f>
        <v/>
      </c>
      <c r="S49" s="115">
        <f>S39-S19</f>
        <v/>
      </c>
      <c r="T49" s="116">
        <f>T39-T19</f>
        <v/>
      </c>
      <c r="U49" s="116">
        <f>U39-U19</f>
        <v/>
      </c>
      <c r="V49" s="116">
        <f>V39-V19</f>
        <v/>
      </c>
      <c r="W49" s="116">
        <f>W39-W19</f>
        <v/>
      </c>
      <c r="X49" s="116">
        <f>X39-X19</f>
        <v/>
      </c>
      <c r="Y49" s="117">
        <f>Y39-Y19</f>
        <v/>
      </c>
    </row>
    <row r="50" hidden="1" s="97">
      <c r="C50" s="3" t="inlineStr">
        <is>
          <t>合計</t>
        </is>
      </c>
      <c r="D50" s="72" t="n"/>
      <c r="E50" s="63">
        <f>SUM(E45:E49)</f>
        <v/>
      </c>
      <c r="F50" s="63">
        <f>SUM(F45:F49)</f>
        <v/>
      </c>
      <c r="G50" s="63">
        <f>SUM(G45:G49)</f>
        <v/>
      </c>
      <c r="H50" s="63">
        <f>SUM(H45:H49)</f>
        <v/>
      </c>
      <c r="I50" s="63">
        <f>SUM(I45:I49)</f>
        <v/>
      </c>
      <c r="J50" s="63">
        <f>SUM(J45:J49)</f>
        <v/>
      </c>
      <c r="K50" s="80">
        <f>SUM(E50:J50)</f>
        <v/>
      </c>
      <c r="L50" s="76">
        <f>SUM(L45:L49)</f>
        <v/>
      </c>
      <c r="M50" s="63">
        <f>SUM(M45:M49)</f>
        <v/>
      </c>
      <c r="N50" s="63">
        <f>SUM(N45:N49)</f>
        <v/>
      </c>
      <c r="O50" s="63">
        <f>SUM(O45:O49)</f>
        <v/>
      </c>
      <c r="P50" s="63">
        <f>SUM(P45:P49)</f>
        <v/>
      </c>
      <c r="Q50" s="63">
        <f>SUM(Q45:Q49)</f>
        <v/>
      </c>
      <c r="R50" s="77">
        <f>SUM(L50:Q50)</f>
        <v/>
      </c>
      <c r="S50" s="118">
        <f>S40-S20</f>
        <v/>
      </c>
      <c r="T50" s="119">
        <f>T40-T20</f>
        <v/>
      </c>
      <c r="U50" s="119">
        <f>U40-U20</f>
        <v/>
      </c>
      <c r="V50" s="119">
        <f>V40-V20</f>
        <v/>
      </c>
      <c r="W50" s="119">
        <f>W40-W20</f>
        <v/>
      </c>
      <c r="X50" s="119">
        <f>X40-X20</f>
        <v/>
      </c>
      <c r="Y50" s="120">
        <f>Y40-Y20</f>
        <v/>
      </c>
    </row>
    <row r="51" hidden="1" s="97"/>
    <row r="52" hidden="1" s="97">
      <c r="C52" s="6" t="inlineStr">
        <is>
          <t>6．過年度平均比</t>
        </is>
      </c>
    </row>
    <row r="53" hidden="1" s="97">
      <c r="C53" s="87" t="n"/>
      <c r="D53" s="88" t="n"/>
      <c r="E53" s="87" t="inlineStr">
        <is>
          <t>売上</t>
        </is>
      </c>
      <c r="F53" s="90" t="n"/>
      <c r="G53" s="90" t="n"/>
      <c r="H53" s="90" t="n"/>
      <c r="I53" s="90" t="n"/>
      <c r="J53" s="90" t="n"/>
      <c r="K53" s="88" t="n"/>
      <c r="L53" s="89" t="inlineStr">
        <is>
          <t>粗利益</t>
        </is>
      </c>
      <c r="M53" s="90" t="n"/>
      <c r="N53" s="90" t="n"/>
      <c r="O53" s="90" t="n"/>
      <c r="P53" s="90" t="n"/>
      <c r="Q53" s="90" t="n"/>
      <c r="R53" s="88" t="n"/>
      <c r="S53" s="89" t="inlineStr">
        <is>
          <t>粗利益率</t>
        </is>
      </c>
      <c r="T53" s="90" t="n"/>
      <c r="U53" s="90" t="n"/>
      <c r="V53" s="90" t="n"/>
      <c r="W53" s="90" t="n"/>
      <c r="X53" s="90" t="n"/>
      <c r="Y53" s="88" t="n"/>
    </row>
    <row r="54" hidden="1" s="97">
      <c r="C54" s="61" t="n"/>
      <c r="D54" s="70" t="n"/>
      <c r="E54" s="74" t="n">
        <v>46113</v>
      </c>
      <c r="F54" s="62" t="n">
        <v>46143</v>
      </c>
      <c r="G54" s="62" t="n">
        <v>46174</v>
      </c>
      <c r="H54" s="62" t="n">
        <v>46204</v>
      </c>
      <c r="I54" s="62" t="n">
        <v>46235</v>
      </c>
      <c r="J54" s="62" t="n">
        <v>46266</v>
      </c>
      <c r="K54" s="64" t="inlineStr">
        <is>
          <t>合計</t>
        </is>
      </c>
      <c r="L54" s="83" t="n">
        <v>46113</v>
      </c>
      <c r="M54" s="62" t="n">
        <v>46143</v>
      </c>
      <c r="N54" s="62" t="n">
        <v>46174</v>
      </c>
      <c r="O54" s="62" t="n">
        <v>46204</v>
      </c>
      <c r="P54" s="62" t="n">
        <v>46235</v>
      </c>
      <c r="Q54" s="62" t="n">
        <v>46266</v>
      </c>
      <c r="R54" s="64" t="inlineStr">
        <is>
          <t>合計</t>
        </is>
      </c>
      <c r="S54" s="83" t="n">
        <v>46113</v>
      </c>
      <c r="T54" s="62" t="n">
        <v>46143</v>
      </c>
      <c r="U54" s="62" t="n">
        <v>46174</v>
      </c>
      <c r="V54" s="62" t="n">
        <v>46204</v>
      </c>
      <c r="W54" s="62" t="n">
        <v>46235</v>
      </c>
      <c r="X54" s="62" t="n">
        <v>46266</v>
      </c>
      <c r="Y54" s="64" t="inlineStr">
        <is>
          <t>合計</t>
        </is>
      </c>
    </row>
    <row r="55" hidden="1" s="97">
      <c r="C55" s="73" t="inlineStr">
        <is>
          <t>0032 集計</t>
        </is>
      </c>
      <c r="D55" s="71" t="inlineStr">
        <is>
          <t>飯塚主任</t>
        </is>
      </c>
      <c r="E55" s="2">
        <f>E35-E25</f>
        <v/>
      </c>
      <c r="F55" s="2">
        <f>F35-F25</f>
        <v/>
      </c>
      <c r="G55" s="2">
        <f>G35-G25</f>
        <v/>
      </c>
      <c r="H55" s="2">
        <f>H35-H25</f>
        <v/>
      </c>
      <c r="I55" s="2">
        <f>I35-I25</f>
        <v/>
      </c>
      <c r="J55" s="2">
        <f>J35-J25</f>
        <v/>
      </c>
      <c r="K55" s="79">
        <f>SUM(E55:J55)</f>
        <v/>
      </c>
      <c r="L55" s="1">
        <f>L35-L25</f>
        <v/>
      </c>
      <c r="M55" s="2">
        <f>M35-M25</f>
        <v/>
      </c>
      <c r="N55" s="2">
        <f>N35-N25</f>
        <v/>
      </c>
      <c r="O55" s="2">
        <f>O35-O25</f>
        <v/>
      </c>
      <c r="P55" s="2">
        <f>P35-P25</f>
        <v/>
      </c>
      <c r="Q55" s="2">
        <f>Q35-Q25</f>
        <v/>
      </c>
      <c r="R55" s="75">
        <f>SUM(L55:Q55)</f>
        <v/>
      </c>
      <c r="S55" s="115">
        <f>S35-S25</f>
        <v/>
      </c>
      <c r="T55" s="116">
        <f>T35-T25</f>
        <v/>
      </c>
      <c r="U55" s="116">
        <f>U35-U25</f>
        <v/>
      </c>
      <c r="V55" s="116">
        <f>V35-V25</f>
        <v/>
      </c>
      <c r="W55" s="116">
        <f>W35-W25</f>
        <v/>
      </c>
      <c r="X55" s="116">
        <f>X35-X25</f>
        <v/>
      </c>
      <c r="Y55" s="117">
        <f>Y35-Y25</f>
        <v/>
      </c>
    </row>
    <row r="56" hidden="1" s="97">
      <c r="C56" s="73" t="inlineStr">
        <is>
          <t>0033 集計</t>
        </is>
      </c>
      <c r="D56" s="59" t="inlineStr">
        <is>
          <t>前田課長代</t>
        </is>
      </c>
      <c r="E56" s="2">
        <f>E36-E26</f>
        <v/>
      </c>
      <c r="F56" s="2">
        <f>F36-F26</f>
        <v/>
      </c>
      <c r="G56" s="2">
        <f>G36-G26</f>
        <v/>
      </c>
      <c r="H56" s="2">
        <f>H36-H26</f>
        <v/>
      </c>
      <c r="I56" s="2">
        <f>I36-I26</f>
        <v/>
      </c>
      <c r="J56" s="2">
        <f>J36-J26</f>
        <v/>
      </c>
      <c r="K56" s="79">
        <f>SUM(E56:J56)</f>
        <v/>
      </c>
      <c r="L56" s="1">
        <f>L36-L26</f>
        <v/>
      </c>
      <c r="M56" s="2">
        <f>M36-M26</f>
        <v/>
      </c>
      <c r="N56" s="2">
        <f>N36-N26</f>
        <v/>
      </c>
      <c r="O56" s="2">
        <f>O36-O26</f>
        <v/>
      </c>
      <c r="P56" s="2">
        <f>P36-P26</f>
        <v/>
      </c>
      <c r="Q56" s="2">
        <f>Q36-Q26</f>
        <v/>
      </c>
      <c r="R56" s="75">
        <f>SUM(L56:Q56)</f>
        <v/>
      </c>
      <c r="S56" s="115">
        <f>S36-S26</f>
        <v/>
      </c>
      <c r="T56" s="116">
        <f>T36-T26</f>
        <v/>
      </c>
      <c r="U56" s="116">
        <f>U36-U26</f>
        <v/>
      </c>
      <c r="V56" s="116">
        <f>V36-V26</f>
        <v/>
      </c>
      <c r="W56" s="116">
        <f>W36-W26</f>
        <v/>
      </c>
      <c r="X56" s="116">
        <f>X36-X26</f>
        <v/>
      </c>
      <c r="Y56" s="117">
        <f>Y36-Y26</f>
        <v/>
      </c>
    </row>
    <row r="57" hidden="1" s="97">
      <c r="C57" s="73" t="inlineStr">
        <is>
          <t>0034 集計</t>
        </is>
      </c>
      <c r="D57" s="71" t="inlineStr">
        <is>
          <t>原田</t>
        </is>
      </c>
      <c r="E57" s="2">
        <f>E37-E27</f>
        <v/>
      </c>
      <c r="F57" s="2">
        <f>F37-F27</f>
        <v/>
      </c>
      <c r="G57" s="2">
        <f>G37-G27</f>
        <v/>
      </c>
      <c r="H57" s="2">
        <f>H37-H27</f>
        <v/>
      </c>
      <c r="I57" s="2">
        <f>I37-I27</f>
        <v/>
      </c>
      <c r="J57" s="2">
        <f>J37-J27</f>
        <v/>
      </c>
      <c r="K57" s="79">
        <f>SUM(E57:J57)</f>
        <v/>
      </c>
      <c r="L57" s="1">
        <f>L37-L27</f>
        <v/>
      </c>
      <c r="M57" s="2">
        <f>M37-M27</f>
        <v/>
      </c>
      <c r="N57" s="2">
        <f>N37-N27</f>
        <v/>
      </c>
      <c r="O57" s="2">
        <f>O37-O27</f>
        <v/>
      </c>
      <c r="P57" s="2">
        <f>P37-P27</f>
        <v/>
      </c>
      <c r="Q57" s="2">
        <f>Q37-Q27</f>
        <v/>
      </c>
      <c r="R57" s="75">
        <f>SUM(L57:Q57)</f>
        <v/>
      </c>
      <c r="S57" s="115">
        <f>S37-S27</f>
        <v/>
      </c>
      <c r="T57" s="116">
        <f>T37-T27</f>
        <v/>
      </c>
      <c r="U57" s="116">
        <f>U37-U27</f>
        <v/>
      </c>
      <c r="V57" s="116">
        <f>V37-V27</f>
        <v/>
      </c>
      <c r="W57" s="116">
        <f>W37-W27</f>
        <v/>
      </c>
      <c r="X57" s="116">
        <f>X37-X27</f>
        <v/>
      </c>
      <c r="Y57" s="117">
        <f>Y37-Y27</f>
        <v/>
      </c>
    </row>
    <row r="58" hidden="1" s="97">
      <c r="C58" s="73" t="inlineStr">
        <is>
          <t>0035 集計</t>
        </is>
      </c>
      <c r="D58" s="71" t="inlineStr">
        <is>
          <t>自治体</t>
        </is>
      </c>
      <c r="E58" s="2">
        <f>E38-E28</f>
        <v/>
      </c>
      <c r="F58" s="2">
        <f>F38-F28</f>
        <v/>
      </c>
      <c r="G58" s="2">
        <f>G38-G28</f>
        <v/>
      </c>
      <c r="H58" s="2">
        <f>H38-H28</f>
        <v/>
      </c>
      <c r="I58" s="2">
        <f>I38-I28</f>
        <v/>
      </c>
      <c r="J58" s="2">
        <f>J38-J28</f>
        <v/>
      </c>
      <c r="K58" s="79">
        <f>SUM(E58:J58)</f>
        <v/>
      </c>
      <c r="L58" s="1">
        <f>L38-L28</f>
        <v/>
      </c>
      <c r="M58" s="2">
        <f>M38-M28</f>
        <v/>
      </c>
      <c r="N58" s="2">
        <f>N38-N28</f>
        <v/>
      </c>
      <c r="O58" s="2">
        <f>O38-O28</f>
        <v/>
      </c>
      <c r="P58" s="2">
        <f>P38-P28</f>
        <v/>
      </c>
      <c r="Q58" s="2">
        <f>Q38-Q28</f>
        <v/>
      </c>
      <c r="R58" s="75">
        <f>SUM(L58:Q58)</f>
        <v/>
      </c>
      <c r="S58" s="115">
        <f>S38-S28</f>
        <v/>
      </c>
      <c r="T58" s="116">
        <f>T38-T28</f>
        <v/>
      </c>
      <c r="U58" s="116">
        <f>U38-U28</f>
        <v/>
      </c>
      <c r="V58" s="116">
        <f>V38-V28</f>
        <v/>
      </c>
      <c r="W58" s="116">
        <f>W38-W28</f>
        <v/>
      </c>
      <c r="X58" s="116">
        <f>X38-X28</f>
        <v/>
      </c>
      <c r="Y58" s="117">
        <f>Y38-Y28</f>
        <v/>
      </c>
    </row>
    <row r="59" hidden="1" s="97">
      <c r="C59" s="73" t="inlineStr">
        <is>
          <t>0039 集計</t>
        </is>
      </c>
      <c r="D59" s="71" t="inlineStr">
        <is>
          <t>その他</t>
        </is>
      </c>
      <c r="E59" s="2">
        <f>E39-E29</f>
        <v/>
      </c>
      <c r="F59" s="2">
        <f>F39-F29</f>
        <v/>
      </c>
      <c r="G59" s="2">
        <f>G39-G29</f>
        <v/>
      </c>
      <c r="H59" s="2">
        <f>H39-H29</f>
        <v/>
      </c>
      <c r="I59" s="2">
        <f>I39-I29</f>
        <v/>
      </c>
      <c r="J59" s="2">
        <f>J39-J29</f>
        <v/>
      </c>
      <c r="K59" s="79">
        <f>SUM(E59:J59)</f>
        <v/>
      </c>
      <c r="L59" s="1">
        <f>L39-L29</f>
        <v/>
      </c>
      <c r="M59" s="2">
        <f>M39-M29</f>
        <v/>
      </c>
      <c r="N59" s="2">
        <f>N39-N29</f>
        <v/>
      </c>
      <c r="O59" s="2">
        <f>O39-O29</f>
        <v/>
      </c>
      <c r="P59" s="2">
        <f>P39-P29</f>
        <v/>
      </c>
      <c r="Q59" s="2">
        <f>Q39-Q29</f>
        <v/>
      </c>
      <c r="R59" s="75">
        <f>SUM(L59:Q59)</f>
        <v/>
      </c>
      <c r="S59" s="115">
        <f>S39-S29</f>
        <v/>
      </c>
      <c r="T59" s="116">
        <f>T39-T29</f>
        <v/>
      </c>
      <c r="U59" s="116">
        <f>U39-U29</f>
        <v/>
      </c>
      <c r="V59" s="116">
        <f>V39-V29</f>
        <v/>
      </c>
      <c r="W59" s="116">
        <f>W39-W29</f>
        <v/>
      </c>
      <c r="X59" s="116">
        <f>X39-X29</f>
        <v/>
      </c>
      <c r="Y59" s="117">
        <f>Y39-Y29</f>
        <v/>
      </c>
    </row>
    <row r="60" hidden="1" s="97">
      <c r="C60" s="3" t="inlineStr">
        <is>
          <t>合計</t>
        </is>
      </c>
      <c r="D60" s="72" t="n"/>
      <c r="E60" s="63">
        <f>SUM(E55:E59)</f>
        <v/>
      </c>
      <c r="F60" s="63">
        <f>SUM(F55:F59)</f>
        <v/>
      </c>
      <c r="G60" s="63">
        <f>SUM(G55:G59)</f>
        <v/>
      </c>
      <c r="H60" s="63">
        <f>SUM(H55:H59)</f>
        <v/>
      </c>
      <c r="I60" s="63">
        <f>SUM(I55:I59)</f>
        <v/>
      </c>
      <c r="J60" s="63">
        <f>SUM(J55:J59)</f>
        <v/>
      </c>
      <c r="K60" s="80">
        <f>SUM(E60:J60)</f>
        <v/>
      </c>
      <c r="L60" s="76">
        <f>SUM(L55:L59)</f>
        <v/>
      </c>
      <c r="M60" s="63">
        <f>SUM(M55:M59)</f>
        <v/>
      </c>
      <c r="N60" s="63">
        <f>SUM(N55:N59)</f>
        <v/>
      </c>
      <c r="O60" s="63">
        <f>SUM(O55:O59)</f>
        <v/>
      </c>
      <c r="P60" s="63">
        <f>SUM(P55:P59)</f>
        <v/>
      </c>
      <c r="Q60" s="63">
        <f>SUM(Q55:Q59)</f>
        <v/>
      </c>
      <c r="R60" s="77">
        <f>SUM(L60:Q60)</f>
        <v/>
      </c>
      <c r="S60" s="118">
        <f>S40-S30</f>
        <v/>
      </c>
      <c r="T60" s="119">
        <f>T40-T30</f>
        <v/>
      </c>
      <c r="U60" s="119">
        <f>U40-U30</f>
        <v/>
      </c>
      <c r="V60" s="119">
        <f>V40-V30</f>
        <v/>
      </c>
      <c r="W60" s="119">
        <f>W40-W30</f>
        <v/>
      </c>
      <c r="X60" s="119">
        <f>X40-X30</f>
        <v/>
      </c>
      <c r="Y60" s="120">
        <f>Y40-Y30</f>
        <v/>
      </c>
    </row>
    <row r="61">
      <c r="C61" s="6" t="n"/>
      <c r="E61" s="5" t="n"/>
      <c r="F61" s="5" t="n"/>
      <c r="G61" s="5" t="n"/>
      <c r="H61" s="5" t="n"/>
      <c r="I61" s="5" t="n"/>
      <c r="J61" s="5" t="n"/>
      <c r="K61" s="6" t="n"/>
      <c r="L61" s="5" t="n"/>
      <c r="M61" s="5" t="n"/>
      <c r="N61" s="5" t="n"/>
      <c r="O61" s="5" t="n"/>
      <c r="P61" s="5" t="n"/>
      <c r="Q61" s="5" t="n"/>
      <c r="R61" s="6" t="n"/>
      <c r="S61" s="121" t="n"/>
      <c r="T61" s="121" t="n"/>
      <c r="U61" s="121" t="n"/>
      <c r="V61" s="121" t="n"/>
      <c r="W61" s="121" t="n"/>
      <c r="X61" s="121" t="n"/>
      <c r="Y61" s="121" t="n"/>
    </row>
    <row r="62">
      <c r="C62" s="6" t="inlineStr">
        <is>
          <t>7．実績</t>
        </is>
      </c>
    </row>
    <row r="63">
      <c r="C63" s="87" t="n"/>
      <c r="D63" s="88" t="n"/>
      <c r="E63" s="87" t="inlineStr">
        <is>
          <t>売上</t>
        </is>
      </c>
      <c r="F63" s="90" t="n"/>
      <c r="G63" s="90" t="n"/>
      <c r="H63" s="90" t="n"/>
      <c r="I63" s="90" t="n"/>
      <c r="J63" s="90" t="n"/>
      <c r="K63" s="88" t="n"/>
      <c r="L63" s="89" t="inlineStr">
        <is>
          <t>粗利益</t>
        </is>
      </c>
      <c r="M63" s="90" t="n"/>
      <c r="N63" s="90" t="n"/>
      <c r="O63" s="90" t="n"/>
      <c r="P63" s="90" t="n"/>
      <c r="Q63" s="90" t="n"/>
      <c r="R63" s="88" t="n"/>
      <c r="S63" s="89" t="inlineStr">
        <is>
          <t>粗利益率</t>
        </is>
      </c>
      <c r="T63" s="90" t="n"/>
      <c r="U63" s="90" t="n"/>
      <c r="V63" s="90" t="n"/>
      <c r="W63" s="90" t="n"/>
      <c r="X63" s="90" t="n"/>
      <c r="Y63" s="88" t="n"/>
    </row>
    <row r="64">
      <c r="C64" s="61" t="n"/>
      <c r="D64" s="70" t="n"/>
      <c r="E64" s="74" t="n">
        <v>46113</v>
      </c>
      <c r="F64" s="62" t="n">
        <v>46143</v>
      </c>
      <c r="G64" s="62" t="n">
        <v>46174</v>
      </c>
      <c r="H64" s="62" t="n">
        <v>46204</v>
      </c>
      <c r="I64" s="62" t="n">
        <v>46235</v>
      </c>
      <c r="J64" s="62" t="n">
        <v>46266</v>
      </c>
      <c r="K64" s="64" t="inlineStr">
        <is>
          <t>合計</t>
        </is>
      </c>
      <c r="L64" s="83" t="n">
        <v>46113</v>
      </c>
      <c r="M64" s="62" t="n">
        <v>46143</v>
      </c>
      <c r="N64" s="62" t="n">
        <v>46174</v>
      </c>
      <c r="O64" s="62" t="n">
        <v>46204</v>
      </c>
      <c r="P64" s="62" t="n">
        <v>46235</v>
      </c>
      <c r="Q64" s="62" t="n">
        <v>46266</v>
      </c>
      <c r="R64" s="64" t="inlineStr">
        <is>
          <t>合計</t>
        </is>
      </c>
      <c r="S64" s="83" t="n">
        <v>46113</v>
      </c>
      <c r="T64" s="62" t="n">
        <v>46143</v>
      </c>
      <c r="U64" s="62" t="n">
        <v>46174</v>
      </c>
      <c r="V64" s="62" t="n">
        <v>46204</v>
      </c>
      <c r="W64" s="62" t="n">
        <v>46235</v>
      </c>
      <c r="X64" s="62" t="n">
        <v>46266</v>
      </c>
      <c r="Y64" s="64" t="inlineStr">
        <is>
          <t>合計</t>
        </is>
      </c>
    </row>
    <row r="65">
      <c r="C65" s="73" t="inlineStr">
        <is>
          <t>0032 集計</t>
        </is>
      </c>
      <c r="D65" s="71" t="inlineStr">
        <is>
          <t>飯塚主任</t>
        </is>
      </c>
      <c r="E65" s="2" t="n">
        <v>15047.04</v>
      </c>
      <c r="F65" s="2" t="n">
        <v>10820.014</v>
      </c>
      <c r="G65" s="86" t="n">
        <v>8876.039000000001</v>
      </c>
      <c r="H65" s="2" t="n">
        <v>10443.425</v>
      </c>
      <c r="I65" s="2" t="n">
        <v>11940.197</v>
      </c>
      <c r="J65" s="2" t="n"/>
      <c r="K65" s="79">
        <f>SUM(E65:J65)</f>
        <v/>
      </c>
      <c r="L65" s="1" t="n">
        <v>4536.348</v>
      </c>
      <c r="M65" s="2" t="n">
        <v>3567.44</v>
      </c>
      <c r="N65" s="86" t="n">
        <v>3002.952</v>
      </c>
      <c r="O65" s="2" t="n">
        <v>3520.407</v>
      </c>
      <c r="P65" s="2" t="n">
        <v>3975.887</v>
      </c>
      <c r="Q65" s="2" t="n"/>
      <c r="R65" s="75">
        <f>SUM(L65:Q65)</f>
        <v/>
      </c>
      <c r="S65" s="115">
        <f>IF(E65=0,"***",L65/E65)</f>
        <v/>
      </c>
      <c r="T65" s="116">
        <f>IF(F65=0,"***",M65/F65)</f>
        <v/>
      </c>
      <c r="U65" s="116">
        <f>IF(G65=0,"***",N65/G65)</f>
        <v/>
      </c>
      <c r="V65" s="116">
        <f>IF(H65=0,"***",O65/H65)</f>
        <v/>
      </c>
      <c r="W65" s="116">
        <f>IF(I65=0,"***",P65/I65)</f>
        <v/>
      </c>
      <c r="X65" s="116">
        <f>IF(J65=0,"***",Q65/J65)</f>
        <v/>
      </c>
      <c r="Y65" s="117">
        <f>IF(K65=0,"***",R65/K65)</f>
        <v/>
      </c>
    </row>
    <row r="66">
      <c r="C66" s="73" t="inlineStr">
        <is>
          <t>0033 集計</t>
        </is>
      </c>
      <c r="D66" s="59" t="inlineStr">
        <is>
          <t>前田課長代</t>
        </is>
      </c>
      <c r="E66" s="2" t="n">
        <v>15265.922</v>
      </c>
      <c r="F66" s="2" t="n">
        <v>10070.893</v>
      </c>
      <c r="G66" s="86" t="n">
        <v>12983.805</v>
      </c>
      <c r="H66" s="2" t="n">
        <v>17107.798</v>
      </c>
      <c r="I66" s="2" t="n">
        <v>10370.244</v>
      </c>
      <c r="J66" s="2" t="n"/>
      <c r="K66" s="79">
        <f>SUM(E66:J66)</f>
        <v/>
      </c>
      <c r="L66" s="1" t="n">
        <v>3492.024</v>
      </c>
      <c r="M66" s="2" t="n">
        <v>2365.03</v>
      </c>
      <c r="N66" s="86" t="n">
        <v>2676.518</v>
      </c>
      <c r="O66" s="2" t="n">
        <v>3549.9651</v>
      </c>
      <c r="P66" s="2" t="n">
        <v>2625.623</v>
      </c>
      <c r="Q66" s="2" t="n"/>
      <c r="R66" s="75">
        <f>SUM(L66:Q66)</f>
        <v/>
      </c>
      <c r="S66" s="115">
        <f>IF(E66=0,"***",L66/E66)</f>
        <v/>
      </c>
      <c r="T66" s="116">
        <f>IF(F66=0,"***",M66/F66)</f>
        <v/>
      </c>
      <c r="U66" s="116">
        <f>IF(G66=0,"***",N66/G66)</f>
        <v/>
      </c>
      <c r="V66" s="116">
        <f>IF(H66=0,"***",O66/H66)</f>
        <v/>
      </c>
      <c r="W66" s="116">
        <f>IF(I66=0,"***",P66/I66)</f>
        <v/>
      </c>
      <c r="X66" s="116">
        <f>IF(J66=0,"***",Q66/J66)</f>
        <v/>
      </c>
      <c r="Y66" s="117">
        <f>IF(K66=0,"***",R66/K66)</f>
        <v/>
      </c>
    </row>
    <row r="67">
      <c r="C67" s="73" t="inlineStr">
        <is>
          <t>0034 集計</t>
        </is>
      </c>
      <c r="D67" s="71" t="inlineStr">
        <is>
          <t>原田</t>
        </is>
      </c>
      <c r="E67" s="2" t="n">
        <v>10061</v>
      </c>
      <c r="F67" s="2" t="n">
        <v>8724</v>
      </c>
      <c r="G67" s="86" t="n">
        <v>8649.739</v>
      </c>
      <c r="H67" s="2" t="n">
        <v>11910.007</v>
      </c>
      <c r="I67" s="2" t="n">
        <v>10792.559</v>
      </c>
      <c r="J67" s="2" t="n"/>
      <c r="K67" s="79">
        <f>SUM(E67:J67)</f>
        <v/>
      </c>
      <c r="L67" s="1" t="n">
        <v>2538</v>
      </c>
      <c r="M67" s="2" t="n">
        <v>2281</v>
      </c>
      <c r="N67" s="86" t="n">
        <v>2121.064</v>
      </c>
      <c r="O67" s="2" t="n">
        <v>3025.832</v>
      </c>
      <c r="P67" s="2" t="n">
        <v>2924.322</v>
      </c>
      <c r="Q67" s="2" t="n"/>
      <c r="R67" s="75">
        <f>SUM(L67:Q67)</f>
        <v/>
      </c>
      <c r="S67" s="115">
        <f>IF(E67=0,"***",L67/E67)</f>
        <v/>
      </c>
      <c r="T67" s="116">
        <f>IF(F67=0,"***",M67/F67)</f>
        <v/>
      </c>
      <c r="U67" s="116">
        <f>IF(G67=0,"***",N67/G67)</f>
        <v/>
      </c>
      <c r="V67" s="116">
        <f>IF(H67=0,"***",O67/H67)</f>
        <v/>
      </c>
      <c r="W67" s="116">
        <f>IF(I67=0,"***",P67/I67)</f>
        <v/>
      </c>
      <c r="X67" s="116">
        <f>IF(J67=0,"***",Q67/J67)</f>
        <v/>
      </c>
      <c r="Y67" s="117">
        <f>IF(K67=0,"***",R67/K67)</f>
        <v/>
      </c>
    </row>
    <row r="68">
      <c r="C68" s="73" t="inlineStr">
        <is>
          <t>0035 集計</t>
        </is>
      </c>
      <c r="D68" s="71" t="inlineStr">
        <is>
          <t>自治体</t>
        </is>
      </c>
      <c r="E68" s="2" t="n"/>
      <c r="F68" s="2" t="n"/>
      <c r="G68" s="2" t="n"/>
      <c r="H68" s="2" t="n"/>
      <c r="I68" s="2" t="n">
        <v>0</v>
      </c>
      <c r="J68" s="2" t="n"/>
      <c r="K68" s="79">
        <f>SUM(E68:J68)</f>
        <v/>
      </c>
      <c r="L68" s="1" t="n"/>
      <c r="M68" s="2" t="n"/>
      <c r="N68" s="2" t="n"/>
      <c r="O68" s="2" t="n"/>
      <c r="P68" s="2" t="n">
        <v>0</v>
      </c>
      <c r="Q68" s="2" t="n"/>
      <c r="R68" s="75">
        <f>SUM(L68:Q68)</f>
        <v/>
      </c>
      <c r="S68" s="115">
        <f>IF(E68=0,"***",L68/E68)</f>
        <v/>
      </c>
      <c r="T68" s="116">
        <f>IF(F68=0,"***",M68/F68)</f>
        <v/>
      </c>
      <c r="U68" s="116">
        <f>IF(G68=0,"***",N68/G68)</f>
        <v/>
      </c>
      <c r="V68" s="116">
        <f>IF(H68=0,"***",O68/H68)</f>
        <v/>
      </c>
      <c r="W68" s="116">
        <f>IF(I68=0,"***",P68/I68)</f>
        <v/>
      </c>
      <c r="X68" s="116">
        <f>IF(J68=0,"***",Q68/J68)</f>
        <v/>
      </c>
      <c r="Y68" s="117">
        <f>IF(K68=0,"***",R68/K68)</f>
        <v/>
      </c>
    </row>
    <row r="69">
      <c r="C69" s="73" t="inlineStr">
        <is>
          <t>0039 集計</t>
        </is>
      </c>
      <c r="D69" s="71" t="inlineStr">
        <is>
          <t>その他</t>
        </is>
      </c>
      <c r="E69" s="2" t="n">
        <v>9.300000000000001</v>
      </c>
      <c r="F69" s="2" t="n">
        <v>7.17</v>
      </c>
      <c r="G69" s="2" t="n"/>
      <c r="H69" s="2" t="n">
        <v>0.45</v>
      </c>
      <c r="I69" s="2" t="n">
        <v>10.79</v>
      </c>
      <c r="J69" s="2" t="n"/>
      <c r="K69" s="79">
        <f>SUM(E69:J69)</f>
        <v/>
      </c>
      <c r="L69" s="1" t="n">
        <v>1.5</v>
      </c>
      <c r="M69" s="2" t="n">
        <v>2.751</v>
      </c>
      <c r="N69" s="2" t="n"/>
      <c r="O69" s="2" t="n">
        <v>0.054</v>
      </c>
      <c r="P69" s="2" t="n">
        <v>4.266</v>
      </c>
      <c r="Q69" s="2" t="n"/>
      <c r="R69" s="75">
        <f>SUM(L69:Q69)</f>
        <v/>
      </c>
      <c r="S69" s="115">
        <f>IF(E69=0,"***",L69/E69)</f>
        <v/>
      </c>
      <c r="T69" s="116">
        <f>IF(F69=0,"***",M69/F69)</f>
        <v/>
      </c>
      <c r="U69" s="116">
        <f>IF(G69=0,"***",N69/G69)</f>
        <v/>
      </c>
      <c r="V69" s="116">
        <f>IF(H69=0,"***",O69/H69)</f>
        <v/>
      </c>
      <c r="W69" s="116">
        <f>IF(I69=0,"***",P69/I69)</f>
        <v/>
      </c>
      <c r="X69" s="116">
        <f>IF(J69=0,"***",Q69/J69)</f>
        <v/>
      </c>
      <c r="Y69" s="117">
        <f>IF(K69=0,"***",R69/K69)</f>
        <v/>
      </c>
    </row>
    <row r="70">
      <c r="C70" s="3" t="inlineStr">
        <is>
          <t>合計</t>
        </is>
      </c>
      <c r="D70" s="72" t="n"/>
      <c r="E70" s="63">
        <f>SUM(E65:E69)</f>
        <v/>
      </c>
      <c r="F70" s="63">
        <f>SUM(F65:F69)</f>
        <v/>
      </c>
      <c r="G70" s="63">
        <f>SUM(G65:G69)</f>
        <v/>
      </c>
      <c r="H70" s="63">
        <f>SUM(H65:H69)</f>
        <v/>
      </c>
      <c r="I70" s="63">
        <f>SUM(I65:I69)</f>
        <v/>
      </c>
      <c r="J70" s="63">
        <f>SUM(J65:J69)</f>
        <v/>
      </c>
      <c r="K70" s="80">
        <f>SUM(E70:J70)</f>
        <v/>
      </c>
      <c r="L70" s="76">
        <f>SUM(L65:L69)</f>
        <v/>
      </c>
      <c r="M70" s="63">
        <f>SUM(M65:M69)</f>
        <v/>
      </c>
      <c r="N70" s="63">
        <f>SUM(N65:N69)</f>
        <v/>
      </c>
      <c r="O70" s="63">
        <f>SUM(O65:O69)</f>
        <v/>
      </c>
      <c r="P70" s="63">
        <f>SUM(P65:P69)</f>
        <v/>
      </c>
      <c r="Q70" s="63">
        <f>SUM(Q65:Q69)</f>
        <v/>
      </c>
      <c r="R70" s="77">
        <f>SUM(L70:Q70)</f>
        <v/>
      </c>
      <c r="S70" s="118">
        <f>IF(E70=0,"***",L70/E70)</f>
        <v/>
      </c>
      <c r="T70" s="119">
        <f>IF(F70=0,"***",M70/F70)</f>
        <v/>
      </c>
      <c r="U70" s="119">
        <f>IF(G70=0,"***",N70/G70)</f>
        <v/>
      </c>
      <c r="V70" s="119">
        <f>IF(H70=0,"***",O70/H70)</f>
        <v/>
      </c>
      <c r="W70" s="119">
        <f>IF(I70=0,"***",P70/I70)</f>
        <v/>
      </c>
      <c r="X70" s="119">
        <f>IF(J70=0,"***",Q70/J70)</f>
        <v/>
      </c>
      <c r="Y70" s="120">
        <f>IF(K70=0,"***",R70/K70)</f>
        <v/>
      </c>
    </row>
    <row r="71">
      <c r="C71" s="6" t="n"/>
      <c r="E71" s="5" t="n"/>
      <c r="F71" s="5" t="n"/>
      <c r="G71" s="5" t="n"/>
      <c r="H71" s="5" t="n"/>
      <c r="I71" s="5" t="n"/>
      <c r="J71" s="5" t="n"/>
      <c r="K71" s="6" t="n"/>
      <c r="L71" s="5" t="n"/>
      <c r="M71" s="5" t="n"/>
      <c r="N71" s="5" t="n"/>
      <c r="O71" s="5" t="n"/>
      <c r="P71" s="5" t="n"/>
      <c r="Q71" s="5" t="n"/>
      <c r="R71" s="6" t="n"/>
      <c r="S71" s="121" t="n"/>
      <c r="T71" s="121" t="n"/>
      <c r="U71" s="121" t="n"/>
      <c r="V71" s="121" t="n"/>
      <c r="W71" s="121" t="n"/>
      <c r="X71" s="121" t="n"/>
      <c r="Y71" s="121" t="n"/>
    </row>
    <row r="72">
      <c r="C72" s="6" t="inlineStr">
        <is>
          <t>8．計画比</t>
        </is>
      </c>
    </row>
    <row r="73">
      <c r="C73" s="87" t="n"/>
      <c r="D73" s="88" t="n"/>
      <c r="E73" s="87" t="inlineStr">
        <is>
          <t>売上</t>
        </is>
      </c>
      <c r="F73" s="90" t="n"/>
      <c r="G73" s="90" t="n"/>
      <c r="H73" s="90" t="n"/>
      <c r="I73" s="90" t="n"/>
      <c r="J73" s="90" t="n"/>
      <c r="K73" s="88" t="n"/>
      <c r="L73" s="89" t="inlineStr">
        <is>
          <t>粗利益</t>
        </is>
      </c>
      <c r="M73" s="90" t="n"/>
      <c r="N73" s="90" t="n"/>
      <c r="O73" s="90" t="n"/>
      <c r="P73" s="90" t="n"/>
      <c r="Q73" s="90" t="n"/>
      <c r="R73" s="88" t="n"/>
      <c r="S73" s="89" t="inlineStr">
        <is>
          <t>粗利益率</t>
        </is>
      </c>
      <c r="T73" s="90" t="n"/>
      <c r="U73" s="90" t="n"/>
      <c r="V73" s="90" t="n"/>
      <c r="W73" s="90" t="n"/>
      <c r="X73" s="90" t="n"/>
      <c r="Y73" s="88" t="n"/>
    </row>
    <row r="74">
      <c r="C74" s="61" t="n"/>
      <c r="D74" s="70" t="n"/>
      <c r="E74" s="74" t="n">
        <v>46113</v>
      </c>
      <c r="F74" s="62" t="n">
        <v>46143</v>
      </c>
      <c r="G74" s="62" t="n">
        <v>46174</v>
      </c>
      <c r="H74" s="62" t="n">
        <v>46204</v>
      </c>
      <c r="I74" s="62" t="n">
        <v>46235</v>
      </c>
      <c r="J74" s="62" t="n">
        <v>46266</v>
      </c>
      <c r="K74" s="64" t="inlineStr">
        <is>
          <t>合計</t>
        </is>
      </c>
      <c r="L74" s="83" t="n">
        <v>46113</v>
      </c>
      <c r="M74" s="62" t="n">
        <v>46143</v>
      </c>
      <c r="N74" s="62" t="n">
        <v>46174</v>
      </c>
      <c r="O74" s="62" t="n">
        <v>46204</v>
      </c>
      <c r="P74" s="62" t="n">
        <v>46235</v>
      </c>
      <c r="Q74" s="62" t="n">
        <v>46266</v>
      </c>
      <c r="R74" s="64" t="inlineStr">
        <is>
          <t>合計</t>
        </is>
      </c>
      <c r="S74" s="83" t="n">
        <v>46113</v>
      </c>
      <c r="T74" s="62" t="n">
        <v>46143</v>
      </c>
      <c r="U74" s="62" t="n">
        <v>46174</v>
      </c>
      <c r="V74" s="62" t="n">
        <v>46204</v>
      </c>
      <c r="W74" s="62" t="n">
        <v>46235</v>
      </c>
      <c r="X74" s="62" t="n">
        <v>46266</v>
      </c>
      <c r="Y74" s="64" t="inlineStr">
        <is>
          <t>合計</t>
        </is>
      </c>
    </row>
    <row r="75">
      <c r="C75" s="73" t="inlineStr">
        <is>
          <t>0032 集計</t>
        </is>
      </c>
      <c r="D75" s="71" t="inlineStr">
        <is>
          <t>飯塚主任</t>
        </is>
      </c>
      <c r="E75" s="2">
        <f>E65-E35</f>
        <v/>
      </c>
      <c r="F75" s="2">
        <f>F65-F35</f>
        <v/>
      </c>
      <c r="G75" s="86">
        <f>G65-G35</f>
        <v/>
      </c>
      <c r="H75" s="2">
        <f>H65-H35</f>
        <v/>
      </c>
      <c r="I75" s="2">
        <f>I65-I35</f>
        <v/>
      </c>
      <c r="J75" s="2" t="n"/>
      <c r="K75" s="79">
        <f>SUM(E75:J75)</f>
        <v/>
      </c>
      <c r="L75" s="1">
        <f>L65-L35</f>
        <v/>
      </c>
      <c r="M75" s="2">
        <f>M65-M35</f>
        <v/>
      </c>
      <c r="N75" s="86">
        <f>N65-N35</f>
        <v/>
      </c>
      <c r="O75" s="2">
        <f>O65-O35</f>
        <v/>
      </c>
      <c r="P75" s="2">
        <f>P65-P35</f>
        <v/>
      </c>
      <c r="Q75" s="2" t="n"/>
      <c r="R75" s="75">
        <f>SUM(L75:Q75)</f>
        <v/>
      </c>
      <c r="S75" s="115">
        <f>S65-S35</f>
        <v/>
      </c>
      <c r="T75" s="116">
        <f>T65-T35</f>
        <v/>
      </c>
      <c r="U75" s="116">
        <f>U65-U35</f>
        <v/>
      </c>
      <c r="V75" s="116">
        <f>V65-V35</f>
        <v/>
      </c>
      <c r="W75" s="116">
        <f>W65-W35</f>
        <v/>
      </c>
      <c r="X75" s="116">
        <f>X65-X35</f>
        <v/>
      </c>
      <c r="Y75" s="117">
        <f>Y65-Y35</f>
        <v/>
      </c>
    </row>
    <row r="76">
      <c r="C76" s="73" t="inlineStr">
        <is>
          <t>0033 集計</t>
        </is>
      </c>
      <c r="D76" s="59" t="inlineStr">
        <is>
          <t>前田課長代</t>
        </is>
      </c>
      <c r="E76" s="2">
        <f>E66-E36</f>
        <v/>
      </c>
      <c r="F76" s="2">
        <f>F66-F36</f>
        <v/>
      </c>
      <c r="G76" s="86">
        <f>G66-G36</f>
        <v/>
      </c>
      <c r="H76" s="2">
        <f>H66-H36</f>
        <v/>
      </c>
      <c r="I76" s="2">
        <f>I66-I36</f>
        <v/>
      </c>
      <c r="J76" s="2" t="n"/>
      <c r="K76" s="79">
        <f>SUM(E76:J76)</f>
        <v/>
      </c>
      <c r="L76" s="1">
        <f>L66-L36</f>
        <v/>
      </c>
      <c r="M76" s="2">
        <f>M66-M36</f>
        <v/>
      </c>
      <c r="N76" s="86">
        <f>N66-N36</f>
        <v/>
      </c>
      <c r="O76" s="2">
        <f>O66-O36</f>
        <v/>
      </c>
      <c r="P76" s="2">
        <f>P66-P36</f>
        <v/>
      </c>
      <c r="Q76" s="2" t="n"/>
      <c r="R76" s="75">
        <f>SUM(L76:Q76)</f>
        <v/>
      </c>
      <c r="S76" s="115">
        <f>S66-S36</f>
        <v/>
      </c>
      <c r="T76" s="116">
        <f>T66-T36</f>
        <v/>
      </c>
      <c r="U76" s="116">
        <f>U66-U36</f>
        <v/>
      </c>
      <c r="V76" s="116">
        <f>V66-V36</f>
        <v/>
      </c>
      <c r="W76" s="116">
        <f>W66-W36</f>
        <v/>
      </c>
      <c r="X76" s="116">
        <f>X66-X36</f>
        <v/>
      </c>
      <c r="Y76" s="117">
        <f>Y66-Y36</f>
        <v/>
      </c>
    </row>
    <row r="77">
      <c r="C77" s="73" t="inlineStr">
        <is>
          <t>0034 集計</t>
        </is>
      </c>
      <c r="D77" s="71" t="inlineStr">
        <is>
          <t>原田</t>
        </is>
      </c>
      <c r="E77" s="2">
        <f>E67-E37</f>
        <v/>
      </c>
      <c r="F77" s="2">
        <f>F67-F37</f>
        <v/>
      </c>
      <c r="G77" s="86">
        <f>G67-G37</f>
        <v/>
      </c>
      <c r="H77" s="2">
        <f>H67-H37</f>
        <v/>
      </c>
      <c r="I77" s="2">
        <f>I67-I37</f>
        <v/>
      </c>
      <c r="J77" s="2" t="n"/>
      <c r="K77" s="79">
        <f>SUM(E77:J77)</f>
        <v/>
      </c>
      <c r="L77" s="1">
        <f>L67-L37</f>
        <v/>
      </c>
      <c r="M77" s="2">
        <f>M67-M37</f>
        <v/>
      </c>
      <c r="N77" s="86">
        <f>N67-N37</f>
        <v/>
      </c>
      <c r="O77" s="2">
        <f>O67-O37</f>
        <v/>
      </c>
      <c r="P77" s="2">
        <f>P67-P37</f>
        <v/>
      </c>
      <c r="Q77" s="2" t="n"/>
      <c r="R77" s="75">
        <f>SUM(L77:Q77)</f>
        <v/>
      </c>
      <c r="S77" s="115">
        <f>S67-S37</f>
        <v/>
      </c>
      <c r="T77" s="116">
        <f>T67-T37</f>
        <v/>
      </c>
      <c r="U77" s="116">
        <f>U67-U37</f>
        <v/>
      </c>
      <c r="V77" s="116">
        <f>V67-V37</f>
        <v/>
      </c>
      <c r="W77" s="116">
        <f>W67-W37</f>
        <v/>
      </c>
      <c r="X77" s="116">
        <f>X67-X37</f>
        <v/>
      </c>
      <c r="Y77" s="117">
        <f>Y67-Y37</f>
        <v/>
      </c>
    </row>
    <row r="78">
      <c r="C78" s="73" t="inlineStr">
        <is>
          <t>0035 集計</t>
        </is>
      </c>
      <c r="D78" s="71" t="inlineStr">
        <is>
          <t>自治体</t>
        </is>
      </c>
      <c r="E78" s="2">
        <f>E68-E38</f>
        <v/>
      </c>
      <c r="F78" s="2">
        <f>F68-F38</f>
        <v/>
      </c>
      <c r="G78" s="86">
        <f>G68-G38</f>
        <v/>
      </c>
      <c r="H78" s="2">
        <f>H68-H38</f>
        <v/>
      </c>
      <c r="I78" s="2">
        <f>I68-I38</f>
        <v/>
      </c>
      <c r="J78" s="2" t="n"/>
      <c r="K78" s="79">
        <f>SUM(E78:J78)</f>
        <v/>
      </c>
      <c r="L78" s="1">
        <f>L68-L38</f>
        <v/>
      </c>
      <c r="M78" s="2">
        <f>M68-M38</f>
        <v/>
      </c>
      <c r="N78" s="86">
        <f>N68-N38</f>
        <v/>
      </c>
      <c r="O78" s="2">
        <f>O68-O38</f>
        <v/>
      </c>
      <c r="P78" s="2">
        <f>P68-P38</f>
        <v/>
      </c>
      <c r="Q78" s="2" t="n"/>
      <c r="R78" s="75">
        <f>SUM(L78:Q78)</f>
        <v/>
      </c>
      <c r="S78" s="115">
        <f>S68-S38</f>
        <v/>
      </c>
      <c r="T78" s="116">
        <f>T68-T38</f>
        <v/>
      </c>
      <c r="U78" s="116">
        <f>U68-U38</f>
        <v/>
      </c>
      <c r="V78" s="116">
        <f>V68-V38</f>
        <v/>
      </c>
      <c r="W78" s="116">
        <f>W68-W38</f>
        <v/>
      </c>
      <c r="X78" s="116">
        <f>X68-X38</f>
        <v/>
      </c>
      <c r="Y78" s="117">
        <f>Y68-Y38</f>
        <v/>
      </c>
    </row>
    <row r="79">
      <c r="C79" s="73" t="inlineStr">
        <is>
          <t>0039 集計</t>
        </is>
      </c>
      <c r="D79" s="71" t="inlineStr">
        <is>
          <t>その他</t>
        </is>
      </c>
      <c r="E79" s="2">
        <f>E69-E39</f>
        <v/>
      </c>
      <c r="F79" s="2">
        <f>F69-F39</f>
        <v/>
      </c>
      <c r="G79" s="86">
        <f>G69-G39</f>
        <v/>
      </c>
      <c r="H79" s="2">
        <f>H69-H39</f>
        <v/>
      </c>
      <c r="I79" s="2">
        <f>I69-I39</f>
        <v/>
      </c>
      <c r="J79" s="2" t="n"/>
      <c r="K79" s="79">
        <f>SUM(E79:J79)</f>
        <v/>
      </c>
      <c r="L79" s="1">
        <f>L69-L39</f>
        <v/>
      </c>
      <c r="M79" s="2">
        <f>M69-M39</f>
        <v/>
      </c>
      <c r="N79" s="86">
        <f>N69-N39</f>
        <v/>
      </c>
      <c r="O79" s="2">
        <f>O69-O39</f>
        <v/>
      </c>
      <c r="P79" s="2">
        <f>P69-P39</f>
        <v/>
      </c>
      <c r="Q79" s="2" t="n"/>
      <c r="R79" s="75">
        <f>SUM(L79:Q79)</f>
        <v/>
      </c>
      <c r="S79" s="115">
        <f>S69-S39</f>
        <v/>
      </c>
      <c r="T79" s="116">
        <f>T69-T39</f>
        <v/>
      </c>
      <c r="U79" s="116">
        <f>U69-U39</f>
        <v/>
      </c>
      <c r="V79" s="116">
        <f>V69-V39</f>
        <v/>
      </c>
      <c r="W79" s="116">
        <f>W69-W39</f>
        <v/>
      </c>
      <c r="X79" s="116">
        <f>X69-X39</f>
        <v/>
      </c>
      <c r="Y79" s="117">
        <f>Y69-Y39</f>
        <v/>
      </c>
    </row>
    <row r="80">
      <c r="C80" s="3" t="inlineStr">
        <is>
          <t>合計</t>
        </is>
      </c>
      <c r="D80" s="72" t="n"/>
      <c r="E80" s="63">
        <f>SUM(E75:E79)</f>
        <v/>
      </c>
      <c r="F80" s="63">
        <f>SUM(F75:F79)</f>
        <v/>
      </c>
      <c r="G80" s="63">
        <f>SUM(G75:G79)</f>
        <v/>
      </c>
      <c r="H80" s="63">
        <f>SUM(H75:H79)</f>
        <v/>
      </c>
      <c r="I80" s="63">
        <f>SUM(I75:I79)</f>
        <v/>
      </c>
      <c r="J80" s="63">
        <f>SUM(J75:J79)</f>
        <v/>
      </c>
      <c r="K80" s="80">
        <f>SUM(E80:J80)</f>
        <v/>
      </c>
      <c r="L80" s="76">
        <f>SUM(L75:L79)</f>
        <v/>
      </c>
      <c r="M80" s="63">
        <f>SUM(M75:M79)</f>
        <v/>
      </c>
      <c r="N80" s="63">
        <f>SUM(N75:N79)</f>
        <v/>
      </c>
      <c r="O80" s="63">
        <f>SUM(O75:O79)</f>
        <v/>
      </c>
      <c r="P80" s="63">
        <f>SUM(P75:P79)</f>
        <v/>
      </c>
      <c r="Q80" s="63">
        <f>SUM(Q75:Q79)</f>
        <v/>
      </c>
      <c r="R80" s="77">
        <f>SUM(L80:Q80)</f>
        <v/>
      </c>
      <c r="S80" s="118">
        <f>S70-S40</f>
        <v/>
      </c>
      <c r="T80" s="119">
        <f>T70-T40</f>
        <v/>
      </c>
      <c r="U80" s="119">
        <f>U70-U40</f>
        <v/>
      </c>
      <c r="V80" s="119">
        <f>V70-V40</f>
        <v/>
      </c>
      <c r="W80" s="119">
        <f>W70-W40</f>
        <v/>
      </c>
      <c r="X80" s="119">
        <f>X60-X10</f>
        <v/>
      </c>
      <c r="Y80" s="120">
        <f>Y70-Y40</f>
        <v/>
      </c>
    </row>
    <row r="81">
      <c r="C81" s="6" t="n"/>
      <c r="E81" s="5" t="n"/>
      <c r="F81" s="5" t="n"/>
      <c r="G81" s="5" t="n"/>
      <c r="H81" s="5" t="n"/>
      <c r="I81" s="5" t="n"/>
      <c r="J81" s="5" t="n"/>
      <c r="K81" s="6" t="n"/>
      <c r="L81" s="5" t="n"/>
      <c r="M81" s="5" t="n"/>
      <c r="N81" s="5" t="n"/>
      <c r="O81" s="5" t="n"/>
      <c r="P81" s="5" t="n"/>
      <c r="Q81" s="5" t="n"/>
      <c r="R81" s="6" t="n"/>
      <c r="S81" s="121" t="n"/>
      <c r="T81" s="121" t="n"/>
      <c r="U81" s="121" t="n"/>
      <c r="V81" s="121" t="n"/>
      <c r="W81" s="121" t="n"/>
      <c r="X81" s="121" t="n"/>
      <c r="Y81" s="121" t="n"/>
    </row>
    <row r="82">
      <c r="C82" s="6" t="inlineStr">
        <is>
          <t>9．前期比</t>
        </is>
      </c>
    </row>
    <row r="83">
      <c r="C83" s="87" t="n"/>
      <c r="D83" s="88" t="n"/>
      <c r="E83" s="87" t="inlineStr">
        <is>
          <t>売上</t>
        </is>
      </c>
      <c r="F83" s="90" t="n"/>
      <c r="G83" s="90" t="n"/>
      <c r="H83" s="90" t="n"/>
      <c r="I83" s="90" t="n"/>
      <c r="J83" s="90" t="n"/>
      <c r="K83" s="88" t="n"/>
      <c r="L83" s="89" t="inlineStr">
        <is>
          <t>粗利益</t>
        </is>
      </c>
      <c r="M83" s="90" t="n"/>
      <c r="N83" s="90" t="n"/>
      <c r="O83" s="90" t="n"/>
      <c r="P83" s="90" t="n"/>
      <c r="Q83" s="90" t="n"/>
      <c r="R83" s="88" t="n"/>
      <c r="S83" s="89" t="inlineStr">
        <is>
          <t>粗利益率</t>
        </is>
      </c>
      <c r="T83" s="90" t="n"/>
      <c r="U83" s="90" t="n"/>
      <c r="V83" s="90" t="n"/>
      <c r="W83" s="90" t="n"/>
      <c r="X83" s="90" t="n"/>
      <c r="Y83" s="88" t="n"/>
    </row>
    <row r="84">
      <c r="C84" s="61" t="n"/>
      <c r="D84" s="70" t="n"/>
      <c r="E84" s="74" t="n">
        <v>46113</v>
      </c>
      <c r="F84" s="62" t="n">
        <v>46143</v>
      </c>
      <c r="G84" s="62" t="n">
        <v>46174</v>
      </c>
      <c r="H84" s="62" t="n">
        <v>46204</v>
      </c>
      <c r="I84" s="62" t="n">
        <v>46235</v>
      </c>
      <c r="J84" s="62" t="n">
        <v>46266</v>
      </c>
      <c r="K84" s="64" t="inlineStr">
        <is>
          <t>合計</t>
        </is>
      </c>
      <c r="L84" s="83" t="n">
        <v>46113</v>
      </c>
      <c r="M84" s="62" t="n">
        <v>46143</v>
      </c>
      <c r="N84" s="62" t="n">
        <v>46174</v>
      </c>
      <c r="O84" s="62" t="n">
        <v>46204</v>
      </c>
      <c r="P84" s="62" t="n">
        <v>46235</v>
      </c>
      <c r="Q84" s="62" t="n">
        <v>46266</v>
      </c>
      <c r="R84" s="64" t="inlineStr">
        <is>
          <t>合計</t>
        </is>
      </c>
      <c r="S84" s="83" t="n">
        <v>46113</v>
      </c>
      <c r="T84" s="62" t="n">
        <v>46143</v>
      </c>
      <c r="U84" s="62" t="n">
        <v>46174</v>
      </c>
      <c r="V84" s="62" t="n">
        <v>46204</v>
      </c>
      <c r="W84" s="62" t="n">
        <v>46235</v>
      </c>
      <c r="X84" s="62" t="n">
        <v>46266</v>
      </c>
      <c r="Y84" s="64" t="inlineStr">
        <is>
          <t>合計</t>
        </is>
      </c>
    </row>
    <row r="85">
      <c r="C85" s="73" t="inlineStr">
        <is>
          <t>0032 集計</t>
        </is>
      </c>
      <c r="D85" s="71" t="inlineStr">
        <is>
          <t>飯塚主任</t>
        </is>
      </c>
      <c r="E85" s="2">
        <f>E65-E15</f>
        <v/>
      </c>
      <c r="F85" s="2">
        <f>F65-F15</f>
        <v/>
      </c>
      <c r="G85" s="86">
        <f>G65-G15</f>
        <v/>
      </c>
      <c r="H85" s="2">
        <f>H65-H15</f>
        <v/>
      </c>
      <c r="I85" s="2">
        <f>I65-I15</f>
        <v/>
      </c>
      <c r="J85" s="2" t="n"/>
      <c r="K85" s="79">
        <f>SUM(E85:J85)</f>
        <v/>
      </c>
      <c r="L85" s="1">
        <f>L65-L15</f>
        <v/>
      </c>
      <c r="M85" s="69">
        <f>M65-M15</f>
        <v/>
      </c>
      <c r="N85" s="86">
        <f>N65-N15</f>
        <v/>
      </c>
      <c r="O85" s="2">
        <f>O65-O15</f>
        <v/>
      </c>
      <c r="P85" s="2">
        <f>P65-P15</f>
        <v/>
      </c>
      <c r="Q85" s="2" t="n"/>
      <c r="R85" s="75">
        <f>SUM(L85:Q85)</f>
        <v/>
      </c>
      <c r="S85" s="115">
        <f>S65-S15</f>
        <v/>
      </c>
      <c r="T85" s="116">
        <f>T65-T15</f>
        <v/>
      </c>
      <c r="U85" s="116">
        <f>U65-U15</f>
        <v/>
      </c>
      <c r="V85" s="116">
        <f>V65-V15</f>
        <v/>
      </c>
      <c r="W85" s="116">
        <f>W65-W15</f>
        <v/>
      </c>
      <c r="X85" s="116">
        <f>X65-X15</f>
        <v/>
      </c>
      <c r="Y85" s="117">
        <f>Y65-Y15</f>
        <v/>
      </c>
    </row>
    <row r="86">
      <c r="C86" s="73" t="inlineStr">
        <is>
          <t>0033 集計</t>
        </is>
      </c>
      <c r="D86" s="59" t="inlineStr">
        <is>
          <t>前田課長代</t>
        </is>
      </c>
      <c r="E86" s="2">
        <f>E66-E16</f>
        <v/>
      </c>
      <c r="F86" s="2">
        <f>F66-F16</f>
        <v/>
      </c>
      <c r="G86" s="86">
        <f>G66-G16</f>
        <v/>
      </c>
      <c r="H86" s="2">
        <f>H66-H16</f>
        <v/>
      </c>
      <c r="I86" s="2">
        <f>I66-I16</f>
        <v/>
      </c>
      <c r="J86" s="2" t="n"/>
      <c r="K86" s="79">
        <f>SUM(E86:J86)</f>
        <v/>
      </c>
      <c r="L86" s="1">
        <f>L66-L16</f>
        <v/>
      </c>
      <c r="M86" s="69">
        <f>M66-M16</f>
        <v/>
      </c>
      <c r="N86" s="86">
        <f>N66-N16</f>
        <v/>
      </c>
      <c r="O86" s="2">
        <f>O66-O16</f>
        <v/>
      </c>
      <c r="P86" s="2">
        <f>P66-P16</f>
        <v/>
      </c>
      <c r="Q86" s="2" t="n"/>
      <c r="R86" s="75">
        <f>SUM(L86:Q86)</f>
        <v/>
      </c>
      <c r="S86" s="115">
        <f>S66-S16</f>
        <v/>
      </c>
      <c r="T86" s="116">
        <f>T66-T16</f>
        <v/>
      </c>
      <c r="U86" s="116">
        <f>U66-U16</f>
        <v/>
      </c>
      <c r="V86" s="116">
        <f>V66-V16</f>
        <v/>
      </c>
      <c r="W86" s="116">
        <f>W66-W16</f>
        <v/>
      </c>
      <c r="X86" s="116">
        <f>X66-X16</f>
        <v/>
      </c>
      <c r="Y86" s="117">
        <f>Y66-Y16</f>
        <v/>
      </c>
    </row>
    <row r="87">
      <c r="C87" s="73" t="inlineStr">
        <is>
          <t>0034 集計</t>
        </is>
      </c>
      <c r="D87" s="71" t="inlineStr">
        <is>
          <t>原田</t>
        </is>
      </c>
      <c r="E87" s="2">
        <f>E67-E17</f>
        <v/>
      </c>
      <c r="F87" s="2">
        <f>F67-F17</f>
        <v/>
      </c>
      <c r="G87" s="86">
        <f>G67-G17</f>
        <v/>
      </c>
      <c r="H87" s="2">
        <f>H67-H17</f>
        <v/>
      </c>
      <c r="I87" s="2">
        <f>I67-I17</f>
        <v/>
      </c>
      <c r="J87" s="2" t="n"/>
      <c r="K87" s="79">
        <f>SUM(E87:J87)</f>
        <v/>
      </c>
      <c r="L87" s="1">
        <f>L67-L17</f>
        <v/>
      </c>
      <c r="M87" s="69">
        <f>M67-M17</f>
        <v/>
      </c>
      <c r="N87" s="86">
        <f>N67-N17</f>
        <v/>
      </c>
      <c r="O87" s="2">
        <f>O67-O17</f>
        <v/>
      </c>
      <c r="P87" s="2">
        <f>P67-P17</f>
        <v/>
      </c>
      <c r="Q87" s="2" t="n"/>
      <c r="R87" s="75">
        <f>SUM(L87:Q87)</f>
        <v/>
      </c>
      <c r="S87" s="115">
        <f>S67-S17</f>
        <v/>
      </c>
      <c r="T87" s="116">
        <f>T67-T17</f>
        <v/>
      </c>
      <c r="U87" s="116">
        <f>U67-U17</f>
        <v/>
      </c>
      <c r="V87" s="116">
        <f>V67-V17</f>
        <v/>
      </c>
      <c r="W87" s="116">
        <f>W67-W17</f>
        <v/>
      </c>
      <c r="X87" s="116">
        <f>X67-X17</f>
        <v/>
      </c>
      <c r="Y87" s="117">
        <f>Y67-Y17</f>
        <v/>
      </c>
    </row>
    <row r="88">
      <c r="C88" s="73" t="inlineStr">
        <is>
          <t>0035 集計</t>
        </is>
      </c>
      <c r="D88" s="71" t="inlineStr">
        <is>
          <t>自治体</t>
        </is>
      </c>
      <c r="E88" s="2">
        <f>E68-E18</f>
        <v/>
      </c>
      <c r="F88" s="2">
        <f>F68-F18</f>
        <v/>
      </c>
      <c r="G88" s="86">
        <f>G68-G18</f>
        <v/>
      </c>
      <c r="H88" s="2">
        <f>H68-H18</f>
        <v/>
      </c>
      <c r="I88" s="2">
        <f>I68-I18</f>
        <v/>
      </c>
      <c r="J88" s="2" t="n"/>
      <c r="K88" s="79">
        <f>SUM(E88:J88)</f>
        <v/>
      </c>
      <c r="L88" s="1">
        <f>L68-L18</f>
        <v/>
      </c>
      <c r="M88" s="69">
        <f>M68-M18</f>
        <v/>
      </c>
      <c r="N88" s="86">
        <f>N68-N18</f>
        <v/>
      </c>
      <c r="O88" s="2">
        <f>O68-O18</f>
        <v/>
      </c>
      <c r="P88" s="2">
        <f>P68-P18</f>
        <v/>
      </c>
      <c r="Q88" s="2" t="n"/>
      <c r="R88" s="75">
        <f>SUM(L88:Q88)</f>
        <v/>
      </c>
      <c r="S88" s="115">
        <f>S68-S18</f>
        <v/>
      </c>
      <c r="T88" s="116">
        <f>T68-T18</f>
        <v/>
      </c>
      <c r="U88" s="116">
        <f>U68-U18</f>
        <v/>
      </c>
      <c r="V88" s="116">
        <f>V68-V18</f>
        <v/>
      </c>
      <c r="W88" s="116">
        <f>W68-W18</f>
        <v/>
      </c>
      <c r="X88" s="116">
        <f>X68-X18</f>
        <v/>
      </c>
      <c r="Y88" s="117">
        <f>Y68-Y18</f>
        <v/>
      </c>
    </row>
    <row r="89">
      <c r="C89" s="73" t="inlineStr">
        <is>
          <t>0039 集計</t>
        </is>
      </c>
      <c r="D89" s="71" t="inlineStr">
        <is>
          <t>その他</t>
        </is>
      </c>
      <c r="E89" s="2">
        <f>E69-E19</f>
        <v/>
      </c>
      <c r="F89" s="2">
        <f>F69-F19</f>
        <v/>
      </c>
      <c r="G89" s="86">
        <f>G69-G19</f>
        <v/>
      </c>
      <c r="H89" s="2">
        <f>H69-H19</f>
        <v/>
      </c>
      <c r="I89" s="2">
        <f>I69-I19</f>
        <v/>
      </c>
      <c r="J89" s="2" t="n"/>
      <c r="K89" s="79">
        <f>SUM(E89:J89)</f>
        <v/>
      </c>
      <c r="L89" s="1">
        <f>L69-L19</f>
        <v/>
      </c>
      <c r="M89" s="69">
        <f>M69-M19</f>
        <v/>
      </c>
      <c r="N89" s="86">
        <f>N69-N19</f>
        <v/>
      </c>
      <c r="O89" s="2">
        <f>O69-O19</f>
        <v/>
      </c>
      <c r="P89" s="2">
        <f>P69-P19</f>
        <v/>
      </c>
      <c r="Q89" s="2" t="n"/>
      <c r="R89" s="75">
        <f>SUM(L89:Q89)</f>
        <v/>
      </c>
      <c r="S89" s="115">
        <f>S69-S19</f>
        <v/>
      </c>
      <c r="T89" s="116">
        <f>T69-T19</f>
        <v/>
      </c>
      <c r="U89" s="116">
        <f>U69-U19</f>
        <v/>
      </c>
      <c r="V89" s="116">
        <f>V69-V19</f>
        <v/>
      </c>
      <c r="W89" s="116">
        <f>W69-W19</f>
        <v/>
      </c>
      <c r="X89" s="116">
        <f>X69-X19</f>
        <v/>
      </c>
      <c r="Y89" s="117">
        <f>Y69-Y19</f>
        <v/>
      </c>
    </row>
    <row r="90">
      <c r="C90" s="3" t="inlineStr">
        <is>
          <t>合計</t>
        </is>
      </c>
      <c r="D90" s="72" t="n"/>
      <c r="E90" s="63">
        <f>SUM(E85:E89)</f>
        <v/>
      </c>
      <c r="F90" s="63">
        <f>SUM(F85:F89)</f>
        <v/>
      </c>
      <c r="G90" s="63">
        <f>SUM(G85:G89)</f>
        <v/>
      </c>
      <c r="H90" s="63">
        <f>SUM(H85:H89)</f>
        <v/>
      </c>
      <c r="I90" s="63">
        <f>SUM(I85:I89)</f>
        <v/>
      </c>
      <c r="J90" s="63">
        <f>SUM(J85:J89)</f>
        <v/>
      </c>
      <c r="K90" s="80">
        <f>SUM(E90:J90)</f>
        <v/>
      </c>
      <c r="L90" s="63">
        <f>SUM(L85:L89)</f>
        <v/>
      </c>
      <c r="M90" s="63">
        <f>SUM(M85:M89)</f>
        <v/>
      </c>
      <c r="N90" s="63">
        <f>SUM(N85:N89)</f>
        <v/>
      </c>
      <c r="O90" s="63">
        <f>SUM(O85:O89)</f>
        <v/>
      </c>
      <c r="P90" s="63">
        <f>SUM(P85:P89)</f>
        <v/>
      </c>
      <c r="Q90" s="63">
        <f>SUM(Q85:Q89)</f>
        <v/>
      </c>
      <c r="R90" s="77">
        <f>SUM(L90:Q90)</f>
        <v/>
      </c>
      <c r="S90" s="118">
        <f>S70-S20</f>
        <v/>
      </c>
      <c r="T90" s="119">
        <f>T70-T20</f>
        <v/>
      </c>
      <c r="U90" s="119">
        <f>U80-U50</f>
        <v/>
      </c>
      <c r="V90" s="119">
        <f>V80-V50</f>
        <v/>
      </c>
      <c r="W90" s="119">
        <f>W80-W50</f>
        <v/>
      </c>
      <c r="X90" s="119">
        <f>X80-X50</f>
        <v/>
      </c>
      <c r="Y90" s="120">
        <f>Y70-Y20</f>
        <v/>
      </c>
    </row>
  </sheetData>
  <mergeCells count="36">
    <mergeCell ref="C83:D83"/>
    <mergeCell ref="L63:R63"/>
    <mergeCell ref="C33:D33"/>
    <mergeCell ref="S83:Y83"/>
    <mergeCell ref="C73:D73"/>
    <mergeCell ref="S63:Y63"/>
    <mergeCell ref="E53:K53"/>
    <mergeCell ref="C63:D63"/>
    <mergeCell ref="E3:K3"/>
    <mergeCell ref="E43:K43"/>
    <mergeCell ref="S43:Y43"/>
    <mergeCell ref="E33:K33"/>
    <mergeCell ref="C43:D43"/>
    <mergeCell ref="E23:K23"/>
    <mergeCell ref="E83:K83"/>
    <mergeCell ref="L53:R53"/>
    <mergeCell ref="S3:Y3"/>
    <mergeCell ref="L13:R13"/>
    <mergeCell ref="L3:R3"/>
    <mergeCell ref="E73:K73"/>
    <mergeCell ref="L43:R43"/>
    <mergeCell ref="S73:Y73"/>
    <mergeCell ref="C23:D23"/>
    <mergeCell ref="E63:K63"/>
    <mergeCell ref="S23:Y23"/>
    <mergeCell ref="L33:R33"/>
    <mergeCell ref="E13:K13"/>
    <mergeCell ref="L23:R23"/>
    <mergeCell ref="S13:Y13"/>
    <mergeCell ref="L83:R83"/>
    <mergeCell ref="L73:R73"/>
    <mergeCell ref="C13:D13"/>
    <mergeCell ref="C53:D53"/>
    <mergeCell ref="C3:D3"/>
    <mergeCell ref="S53:Y53"/>
    <mergeCell ref="S33:Y33"/>
  </mergeCells>
  <printOptions horizontalCentered="1" verticalCentered="1"/>
  <pageMargins left="0.7086614173228347" right="0.7086614173228347" top="0.7480314960629921" bottom="0.7480314960629921" header="0.3149606299212598" footer="0.3149606299212598"/>
  <pageSetup orientation="landscape" paperSize="8" scale="66"/>
</worksheet>
</file>

<file path=xl/worksheets/sheet4.xml><?xml version="1.0" encoding="utf-8"?>
<worksheet xmlns="http://schemas.openxmlformats.org/spreadsheetml/2006/main">
  <sheetPr>
    <outlinePr summaryBelow="1" summaryRight="1"/>
    <pageSetUpPr fitToPage="1"/>
  </sheetPr>
  <dimension ref="D1:U13"/>
  <sheetViews>
    <sheetView workbookViewId="0">
      <selection activeCell="P12" sqref="P12"/>
    </sheetView>
  </sheetViews>
  <sheetFormatPr baseColWidth="8" defaultRowHeight="18.75"/>
  <cols>
    <col width="1.625" customWidth="1" style="97" min="4" max="5"/>
    <col width="54.375" customWidth="1" style="97" min="21" max="21"/>
  </cols>
  <sheetData>
    <row r="1" ht="21.75" customHeight="1" s="97">
      <c r="D1" s="96" t="inlineStr">
        <is>
          <t>松江営業所第51期下期予算について</t>
        </is>
      </c>
    </row>
    <row r="3">
      <c r="D3" s="20" t="inlineStr">
        <is>
          <t>管理職の業務は数字責任と人材育成です。なので営業所全体の目標達成に取り組みます。</t>
        </is>
      </c>
      <c r="E3" s="21" t="n"/>
      <c r="F3" s="21" t="n"/>
      <c r="G3" s="21" t="n"/>
      <c r="H3" s="21" t="n"/>
      <c r="I3" s="21" t="n"/>
      <c r="J3" s="21" t="n"/>
      <c r="K3" s="21" t="n"/>
      <c r="L3" s="21" t="n"/>
      <c r="M3" s="21" t="n"/>
      <c r="N3" s="21" t="n"/>
      <c r="O3" s="21" t="n"/>
      <c r="P3" s="21" t="n"/>
      <c r="Q3" s="21" t="n"/>
      <c r="R3" s="21" t="n"/>
      <c r="S3" s="21" t="n"/>
      <c r="T3" s="21" t="n"/>
      <c r="U3" s="22" t="n"/>
    </row>
    <row r="4">
      <c r="D4" s="23" t="inlineStr">
        <is>
          <t>部長は予算の過年度平均増加分の人員からは外した上で、営業所全体で計画を作成ます。その営業所全体の予算から所長含めて営業担当に配分するようにお願いします。</t>
        </is>
      </c>
      <c r="U4" s="38" t="n"/>
    </row>
    <row r="5">
      <c r="D5" s="24" t="inlineStr">
        <is>
          <t>(自治体分は別途相談）</t>
        </is>
      </c>
      <c r="E5" s="36" t="n"/>
      <c r="F5" s="36" t="n"/>
      <c r="G5" s="36" t="n"/>
      <c r="H5" s="36" t="n"/>
      <c r="I5" s="36" t="n"/>
      <c r="J5" s="36" t="n"/>
      <c r="K5" s="36" t="n"/>
      <c r="L5" s="36" t="n"/>
      <c r="M5" s="36" t="n"/>
      <c r="N5" s="36" t="n"/>
      <c r="O5" s="36" t="n"/>
      <c r="P5" s="36" t="n"/>
      <c r="Q5" s="36" t="n"/>
      <c r="R5" s="36" t="n"/>
      <c r="S5" s="36" t="n"/>
      <c r="T5" s="36" t="n"/>
      <c r="U5" s="37" t="n"/>
    </row>
    <row r="7">
      <c r="D7" s="87" t="n"/>
      <c r="E7" s="101" t="n"/>
      <c r="F7" s="102" t="n"/>
      <c r="G7" s="93" t="inlineStr">
        <is>
          <t>2024年4～9月</t>
        </is>
      </c>
      <c r="H7" s="94" t="n"/>
      <c r="I7" s="95" t="n"/>
      <c r="J7" s="93" t="inlineStr">
        <is>
          <t>2025年4～9月</t>
        </is>
      </c>
      <c r="K7" s="94" t="n"/>
      <c r="L7" s="95" t="n"/>
      <c r="M7" s="93" t="inlineStr">
        <is>
          <t>過年度平均</t>
        </is>
      </c>
      <c r="N7" s="94" t="n"/>
      <c r="O7" s="95" t="n"/>
      <c r="P7" s="99" t="inlineStr">
        <is>
          <t>計画</t>
        </is>
      </c>
      <c r="Q7" s="94" t="n"/>
      <c r="R7" s="94" t="n"/>
      <c r="S7" s="94" t="n"/>
      <c r="T7" s="100" t="n"/>
      <c r="U7" s="99" t="inlineStr">
        <is>
          <t>根拠</t>
        </is>
      </c>
    </row>
    <row r="8">
      <c r="D8" s="103" t="n"/>
      <c r="E8" s="104" t="n"/>
      <c r="F8" s="105" t="n"/>
      <c r="G8" s="32" t="inlineStr">
        <is>
          <t>売上</t>
        </is>
      </c>
      <c r="H8" s="33" t="inlineStr">
        <is>
          <t>粗利益</t>
        </is>
      </c>
      <c r="I8" s="34" t="inlineStr">
        <is>
          <t>粗利益率</t>
        </is>
      </c>
      <c r="J8" s="32" t="inlineStr">
        <is>
          <t>売上</t>
        </is>
      </c>
      <c r="K8" s="33" t="inlineStr">
        <is>
          <t>粗利益</t>
        </is>
      </c>
      <c r="L8" s="34" t="inlineStr">
        <is>
          <t>粗利益率</t>
        </is>
      </c>
      <c r="M8" s="32" t="inlineStr">
        <is>
          <t>売上</t>
        </is>
      </c>
      <c r="N8" s="33" t="inlineStr">
        <is>
          <t>粗利益</t>
        </is>
      </c>
      <c r="O8" s="34" t="inlineStr">
        <is>
          <t>粗利益率</t>
        </is>
      </c>
      <c r="P8" s="32" t="inlineStr">
        <is>
          <t>売上</t>
        </is>
      </c>
      <c r="Q8" s="33" t="inlineStr">
        <is>
          <t>粗利益</t>
        </is>
      </c>
      <c r="R8" s="35" t="inlineStr">
        <is>
          <t>粗利益率</t>
        </is>
      </c>
      <c r="S8" s="35" t="inlineStr">
        <is>
          <t>売上年率</t>
        </is>
      </c>
      <c r="T8" s="34" t="inlineStr">
        <is>
          <t>粗利益年率</t>
        </is>
      </c>
      <c r="U8" s="106" t="n"/>
    </row>
    <row r="9">
      <c r="D9" s="20" t="inlineStr">
        <is>
          <t>松江営業所</t>
        </is>
      </c>
      <c r="E9" s="21" t="n"/>
      <c r="F9" s="22" t="n"/>
      <c r="G9" s="27" t="n">
        <v>204319</v>
      </c>
      <c r="H9" s="28" t="n">
        <v>40153</v>
      </c>
      <c r="I9" s="122">
        <f>H9/G9</f>
        <v/>
      </c>
      <c r="J9" s="27" t="n">
        <v>199329</v>
      </c>
      <c r="K9" s="28" t="n">
        <v>43760</v>
      </c>
      <c r="L9" s="122">
        <f>K9/J9</f>
        <v/>
      </c>
      <c r="M9" s="27">
        <f>(G9+J9)/2</f>
        <v/>
      </c>
      <c r="N9" s="28">
        <f>(H9+K9)/2</f>
        <v/>
      </c>
      <c r="O9" s="122">
        <f>N9/M9</f>
        <v/>
      </c>
      <c r="P9" s="27">
        <f>P13+P10</f>
        <v/>
      </c>
      <c r="Q9" s="28">
        <f>Q10+Q13</f>
        <v/>
      </c>
      <c r="R9" s="123">
        <f>Q9/P9</f>
        <v/>
      </c>
      <c r="S9" s="123">
        <f>P9/J9-1</f>
        <v/>
      </c>
      <c r="T9" s="122">
        <f>Q9/K9-1</f>
        <v/>
      </c>
      <c r="U9" s="31" t="n"/>
    </row>
    <row r="10">
      <c r="D10" s="23" t="n"/>
      <c r="E10" s="16" t="inlineStr">
        <is>
          <t>営業</t>
        </is>
      </c>
      <c r="F10" s="17" t="n"/>
      <c r="G10" s="1">
        <f>G9-G13</f>
        <v/>
      </c>
      <c r="H10" s="2">
        <f>H9-H13</f>
        <v/>
      </c>
      <c r="I10" s="124">
        <f>H10/G10</f>
        <v/>
      </c>
      <c r="J10" s="1">
        <f>J9-J13</f>
        <v/>
      </c>
      <c r="K10" s="2">
        <f>K9-K13</f>
        <v/>
      </c>
      <c r="L10" s="124">
        <f>K10/J10</f>
        <v/>
      </c>
      <c r="M10" s="1">
        <f>M9-M13</f>
        <v/>
      </c>
      <c r="N10" s="2">
        <f>N9-N13</f>
        <v/>
      </c>
      <c r="O10" s="124">
        <f>N10/M10</f>
        <v/>
      </c>
      <c r="P10" s="1">
        <f>P11+P12</f>
        <v/>
      </c>
      <c r="Q10" s="2">
        <f>Q11+Q12</f>
        <v/>
      </c>
      <c r="R10" s="125">
        <f>Q10/P10</f>
        <v/>
      </c>
      <c r="S10" s="125">
        <f>P10/J10-1</f>
        <v/>
      </c>
      <c r="T10" s="124">
        <f>Q10/K10-1</f>
        <v/>
      </c>
      <c r="U10" s="11" t="n"/>
    </row>
    <row r="11">
      <c r="D11" s="23" t="n"/>
      <c r="E11" s="18" t="n"/>
      <c r="F11" s="15" t="inlineStr">
        <is>
          <t>包装資材</t>
        </is>
      </c>
      <c r="G11" s="1">
        <f>G10-G12</f>
        <v/>
      </c>
      <c r="H11" s="2">
        <f>H10-H12</f>
        <v/>
      </c>
      <c r="I11" s="124">
        <f>H11/G11</f>
        <v/>
      </c>
      <c r="J11" s="1">
        <f>J10-J12</f>
        <v/>
      </c>
      <c r="K11" s="2">
        <f>K10-K12</f>
        <v/>
      </c>
      <c r="L11" s="124">
        <f>K11/J11</f>
        <v/>
      </c>
      <c r="M11" s="1">
        <f>M10-M12</f>
        <v/>
      </c>
      <c r="N11" s="2">
        <f>N10-N12</f>
        <v/>
      </c>
      <c r="O11" s="124">
        <f>N11/M11</f>
        <v/>
      </c>
      <c r="P11" s="1" t="n">
        <v>172600</v>
      </c>
      <c r="Q11" s="2" t="n">
        <v>44770</v>
      </c>
      <c r="R11" s="125">
        <f>Q11/P11</f>
        <v/>
      </c>
      <c r="S11" s="125">
        <f>P11/J11-1</f>
        <v/>
      </c>
      <c r="T11" s="124">
        <f>Q11/K11-1</f>
        <v/>
      </c>
      <c r="U11" s="11" t="inlineStr">
        <is>
          <t>売上過年度平均10％UPで作成。粗利益率過年度平均スライド。</t>
        </is>
      </c>
    </row>
    <row r="12">
      <c r="D12" s="23" t="n"/>
      <c r="E12" s="18" t="n"/>
      <c r="F12" s="19" t="inlineStr">
        <is>
          <t>機械</t>
        </is>
      </c>
      <c r="G12" s="1" t="n">
        <v>2590</v>
      </c>
      <c r="H12" s="2" t="n">
        <v>557</v>
      </c>
      <c r="I12" s="124">
        <f>H12/G12</f>
        <v/>
      </c>
      <c r="J12" s="1" t="n">
        <v>3620</v>
      </c>
      <c r="K12" s="2" t="n">
        <v>738</v>
      </c>
      <c r="L12" s="124">
        <f>K12/J12</f>
        <v/>
      </c>
      <c r="M12" s="1">
        <f>(G12+J12)/2</f>
        <v/>
      </c>
      <c r="N12" s="2">
        <f>(H12+K12)/2</f>
        <v/>
      </c>
      <c r="O12" s="124">
        <f>N12/M12</f>
        <v/>
      </c>
      <c r="P12" s="1" t="n">
        <v>3900</v>
      </c>
      <c r="Q12" s="2" t="n">
        <v>810</v>
      </c>
      <c r="R12" s="125">
        <f>Q12/P12</f>
        <v/>
      </c>
      <c r="S12" s="125">
        <f>P12/J12-1</f>
        <v/>
      </c>
      <c r="T12" s="124">
        <f>Q12/K12-1</f>
        <v/>
      </c>
      <c r="U12" s="11" t="inlineStr">
        <is>
          <t>売上過年度平均25％UPで作成。粗利益率過年度平均スライド。</t>
        </is>
      </c>
    </row>
    <row r="13">
      <c r="D13" s="24" t="n"/>
      <c r="E13" s="25" t="inlineStr">
        <is>
          <t>自治体</t>
        </is>
      </c>
      <c r="F13" s="26" t="n"/>
      <c r="G13" s="3" t="n">
        <v>46524</v>
      </c>
      <c r="H13" s="4" t="n">
        <v>1039</v>
      </c>
      <c r="I13" s="126">
        <f>H13/G13</f>
        <v/>
      </c>
      <c r="J13" s="3" t="n">
        <v>38895</v>
      </c>
      <c r="K13" s="4" t="n">
        <v>703</v>
      </c>
      <c r="L13" s="126">
        <f>K13/J13</f>
        <v/>
      </c>
      <c r="M13" s="3">
        <f>(G13+J13)/2</f>
        <v/>
      </c>
      <c r="N13" s="4">
        <f>(H13+K13)/2</f>
        <v/>
      </c>
      <c r="O13" s="126">
        <f>N13/M13</f>
        <v/>
      </c>
      <c r="P13" s="3" t="n">
        <v>0</v>
      </c>
      <c r="Q13" s="4" t="n">
        <v>0</v>
      </c>
      <c r="R13" s="127">
        <f>Q13/P13</f>
        <v/>
      </c>
      <c r="S13" s="127">
        <f>P13/J13-1</f>
        <v/>
      </c>
      <c r="T13" s="126">
        <f>Q13/K13-1</f>
        <v/>
      </c>
      <c r="U13" s="12" t="inlineStr">
        <is>
          <t>松江市ごみ袋失注の為。</t>
        </is>
      </c>
    </row>
  </sheetData>
  <mergeCells count="7">
    <mergeCell ref="J7:L7"/>
    <mergeCell ref="D1:U1"/>
    <mergeCell ref="P7:T7"/>
    <mergeCell ref="M7:O7"/>
    <mergeCell ref="G7:I7"/>
    <mergeCell ref="D7:F8"/>
    <mergeCell ref="U7:U8"/>
  </mergeCells>
  <pageMargins left="0.7086614173228347" right="0.7086614173228347" top="0.7480314960629921" bottom="0.7480314960629921" header="0.3149606299212598" footer="0.3149606299212598"/>
  <pageSetup orientation="landscape" paperSize="9" scale="63"/>
</worksheet>
</file>

<file path=xl/worksheets/sheet5.xml><?xml version="1.0" encoding="utf-8"?>
<worksheet xmlns="http://schemas.openxmlformats.org/spreadsheetml/2006/main">
  <sheetPr>
    <outlinePr summaryBelow="1" summaryRight="1"/>
    <pageSetUpPr/>
  </sheetPr>
  <dimension ref="A1:L10"/>
  <sheetViews>
    <sheetView workbookViewId="0">
      <selection activeCell="F15" sqref="F15"/>
    </sheetView>
  </sheetViews>
  <sheetFormatPr baseColWidth="8" defaultRowHeight="18.75"/>
  <cols>
    <col width="10.875" customWidth="1" style="97" min="1" max="1"/>
    <col width="8.75" customWidth="1" style="6" min="3" max="4"/>
    <col width="8.75" customWidth="1" style="6" min="6" max="7"/>
  </cols>
  <sheetData>
    <row r="1">
      <c r="A1" s="40" t="n"/>
      <c r="B1" s="40" t="n"/>
      <c r="C1" s="87" t="inlineStr">
        <is>
          <t>売上</t>
        </is>
      </c>
      <c r="D1" s="90" t="n"/>
      <c r="E1" s="88" t="n"/>
      <c r="F1" s="107" t="inlineStr">
        <is>
          <t>粗利</t>
        </is>
      </c>
      <c r="G1" s="108" t="n"/>
      <c r="H1" s="109" t="n"/>
      <c r="I1" s="110" t="inlineStr">
        <is>
          <t>粗利率</t>
        </is>
      </c>
      <c r="J1" s="104" t="n"/>
      <c r="K1" s="104" t="n"/>
    </row>
    <row r="2">
      <c r="A2" s="40" t="inlineStr">
        <is>
          <t>期</t>
        </is>
      </c>
      <c r="B2" s="40" t="inlineStr">
        <is>
          <t>期間</t>
        </is>
      </c>
      <c r="C2" s="41" t="inlineStr">
        <is>
          <t>計画</t>
        </is>
      </c>
      <c r="D2" s="41" t="inlineStr">
        <is>
          <t>見込み</t>
        </is>
      </c>
      <c r="E2" s="40" t="inlineStr">
        <is>
          <t>計画比</t>
        </is>
      </c>
      <c r="F2" s="41" t="inlineStr">
        <is>
          <t>計画</t>
        </is>
      </c>
      <c r="G2" s="41" t="inlineStr">
        <is>
          <t>見込み</t>
        </is>
      </c>
      <c r="H2" s="40" t="inlineStr">
        <is>
          <t>計画比</t>
        </is>
      </c>
      <c r="I2" s="41" t="inlineStr">
        <is>
          <t>計画</t>
        </is>
      </c>
      <c r="J2" s="41" t="inlineStr">
        <is>
          <t>見込</t>
        </is>
      </c>
      <c r="K2" s="41" t="inlineStr">
        <is>
          <t>計画比</t>
        </is>
      </c>
      <c r="L2" s="41" t="inlineStr">
        <is>
          <t>備考</t>
        </is>
      </c>
    </row>
    <row r="3">
      <c r="A3" s="40" t="inlineStr">
        <is>
          <t>49期</t>
        </is>
      </c>
      <c r="B3" s="40" t="inlineStr">
        <is>
          <t>7月～9月</t>
        </is>
      </c>
      <c r="C3" s="41" t="n">
        <v>74190</v>
      </c>
      <c r="D3" s="41" t="n">
        <v>106390</v>
      </c>
      <c r="E3" s="42">
        <f>D3-C3</f>
        <v/>
      </c>
      <c r="F3" s="41" t="n">
        <v>17570</v>
      </c>
      <c r="G3" s="41" t="n">
        <v>24290</v>
      </c>
      <c r="H3" s="42">
        <f>G3-F3</f>
        <v/>
      </c>
      <c r="I3" s="128">
        <f>F3/C3</f>
        <v/>
      </c>
      <c r="J3" s="128">
        <f>G3/D3</f>
        <v/>
      </c>
      <c r="K3" s="129">
        <f>J3-I3</f>
        <v/>
      </c>
      <c r="L3" s="40" t="inlineStr">
        <is>
          <t>ごみ袋込</t>
        </is>
      </c>
    </row>
    <row r="4">
      <c r="A4" s="40" t="inlineStr">
        <is>
          <t>50期</t>
        </is>
      </c>
      <c r="B4" s="40" t="inlineStr">
        <is>
          <t>10月～3月</t>
        </is>
      </c>
      <c r="C4" s="41" t="n">
        <v>163030</v>
      </c>
      <c r="D4" s="41" t="n">
        <v>210040</v>
      </c>
      <c r="E4" s="42">
        <f>D4-C4</f>
        <v/>
      </c>
      <c r="F4" s="41" t="n">
        <v>39830</v>
      </c>
      <c r="G4" s="41" t="n">
        <v>45668</v>
      </c>
      <c r="H4" s="42">
        <f>G4-F4</f>
        <v/>
      </c>
      <c r="I4" s="128">
        <f>F4/C4</f>
        <v/>
      </c>
      <c r="J4" s="128">
        <f>G4/D4</f>
        <v/>
      </c>
      <c r="K4" s="129">
        <f>J4-I4</f>
        <v/>
      </c>
      <c r="L4" s="40" t="inlineStr">
        <is>
          <t>ごみ袋込</t>
        </is>
      </c>
    </row>
    <row r="5">
      <c r="A5" s="44" t="inlineStr">
        <is>
          <t>合計</t>
        </is>
      </c>
      <c r="B5" s="44" t="inlineStr">
        <is>
          <t>7月～3月</t>
        </is>
      </c>
      <c r="C5" s="45">
        <f>SUM(C3:C4)</f>
        <v/>
      </c>
      <c r="D5" s="45">
        <f>SUM(D3:D4)</f>
        <v/>
      </c>
      <c r="E5" s="45">
        <f>SUM(E3:E4)</f>
        <v/>
      </c>
      <c r="F5" s="45">
        <f>F3+F4</f>
        <v/>
      </c>
      <c r="G5" s="45">
        <f>G3+G4</f>
        <v/>
      </c>
      <c r="H5" s="46">
        <f>G5-F5</f>
        <v/>
      </c>
      <c r="I5" s="130">
        <f>F5/C5</f>
        <v/>
      </c>
      <c r="J5" s="130">
        <f>G5/D5</f>
        <v/>
      </c>
      <c r="K5" s="131">
        <f>J5-I5</f>
        <v/>
      </c>
      <c r="L5" s="40" t="inlineStr">
        <is>
          <t>ごみ袋込</t>
        </is>
      </c>
    </row>
    <row r="6">
      <c r="A6" s="52" t="n"/>
      <c r="B6" s="52" t="n"/>
      <c r="C6" s="53" t="n"/>
      <c r="D6" s="53" t="n"/>
      <c r="E6" s="53" t="n"/>
      <c r="F6" s="53" t="n"/>
      <c r="G6" s="53" t="n"/>
      <c r="H6" s="54" t="n"/>
      <c r="I6" s="132" t="n"/>
      <c r="J6" s="132" t="n"/>
      <c r="K6" s="133" t="n"/>
    </row>
    <row r="7">
      <c r="A7" s="57" t="n"/>
      <c r="B7" s="57" t="n"/>
      <c r="C7" s="114" t="inlineStr">
        <is>
          <t>売上</t>
        </is>
      </c>
      <c r="D7" s="104" t="n"/>
      <c r="E7" s="105" t="n"/>
      <c r="F7" s="111" t="inlineStr">
        <is>
          <t>粗利</t>
        </is>
      </c>
      <c r="G7" s="112" t="n"/>
      <c r="H7" s="113" t="n"/>
    </row>
    <row r="8">
      <c r="A8" s="40" t="inlineStr">
        <is>
          <t>期</t>
        </is>
      </c>
      <c r="B8" s="40" t="inlineStr">
        <is>
          <t>期間</t>
        </is>
      </c>
      <c r="C8" s="41" t="inlineStr">
        <is>
          <t>計画</t>
        </is>
      </c>
      <c r="D8" s="41" t="inlineStr">
        <is>
          <t>見込み</t>
        </is>
      </c>
      <c r="E8" s="40" t="inlineStr">
        <is>
          <t>計画比</t>
        </is>
      </c>
      <c r="F8" s="41" t="inlineStr">
        <is>
          <t>計画</t>
        </is>
      </c>
      <c r="G8" s="41" t="inlineStr">
        <is>
          <t>見込み</t>
        </is>
      </c>
      <c r="H8" s="40" t="inlineStr">
        <is>
          <t>計画比</t>
        </is>
      </c>
      <c r="I8" s="41" t="inlineStr">
        <is>
          <t>計画</t>
        </is>
      </c>
      <c r="J8" s="41" t="inlineStr">
        <is>
          <t>見込</t>
        </is>
      </c>
      <c r="K8" s="41" t="inlineStr">
        <is>
          <t>計画比</t>
        </is>
      </c>
    </row>
    <row r="9">
      <c r="A9" s="40" t="inlineStr">
        <is>
          <t>ごみ袋</t>
        </is>
      </c>
      <c r="B9" s="40" t="inlineStr">
        <is>
          <t>7月～3月</t>
        </is>
      </c>
      <c r="C9" s="43" t="inlineStr">
        <is>
          <t>ー</t>
        </is>
      </c>
      <c r="D9" s="41" t="n">
        <v>47910</v>
      </c>
      <c r="E9" s="41" t="n">
        <v>47910</v>
      </c>
      <c r="F9" s="41" t="n"/>
      <c r="G9" s="41" t="n">
        <v>1013</v>
      </c>
      <c r="H9" s="41" t="n">
        <v>1013</v>
      </c>
      <c r="I9" s="49" t="n"/>
      <c r="J9" s="128">
        <f>G9/D9</f>
        <v/>
      </c>
      <c r="K9" s="40" t="n"/>
    </row>
    <row r="10">
      <c r="A10" s="40" t="inlineStr">
        <is>
          <t>資材増加額</t>
        </is>
      </c>
      <c r="B10" s="40" t="inlineStr">
        <is>
          <t>7月～3月</t>
        </is>
      </c>
      <c r="C10" s="43" t="inlineStr">
        <is>
          <t>ー</t>
        </is>
      </c>
      <c r="D10" s="41" t="n"/>
      <c r="E10" s="42">
        <f>E5-E9</f>
        <v/>
      </c>
      <c r="F10" s="41" t="n"/>
      <c r="G10" s="41" t="n"/>
      <c r="H10" s="42">
        <f>H5-H9</f>
        <v/>
      </c>
      <c r="I10" s="40" t="n"/>
      <c r="J10" s="40" t="n"/>
      <c r="K10" s="40" t="n"/>
    </row>
  </sheetData>
  <mergeCells count="5">
    <mergeCell ref="C1:E1"/>
    <mergeCell ref="F1:H1"/>
    <mergeCell ref="I1:K1"/>
    <mergeCell ref="F7:H7"/>
    <mergeCell ref="C7:E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ma-takahashi</dc:creator>
  <dcterms:created xmlns:dcterms="http://purl.org/dc/terms/" xmlns:xsi="http://www.w3.org/2001/XMLSchema-instance" xsi:type="dcterms:W3CDTF">2024-06-27T00:13:49Z</dcterms:created>
  <dcterms:modified xmlns:dcterms="http://purl.org/dc/terms/" xmlns:xsi="http://www.w3.org/2001/XMLSchema-instance" xsi:type="dcterms:W3CDTF">2026-09-05T01:05:21Z</dcterms:modified>
  <cp:lastModifiedBy>ma-takahashi</cp:lastModifiedBy>
  <cp:lastPrinted>2026-03-24T04:28:13Z</cp:lastPrinted>
</cp:coreProperties>
</file>