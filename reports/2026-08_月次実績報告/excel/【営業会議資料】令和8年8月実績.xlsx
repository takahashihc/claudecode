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単月" sheetId="1" state="visible" r:id="rId1"/>
    <sheet xmlns:r="http://schemas.openxmlformats.org/officeDocument/2006/relationships" name="下期累計" sheetId="2" state="visible" r:id="rId2"/>
  </sheets>
  <definedNames>
    <definedName name="_xlnm.Print_Titles" localSheetId="0">'単月'!$4:$6</definedName>
    <definedName name="_xlnm.Print_Area" localSheetId="0">'単月'!$A$2:$Y$143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&quot;年&quot;m&quot;月&quot;;@"/>
    <numFmt numFmtId="165" formatCode="#,##0_);[Red]\(#,##0\)"/>
    <numFmt numFmtId="166" formatCode="0.0%"/>
    <numFmt numFmtId="167" formatCode="#,##0_ ;[Red]\-#,##0\ "/>
  </numFmts>
  <fonts count="18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16"/>
    </font>
    <font>
      <name val="DejaVu Sans"/>
      <family val="2"/>
      <color theme="1"/>
      <sz val="14"/>
    </font>
    <font>
      <name val="DejaVu Sans"/>
      <family val="2"/>
      <color theme="8" tint="-0.249977111117893"/>
      <sz val="9"/>
    </font>
    <font>
      <name val="游ゴシック"/>
      <charset val="128"/>
      <family val="2"/>
      <color theme="8" tint="-0.249977111117893"/>
      <sz val="11"/>
    </font>
    <font>
      <name val="DejaVu Sans"/>
      <family val="2"/>
      <color theme="1"/>
      <sz val="11"/>
    </font>
    <font>
      <name val="DejaVu Sans"/>
      <family val="2"/>
      <color theme="8" tint="-0.249977111117893"/>
      <sz val="11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3"/>
      <sz val="11"/>
    </font>
    <font>
      <name val="游明朝"/>
      <charset val="128"/>
      <family val="1"/>
      <color theme="1"/>
      <sz val="11"/>
    </font>
    <font>
      <name val="游明朝"/>
      <charset val="128"/>
      <family val="1"/>
      <sz val="11"/>
    </font>
    <font>
      <name val="游明朝"/>
      <charset val="128"/>
      <family val="1"/>
      <color theme="8" tint="-0.249977111117893"/>
      <sz val="11"/>
    </font>
    <font>
      <name val="DejaVu Sans"/>
      <family val="2"/>
      <color theme="4" tint="-0.249977111117893"/>
      <sz val="11"/>
    </font>
    <font>
      <name val="DejaVu Sans"/>
      <family val="2"/>
      <color theme="4"/>
      <sz val="11"/>
    </font>
    <font>
      <name val="游ゴシック"/>
      <charset val="128"/>
      <family val="3"/>
      <color theme="4"/>
      <sz val="11"/>
    </font>
    <font>
      <name val="DejaVu Sans"/>
      <family val="2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</fonts>
  <fills count="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8" tint="0.3998840296639912"/>
        <bgColor rgb="FFCCCCFF"/>
      </patternFill>
    </fill>
    <fill>
      <patternFill patternType="solid">
        <fgColor theme="7" tint="0.3998840296639912"/>
        <bgColor rgb="FFFFFF99"/>
      </patternFill>
    </fill>
    <fill>
      <patternFill patternType="solid">
        <fgColor theme="9" tint="0.3998840296639912"/>
        <bgColor rgb="FF9DC3E6"/>
      </patternFill>
    </fill>
  </fills>
  <borders count="6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4">
    <xf numFmtId="0" fontId="16" fillId="0" borderId="0" applyAlignment="1">
      <alignment vertical="center"/>
    </xf>
    <xf numFmtId="9" fontId="16" fillId="0" borderId="0" applyAlignment="1">
      <alignment vertical="center"/>
    </xf>
    <xf numFmtId="165" fontId="16" fillId="0" borderId="0" applyAlignment="1">
      <alignment vertical="center"/>
    </xf>
    <xf numFmtId="38" fontId="16" fillId="0" borderId="0" applyAlignment="1">
      <alignment vertical="center"/>
    </xf>
  </cellStyleXfs>
  <cellXfs count="39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0" fontId="0" fillId="3" borderId="17" applyAlignment="1" pivotButton="0" quotePrefix="0" xfId="0">
      <alignment vertical="center"/>
    </xf>
    <xf numFmtId="0" fontId="0" fillId="4" borderId="17" applyAlignment="1" pivotButton="0" quotePrefix="0" xfId="0">
      <alignment vertical="center"/>
    </xf>
    <xf numFmtId="0" fontId="0" fillId="5" borderId="17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0" fontId="9" fillId="3" borderId="24" applyAlignment="1" pivotButton="0" quotePrefix="0" xfId="0">
      <alignment vertical="center"/>
    </xf>
    <xf numFmtId="0" fontId="9" fillId="4" borderId="24" applyAlignment="1" pivotButton="0" quotePrefix="0" xfId="0">
      <alignment vertical="center"/>
    </xf>
    <xf numFmtId="0" fontId="9" fillId="5" borderId="24" applyAlignment="1" pivotButton="0" quotePrefix="0" xfId="0">
      <alignment vertical="center"/>
    </xf>
    <xf numFmtId="0" fontId="9" fillId="0" borderId="25" applyAlignment="1" pivotButton="0" quotePrefix="0" xfId="0">
      <alignment vertical="center"/>
    </xf>
    <xf numFmtId="0" fontId="5" fillId="0" borderId="26" applyAlignment="1" pivotButton="0" quotePrefix="0" xfId="0">
      <alignment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0" fontId="6" fillId="0" borderId="30" applyAlignment="1" pivotButton="0" quotePrefix="0" xfId="0">
      <alignment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0" fontId="0" fillId="3" borderId="24" applyAlignment="1" pivotButton="0" quotePrefix="0" xfId="0">
      <alignment vertical="center"/>
    </xf>
    <xf numFmtId="0" fontId="0" fillId="4" borderId="24" applyAlignment="1" pivotButton="0" quotePrefix="0" xfId="0">
      <alignment vertical="center"/>
    </xf>
    <xf numFmtId="0" fontId="0" fillId="5" borderId="33" applyAlignment="1" pivotButton="0" quotePrefix="0" xfId="0">
      <alignment vertical="center"/>
    </xf>
    <xf numFmtId="0" fontId="6" fillId="0" borderId="3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0" fontId="6" fillId="0" borderId="26" applyAlignment="1" pivotButton="0" quotePrefix="0" xfId="0">
      <alignment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0" fontId="5" fillId="5" borderId="35" applyAlignment="1" pivotButton="0" quotePrefix="0" xfId="0">
      <alignment vertical="center"/>
    </xf>
    <xf numFmtId="0" fontId="0" fillId="5" borderId="7" applyAlignment="1" pivotButton="0" quotePrefix="0" xfId="0">
      <alignment vertical="center"/>
    </xf>
    <xf numFmtId="0" fontId="0" fillId="5" borderId="10" applyAlignment="1" pivotButton="0" quotePrefix="0" xfId="0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0" fontId="0" fillId="5" borderId="24" applyAlignment="1" pivotButton="0" quotePrefix="0" xfId="0">
      <alignment vertical="center"/>
    </xf>
    <xf numFmtId="0" fontId="5" fillId="5" borderId="32" applyAlignment="1" pivotButton="0" quotePrefix="0" xfId="0">
      <alignment vertical="center"/>
    </xf>
    <xf numFmtId="166" fontId="16" fillId="5" borderId="28" applyAlignment="1" pivotButton="0" quotePrefix="0" xfId="1">
      <alignment horizontal="right" vertical="center"/>
    </xf>
    <xf numFmtId="0" fontId="0" fillId="5" borderId="36" applyAlignment="1" pivotButton="0" quotePrefix="0" xfId="0">
      <alignment vertical="center"/>
    </xf>
    <xf numFmtId="0" fontId="5" fillId="5" borderId="26" applyAlignment="1" pivotButton="0" quotePrefix="0" xfId="0">
      <alignment vertical="center"/>
    </xf>
    <xf numFmtId="0" fontId="0" fillId="5" borderId="37" applyAlignment="1" pivotButton="0" quotePrefix="0" xfId="0">
      <alignment vertical="center"/>
    </xf>
    <xf numFmtId="0" fontId="0" fillId="5" borderId="38" applyAlignment="1" pivotButton="0" quotePrefix="0" xfId="0">
      <alignment vertical="center"/>
    </xf>
    <xf numFmtId="0" fontId="5" fillId="5" borderId="29" applyAlignment="1" pivotButton="0" quotePrefix="0" xfId="0">
      <alignment vertical="center"/>
    </xf>
    <xf numFmtId="0" fontId="0" fillId="5" borderId="8" applyAlignment="1" pivotButton="0" quotePrefix="0" xfId="0">
      <alignment vertical="center"/>
    </xf>
    <xf numFmtId="0" fontId="0" fillId="5" borderId="39" applyAlignment="1" pivotButton="0" quotePrefix="0" xfId="0">
      <alignment vertical="center"/>
    </xf>
    <xf numFmtId="0" fontId="9" fillId="5" borderId="33" applyAlignment="1" pivotButton="0" quotePrefix="0" xfId="0">
      <alignment vertical="center"/>
    </xf>
    <xf numFmtId="0" fontId="12" fillId="0" borderId="36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0" fontId="9" fillId="0" borderId="36" applyAlignment="1" pivotButton="0" quotePrefix="0" xfId="0">
      <alignment vertical="center"/>
    </xf>
    <xf numFmtId="0" fontId="5" fillId="5" borderId="24" applyAlignment="1" pivotButton="0" quotePrefix="0" xfId="0">
      <alignment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0" fontId="0" fillId="5" borderId="40" applyAlignment="1" pivotButton="0" quotePrefix="0" xfId="0">
      <alignment vertical="center"/>
    </xf>
    <xf numFmtId="0" fontId="5" fillId="5" borderId="16" applyAlignment="1" pivotButton="0" quotePrefix="0" xfId="0">
      <alignment vertical="center"/>
    </xf>
    <xf numFmtId="0" fontId="0" fillId="5" borderId="41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5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0" fontId="7" fillId="0" borderId="3" applyAlignment="1" pivotButton="0" quotePrefix="0" xfId="0">
      <alignment vertical="center"/>
    </xf>
    <xf numFmtId="165" fontId="7" fillId="0" borderId="44" applyAlignment="1" pivotButton="0" quotePrefix="0" xfId="2">
      <alignment vertical="center"/>
    </xf>
    <xf numFmtId="0" fontId="5" fillId="0" borderId="2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29" applyAlignment="1" pivotButton="0" quotePrefix="0" xfId="0">
      <alignment vertical="center"/>
    </xf>
    <xf numFmtId="165" fontId="10" fillId="0" borderId="27" applyAlignment="1" pivotButton="0" quotePrefix="0" xfId="2">
      <alignment vertical="center"/>
    </xf>
    <xf numFmtId="0" fontId="0" fillId="5" borderId="45" applyAlignment="1" pivotButton="0" quotePrefix="0" xfId="0">
      <alignment vertical="center"/>
    </xf>
    <xf numFmtId="165" fontId="0" fillId="5" borderId="43" applyAlignment="1" pivotButton="0" quotePrefix="0" xfId="0">
      <alignment vertical="center"/>
    </xf>
    <xf numFmtId="0" fontId="5" fillId="0" borderId="36" applyAlignment="1" pivotButton="0" quotePrefix="0" xfId="0">
      <alignment vertical="center"/>
    </xf>
    <xf numFmtId="0" fontId="11" fillId="0" borderId="7" applyAlignment="1" pivotButton="0" quotePrefix="0" xfId="0">
      <alignment vertical="center"/>
    </xf>
    <xf numFmtId="0" fontId="11" fillId="0" borderId="9" applyAlignment="1" pivotButton="0" quotePrefix="0" xfId="0">
      <alignment vertical="center"/>
    </xf>
    <xf numFmtId="0" fontId="0" fillId="5" borderId="46" applyAlignment="1" pivotButton="0" quotePrefix="0" xfId="0">
      <alignment vertical="center"/>
    </xf>
    <xf numFmtId="0" fontId="0" fillId="5" borderId="47" applyAlignment="1" pivotButton="0" quotePrefix="0" xfId="0">
      <alignment vertical="center"/>
    </xf>
    <xf numFmtId="165" fontId="16" fillId="5" borderId="42" applyAlignment="1" pivotButton="0" quotePrefix="0" xfId="2">
      <alignment vertical="center"/>
    </xf>
    <xf numFmtId="0" fontId="0" fillId="4" borderId="48" applyAlignment="1" pivotButton="0" quotePrefix="0" xfId="0">
      <alignment vertical="center"/>
    </xf>
    <xf numFmtId="0" fontId="0" fillId="3" borderId="48" applyAlignment="1" pivotButton="0" quotePrefix="0" xfId="0">
      <alignment vertical="center"/>
    </xf>
    <xf numFmtId="0" fontId="0" fillId="5" borderId="9" applyAlignment="1" pivotButton="0" quotePrefix="0" xfId="0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0" fontId="5" fillId="4" borderId="24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5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0" fontId="5" fillId="4" borderId="0" applyAlignment="1" pivotButton="0" quotePrefix="0" xfId="0">
      <alignment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0" fontId="13" fillId="4" borderId="17" applyAlignment="1" pivotButton="0" quotePrefix="0" xfId="0">
      <alignment vertical="center"/>
    </xf>
    <xf numFmtId="0" fontId="0" fillId="4" borderId="49" applyAlignment="1" pivotButton="0" quotePrefix="0" xfId="0">
      <alignment vertical="center"/>
    </xf>
    <xf numFmtId="0" fontId="14" fillId="4" borderId="49" applyAlignment="1" pivotButton="0" quotePrefix="0" xfId="0">
      <alignment vertical="center"/>
    </xf>
    <xf numFmtId="0" fontId="14" fillId="4" borderId="50" applyAlignment="1" pivotButton="0" quotePrefix="0" xfId="0">
      <alignment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0" fontId="5" fillId="4" borderId="26" applyAlignment="1" pivotButton="0" quotePrefix="0" xfId="0">
      <alignment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0" fontId="13" fillId="4" borderId="30" applyAlignment="1" pivotButton="0" quotePrefix="0" xfId="0">
      <alignment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0" fontId="0" fillId="4" borderId="40" applyAlignment="1" pivotButton="0" quotePrefix="0" xfId="0">
      <alignment vertical="center"/>
    </xf>
    <xf numFmtId="0" fontId="0" fillId="4" borderId="52" applyAlignment="1" pivotButton="0" quotePrefix="0" xfId="0">
      <alignment vertical="center"/>
    </xf>
    <xf numFmtId="0" fontId="13" fillId="4" borderId="15" applyAlignment="1" pivotButton="0" quotePrefix="0" xfId="0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0" fontId="5" fillId="3" borderId="24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0" fontId="15" fillId="3" borderId="29" applyAlignment="1" pivotButton="0" quotePrefix="0" xfId="0">
      <alignment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0" fontId="0" fillId="3" borderId="40" applyAlignment="1" pivotButton="0" quotePrefix="0" xfId="0">
      <alignment vertical="center"/>
    </xf>
    <xf numFmtId="0" fontId="0" fillId="3" borderId="52" applyAlignment="1" pivotButton="0" quotePrefix="0" xfId="0">
      <alignment vertical="center"/>
    </xf>
    <xf numFmtId="0" fontId="5" fillId="3" borderId="16" applyAlignment="1" pivotButton="0" quotePrefix="0" xfId="0">
      <alignment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0" fontId="5" fillId="3" borderId="1" applyAlignment="1" pivotButton="0" quotePrefix="0" xfId="0">
      <alignment vertical="center"/>
    </xf>
    <xf numFmtId="0" fontId="0" fillId="3" borderId="53" applyAlignment="1" pivotButton="0" quotePrefix="0" xfId="0">
      <alignment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  <xf numFmtId="167" fontId="0" fillId="0" borderId="0" applyAlignment="1" pivotButton="0" quotePrefix="0" xfId="0">
      <alignment vertical="center"/>
    </xf>
    <xf numFmtId="167" fontId="4" fillId="2" borderId="7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7" fontId="8" fillId="0" borderId="21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7" fontId="16" fillId="5" borderId="14" applyAlignment="1" pivotButton="0" quotePrefix="0" xfId="2">
      <alignment vertical="center"/>
    </xf>
    <xf numFmtId="167" fontId="16" fillId="4" borderId="28" applyAlignment="1" pivotButton="0" quotePrefix="0" xfId="2">
      <alignment vertical="center"/>
    </xf>
    <xf numFmtId="167" fontId="16" fillId="4" borderId="14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7" fontId="16" fillId="3" borderId="21" applyAlignment="1" pivotButton="0" quotePrefix="0" xfId="2">
      <alignment vertical="center"/>
    </xf>
    <xf numFmtId="167" fontId="16" fillId="3" borderId="28" applyAlignment="1" pivotButton="0" quotePrefix="0" xfId="2">
      <alignment vertical="center"/>
    </xf>
    <xf numFmtId="167" fontId="16" fillId="3" borderId="14" applyAlignment="1" pivotButton="0" quotePrefix="0" xfId="2">
      <alignment vertical="center"/>
    </xf>
    <xf numFmtId="167" fontId="0" fillId="3" borderId="55" applyAlignment="1" pivotButton="0" quotePrefix="0" xfId="0">
      <alignment vertical="center"/>
    </xf>
    <xf numFmtId="0" fontId="0" fillId="5" borderId="58" applyAlignment="1" pivotButton="0" quotePrefix="0" xfId="0">
      <alignment vertical="center"/>
    </xf>
    <xf numFmtId="0" fontId="7" fillId="0" borderId="59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38" fontId="11" fillId="0" borderId="5" applyAlignment="1" pivotButton="0" quotePrefix="0" xfId="3">
      <alignment vertical="center"/>
    </xf>
    <xf numFmtId="38" fontId="11" fillId="0" borderId="31" applyAlignment="1" pivotButton="0" quotePrefix="0" xfId="3">
      <alignment vertical="center"/>
    </xf>
    <xf numFmtId="0" fontId="5" fillId="0" borderId="62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0" fontId="0" fillId="0" borderId="3" pivotButton="0" quotePrefix="0" xfId="0"/>
    <xf numFmtId="0" fontId="0" fillId="0" borderId="19" pivotButton="0" quotePrefix="0" xfId="0"/>
    <xf numFmtId="165" fontId="2" fillId="0" borderId="3" applyAlignment="1" pivotButton="0" quotePrefix="0" xfId="2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24" pivotButton="0" quotePrefix="0" xfId="0"/>
    <xf numFmtId="0" fontId="0" fillId="0" borderId="0" pivotButton="0" quotePrefix="0" xfId="0"/>
    <xf numFmtId="0" fontId="0" fillId="0" borderId="40" pivotButton="0" quotePrefix="0" xfId="0"/>
    <xf numFmtId="0" fontId="0" fillId="0" borderId="52" pivotButton="0" quotePrefix="0" xfId="0"/>
    <xf numFmtId="166" fontId="2" fillId="0" borderId="4" applyAlignment="1" pivotButton="0" quotePrefix="0" xfId="1">
      <alignment horizontal="center" vertical="center"/>
    </xf>
    <xf numFmtId="0" fontId="0" fillId="0" borderId="50" pivotButton="0" quotePrefix="0" xfId="0"/>
    <xf numFmtId="167" fontId="0" fillId="0" borderId="0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165" fontId="2" fillId="0" borderId="3" applyAlignment="1" pivotButton="0" quotePrefix="0" xfId="2">
      <alignment horizontal="center" vertical="center"/>
    </xf>
    <xf numFmtId="166" fontId="2" fillId="0" borderId="4" applyAlignment="1" pivotButton="0" quotePrefix="0" xfId="1">
      <alignment horizontal="center"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7" fontId="4" fillId="2" borderId="7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7" fontId="8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166" fontId="16" fillId="5" borderId="28" applyAlignment="1" pivotButton="0" quotePrefix="0" xfId="1">
      <alignment horizontal="right"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7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5" fontId="16" fillId="5" borderId="14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165" fontId="7" fillId="0" borderId="44" applyAlignment="1" pivotButton="0" quotePrefix="0" xfId="2">
      <alignment vertical="center"/>
    </xf>
    <xf numFmtId="165" fontId="10" fillId="0" borderId="27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5" fontId="0" fillId="5" borderId="43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165" fontId="16" fillId="5" borderId="42" applyAlignment="1" pivotButton="0" quotePrefix="0" xfId="2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7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7" fontId="16" fillId="4" borderId="14" applyAlignment="1" pivotButton="0" quotePrefix="0" xfId="2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5" fontId="16" fillId="4" borderId="28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7" fontId="16" fillId="3" borderId="21" applyAlignment="1" pivotButton="0" quotePrefix="0" xfId="2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7" fontId="16" fillId="3" borderId="28" applyAlignment="1" pivotButton="0" quotePrefix="0" xfId="2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7" fontId="16" fillId="3" borderId="14" applyAlignment="1" pivotButton="0" quotePrefix="0" xfId="2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7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</cellXfs>
  <cellStyles count="4">
    <cellStyle name="標準" xfId="0" builtinId="0"/>
    <cellStyle name="パーセント" xfId="1" builtinId="5"/>
    <cellStyle name="Excel Built-in Comma [0]" xfId="2"/>
    <cellStyle name="桁区切り" xfId="3" builtinId="6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zoomScaleNormal="100" workbookViewId="0">
      <pane xSplit="5" ySplit="6" topLeftCell="F97" activePane="bottomRight" state="frozen"/>
      <selection pane="topRight" activeCell="F1" sqref="F1"/>
      <selection pane="bottomLeft" activeCell="A130" sqref="A130"/>
      <selection pane="bottomRight" activeCell="H106" sqref="H106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1．単月実績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令和6年8月</t>
        </is>
      </c>
      <c r="G5" s="246" t="inlineStr">
        <is>
          <t>令和7年8月</t>
        </is>
      </c>
      <c r="H5" s="246" t="inlineStr">
        <is>
          <t>令和8年8月</t>
        </is>
      </c>
      <c r="I5" s="246" t="inlineStr">
        <is>
          <t>令和8年8月</t>
        </is>
      </c>
      <c r="J5" s="247" t="n"/>
      <c r="K5" s="247" t="n"/>
      <c r="L5" s="248" t="n"/>
      <c r="M5" s="245" t="inlineStr">
        <is>
          <t>令和6年8月</t>
        </is>
      </c>
      <c r="N5" s="246" t="inlineStr">
        <is>
          <t>令和7年8月</t>
        </is>
      </c>
      <c r="O5" s="246" t="inlineStr">
        <is>
          <t>令和8年8月</t>
        </is>
      </c>
      <c r="P5" s="246" t="inlineStr">
        <is>
          <t>令和8年8月</t>
        </is>
      </c>
      <c r="Q5" s="247" t="n"/>
      <c r="R5" s="247" t="n"/>
      <c r="S5" s="249" t="n"/>
      <c r="T5" s="245" t="inlineStr">
        <is>
          <t>令和6年8月</t>
        </is>
      </c>
      <c r="U5" s="246" t="inlineStr">
        <is>
          <t>令和7年8月</t>
        </is>
      </c>
      <c r="V5" s="246" t="inlineStr">
        <is>
          <t>令和8年8月</t>
        </is>
      </c>
      <c r="W5" s="246" t="inlineStr">
        <is>
          <t>令和8年8月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19902.035</v>
      </c>
      <c r="G7" s="260" t="n">
        <v>17756.598</v>
      </c>
      <c r="H7" s="260" t="n">
        <v>18720</v>
      </c>
      <c r="I7" s="260" t="n">
        <v>15638.502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4472.3902</v>
      </c>
      <c r="N7" s="260" t="n">
        <v>4379.712</v>
      </c>
      <c r="O7" s="260" t="n">
        <v>4450</v>
      </c>
      <c r="P7" s="260" t="n">
        <v>3800.213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3638.02</v>
      </c>
      <c r="G9" s="276" t="n">
        <v>598.03</v>
      </c>
      <c r="H9" s="276" t="n">
        <v>1000</v>
      </c>
      <c r="I9" s="277" t="n">
        <v>352.565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643.34</v>
      </c>
      <c r="N9" s="276" t="n">
        <v>165.33</v>
      </c>
      <c r="O9" s="276" t="n">
        <v>160</v>
      </c>
      <c r="P9" s="277" t="n">
        <v>80.40900000000001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5177.704000000001</v>
      </c>
      <c r="G10" s="285" t="n">
        <v>8126.865000000001</v>
      </c>
      <c r="H10" s="285" t="n">
        <v>8110</v>
      </c>
      <c r="I10" s="285" t="n">
        <v>7202.003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1440.424</v>
      </c>
      <c r="N10" s="285" t="n">
        <v>2296.254</v>
      </c>
      <c r="O10" s="285" t="n">
        <v>2150</v>
      </c>
      <c r="P10" s="285" t="n">
        <v>1771.851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42</v>
      </c>
      <c r="G12" s="277" t="n">
        <v>45.385</v>
      </c>
      <c r="H12" s="277" t="n">
        <v>1000</v>
      </c>
      <c r="I12" s="277" t="n">
        <v>178.09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32</v>
      </c>
      <c r="N12" s="277" t="n">
        <v>6.88</v>
      </c>
      <c r="O12" s="277" t="n">
        <v>160</v>
      </c>
      <c r="P12" s="277" t="n">
        <v>42.968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21914.739</v>
      </c>
      <c r="G13" s="285" t="n">
        <v>22551.727</v>
      </c>
      <c r="H13" s="285" t="n">
        <v>23430</v>
      </c>
      <c r="I13" s="285" t="n">
        <v>25406.55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7119.109</v>
      </c>
      <c r="N13" s="285" t="n">
        <v>7872.362</v>
      </c>
      <c r="O13" s="285" t="n">
        <v>7770</v>
      </c>
      <c r="P13" s="285" t="n">
        <v>9186.766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475.179</v>
      </c>
      <c r="G15" s="277" t="n">
        <v>144.258</v>
      </c>
      <c r="H15" s="277" t="n">
        <v>1000</v>
      </c>
      <c r="I15" s="277" t="n">
        <v>197.345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97.68899999999999</v>
      </c>
      <c r="N15" s="277" t="n">
        <v>28.178</v>
      </c>
      <c r="O15" s="277" t="n">
        <v>160</v>
      </c>
      <c r="P15" s="277" t="n">
        <v>45.59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20242.159</v>
      </c>
      <c r="G16" s="285" t="n">
        <v>15964.249</v>
      </c>
      <c r="H16" s="285" t="n">
        <v>19730</v>
      </c>
      <c r="I16" s="285" t="n">
        <v>14206.002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4610.463999999998</v>
      </c>
      <c r="N16" s="285" t="n">
        <v>3894.642999999999</v>
      </c>
      <c r="O16" s="285" t="n">
        <v>4560</v>
      </c>
      <c r="P16" s="285" t="n">
        <v>4068.284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284.019</v>
      </c>
      <c r="G18" s="277" t="n">
        <v>469.849</v>
      </c>
      <c r="H18" s="277" t="n">
        <v>1000</v>
      </c>
      <c r="I18" s="277" t="n">
        <v>228.371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79.20099999999999</v>
      </c>
      <c r="N18" s="277" t="n">
        <v>126.623</v>
      </c>
      <c r="O18" s="277" t="n">
        <v>160</v>
      </c>
      <c r="P18" s="277" t="n">
        <v>64.663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745.691</v>
      </c>
      <c r="G19" s="285" t="n">
        <v>2588.084</v>
      </c>
      <c r="H19" s="285" t="n">
        <v>1750</v>
      </c>
      <c r="I19" s="285" t="n">
        <v>1093.155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108.956</v>
      </c>
      <c r="N19" s="285" t="n">
        <v>307.28</v>
      </c>
      <c r="O19" s="285" t="n">
        <v>220</v>
      </c>
      <c r="P19" s="285" t="n">
        <v>134.96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0</v>
      </c>
      <c r="G21" s="277" t="n">
        <v>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0</v>
      </c>
      <c r="N21" s="277" t="n">
        <v>0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4126.3</v>
      </c>
      <c r="G22" s="285" t="n">
        <v>0</v>
      </c>
      <c r="H22" s="285" t="n">
        <v>1340</v>
      </c>
      <c r="I22" s="285" t="n">
        <v>698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267.6</v>
      </c>
      <c r="N22" s="285" t="n">
        <v>0</v>
      </c>
      <c r="O22" s="285" t="n">
        <v>210</v>
      </c>
      <c r="P22" s="285" t="n">
        <v>77.7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4126.3</v>
      </c>
      <c r="G29" s="292" t="n">
        <v>0</v>
      </c>
      <c r="H29" s="292" t="n">
        <v>1340</v>
      </c>
      <c r="I29" s="292" t="n">
        <v>698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267.6</v>
      </c>
      <c r="N29" s="292" t="n">
        <v>0</v>
      </c>
      <c r="O29" s="292" t="n">
        <v>210</v>
      </c>
      <c r="P29" s="292" t="n">
        <v>77.7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10776.385</v>
      </c>
      <c r="G30" s="260" t="n">
        <v>8473.623000000001</v>
      </c>
      <c r="H30" s="260" t="n">
        <v>11000</v>
      </c>
      <c r="I30" s="260" t="n">
        <v>7893.202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2387.037</v>
      </c>
      <c r="N30" s="260" t="n">
        <v>1948.398</v>
      </c>
      <c r="O30" s="260" t="n">
        <v>2550</v>
      </c>
      <c r="P30" s="260" t="n">
        <v>1748.686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93</v>
      </c>
      <c r="G32" s="276" t="n">
        <v>12</v>
      </c>
      <c r="H32" s="276" t="n">
        <v>150</v>
      </c>
      <c r="I32" s="276" t="n">
        <v>39.5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17</v>
      </c>
      <c r="N32" s="276" t="n">
        <v>1</v>
      </c>
      <c r="O32" s="276" t="n">
        <v>25</v>
      </c>
      <c r="P32" s="276" t="n">
        <v>8.25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11383.003</v>
      </c>
      <c r="G33" s="285" t="n">
        <v>11761.85</v>
      </c>
      <c r="H33" s="285" t="n">
        <v>12200</v>
      </c>
      <c r="I33" s="285" t="n">
        <v>13478.139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2296.569</v>
      </c>
      <c r="N33" s="285" t="n">
        <v>2500.065000000001</v>
      </c>
      <c r="O33" s="285" t="n">
        <v>2550</v>
      </c>
      <c r="P33" s="285" t="n">
        <v>2715.531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0</v>
      </c>
      <c r="G35" s="277" t="n">
        <v>78</v>
      </c>
      <c r="H35" s="277" t="n">
        <v>0</v>
      </c>
      <c r="I35" s="277" t="n">
        <v>313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0</v>
      </c>
      <c r="N35" s="277" t="n">
        <v>17</v>
      </c>
      <c r="O35" s="277" t="n">
        <v>0</v>
      </c>
      <c r="P35" s="277" t="n">
        <v>61.68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8839.392000000002</v>
      </c>
      <c r="G36" s="285" t="n">
        <v>7106.066</v>
      </c>
      <c r="H36" s="285" t="n">
        <v>8000</v>
      </c>
      <c r="I36" s="285" t="n">
        <v>9650.882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1569.458</v>
      </c>
      <c r="N36" s="285" t="n">
        <v>1453.381</v>
      </c>
      <c r="O36" s="285" t="n">
        <v>1550</v>
      </c>
      <c r="P36" s="285" t="n">
        <v>1952.649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38</v>
      </c>
      <c r="G38" s="277" t="n">
        <v>0</v>
      </c>
      <c r="H38" s="277" t="n">
        <v>150</v>
      </c>
      <c r="I38" s="277" t="n">
        <v>0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5</v>
      </c>
      <c r="N38" s="277" t="n">
        <v>0</v>
      </c>
      <c r="O38" s="277" t="n">
        <v>25</v>
      </c>
      <c r="P38" s="277" t="n">
        <v>0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11252.949</v>
      </c>
      <c r="G39" s="285" t="n">
        <v>11939.249</v>
      </c>
      <c r="H39" s="285" t="n">
        <v>12500</v>
      </c>
      <c r="I39" s="285" t="n">
        <v>13183.796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2204.012</v>
      </c>
      <c r="N39" s="285" t="n">
        <v>2364.696</v>
      </c>
      <c r="O39" s="285" t="n">
        <v>2450</v>
      </c>
      <c r="P39" s="285" t="n">
        <v>2770.063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42</v>
      </c>
      <c r="G41" s="277" t="n">
        <v>94</v>
      </c>
      <c r="H41" s="277" t="n">
        <v>0</v>
      </c>
      <c r="I41" s="277" t="n">
        <v>249.91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6</v>
      </c>
      <c r="N41" s="277" t="n">
        <v>9</v>
      </c>
      <c r="O41" s="277" t="n">
        <v>0</v>
      </c>
      <c r="P41" s="277" t="n">
        <v>40.47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0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0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0</v>
      </c>
      <c r="H45" s="277" t="n">
        <v>0</v>
      </c>
      <c r="I45" s="277" t="n">
        <v>69.09999999999999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0</v>
      </c>
      <c r="O45" s="277" t="n">
        <v>0</v>
      </c>
      <c r="P45" s="277" t="n">
        <v>2.2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0</v>
      </c>
      <c r="G48" s="285" t="n">
        <v>4.8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0</v>
      </c>
      <c r="N48" s="285" t="n">
        <v>1.38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10947.936</v>
      </c>
      <c r="G56" s="260" t="n">
        <v>10299.5</v>
      </c>
      <c r="H56" s="260" t="n">
        <v>11790</v>
      </c>
      <c r="I56" s="260" t="n">
        <v>11940.197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3179.772999999999</v>
      </c>
      <c r="N56" s="260" t="n">
        <v>3226.146</v>
      </c>
      <c r="O56" s="260" t="n">
        <v>3560</v>
      </c>
      <c r="P56" s="260" t="n">
        <v>3975.887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210</v>
      </c>
      <c r="G58" s="276" t="n">
        <v>18</v>
      </c>
      <c r="H58" s="276" t="n">
        <v>200</v>
      </c>
      <c r="I58" s="276" t="n">
        <v>756.14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49</v>
      </c>
      <c r="N58" s="276" t="n">
        <v>7</v>
      </c>
      <c r="O58" s="276" t="n">
        <v>50</v>
      </c>
      <c r="P58" s="276" t="n">
        <v>151.195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9769.475999999999</v>
      </c>
      <c r="G59" s="285" t="n">
        <v>7366.301</v>
      </c>
      <c r="H59" s="285" t="n">
        <v>9510</v>
      </c>
      <c r="I59" s="285" t="n">
        <v>10370.244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2149.223</v>
      </c>
      <c r="N59" s="285" t="n">
        <v>1950.749</v>
      </c>
      <c r="O59" s="285" t="n">
        <v>2280</v>
      </c>
      <c r="P59" s="285" t="n">
        <v>2625.623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90</v>
      </c>
      <c r="G61" s="277" t="n">
        <v>201</v>
      </c>
      <c r="H61" s="277" t="n">
        <v>200</v>
      </c>
      <c r="I61" s="277" t="n">
        <v>695.7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11</v>
      </c>
      <c r="N61" s="277" t="n">
        <v>70</v>
      </c>
      <c r="O61" s="277" t="n">
        <v>50</v>
      </c>
      <c r="P61" s="277" t="n">
        <v>148.74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9130.425000000001</v>
      </c>
      <c r="G62" s="277" t="n">
        <v>8283.083000000002</v>
      </c>
      <c r="H62" s="277" t="n">
        <v>9670</v>
      </c>
      <c r="I62" s="277" t="n">
        <v>10792.559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1941.406</v>
      </c>
      <c r="N62" s="277" t="n">
        <v>2009.645</v>
      </c>
      <c r="O62" s="277" t="n">
        <v>2190</v>
      </c>
      <c r="P62" s="277" t="n">
        <v>2924.322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0</v>
      </c>
      <c r="G64" s="277" t="n">
        <v>0</v>
      </c>
      <c r="H64" s="277" t="n">
        <v>100</v>
      </c>
      <c r="I64" s="277" t="n">
        <v>0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0</v>
      </c>
      <c r="N64" s="277" t="n">
        <v>0</v>
      </c>
      <c r="O64" s="277" t="n">
        <v>20</v>
      </c>
      <c r="P64" s="277" t="n">
        <v>0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0</v>
      </c>
      <c r="G65" s="285" t="n">
        <v>6139.904</v>
      </c>
      <c r="H65" s="285" t="n">
        <v>0</v>
      </c>
      <c r="I65" s="285" t="n">
        <v>0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0</v>
      </c>
      <c r="N65" s="285" t="n">
        <v>115.904</v>
      </c>
      <c r="O65" s="285" t="n">
        <v>0</v>
      </c>
      <c r="P65" s="285" t="n">
        <v>0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30.37</v>
      </c>
      <c r="G68" s="285" t="n">
        <v>1.1</v>
      </c>
      <c r="H68" s="285" t="n">
        <v>0</v>
      </c>
      <c r="I68" s="285" t="n">
        <v>10.79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10.076</v>
      </c>
      <c r="N68" s="285" t="n">
        <v>0.375</v>
      </c>
      <c r="O68" s="285" t="n">
        <v>0</v>
      </c>
      <c r="P68" s="285" t="n">
        <v>4.266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0</v>
      </c>
      <c r="H70" s="277" t="n">
        <v>0</v>
      </c>
      <c r="I70" s="277" t="n">
        <v>0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0</v>
      </c>
      <c r="O70" s="277" t="n">
        <v>0</v>
      </c>
      <c r="P70" s="277" t="n">
        <v>0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0</v>
      </c>
      <c r="G75" s="318" t="n">
        <v>6139.904</v>
      </c>
      <c r="H75" s="318" t="n">
        <v>0</v>
      </c>
      <c r="I75" s="318" t="n">
        <v>0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0</v>
      </c>
      <c r="N75" s="318" t="n">
        <v>115.904</v>
      </c>
      <c r="O75" s="318" t="n">
        <v>0</v>
      </c>
      <c r="P75" s="318" t="n">
        <v>0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29803.714</v>
      </c>
      <c r="G76" s="260" t="n">
        <v>30768.325</v>
      </c>
      <c r="H76" s="260" t="n">
        <v>34300</v>
      </c>
      <c r="I76" s="260" t="n">
        <v>23660.445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3770.767</v>
      </c>
      <c r="N76" s="260" t="n">
        <v>4390.406</v>
      </c>
      <c r="O76" s="260" t="n">
        <v>4950</v>
      </c>
      <c r="P76" s="260" t="n">
        <v>4850.286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83</v>
      </c>
      <c r="G78" s="276" t="n">
        <v>23</v>
      </c>
      <c r="H78" s="276" t="n">
        <v>500</v>
      </c>
      <c r="I78" s="276" t="n">
        <v>286.455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1</v>
      </c>
      <c r="N78" s="276" t="n">
        <v>1</v>
      </c>
      <c r="O78" s="276" t="n">
        <v>50</v>
      </c>
      <c r="P78" s="276" t="n">
        <v>25.625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0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5858.116</v>
      </c>
      <c r="G82" s="285" t="n">
        <v>5607.593</v>
      </c>
      <c r="H82" s="285" t="n">
        <v>6550</v>
      </c>
      <c r="I82" s="285" t="n">
        <v>6788.099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1098.501</v>
      </c>
      <c r="N82" s="285" t="n">
        <v>1156.275</v>
      </c>
      <c r="O82" s="285" t="n">
        <v>1330</v>
      </c>
      <c r="P82" s="285" t="n">
        <v>1199.07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70</v>
      </c>
      <c r="G84" s="277" t="n">
        <v>18</v>
      </c>
      <c r="H84" s="277" t="n">
        <v>250</v>
      </c>
      <c r="I84" s="277" t="n">
        <v>0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7</v>
      </c>
      <c r="N84" s="277" t="n">
        <v>1</v>
      </c>
      <c r="O84" s="277" t="n">
        <v>30</v>
      </c>
      <c r="P84" s="277" t="n">
        <v>0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13852.311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2388.065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0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0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195.075</v>
      </c>
      <c r="G88" s="285" t="n">
        <v>395.325</v>
      </c>
      <c r="H88" s="285" t="n">
        <v>0</v>
      </c>
      <c r="I88" s="285" t="n">
        <v>0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53.971</v>
      </c>
      <c r="N88" s="285" t="n">
        <v>121.105</v>
      </c>
      <c r="O88" s="285" t="n">
        <v>0</v>
      </c>
      <c r="P88" s="285" t="n">
        <v>0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0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2241.943</v>
      </c>
      <c r="G91" s="285" t="n">
        <v>3566.672</v>
      </c>
      <c r="H91" s="285" t="n">
        <v>4140</v>
      </c>
      <c r="I91" s="285" t="n">
        <v>5422.219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264.976</v>
      </c>
      <c r="N91" s="285" t="n">
        <v>421.772</v>
      </c>
      <c r="O91" s="285" t="n">
        <v>530</v>
      </c>
      <c r="P91" s="285" t="n">
        <v>715.4935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54</v>
      </c>
      <c r="G93" s="277" t="n">
        <v>29</v>
      </c>
      <c r="H93" s="277" t="n">
        <v>250</v>
      </c>
      <c r="I93" s="277" t="n">
        <v>76.59999999999999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14</v>
      </c>
      <c r="N93" s="277" t="n">
        <v>4</v>
      </c>
      <c r="O93" s="277" t="n">
        <v>30</v>
      </c>
      <c r="P93" s="277" t="n">
        <v>14.72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26">
        <f>M78+M87+M90+M93</f>
        <v/>
      </c>
      <c r="N96" s="227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2707.683</v>
      </c>
      <c r="G100" s="260" t="n">
        <v>1678.593</v>
      </c>
      <c r="H100" s="260" t="n">
        <v>2090</v>
      </c>
      <c r="I100" s="260" t="n">
        <v>1726.807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563.2789999999999</v>
      </c>
      <c r="N100" s="260" t="n">
        <v>329.8500000000001</v>
      </c>
      <c r="O100" s="260" t="n">
        <v>480</v>
      </c>
      <c r="P100" s="260" t="n">
        <v>465.365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105" t="inlineStr">
        <is>
          <t>包装資材</t>
        </is>
      </c>
      <c r="F101" s="268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228</v>
      </c>
      <c r="G102" s="276" t="n">
        <v>68</v>
      </c>
      <c r="H102" s="276" t="n">
        <v>200</v>
      </c>
      <c r="I102" s="276" t="n">
        <v>95.95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65</v>
      </c>
      <c r="N102" s="276" t="n">
        <v>14</v>
      </c>
      <c r="O102" s="276" t="n">
        <v>70</v>
      </c>
      <c r="P102" s="276" t="n">
        <v>31.3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8433.195</v>
      </c>
      <c r="G103" s="285" t="n">
        <v>94774.13499999999</v>
      </c>
      <c r="H103" s="285" t="n">
        <v>18000</v>
      </c>
      <c r="I103" s="285" t="n">
        <v>13005.837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1946.27</v>
      </c>
      <c r="N103" s="285" t="n">
        <v>16143.789</v>
      </c>
      <c r="O103" s="285" t="n">
        <v>3480</v>
      </c>
      <c r="P103" s="285" t="n">
        <v>2594.545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265</v>
      </c>
      <c r="G105" s="277" t="n">
        <v>82542</v>
      </c>
      <c r="H105" s="277" t="n">
        <v>5000</v>
      </c>
      <c r="I105" s="277" t="n">
        <v>2776.22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47</v>
      </c>
      <c r="N105" s="277" t="n">
        <v>13969</v>
      </c>
      <c r="O105" s="277" t="n">
        <v>1000</v>
      </c>
      <c r="P105" s="277" t="n">
        <v>427.306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6436.907999999999</v>
      </c>
      <c r="G106" s="285" t="n">
        <v>10570.955</v>
      </c>
      <c r="H106" s="285" t="n">
        <v>9160</v>
      </c>
      <c r="I106" s="285" t="n">
        <v>8694.421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1134.483</v>
      </c>
      <c r="N106" s="285" t="n">
        <v>2207.566000000001</v>
      </c>
      <c r="O106" s="285" t="n">
        <v>1830</v>
      </c>
      <c r="P106" s="285" t="n">
        <v>1564.721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227</v>
      </c>
      <c r="G108" s="277" t="n">
        <v>2238</v>
      </c>
      <c r="H108" s="277" t="n">
        <v>700</v>
      </c>
      <c r="I108" s="277" t="n">
        <v>430.34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109</v>
      </c>
      <c r="N108" s="277" t="n">
        <v>681</v>
      </c>
      <c r="O108" s="277" t="n">
        <v>250</v>
      </c>
      <c r="P108" s="277" t="n">
        <v>181.44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0</v>
      </c>
      <c r="G109" s="285" t="n">
        <v>0</v>
      </c>
      <c r="H109" s="285" t="n">
        <v>0</v>
      </c>
      <c r="I109" s="285" t="n">
        <v>0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0</v>
      </c>
      <c r="N109" s="285" t="n">
        <v>0</v>
      </c>
      <c r="O109" s="285" t="n">
        <v>0</v>
      </c>
      <c r="P109" s="285" t="n">
        <v>0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0</v>
      </c>
      <c r="G111" s="277" t="n">
        <v>0</v>
      </c>
      <c r="H111" s="277" t="n">
        <v>0</v>
      </c>
      <c r="I111" s="277" t="n">
        <v>0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0</v>
      </c>
      <c r="N111" s="277" t="n">
        <v>0</v>
      </c>
      <c r="O111" s="277" t="n">
        <v>0</v>
      </c>
      <c r="P111" s="277" t="n">
        <v>0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8467.791000000001</v>
      </c>
      <c r="G112" s="285" t="n">
        <v>6927.711000000001</v>
      </c>
      <c r="H112" s="285" t="n">
        <v>8000</v>
      </c>
      <c r="I112" s="285" t="n">
        <v>9474.611999999999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1504.084</v>
      </c>
      <c r="N112" s="285" t="n">
        <v>1138.342</v>
      </c>
      <c r="O112" s="285" t="n">
        <v>1480</v>
      </c>
      <c r="P112" s="285" t="n">
        <v>1573.26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237</v>
      </c>
      <c r="G114" s="277" t="n">
        <v>402</v>
      </c>
      <c r="H114" s="277" t="n">
        <v>700</v>
      </c>
      <c r="I114" s="277" t="n">
        <v>248.8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52</v>
      </c>
      <c r="N114" s="277" t="n">
        <v>77</v>
      </c>
      <c r="O114" s="277" t="n">
        <v>180</v>
      </c>
      <c r="P114" s="277" t="n">
        <v>59.55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18835.421</v>
      </c>
      <c r="G115" s="285" t="n">
        <v>8043.705</v>
      </c>
      <c r="H115" s="285" t="n">
        <v>10000</v>
      </c>
      <c r="I115" s="285" t="n">
        <v>8513.204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4384.139999999999</v>
      </c>
      <c r="N115" s="285" t="n">
        <v>1698.655</v>
      </c>
      <c r="O115" s="285" t="n">
        <v>2030</v>
      </c>
      <c r="P115" s="285" t="n">
        <v>2123.723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326</v>
      </c>
      <c r="G117" s="277" t="n">
        <v>427</v>
      </c>
      <c r="H117" s="277" t="n">
        <v>1500</v>
      </c>
      <c r="I117" s="277" t="n">
        <v>783.25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89</v>
      </c>
      <c r="N117" s="277" t="n">
        <v>158</v>
      </c>
      <c r="O117" s="277" t="n">
        <v>300</v>
      </c>
      <c r="P117" s="277" t="n">
        <v>242.149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232.15</v>
      </c>
      <c r="G118" s="285" t="n">
        <v>21.15</v>
      </c>
      <c r="H118" s="285" t="n">
        <v>530</v>
      </c>
      <c r="I118" s="285" t="n">
        <v>314.45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73.45</v>
      </c>
      <c r="N118" s="285" t="n">
        <v>5.8</v>
      </c>
      <c r="O118" s="285" t="n">
        <v>100</v>
      </c>
      <c r="P118" s="285" t="n">
        <v>59.63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35</v>
      </c>
      <c r="G120" s="277" t="n">
        <v>2</v>
      </c>
      <c r="H120" s="277" t="n">
        <v>400</v>
      </c>
      <c r="I120" s="277" t="n">
        <v>314.45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29</v>
      </c>
      <c r="N120" s="277" t="n">
        <v>0</v>
      </c>
      <c r="O120" s="277" t="n">
        <v>80</v>
      </c>
      <c r="P120" s="277" t="n">
        <v>59.63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39.02500000000001</v>
      </c>
      <c r="G121" s="285" t="n">
        <v>32.296</v>
      </c>
      <c r="H121" s="285" t="n">
        <v>30</v>
      </c>
      <c r="I121" s="285" t="n">
        <v>0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6.324999999999999</v>
      </c>
      <c r="N121" s="285" t="n">
        <v>8.956</v>
      </c>
      <c r="O121" s="285" t="n">
        <v>10</v>
      </c>
      <c r="P121" s="285" t="n">
        <v>0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0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0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0</v>
      </c>
      <c r="G124" s="285" t="n">
        <v>0</v>
      </c>
      <c r="H124" s="285" t="n">
        <v>0</v>
      </c>
      <c r="I124" s="285" t="n">
        <v>156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0</v>
      </c>
      <c r="N124" s="285" t="n">
        <v>0</v>
      </c>
      <c r="O124" s="285" t="n">
        <v>0</v>
      </c>
      <c r="P124" s="285" t="n">
        <v>4.8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232.15</v>
      </c>
      <c r="G131" s="329" t="n">
        <v>21.15</v>
      </c>
      <c r="H131" s="329" t="n">
        <v>530</v>
      </c>
      <c r="I131" s="329" t="n">
        <v>314.45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73.45</v>
      </c>
      <c r="N131" s="303" t="n">
        <v>5.8</v>
      </c>
      <c r="O131" s="303" t="n">
        <v>100</v>
      </c>
      <c r="P131" s="303" t="n">
        <v>59.63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27052.538</v>
      </c>
      <c r="G135" s="346" t="n">
        <v>26566.747</v>
      </c>
      <c r="H135" s="347" t="n">
        <v>28670</v>
      </c>
      <c r="I135" s="348" t="n">
        <v>32703.688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8027.116</v>
      </c>
      <c r="N135" s="346" t="n">
        <v>7803.715</v>
      </c>
      <c r="O135" s="347" t="n">
        <v>8170</v>
      </c>
      <c r="P135" s="348" t="n">
        <v>8776.157000000001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6750.28</v>
      </c>
      <c r="G137" s="360" t="n">
        <v>3372.415</v>
      </c>
      <c r="H137" s="361" t="n">
        <v>3840</v>
      </c>
      <c r="I137" s="361" t="n">
        <v>3402.158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4107.718000000001</v>
      </c>
      <c r="N137" s="360" t="n">
        <v>2118.043</v>
      </c>
      <c r="O137" s="361" t="n">
        <v>2380</v>
      </c>
      <c r="P137" s="361" t="n">
        <v>2241.816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124.2</v>
      </c>
      <c r="G138" s="363" t="n">
        <v>90.48</v>
      </c>
      <c r="H138" s="363" t="n">
        <v>90</v>
      </c>
      <c r="I138" s="363" t="n">
        <v>50.38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17.16</v>
      </c>
      <c r="N138" s="363" t="n">
        <v>5.48</v>
      </c>
      <c r="O138" s="363" t="n">
        <v>20</v>
      </c>
      <c r="P138" s="363" t="n">
        <v>8.91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1570</v>
      </c>
      <c r="G143" s="389" t="n">
        <v>1190</v>
      </c>
      <c r="H143" s="389" t="n">
        <v>1360</v>
      </c>
      <c r="I143" s="389" t="n">
        <v>3950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1040</v>
      </c>
      <c r="N143" s="389" t="n">
        <v>750</v>
      </c>
      <c r="O143" s="389" t="n">
        <v>880</v>
      </c>
      <c r="P143" s="389" t="n">
        <v>1723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  <rowBreaks count="4" manualBreakCount="4">
    <brk id="29" min="0" max="16383" man="1"/>
    <brk id="55" min="0" max="16383" man="1"/>
    <brk id="75" min="0" max="16383" man="1"/>
    <brk id="9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tabSelected="1" topLeftCell="A37" workbookViewId="0">
      <selection activeCell="I103" sqref="I103:I104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9.5" customWidth="1" style="236" min="8" max="9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2．下期累計実績（4〜8月）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令和6年4〜8月</t>
        </is>
      </c>
      <c r="G5" s="246" t="inlineStr">
        <is>
          <t>令和7年4〜8月</t>
        </is>
      </c>
      <c r="H5" s="246" t="inlineStr">
        <is>
          <t>令和8年4〜8月</t>
        </is>
      </c>
      <c r="I5" s="246" t="inlineStr">
        <is>
          <t>令和8年4〜8月</t>
        </is>
      </c>
      <c r="J5" s="247" t="n"/>
      <c r="K5" s="247" t="n"/>
      <c r="L5" s="248" t="n"/>
      <c r="M5" s="245" t="inlineStr">
        <is>
          <t>令和6年4〜8月</t>
        </is>
      </c>
      <c r="N5" s="246" t="inlineStr">
        <is>
          <t>令和7年4〜8月</t>
        </is>
      </c>
      <c r="O5" s="246" t="inlineStr">
        <is>
          <t>令和8年4〜8月</t>
        </is>
      </c>
      <c r="P5" s="246" t="inlineStr">
        <is>
          <t>令和8年4〜8月</t>
        </is>
      </c>
      <c r="Q5" s="247" t="n"/>
      <c r="R5" s="247" t="n"/>
      <c r="S5" s="249" t="n"/>
      <c r="T5" s="245" t="inlineStr">
        <is>
          <t>令和6年4〜8月</t>
        </is>
      </c>
      <c r="U5" s="246" t="inlineStr">
        <is>
          <t>令和7年4〜8月</t>
        </is>
      </c>
      <c r="V5" s="246" t="inlineStr">
        <is>
          <t>令和8年4〜8月</t>
        </is>
      </c>
      <c r="W5" s="246" t="inlineStr">
        <is>
          <t>令和8年4〜8月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91598.68700000001</v>
      </c>
      <c r="G7" s="260" t="n">
        <v>84149.004</v>
      </c>
      <c r="H7" s="260" t="n">
        <v>100170</v>
      </c>
      <c r="I7" s="260" t="n">
        <v>91442.867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21503.6837</v>
      </c>
      <c r="N7" s="260" t="n">
        <v>22430.781</v>
      </c>
      <c r="O7" s="260" t="n">
        <v>24270</v>
      </c>
      <c r="P7" s="260" t="n">
        <v>23574.884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10435.02</v>
      </c>
      <c r="G9" s="276" t="n">
        <v>1707.444</v>
      </c>
      <c r="H9" s="276" t="n">
        <v>5000</v>
      </c>
      <c r="I9" s="277" t="n">
        <v>2671.163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1857.386</v>
      </c>
      <c r="N9" s="276" t="n">
        <v>626.3956000000001</v>
      </c>
      <c r="O9" s="276" t="n">
        <v>800</v>
      </c>
      <c r="P9" s="277" t="n">
        <v>805.372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39658.443</v>
      </c>
      <c r="G10" s="285" t="n">
        <v>37245.22399999999</v>
      </c>
      <c r="H10" s="285" t="n">
        <v>44580</v>
      </c>
      <c r="I10" s="285" t="n">
        <v>52050.339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11208.023</v>
      </c>
      <c r="N10" s="285" t="n">
        <v>10474.658</v>
      </c>
      <c r="O10" s="285" t="n">
        <v>11900</v>
      </c>
      <c r="P10" s="285" t="n">
        <v>14725.357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2223.2</v>
      </c>
      <c r="G12" s="277" t="n">
        <v>561.895</v>
      </c>
      <c r="H12" s="277" t="n">
        <v>5000</v>
      </c>
      <c r="I12" s="277" t="n">
        <v>1345.29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790.8099999999999</v>
      </c>
      <c r="N12" s="277" t="n">
        <v>112.618</v>
      </c>
      <c r="O12" s="277" t="n">
        <v>800</v>
      </c>
      <c r="P12" s="277" t="n">
        <v>127.588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95023.72499999999</v>
      </c>
      <c r="G13" s="285" t="n">
        <v>99912.88500000001</v>
      </c>
      <c r="H13" s="285" t="n">
        <v>104110</v>
      </c>
      <c r="I13" s="285" t="n">
        <v>112463.558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31035.269</v>
      </c>
      <c r="N13" s="285" t="n">
        <v>34174.401</v>
      </c>
      <c r="O13" s="285" t="n">
        <v>34060</v>
      </c>
      <c r="P13" s="285" t="n">
        <v>39255.364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1034.374</v>
      </c>
      <c r="G15" s="277" t="n">
        <v>721.0605</v>
      </c>
      <c r="H15" s="277" t="n">
        <v>5000</v>
      </c>
      <c r="I15" s="277" t="n">
        <v>968.7360000000001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245.085</v>
      </c>
      <c r="N15" s="277" t="n">
        <v>216.831</v>
      </c>
      <c r="O15" s="277" t="n">
        <v>800</v>
      </c>
      <c r="P15" s="277" t="n">
        <v>178.543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100172.787</v>
      </c>
      <c r="G16" s="285" t="n">
        <v>85350.66299999999</v>
      </c>
      <c r="H16" s="285" t="n">
        <v>96530</v>
      </c>
      <c r="I16" s="285" t="n">
        <v>102658.616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22216.8795</v>
      </c>
      <c r="N16" s="285" t="n">
        <v>21288.5946</v>
      </c>
      <c r="O16" s="285" t="n">
        <v>22840</v>
      </c>
      <c r="P16" s="285" t="n">
        <v>28216.1004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9502.705</v>
      </c>
      <c r="G18" s="277" t="n">
        <v>3024.351</v>
      </c>
      <c r="H18" s="277" t="n">
        <v>5000</v>
      </c>
      <c r="I18" s="277" t="n">
        <v>2802.319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1361.598</v>
      </c>
      <c r="N18" s="277" t="n">
        <v>625.4100000000001</v>
      </c>
      <c r="O18" s="277" t="n">
        <v>800</v>
      </c>
      <c r="P18" s="277" t="n">
        <v>545.122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3969.036999999999</v>
      </c>
      <c r="G19" s="285" t="n">
        <v>8616.858</v>
      </c>
      <c r="H19" s="285" t="n">
        <v>6560</v>
      </c>
      <c r="I19" s="285" t="n">
        <v>4474.934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633.4350000000001</v>
      </c>
      <c r="N19" s="285" t="n">
        <v>996.559</v>
      </c>
      <c r="O19" s="285" t="n">
        <v>850</v>
      </c>
      <c r="P19" s="285" t="n">
        <v>766.933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11</v>
      </c>
      <c r="G21" s="277" t="n">
        <v>128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11</v>
      </c>
      <c r="N21" s="277" t="n">
        <v>53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6820.064</v>
      </c>
      <c r="G22" s="285" t="n">
        <v>923.977</v>
      </c>
      <c r="H22" s="285" t="n">
        <v>6700</v>
      </c>
      <c r="I22" s="285" t="n">
        <v>1335.377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851.0580000000001</v>
      </c>
      <c r="N22" s="285" t="n">
        <v>88.964</v>
      </c>
      <c r="O22" s="285" t="n">
        <v>1050</v>
      </c>
      <c r="P22" s="285" t="n">
        <v>154.084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6820.064</v>
      </c>
      <c r="G29" s="292" t="n">
        <v>923.977</v>
      </c>
      <c r="H29" s="292" t="n">
        <v>6700</v>
      </c>
      <c r="I29" s="292" t="n">
        <v>1335.377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851.0580000000001</v>
      </c>
      <c r="N29" s="292" t="n">
        <v>88.964</v>
      </c>
      <c r="O29" s="292" t="n">
        <v>1050</v>
      </c>
      <c r="P29" s="292" t="n">
        <v>154.084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52912.36000000001</v>
      </c>
      <c r="G30" s="260" t="n">
        <v>50686.444</v>
      </c>
      <c r="H30" s="260" t="n">
        <v>53500</v>
      </c>
      <c r="I30" s="260" t="n">
        <v>53693.766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11717.636</v>
      </c>
      <c r="N30" s="260" t="n">
        <v>11954.714</v>
      </c>
      <c r="O30" s="260" t="n">
        <v>12400</v>
      </c>
      <c r="P30" s="260" t="n">
        <v>11988.135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1248</v>
      </c>
      <c r="G32" s="276" t="n">
        <v>408</v>
      </c>
      <c r="H32" s="276" t="n">
        <v>750</v>
      </c>
      <c r="I32" s="276" t="n">
        <v>315.6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259</v>
      </c>
      <c r="N32" s="276" t="n">
        <v>68</v>
      </c>
      <c r="O32" s="276" t="n">
        <v>125</v>
      </c>
      <c r="P32" s="276" t="n">
        <v>54.405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60974.567</v>
      </c>
      <c r="G33" s="285" t="n">
        <v>64187.341</v>
      </c>
      <c r="H33" s="285" t="n">
        <v>68900</v>
      </c>
      <c r="I33" s="285" t="n">
        <v>79940.632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12698.944</v>
      </c>
      <c r="N33" s="285" t="n">
        <v>13492.323</v>
      </c>
      <c r="O33" s="285" t="n">
        <v>14150</v>
      </c>
      <c r="P33" s="285" t="n">
        <v>15336.829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453</v>
      </c>
      <c r="G35" s="277" t="n">
        <v>535</v>
      </c>
      <c r="H35" s="277" t="n">
        <v>3240</v>
      </c>
      <c r="I35" s="277" t="n">
        <v>4357.02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2</v>
      </c>
      <c r="N35" s="277" t="n">
        <v>192</v>
      </c>
      <c r="O35" s="277" t="n">
        <v>430</v>
      </c>
      <c r="P35" s="277" t="n">
        <v>579.957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43096.823</v>
      </c>
      <c r="G36" s="285" t="n">
        <v>38065.709</v>
      </c>
      <c r="H36" s="285" t="n">
        <v>40900</v>
      </c>
      <c r="I36" s="285" t="n">
        <v>46608.49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7660.638000000001</v>
      </c>
      <c r="N36" s="285" t="n">
        <v>7162.599000000001</v>
      </c>
      <c r="O36" s="285" t="n">
        <v>7750</v>
      </c>
      <c r="P36" s="285" t="n">
        <v>9976.315000000001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942</v>
      </c>
      <c r="G38" s="277" t="n">
        <v>1988</v>
      </c>
      <c r="H38" s="277" t="n">
        <v>750</v>
      </c>
      <c r="I38" s="277" t="n">
        <v>135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130</v>
      </c>
      <c r="N38" s="277" t="n">
        <v>204</v>
      </c>
      <c r="O38" s="277" t="n">
        <v>125</v>
      </c>
      <c r="P38" s="277" t="n">
        <v>17.96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60586.115</v>
      </c>
      <c r="G39" s="285" t="n">
        <v>62559.764</v>
      </c>
      <c r="H39" s="285" t="n">
        <v>64000</v>
      </c>
      <c r="I39" s="285" t="n">
        <v>65153.326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11568.325</v>
      </c>
      <c r="N39" s="285" t="n">
        <v>12075.443</v>
      </c>
      <c r="O39" s="285" t="n">
        <v>12400</v>
      </c>
      <c r="P39" s="285" t="n">
        <v>13651.625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466</v>
      </c>
      <c r="G41" s="277" t="n">
        <v>981</v>
      </c>
      <c r="H41" s="277" t="n">
        <v>400</v>
      </c>
      <c r="I41" s="277" t="n">
        <v>1516.73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91</v>
      </c>
      <c r="N41" s="277" t="n">
        <v>116</v>
      </c>
      <c r="O41" s="277" t="n">
        <v>80</v>
      </c>
      <c r="P41" s="277" t="n">
        <v>240.3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3244.418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177.043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107.5</v>
      </c>
      <c r="H45" s="277" t="n">
        <v>100</v>
      </c>
      <c r="I45" s="277" t="n">
        <v>163.3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3.6</v>
      </c>
      <c r="O45" s="277" t="n">
        <v>10</v>
      </c>
      <c r="P45" s="277" t="n">
        <v>5.35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100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10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77</v>
      </c>
      <c r="G48" s="285" t="n">
        <v>129.8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17.245</v>
      </c>
      <c r="N48" s="285" t="n">
        <v>21.58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47008.016</v>
      </c>
      <c r="G56" s="260" t="n">
        <v>48375.155</v>
      </c>
      <c r="H56" s="260" t="n">
        <v>52930</v>
      </c>
      <c r="I56" s="260" t="n">
        <v>57126.715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13372.313</v>
      </c>
      <c r="N56" s="260" t="n">
        <v>15229.947</v>
      </c>
      <c r="O56" s="260" t="n">
        <v>15880</v>
      </c>
      <c r="P56" s="260" t="n">
        <v>18603.034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3369</v>
      </c>
      <c r="G58" s="276" t="n">
        <v>465</v>
      </c>
      <c r="H58" s="276" t="n">
        <v>1000</v>
      </c>
      <c r="I58" s="276" t="n">
        <v>1380.9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710</v>
      </c>
      <c r="N58" s="276" t="n">
        <v>107</v>
      </c>
      <c r="O58" s="276" t="n">
        <v>250</v>
      </c>
      <c r="P58" s="276" t="n">
        <v>292.607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45363.253</v>
      </c>
      <c r="G59" s="285" t="n">
        <v>44652.719</v>
      </c>
      <c r="H59" s="285" t="n">
        <v>49950</v>
      </c>
      <c r="I59" s="285" t="n">
        <v>65798.66200000001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9800.9944</v>
      </c>
      <c r="N59" s="285" t="n">
        <v>11187.1956</v>
      </c>
      <c r="O59" s="285" t="n">
        <v>11660</v>
      </c>
      <c r="P59" s="285" t="n">
        <v>14709.1601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1224</v>
      </c>
      <c r="G61" s="277" t="n">
        <v>1634</v>
      </c>
      <c r="H61" s="277" t="n">
        <v>1900</v>
      </c>
      <c r="I61" s="277" t="n">
        <v>3835.974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234</v>
      </c>
      <c r="N61" s="277" t="n">
        <v>324</v>
      </c>
      <c r="O61" s="277" t="n">
        <v>340</v>
      </c>
      <c r="P61" s="277" t="n">
        <v>851.548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40748.649</v>
      </c>
      <c r="G62" s="277" t="n">
        <v>42048.463</v>
      </c>
      <c r="H62" s="277" t="n">
        <v>45960</v>
      </c>
      <c r="I62" s="277" t="n">
        <v>50137.305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9099.399000000001</v>
      </c>
      <c r="N62" s="277" t="n">
        <v>10053.679</v>
      </c>
      <c r="O62" s="277" t="n">
        <v>10630</v>
      </c>
      <c r="P62" s="277" t="n">
        <v>12890.218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97</v>
      </c>
      <c r="G64" s="277" t="n">
        <v>0</v>
      </c>
      <c r="H64" s="277" t="n">
        <v>500</v>
      </c>
      <c r="I64" s="277" t="n">
        <v>660.39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19</v>
      </c>
      <c r="N64" s="277" t="n">
        <v>0</v>
      </c>
      <c r="O64" s="277" t="n">
        <v>100</v>
      </c>
      <c r="P64" s="277" t="n">
        <v>139.75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22412.66</v>
      </c>
      <c r="G65" s="285" t="n">
        <v>28900.58</v>
      </c>
      <c r="H65" s="285" t="n">
        <v>0</v>
      </c>
      <c r="I65" s="285" t="n">
        <v>0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395.6</v>
      </c>
      <c r="N65" s="285" t="n">
        <v>505.27</v>
      </c>
      <c r="O65" s="285" t="n">
        <v>0</v>
      </c>
      <c r="P65" s="285" t="n">
        <v>0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195.51</v>
      </c>
      <c r="G68" s="285" t="n">
        <v>51.75000000000001</v>
      </c>
      <c r="H68" s="285" t="n">
        <v>0</v>
      </c>
      <c r="I68" s="285" t="n">
        <v>27.71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54.012</v>
      </c>
      <c r="N68" s="285" t="n">
        <v>12.975</v>
      </c>
      <c r="O68" s="285" t="n">
        <v>0</v>
      </c>
      <c r="P68" s="285" t="n">
        <v>8.571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21</v>
      </c>
      <c r="H70" s="277" t="n">
        <v>0</v>
      </c>
      <c r="I70" s="277" t="n">
        <v>8.5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5</v>
      </c>
      <c r="O70" s="277" t="n">
        <v>0</v>
      </c>
      <c r="P70" s="277" t="n">
        <v>1.5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22412.66</v>
      </c>
      <c r="G75" s="318" t="n">
        <v>28900.58</v>
      </c>
      <c r="H75" s="318" t="n">
        <v>0</v>
      </c>
      <c r="I75" s="318" t="n">
        <v>0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395.6</v>
      </c>
      <c r="N75" s="318" t="n">
        <v>505.27</v>
      </c>
      <c r="O75" s="318" t="n">
        <v>0</v>
      </c>
      <c r="P75" s="318" t="n">
        <v>0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137443.101</v>
      </c>
      <c r="G76" s="260" t="n">
        <v>146890.634</v>
      </c>
      <c r="H76" s="260" t="n">
        <v>157800</v>
      </c>
      <c r="I76" s="260" t="n">
        <v>105240.219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18981.684</v>
      </c>
      <c r="N76" s="260" t="n">
        <v>21591.84</v>
      </c>
      <c r="O76" s="260" t="n">
        <v>22810</v>
      </c>
      <c r="P76" s="260" t="n">
        <v>22589.804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326</v>
      </c>
      <c r="G78" s="276" t="n">
        <v>366</v>
      </c>
      <c r="H78" s="276" t="n">
        <v>2500</v>
      </c>
      <c r="I78" s="276" t="n">
        <v>433.675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10</v>
      </c>
      <c r="N78" s="276" t="n">
        <v>12</v>
      </c>
      <c r="O78" s="276" t="n">
        <v>250</v>
      </c>
      <c r="P78" s="276" t="n">
        <v>42.145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3.3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0.53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26612.524</v>
      </c>
      <c r="G82" s="285" t="n">
        <v>29285.01</v>
      </c>
      <c r="H82" s="285" t="n">
        <v>31830</v>
      </c>
      <c r="I82" s="285" t="n">
        <v>30332.42200000001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4812.742</v>
      </c>
      <c r="N82" s="285" t="n">
        <v>5646.653</v>
      </c>
      <c r="O82" s="285" t="n">
        <v>6315</v>
      </c>
      <c r="P82" s="285" t="n">
        <v>5968.973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266</v>
      </c>
      <c r="G84" s="277" t="n">
        <v>44</v>
      </c>
      <c r="H84" s="277" t="n">
        <v>1250</v>
      </c>
      <c r="I84" s="277" t="n">
        <v>370.506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26</v>
      </c>
      <c r="N84" s="277" t="n">
        <v>12</v>
      </c>
      <c r="O84" s="277" t="n">
        <v>150</v>
      </c>
      <c r="P84" s="277" t="n">
        <v>11.896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68916.38800000001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12854.797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22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2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778.0400000000002</v>
      </c>
      <c r="G88" s="285" t="n">
        <v>2165.448</v>
      </c>
      <c r="H88" s="285" t="n">
        <v>0</v>
      </c>
      <c r="I88" s="285" t="n">
        <v>547.675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269.496</v>
      </c>
      <c r="N88" s="285" t="n">
        <v>744.728</v>
      </c>
      <c r="O88" s="285" t="n">
        <v>0</v>
      </c>
      <c r="P88" s="285" t="n">
        <v>303.375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4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13231.87</v>
      </c>
      <c r="G91" s="285" t="n">
        <v>30710.611</v>
      </c>
      <c r="H91" s="285" t="n">
        <v>31390</v>
      </c>
      <c r="I91" s="285" t="n">
        <v>25465.172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1355.7605</v>
      </c>
      <c r="N91" s="285" t="n">
        <v>3827.782</v>
      </c>
      <c r="O91" s="285" t="n">
        <v>3925</v>
      </c>
      <c r="P91" s="285" t="n">
        <v>3184.4425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143</v>
      </c>
      <c r="G93" s="277" t="n">
        <v>202</v>
      </c>
      <c r="H93" s="277" t="n">
        <v>1250</v>
      </c>
      <c r="I93" s="277" t="n">
        <v>303.5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29</v>
      </c>
      <c r="N93" s="277" t="n">
        <v>85</v>
      </c>
      <c r="O93" s="277" t="n">
        <v>150</v>
      </c>
      <c r="P93" s="277" t="n">
        <v>60.87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75">
        <f>M78+M87+M90+M93</f>
        <v/>
      </c>
      <c r="N96" s="276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12701.325</v>
      </c>
      <c r="G100" s="260" t="n">
        <v>11083.116</v>
      </c>
      <c r="H100" s="260" t="n">
        <v>11860</v>
      </c>
      <c r="I100" s="260" t="n">
        <v>14215.404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2499.712</v>
      </c>
      <c r="N100" s="260" t="n">
        <v>2343.213</v>
      </c>
      <c r="O100" s="260" t="n">
        <v>2620</v>
      </c>
      <c r="P100" s="260" t="n">
        <v>2943.303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228" t="inlineStr">
        <is>
          <t>包装資材</t>
        </is>
      </c>
      <c r="F101" s="290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601</v>
      </c>
      <c r="G102" s="276" t="n">
        <v>672</v>
      </c>
      <c r="H102" s="276" t="n">
        <v>1000</v>
      </c>
      <c r="I102" s="276" t="n">
        <v>2548.26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172</v>
      </c>
      <c r="N102" s="276" t="n">
        <v>229</v>
      </c>
      <c r="O102" s="276" t="n">
        <v>320</v>
      </c>
      <c r="P102" s="276" t="n">
        <v>482.515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73092.29399999999</v>
      </c>
      <c r="G103" s="285" t="n">
        <v>139564.629</v>
      </c>
      <c r="H103" s="285" t="n">
        <v>84250</v>
      </c>
      <c r="I103" s="285" t="n">
        <v>64034.965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15137.176</v>
      </c>
      <c r="N103" s="285" t="n">
        <v>25577.933</v>
      </c>
      <c r="O103" s="285" t="n">
        <v>17340</v>
      </c>
      <c r="P103" s="285" t="n">
        <v>13052.054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28095</v>
      </c>
      <c r="G105" s="277" t="n">
        <v>85131</v>
      </c>
      <c r="H105" s="277" t="n">
        <v>25000</v>
      </c>
      <c r="I105" s="277" t="n">
        <v>5510.094999999999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5731</v>
      </c>
      <c r="N105" s="277" t="n">
        <v>14448</v>
      </c>
      <c r="O105" s="277" t="n">
        <v>5000</v>
      </c>
      <c r="P105" s="277" t="n">
        <v>911.421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35192.72100000001</v>
      </c>
      <c r="G106" s="285" t="n">
        <v>43260.65300000001</v>
      </c>
      <c r="H106" s="285" t="n">
        <v>59640</v>
      </c>
      <c r="I106" s="285" t="n">
        <v>64188.93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6053.036</v>
      </c>
      <c r="N106" s="285" t="n">
        <v>8764.833000000001</v>
      </c>
      <c r="O106" s="285" t="n">
        <v>13490</v>
      </c>
      <c r="P106" s="285" t="n">
        <v>13633.684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2154</v>
      </c>
      <c r="G108" s="277" t="n">
        <v>8206</v>
      </c>
      <c r="H108" s="277" t="n">
        <v>21500</v>
      </c>
      <c r="I108" s="277" t="n">
        <v>27680.26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824</v>
      </c>
      <c r="N108" s="277" t="n">
        <v>2710</v>
      </c>
      <c r="O108" s="277" t="n">
        <v>6410</v>
      </c>
      <c r="P108" s="277" t="n">
        <v>7685.669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11613.707</v>
      </c>
      <c r="G109" s="285" t="n">
        <v>5699.036</v>
      </c>
      <c r="H109" s="285" t="n">
        <v>13800</v>
      </c>
      <c r="I109" s="285" t="n">
        <v>9037.527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2121.375</v>
      </c>
      <c r="N109" s="285" t="n">
        <v>1110.796</v>
      </c>
      <c r="O109" s="285" t="n">
        <v>2280</v>
      </c>
      <c r="P109" s="285" t="n">
        <v>1842.737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6810</v>
      </c>
      <c r="G111" s="277" t="n">
        <v>325</v>
      </c>
      <c r="H111" s="277" t="n">
        <v>3000</v>
      </c>
      <c r="I111" s="277" t="n">
        <v>1371.99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1306</v>
      </c>
      <c r="N111" s="277" t="n">
        <v>96</v>
      </c>
      <c r="O111" s="277" t="n">
        <v>750</v>
      </c>
      <c r="P111" s="277" t="n">
        <v>347.051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44386.368</v>
      </c>
      <c r="G112" s="285" t="n">
        <v>46769.26900000001</v>
      </c>
      <c r="H112" s="285" t="n">
        <v>49560</v>
      </c>
      <c r="I112" s="285" t="n">
        <v>58897.509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7590.19</v>
      </c>
      <c r="N112" s="285" t="n">
        <v>7925.138000000001</v>
      </c>
      <c r="O112" s="285" t="n">
        <v>9010</v>
      </c>
      <c r="P112" s="285" t="n">
        <v>9514.272999999999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3220</v>
      </c>
      <c r="G114" s="277" t="n">
        <v>3680</v>
      </c>
      <c r="H114" s="277" t="n">
        <v>3500</v>
      </c>
      <c r="I114" s="277" t="n">
        <v>5221.660000000001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741</v>
      </c>
      <c r="N114" s="277" t="n">
        <v>736</v>
      </c>
      <c r="O114" s="277" t="n">
        <v>900</v>
      </c>
      <c r="P114" s="277" t="n">
        <v>913.383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58845.92</v>
      </c>
      <c r="G115" s="285" t="n">
        <v>50404.99200000001</v>
      </c>
      <c r="H115" s="285" t="n">
        <v>72700</v>
      </c>
      <c r="I115" s="285" t="n">
        <v>67903.803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10989.012</v>
      </c>
      <c r="N115" s="285" t="n">
        <v>10885.586</v>
      </c>
      <c r="O115" s="285" t="n">
        <v>13340</v>
      </c>
      <c r="P115" s="285" t="n">
        <v>13876.315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7821</v>
      </c>
      <c r="G117" s="277" t="n">
        <v>8866</v>
      </c>
      <c r="H117" s="277" t="n">
        <v>26500</v>
      </c>
      <c r="I117" s="277" t="n">
        <v>21198.08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1487</v>
      </c>
      <c r="N117" s="277" t="n">
        <v>2415</v>
      </c>
      <c r="O117" s="277" t="n">
        <v>3800</v>
      </c>
      <c r="P117" s="277" t="n">
        <v>3150.906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5125.530999999999</v>
      </c>
      <c r="G118" s="285" t="n">
        <v>6259.334</v>
      </c>
      <c r="H118" s="285" t="n">
        <v>6010</v>
      </c>
      <c r="I118" s="285" t="n">
        <v>10559.95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983.866</v>
      </c>
      <c r="N118" s="285" t="n">
        <v>1079.476</v>
      </c>
      <c r="O118" s="285" t="n">
        <v>1210</v>
      </c>
      <c r="P118" s="285" t="n">
        <v>2021.839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2760</v>
      </c>
      <c r="G120" s="277" t="n">
        <v>1535</v>
      </c>
      <c r="H120" s="277" t="n">
        <v>2000</v>
      </c>
      <c r="I120" s="277" t="n">
        <v>2914.41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583</v>
      </c>
      <c r="N120" s="277" t="n">
        <v>326</v>
      </c>
      <c r="O120" s="277" t="n">
        <v>400</v>
      </c>
      <c r="P120" s="277" t="n">
        <v>779.4899999999999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146.746</v>
      </c>
      <c r="G121" s="285" t="n">
        <v>151.977</v>
      </c>
      <c r="H121" s="285" t="n">
        <v>150</v>
      </c>
      <c r="I121" s="285" t="n">
        <v>157.288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30.438</v>
      </c>
      <c r="N121" s="285" t="n">
        <v>33.001</v>
      </c>
      <c r="O121" s="285" t="n">
        <v>50</v>
      </c>
      <c r="P121" s="285" t="n">
        <v>35.683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0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0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56.54</v>
      </c>
      <c r="G124" s="285" t="n">
        <v>87.14</v>
      </c>
      <c r="H124" s="285" t="n">
        <v>0</v>
      </c>
      <c r="I124" s="285" t="n">
        <v>238.104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1.751</v>
      </c>
      <c r="N124" s="285" t="n">
        <v>4.893</v>
      </c>
      <c r="O124" s="285" t="n">
        <v>0</v>
      </c>
      <c r="P124" s="285" t="n">
        <v>7.276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5125.530999999999</v>
      </c>
      <c r="G131" s="329" t="n">
        <v>6259.334</v>
      </c>
      <c r="H131" s="329" t="n">
        <v>6010</v>
      </c>
      <c r="I131" s="329" t="n">
        <v>10559.95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983.866</v>
      </c>
      <c r="N131" s="303" t="n">
        <v>1079.476</v>
      </c>
      <c r="O131" s="303" t="n">
        <v>1210</v>
      </c>
      <c r="P131" s="303" t="n">
        <v>2021.839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164777.792</v>
      </c>
      <c r="G135" s="346" t="n">
        <v>175868.14</v>
      </c>
      <c r="H135" s="347" t="n">
        <v>192870</v>
      </c>
      <c r="I135" s="348" t="n">
        <v>234234.254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42656.163</v>
      </c>
      <c r="N135" s="346" t="n">
        <v>54715.26300000001</v>
      </c>
      <c r="O135" s="347" t="n">
        <v>58930</v>
      </c>
      <c r="P135" s="348" t="n">
        <v>69432.84300000001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33029.636</v>
      </c>
      <c r="G137" s="360" t="n">
        <v>33115.654</v>
      </c>
      <c r="H137" s="361" t="n">
        <v>38450</v>
      </c>
      <c r="I137" s="361" t="n">
        <v>36433.045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19041.182</v>
      </c>
      <c r="N137" s="360" t="n">
        <v>20960.986</v>
      </c>
      <c r="O137" s="361" t="n">
        <v>22460</v>
      </c>
      <c r="P137" s="361" t="n">
        <v>21899.661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2435.76</v>
      </c>
      <c r="G138" s="363" t="n">
        <v>700.53</v>
      </c>
      <c r="H138" s="363" t="n">
        <v>750</v>
      </c>
      <c r="I138" s="363" t="n">
        <v>1125.21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466.525</v>
      </c>
      <c r="N138" s="363" t="n">
        <v>127.15</v>
      </c>
      <c r="O138" s="363" t="n">
        <v>160</v>
      </c>
      <c r="P138" s="363" t="n">
        <v>235.85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10860</v>
      </c>
      <c r="G143" s="389" t="n">
        <v>11490</v>
      </c>
      <c r="H143" s="389" t="n">
        <v>10910</v>
      </c>
      <c r="I143" s="389" t="n">
        <v>12429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5230</v>
      </c>
      <c r="N143" s="389" t="n">
        <v>7240</v>
      </c>
      <c r="O143" s="389" t="n">
        <v>6080</v>
      </c>
      <c r="P143" s="389" t="n">
        <v>6975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cocktail00014</dc:creator>
  <dc:language xmlns:dc="http://purl.org/dc/elements/1.1/">en-US</dc:language>
  <dcterms:created xmlns:dcterms="http://purl.org/dc/terms/" xmlns:xsi="http://www.w3.org/2001/XMLSchema-instance" xsi:type="dcterms:W3CDTF">2024-09-12T04:17:13Z</dcterms:created>
  <dcterms:modified xmlns:dcterms="http://purl.org/dc/terms/" xmlns:xsi="http://www.w3.org/2001/XMLSchema-instance" xsi:type="dcterms:W3CDTF">2026-09-05T01:26:01Z</dcterms:modified>
  <cp:lastModifiedBy>ma-takahashi</cp:lastModifiedBy>
  <cp:revision>0</cp:revision>
  <cp:lastPrinted>2026-02-16T05:50:22Z</cp:lastPrinted>
</cp:coreProperties>
</file>