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単月" sheetId="1" state="visible" r:id="rId1"/>
    <sheet xmlns:r="http://schemas.openxmlformats.org/officeDocument/2006/relationships" name="下期累計" sheetId="2" state="visible" r:id="rId2"/>
  </sheets>
  <definedNames>
    <definedName name="_xlnm.Print_Titles" localSheetId="0">'単月'!$4:$6</definedName>
    <definedName name="_xlnm.Print_Area" localSheetId="0">'単月'!$A$2:$Y$143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yyyy&quot;年&quot;m&quot;月&quot;;@"/>
    <numFmt numFmtId="165" formatCode="#,##0_);[Red]\(#,##0\)"/>
    <numFmt numFmtId="166" formatCode="0.0%"/>
    <numFmt numFmtId="167" formatCode="#,##0_ ;[Red]\-#,##0\ "/>
  </numFmts>
  <fonts count="18">
    <font>
      <name val="游ゴシック"/>
      <charset val="128"/>
      <family val="2"/>
      <color theme="1"/>
      <sz val="11"/>
    </font>
    <font>
      <name val="BIZ UDPゴシック"/>
      <charset val="128"/>
      <family val="3"/>
      <color theme="1"/>
      <sz val="16"/>
    </font>
    <font>
      <name val="DejaVu Sans"/>
      <family val="2"/>
      <color theme="1"/>
      <sz val="14"/>
    </font>
    <font>
      <name val="DejaVu Sans"/>
      <family val="2"/>
      <color theme="8" tint="-0.249977111117893"/>
      <sz val="9"/>
    </font>
    <font>
      <name val="游ゴシック"/>
      <charset val="128"/>
      <family val="2"/>
      <color theme="8" tint="-0.249977111117893"/>
      <sz val="11"/>
    </font>
    <font>
      <name val="DejaVu Sans"/>
      <family val="2"/>
      <color theme="1"/>
      <sz val="11"/>
    </font>
    <font>
      <name val="DejaVu Sans"/>
      <family val="2"/>
      <color theme="8" tint="-0.249977111117893"/>
      <sz val="11"/>
    </font>
    <font>
      <name val="游ゴシック"/>
      <charset val="128"/>
      <family val="3"/>
      <color theme="8" tint="-0.249977111117893"/>
      <sz val="11"/>
    </font>
    <font>
      <name val="游ゴシック"/>
      <charset val="128"/>
      <family val="3"/>
      <sz val="11"/>
    </font>
    <font>
      <name val="游明朝"/>
      <charset val="128"/>
      <family val="1"/>
      <color theme="1"/>
      <sz val="11"/>
    </font>
    <font>
      <name val="游明朝"/>
      <charset val="128"/>
      <family val="1"/>
      <sz val="11"/>
    </font>
    <font>
      <name val="游明朝"/>
      <charset val="128"/>
      <family val="1"/>
      <color theme="8" tint="-0.249977111117893"/>
      <sz val="11"/>
    </font>
    <font>
      <name val="DejaVu Sans"/>
      <family val="2"/>
      <color theme="4" tint="-0.249977111117893"/>
      <sz val="11"/>
    </font>
    <font>
      <name val="DejaVu Sans"/>
      <family val="2"/>
      <color theme="4"/>
      <sz val="11"/>
    </font>
    <font>
      <name val="游ゴシック"/>
      <charset val="128"/>
      <family val="3"/>
      <color theme="4"/>
      <sz val="11"/>
    </font>
    <font>
      <name val="DejaVu Sans"/>
      <family val="2"/>
      <sz val="11"/>
    </font>
    <font>
      <name val="游ゴシック"/>
      <charset val="128"/>
      <family val="2"/>
      <color theme="1"/>
      <sz val="11"/>
    </font>
    <font>
      <name val="游ゴシック"/>
      <charset val="128"/>
      <family val="2"/>
      <sz val="6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8" tint="0.3998840296639912"/>
        <bgColor rgb="FFCCCCFF"/>
      </patternFill>
    </fill>
    <fill>
      <patternFill patternType="solid">
        <fgColor theme="7" tint="0.3998840296639912"/>
        <bgColor rgb="FFFFFF99"/>
      </patternFill>
    </fill>
    <fill>
      <patternFill patternType="solid">
        <fgColor theme="9" tint="0.3998840296639912"/>
        <bgColor rgb="FF9DC3E6"/>
      </patternFill>
    </fill>
  </fills>
  <borders count="6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16" fillId="0" borderId="0" applyAlignment="1">
      <alignment vertical="center"/>
    </xf>
    <xf numFmtId="9" fontId="16" fillId="0" borderId="0" applyAlignment="1">
      <alignment vertical="center"/>
    </xf>
    <xf numFmtId="165" fontId="16" fillId="0" borderId="0" applyAlignment="1">
      <alignment vertical="center"/>
    </xf>
    <xf numFmtId="38" fontId="16" fillId="0" borderId="0" applyAlignment="1">
      <alignment vertical="center"/>
    </xf>
  </cellStyleXfs>
  <cellXfs count="39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3" fillId="2" borderId="5" applyAlignment="1" pivotButton="0" quotePrefix="0" xfId="2">
      <alignment horizontal="center" vertical="center"/>
    </xf>
    <xf numFmtId="164" fontId="3" fillId="2" borderId="6" applyAlignment="1" pivotButton="0" quotePrefix="0" xfId="2">
      <alignment horizontal="center" vertical="center"/>
    </xf>
    <xf numFmtId="164" fontId="4" fillId="2" borderId="8" applyAlignment="1" pivotButton="0" quotePrefix="0" xfId="2">
      <alignment horizontal="center" vertical="center"/>
    </xf>
    <xf numFmtId="164" fontId="4" fillId="2" borderId="9" applyAlignment="1" pivotButton="0" quotePrefix="0" xfId="2">
      <alignment horizontal="center" vertical="center"/>
    </xf>
    <xf numFmtId="164" fontId="16" fillId="2" borderId="7" applyAlignment="1" pivotButton="0" quotePrefix="0" xfId="1">
      <alignment vertical="center"/>
    </xf>
    <xf numFmtId="164" fontId="16" fillId="2" borderId="10" applyAlignment="1" pivotButton="0" quotePrefix="0" xfId="1">
      <alignment vertical="center"/>
    </xf>
    <xf numFmtId="165" fontId="5" fillId="2" borderId="11" applyAlignment="1" pivotButton="0" quotePrefix="0" xfId="2">
      <alignment horizontal="center" vertical="center"/>
    </xf>
    <xf numFmtId="165" fontId="5" fillId="2" borderId="12" applyAlignment="1" pivotButton="0" quotePrefix="0" xfId="2">
      <alignment horizontal="center" vertical="center"/>
    </xf>
    <xf numFmtId="165" fontId="5" fillId="2" borderId="13" applyAlignment="1" pivotButton="0" quotePrefix="0" xfId="2">
      <alignment horizontal="center" vertical="center"/>
    </xf>
    <xf numFmtId="166" fontId="5" fillId="2" borderId="15" applyAlignment="1" pivotButton="0" quotePrefix="0" xfId="1">
      <alignment horizontal="center" vertical="center" shrinkToFit="1"/>
    </xf>
    <xf numFmtId="166" fontId="5" fillId="2" borderId="16" applyAlignment="1" pivotButton="0" quotePrefix="0" xfId="1">
      <alignment horizontal="center" vertical="center" shrinkToFit="1"/>
    </xf>
    <xf numFmtId="166" fontId="5" fillId="2" borderId="14" applyAlignment="1" pivotButton="0" quotePrefix="0" xfId="1">
      <alignment horizontal="center" vertical="center" shrinkToFit="1"/>
    </xf>
    <xf numFmtId="0" fontId="0" fillId="3" borderId="17" applyAlignment="1" pivotButton="0" quotePrefix="0" xfId="0">
      <alignment vertical="center"/>
    </xf>
    <xf numFmtId="0" fontId="0" fillId="4" borderId="17" applyAlignment="1" pivotButton="0" quotePrefix="0" xfId="0">
      <alignment vertical="center"/>
    </xf>
    <xf numFmtId="0" fontId="0" fillId="5" borderId="17" applyAlignment="1" pivotButton="0" quotePrefix="0" xfId="0">
      <alignment vertical="center"/>
    </xf>
    <xf numFmtId="0" fontId="6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165" fontId="7" fillId="0" borderId="20" applyAlignment="1" pivotButton="0" quotePrefix="0" xfId="2">
      <alignment vertical="center"/>
    </xf>
    <xf numFmtId="165" fontId="7" fillId="0" borderId="21" applyAlignment="1" pivotButton="0" quotePrefix="0" xfId="2">
      <alignment vertical="center"/>
    </xf>
    <xf numFmtId="166" fontId="8" fillId="0" borderId="22" applyAlignment="1" pivotButton="0" quotePrefix="0" xfId="1">
      <alignment horizontal="right" vertical="center"/>
    </xf>
    <xf numFmtId="166" fontId="8" fillId="0" borderId="23" applyAlignment="1" pivotButton="0" quotePrefix="0" xfId="1">
      <alignment horizontal="right" vertical="center"/>
    </xf>
    <xf numFmtId="166" fontId="16" fillId="0" borderId="20" applyAlignment="1" pivotButton="0" quotePrefix="0" xfId="1">
      <alignment horizontal="right" vertical="center"/>
    </xf>
    <xf numFmtId="166" fontId="16" fillId="0" borderId="21" applyAlignment="1" pivotButton="0" quotePrefix="0" xfId="1">
      <alignment horizontal="right" vertical="center"/>
    </xf>
    <xf numFmtId="166" fontId="16" fillId="0" borderId="22" applyAlignment="1" pivotButton="0" quotePrefix="0" xfId="1">
      <alignment horizontal="right" vertical="center"/>
    </xf>
    <xf numFmtId="0" fontId="9" fillId="3" borderId="24" applyAlignment="1" pivotButton="0" quotePrefix="0" xfId="0">
      <alignment vertical="center"/>
    </xf>
    <xf numFmtId="0" fontId="9" fillId="4" borderId="24" applyAlignment="1" pivotButton="0" quotePrefix="0" xfId="0">
      <alignment vertical="center"/>
    </xf>
    <xf numFmtId="0" fontId="9" fillId="5" borderId="24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165" fontId="9" fillId="0" borderId="27" applyAlignment="1" pivotButton="0" quotePrefix="0" xfId="2">
      <alignment vertical="center"/>
    </xf>
    <xf numFmtId="165" fontId="9" fillId="0" borderId="28" applyAlignment="1" pivotButton="0" quotePrefix="0" xfId="2">
      <alignment vertical="center"/>
    </xf>
    <xf numFmtId="165" fontId="10" fillId="0" borderId="28" applyAlignment="1" pivotButton="0" quotePrefix="0" xfId="2">
      <alignment vertical="center"/>
    </xf>
    <xf numFmtId="166" fontId="10" fillId="0" borderId="26" applyAlignment="1" pivotButton="0" quotePrefix="0" xfId="1">
      <alignment horizontal="right" vertical="center"/>
    </xf>
    <xf numFmtId="166" fontId="10" fillId="0" borderId="29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6" fontId="16" fillId="0" borderId="28" applyAlignment="1" pivotButton="0" quotePrefix="0" xfId="1">
      <alignment horizontal="right" vertical="center"/>
    </xf>
    <xf numFmtId="166" fontId="16" fillId="0" borderId="26" applyAlignment="1" pivotButton="0" quotePrefix="0" xfId="1">
      <alignment horizontal="right" vertical="center"/>
    </xf>
    <xf numFmtId="0" fontId="6" fillId="0" borderId="30" applyAlignment="1" pivotButton="0" quotePrefix="0" xfId="0">
      <alignment vertical="center"/>
    </xf>
    <xf numFmtId="165" fontId="11" fillId="0" borderId="5" applyAlignment="1" pivotButton="0" quotePrefix="0" xfId="2">
      <alignment vertical="center"/>
    </xf>
    <xf numFmtId="165" fontId="11" fillId="0" borderId="31" applyAlignment="1" pivotButton="0" quotePrefix="0" xfId="2">
      <alignment vertical="center"/>
    </xf>
    <xf numFmtId="165" fontId="11" fillId="0" borderId="28" applyAlignment="1" pivotButton="0" quotePrefix="0" xfId="2">
      <alignment vertical="center"/>
    </xf>
    <xf numFmtId="166" fontId="10" fillId="0" borderId="30" applyAlignment="1" pivotButton="0" quotePrefix="0" xfId="1">
      <alignment horizontal="right" vertical="center"/>
    </xf>
    <xf numFmtId="166" fontId="10" fillId="0" borderId="32" applyAlignment="1" pivotButton="0" quotePrefix="0" xfId="1">
      <alignment horizontal="right" vertical="center"/>
    </xf>
    <xf numFmtId="166" fontId="16" fillId="0" borderId="5" applyAlignment="1" pivotButton="0" quotePrefix="0" xfId="1">
      <alignment horizontal="right" vertical="center"/>
    </xf>
    <xf numFmtId="166" fontId="16" fillId="0" borderId="31" applyAlignment="1" pivotButton="0" quotePrefix="0" xfId="1">
      <alignment horizontal="right" vertical="center"/>
    </xf>
    <xf numFmtId="166" fontId="16" fillId="0" borderId="30" applyAlignment="1" pivotButton="0" quotePrefix="0" xfId="1">
      <alignment horizontal="right" vertical="center"/>
    </xf>
    <xf numFmtId="0" fontId="0" fillId="3" borderId="24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0" fontId="0" fillId="5" borderId="3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165" fontId="7" fillId="0" borderId="27" applyAlignment="1" pivotButton="0" quotePrefix="0" xfId="2">
      <alignment vertical="center"/>
    </xf>
    <xf numFmtId="165" fontId="7" fillId="0" borderId="28" applyAlignment="1" pivotButton="0" quotePrefix="0" xfId="2">
      <alignment vertical="center"/>
    </xf>
    <xf numFmtId="166" fontId="8" fillId="0" borderId="26" applyAlignment="1" pivotButton="0" quotePrefix="0" xfId="1">
      <alignment horizontal="right" vertical="center"/>
    </xf>
    <xf numFmtId="166" fontId="8" fillId="0" borderId="29" applyAlignment="1" pivotButton="0" quotePrefix="0" xfId="1">
      <alignment horizontal="right" vertical="center"/>
    </xf>
    <xf numFmtId="0" fontId="6" fillId="0" borderId="26" applyAlignment="1" pivotButton="0" quotePrefix="0" xfId="0">
      <alignment vertical="center"/>
    </xf>
    <xf numFmtId="165" fontId="11" fillId="0" borderId="27" applyAlignment="1" pivotButton="0" quotePrefix="0" xfId="2">
      <alignment vertical="center"/>
    </xf>
    <xf numFmtId="165" fontId="9" fillId="0" borderId="34" applyAlignment="1" pivotButton="0" quotePrefix="0" xfId="2">
      <alignment vertical="center"/>
    </xf>
    <xf numFmtId="0" fontId="5" fillId="5" borderId="35" applyAlignment="1" pivotButton="0" quotePrefix="0" xfId="0">
      <alignment vertical="center"/>
    </xf>
    <xf numFmtId="0" fontId="0" fillId="5" borderId="7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165" fontId="16" fillId="5" borderId="27" applyAlignment="1" pivotButton="0" quotePrefix="0" xfId="2">
      <alignment vertical="center"/>
    </xf>
    <xf numFmtId="165" fontId="16" fillId="5" borderId="28" applyAlignment="1" pivotButton="0" quotePrefix="0" xfId="2">
      <alignment vertical="center"/>
    </xf>
    <xf numFmtId="166" fontId="16" fillId="5" borderId="26" applyAlignment="1" pivotButton="0" quotePrefix="0" xfId="1">
      <alignment horizontal="right" vertical="center"/>
    </xf>
    <xf numFmtId="165" fontId="16" fillId="5" borderId="34" applyAlignment="1" pivotButton="0" quotePrefix="0" xfId="2">
      <alignment vertical="center"/>
    </xf>
    <xf numFmtId="166" fontId="16" fillId="5" borderId="29" applyAlignment="1" pivotButton="0" quotePrefix="0" xfId="1">
      <alignment horizontal="right" vertical="center"/>
    </xf>
    <xf numFmtId="166" fontId="16" fillId="5" borderId="27" applyAlignment="1" pivotButton="0" quotePrefix="0" xfId="1">
      <alignment horizontal="right" vertical="center"/>
    </xf>
    <xf numFmtId="166" fontId="16" fillId="5" borderId="34" applyAlignment="1" pivotButton="0" quotePrefix="0" xfId="1">
      <alignment horizontal="right" vertical="center"/>
    </xf>
    <xf numFmtId="166" fontId="16" fillId="5" borderId="28" applyAlignment="1" pivotButton="0" quotePrefix="0" xfId="1">
      <alignment vertical="center"/>
    </xf>
    <xf numFmtId="166" fontId="16" fillId="5" borderId="26" applyAlignment="1" pivotButton="0" quotePrefix="0" xfId="1">
      <alignment vertical="center"/>
    </xf>
    <xf numFmtId="0" fontId="0" fillId="5" borderId="24" applyAlignment="1" pivotButton="0" quotePrefix="0" xfId="0">
      <alignment vertical="center"/>
    </xf>
    <xf numFmtId="0" fontId="5" fillId="5" borderId="32" applyAlignment="1" pivotButton="0" quotePrefix="0" xfId="0">
      <alignment vertical="center"/>
    </xf>
    <xf numFmtId="166" fontId="16" fillId="5" borderId="28" applyAlignment="1" pivotButton="0" quotePrefix="0" xfId="1">
      <alignment horizontal="right" vertical="center"/>
    </xf>
    <xf numFmtId="0" fontId="0" fillId="5" borderId="36" applyAlignment="1" pivotButton="0" quotePrefix="0" xfId="0">
      <alignment vertical="center"/>
    </xf>
    <xf numFmtId="0" fontId="5" fillId="5" borderId="26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5" fillId="5" borderId="29" applyAlignment="1" pivotButton="0" quotePrefix="0" xfId="0">
      <alignment vertical="center"/>
    </xf>
    <xf numFmtId="0" fontId="0" fillId="5" borderId="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9" fillId="5" borderId="33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5" fillId="5" borderId="24" applyAlignment="1" pivotButton="0" quotePrefix="0" xfId="0">
      <alignment vertical="center"/>
    </xf>
    <xf numFmtId="165" fontId="0" fillId="5" borderId="27" applyAlignment="1" pivotButton="0" quotePrefix="0" xfId="0">
      <alignment vertical="center"/>
    </xf>
    <xf numFmtId="165" fontId="0" fillId="5" borderId="34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5" fillId="5" borderId="16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165" fontId="0" fillId="5" borderId="42" applyAlignment="1" pivotButton="0" quotePrefix="0" xfId="0">
      <alignment vertical="center"/>
    </xf>
    <xf numFmtId="165" fontId="0" fillId="5" borderId="14" applyAlignment="1" pivotButton="0" quotePrefix="0" xfId="0">
      <alignment vertical="center"/>
    </xf>
    <xf numFmtId="165" fontId="16" fillId="5" borderId="14" applyAlignment="1" pivotButton="0" quotePrefix="0" xfId="2">
      <alignment vertical="center"/>
    </xf>
    <xf numFmtId="166" fontId="16" fillId="5" borderId="15" applyAlignment="1" pivotButton="0" quotePrefix="0" xfId="1">
      <alignment horizontal="right" vertical="center"/>
    </xf>
    <xf numFmtId="165" fontId="16" fillId="5" borderId="43" applyAlignment="1" pivotButton="0" quotePrefix="0" xfId="2">
      <alignment vertical="center"/>
    </xf>
    <xf numFmtId="166" fontId="16" fillId="5" borderId="16" applyAlignment="1" pivotButton="0" quotePrefix="0" xfId="1">
      <alignment horizontal="right" vertical="center"/>
    </xf>
    <xf numFmtId="166" fontId="16" fillId="5" borderId="42" applyAlignment="1" pivotButton="0" quotePrefix="0" xfId="1">
      <alignment horizontal="right" vertical="center"/>
    </xf>
    <xf numFmtId="166" fontId="16" fillId="5" borderId="14" applyAlignment="1" pivotButton="0" quotePrefix="0" xfId="1">
      <alignment horizontal="right" vertical="center"/>
    </xf>
    <xf numFmtId="166" fontId="16" fillId="5" borderId="14" applyAlignment="1" pivotButton="0" quotePrefix="0" xfId="1">
      <alignment vertical="center"/>
    </xf>
    <xf numFmtId="166" fontId="16" fillId="5" borderId="15" applyAlignment="1" pivotButton="0" quotePrefix="0" xfId="1">
      <alignment vertical="center"/>
    </xf>
    <xf numFmtId="0" fontId="7" fillId="0" borderId="3" applyAlignment="1" pivotButton="0" quotePrefix="0" xfId="0">
      <alignment vertical="center"/>
    </xf>
    <xf numFmtId="165" fontId="7" fillId="0" borderId="44" applyAlignment="1" pivotButton="0" quotePrefix="0" xfId="2">
      <alignment vertical="center"/>
    </xf>
    <xf numFmtId="0" fontId="5" fillId="0" borderId="29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6" fillId="0" borderId="29" applyAlignment="1" pivotButton="0" quotePrefix="0" xfId="0">
      <alignment vertical="center"/>
    </xf>
    <xf numFmtId="165" fontId="10" fillId="0" borderId="27" applyAlignment="1" pivotButton="0" quotePrefix="0" xfId="2">
      <alignment vertical="center"/>
    </xf>
    <xf numFmtId="0" fontId="0" fillId="5" borderId="45" applyAlignment="1" pivotButton="0" quotePrefix="0" xfId="0">
      <alignment vertical="center"/>
    </xf>
    <xf numFmtId="165" fontId="0" fillId="5" borderId="43" applyAlignment="1" pivotButton="0" quotePrefix="0" xfId="0">
      <alignment vertical="center"/>
    </xf>
    <xf numFmtId="0" fontId="5" fillId="0" borderId="36" applyAlignment="1" pivotButton="0" quotePrefix="0" xfId="0">
      <alignment vertical="center"/>
    </xf>
    <xf numFmtId="0" fontId="11" fillId="0" borderId="7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0" fillId="5" borderId="46" applyAlignment="1" pivotButton="0" quotePrefix="0" xfId="0">
      <alignment vertical="center"/>
    </xf>
    <xf numFmtId="0" fontId="0" fillId="5" borderId="47" applyAlignment="1" pivotButton="0" quotePrefix="0" xfId="0">
      <alignment vertical="center"/>
    </xf>
    <xf numFmtId="165" fontId="16" fillId="5" borderId="42" applyAlignment="1" pivotButton="0" quotePrefix="0" xfId="2">
      <alignment vertical="center"/>
    </xf>
    <xf numFmtId="0" fontId="0" fillId="4" borderId="48" applyAlignment="1" pivotButton="0" quotePrefix="0" xfId="0">
      <alignment vertical="center"/>
    </xf>
    <xf numFmtId="0" fontId="0" fillId="3" borderId="48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165" fontId="0" fillId="5" borderId="5" applyAlignment="1" pivotButton="0" quotePrefix="0" xfId="0">
      <alignment vertical="center"/>
    </xf>
    <xf numFmtId="165" fontId="0" fillId="5" borderId="6" applyAlignment="1" pivotButton="0" quotePrefix="0" xfId="0">
      <alignment vertical="center"/>
    </xf>
    <xf numFmtId="0" fontId="5" fillId="4" borderId="24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5" fontId="0" fillId="4" borderId="27" applyAlignment="1" pivotButton="0" quotePrefix="0" xfId="0">
      <alignment vertical="center"/>
    </xf>
    <xf numFmtId="165" fontId="0" fillId="4" borderId="28" applyAlignment="1" pivotButton="0" quotePrefix="0" xfId="0">
      <alignment vertical="center"/>
    </xf>
    <xf numFmtId="165" fontId="16" fillId="4" borderId="28" applyAlignment="1" pivotButton="0" quotePrefix="0" xfId="2">
      <alignment vertical="center"/>
    </xf>
    <xf numFmtId="166" fontId="16" fillId="4" borderId="26" applyAlignment="1" pivotButton="0" quotePrefix="0" xfId="1">
      <alignment horizontal="right" vertical="center"/>
    </xf>
    <xf numFmtId="166" fontId="16" fillId="4" borderId="29" applyAlignment="1" pivotButton="0" quotePrefix="0" xfId="1">
      <alignment horizontal="right" vertical="center"/>
    </xf>
    <xf numFmtId="166" fontId="16" fillId="4" borderId="27" applyAlignment="1" pivotButton="0" quotePrefix="0" xfId="1">
      <alignment horizontal="right" vertical="center"/>
    </xf>
    <xf numFmtId="166" fontId="16" fillId="4" borderId="28" applyAlignment="1" pivotButton="0" quotePrefix="0" xfId="1">
      <alignment horizontal="right" vertical="center"/>
    </xf>
    <xf numFmtId="0" fontId="5" fillId="4" borderId="0" applyAlignment="1" pivotButton="0" quotePrefix="0" xfId="0">
      <alignment vertical="center"/>
    </xf>
    <xf numFmtId="165" fontId="0" fillId="4" borderId="42" applyAlignment="1" pivotButton="0" quotePrefix="0" xfId="0">
      <alignment vertical="center"/>
    </xf>
    <xf numFmtId="165" fontId="0" fillId="4" borderId="14" applyAlignment="1" pivotButton="0" quotePrefix="0" xfId="0">
      <alignment vertical="center"/>
    </xf>
    <xf numFmtId="166" fontId="16" fillId="4" borderId="15" applyAlignment="1" pivotButton="0" quotePrefix="0" xfId="1">
      <alignment horizontal="right" vertical="center"/>
    </xf>
    <xf numFmtId="166" fontId="16" fillId="4" borderId="16" applyAlignment="1" pivotButton="0" quotePrefix="0" xfId="1">
      <alignment horizontal="right" vertical="center"/>
    </xf>
    <xf numFmtId="166" fontId="16" fillId="4" borderId="5" applyAlignment="1" pivotButton="0" quotePrefix="0" xfId="1">
      <alignment horizontal="right" vertical="center"/>
    </xf>
    <xf numFmtId="166" fontId="16" fillId="4" borderId="31" applyAlignment="1" pivotButton="0" quotePrefix="0" xfId="1">
      <alignment horizontal="right" vertical="center"/>
    </xf>
    <xf numFmtId="166" fontId="16" fillId="4" borderId="30" applyAlignment="1" pivotButton="0" quotePrefix="0" xfId="1">
      <alignment horizontal="right" vertical="center"/>
    </xf>
    <xf numFmtId="0" fontId="13" fillId="4" borderId="17" applyAlignment="1" pivotButton="0" quotePrefix="0" xfId="0">
      <alignment vertical="center"/>
    </xf>
    <xf numFmtId="0" fontId="0" fillId="4" borderId="49" applyAlignment="1" pivotButton="0" quotePrefix="0" xfId="0">
      <alignment vertical="center"/>
    </xf>
    <xf numFmtId="0" fontId="14" fillId="4" borderId="49" applyAlignment="1" pivotButton="0" quotePrefix="0" xfId="0">
      <alignment vertical="center"/>
    </xf>
    <xf numFmtId="0" fontId="14" fillId="4" borderId="50" applyAlignment="1" pivotButton="0" quotePrefix="0" xfId="0">
      <alignment vertical="center"/>
    </xf>
    <xf numFmtId="165" fontId="14" fillId="4" borderId="20" applyAlignment="1" pivotButton="0" quotePrefix="0" xfId="2">
      <alignment vertical="center"/>
    </xf>
    <xf numFmtId="165" fontId="14" fillId="4" borderId="51" applyAlignment="1" pivotButton="0" quotePrefix="0" xfId="2">
      <alignment vertical="center"/>
    </xf>
    <xf numFmtId="165" fontId="4" fillId="4" borderId="21" applyAlignment="1" pivotButton="0" quotePrefix="0" xfId="2">
      <alignment vertical="center"/>
    </xf>
    <xf numFmtId="165" fontId="7" fillId="4" borderId="21" applyAlignment="1" pivotButton="0" quotePrefix="0" xfId="2">
      <alignment vertical="center"/>
    </xf>
    <xf numFmtId="166" fontId="0" fillId="4" borderId="22" applyAlignment="1" pivotButton="0" quotePrefix="0" xfId="0">
      <alignment horizontal="right" vertical="center"/>
    </xf>
    <xf numFmtId="166" fontId="16" fillId="4" borderId="23" applyAlignment="1" pivotButton="0" quotePrefix="0" xfId="1">
      <alignment horizontal="right" vertical="center"/>
    </xf>
    <xf numFmtId="166" fontId="16" fillId="4" borderId="20" applyAlignment="1" pivotButton="0" quotePrefix="0" xfId="1">
      <alignment horizontal="right" vertical="center"/>
    </xf>
    <xf numFmtId="166" fontId="16" fillId="4" borderId="21" applyAlignment="1" pivotButton="0" quotePrefix="0" xfId="1">
      <alignment horizontal="right" vertical="center"/>
    </xf>
    <xf numFmtId="166" fontId="16" fillId="4" borderId="22" applyAlignment="1" pivotButton="0" quotePrefix="0" xfId="1">
      <alignment horizontal="right" vertical="center"/>
    </xf>
    <xf numFmtId="0" fontId="5" fillId="4" borderId="26" applyAlignment="1" pivotButton="0" quotePrefix="0" xfId="0">
      <alignment vertical="center"/>
    </xf>
    <xf numFmtId="165" fontId="16" fillId="4" borderId="27" applyAlignment="1" pivotButton="0" quotePrefix="0" xfId="2">
      <alignment vertical="center"/>
    </xf>
    <xf numFmtId="165" fontId="16" fillId="4" borderId="34" applyAlignment="1" pivotButton="0" quotePrefix="0" xfId="2">
      <alignment vertical="center"/>
    </xf>
    <xf numFmtId="166" fontId="0" fillId="4" borderId="26" applyAlignment="1" pivotButton="0" quotePrefix="0" xfId="0">
      <alignment horizontal="right" vertical="center"/>
    </xf>
    <xf numFmtId="0" fontId="13" fillId="4" borderId="30" applyAlignment="1" pivotButton="0" quotePrefix="0" xfId="0">
      <alignment vertical="center"/>
    </xf>
    <xf numFmtId="165" fontId="4" fillId="4" borderId="27" applyAlignment="1" pivotButton="0" quotePrefix="0" xfId="2">
      <alignment vertical="center"/>
    </xf>
    <xf numFmtId="165" fontId="4" fillId="4" borderId="34" applyAlignment="1" pivotButton="0" quotePrefix="0" xfId="2">
      <alignment vertical="center"/>
    </xf>
    <xf numFmtId="165" fontId="4" fillId="4" borderId="28" applyAlignment="1" pivotButton="0" quotePrefix="0" xfId="2">
      <alignment vertical="center"/>
    </xf>
    <xf numFmtId="0" fontId="0" fillId="4" borderId="40" applyAlignment="1" pivotButton="0" quotePrefix="0" xfId="0">
      <alignment vertical="center"/>
    </xf>
    <xf numFmtId="0" fontId="0" fillId="4" borderId="52" applyAlignment="1" pivotButton="0" quotePrefix="0" xfId="0">
      <alignment vertical="center"/>
    </xf>
    <xf numFmtId="0" fontId="13" fillId="4" borderId="15" applyAlignment="1" pivotButton="0" quotePrefix="0" xfId="0">
      <alignment vertical="center"/>
    </xf>
    <xf numFmtId="165" fontId="4" fillId="4" borderId="43" applyAlignment="1" pivotButton="0" quotePrefix="0" xfId="2">
      <alignment vertical="center"/>
    </xf>
    <xf numFmtId="165" fontId="4" fillId="4" borderId="14" applyAlignment="1" pivotButton="0" quotePrefix="0" xfId="2">
      <alignment vertical="center"/>
    </xf>
    <xf numFmtId="166" fontId="0" fillId="4" borderId="15" applyAlignment="1" pivotButton="0" quotePrefix="0" xfId="0">
      <alignment horizontal="right" vertical="center"/>
    </xf>
    <xf numFmtId="166" fontId="16" fillId="4" borderId="42" applyAlignment="1" pivotButton="0" quotePrefix="0" xfId="1">
      <alignment horizontal="right" vertical="center"/>
    </xf>
    <xf numFmtId="166" fontId="16" fillId="4" borderId="14" applyAlignment="1" pivotButton="0" quotePrefix="0" xfId="1">
      <alignment horizontal="right" vertical="center"/>
    </xf>
    <xf numFmtId="0" fontId="5" fillId="3" borderId="24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3" borderId="20" applyAlignment="1" pivotButton="0" quotePrefix="0" xfId="0">
      <alignment vertical="center"/>
    </xf>
    <xf numFmtId="165" fontId="0" fillId="3" borderId="21" applyAlignment="1" pivotButton="0" quotePrefix="0" xfId="0">
      <alignment vertical="center"/>
    </xf>
    <xf numFmtId="166" fontId="16" fillId="3" borderId="22" applyAlignment="1" pivotButton="0" quotePrefix="0" xfId="1">
      <alignment horizontal="right" vertical="center"/>
    </xf>
    <xf numFmtId="166" fontId="16" fillId="3" borderId="23" applyAlignment="1" pivotButton="0" quotePrefix="0" xfId="1">
      <alignment horizontal="right" vertical="center"/>
    </xf>
    <xf numFmtId="166" fontId="16" fillId="3" borderId="20" applyAlignment="1" pivotButton="0" quotePrefix="0" xfId="1">
      <alignment horizontal="right" vertical="center"/>
    </xf>
    <xf numFmtId="166" fontId="16" fillId="3" borderId="21" applyAlignment="1" pivotButton="0" quotePrefix="0" xfId="1">
      <alignment horizontal="right" vertical="center"/>
    </xf>
    <xf numFmtId="0" fontId="15" fillId="3" borderId="29" applyAlignment="1" pivotButton="0" quotePrefix="0" xfId="0">
      <alignment vertical="center"/>
    </xf>
    <xf numFmtId="165" fontId="0" fillId="3" borderId="27" applyAlignment="1" pivotButton="0" quotePrefix="0" xfId="0">
      <alignment vertical="center"/>
    </xf>
    <xf numFmtId="165" fontId="0" fillId="3" borderId="28" applyAlignment="1" pivotButton="0" quotePrefix="0" xfId="0">
      <alignment vertical="center"/>
    </xf>
    <xf numFmtId="166" fontId="16" fillId="3" borderId="26" applyAlignment="1" pivotButton="0" quotePrefix="0" xfId="1">
      <alignment horizontal="right" vertical="center"/>
    </xf>
    <xf numFmtId="166" fontId="16" fillId="3" borderId="29" applyAlignment="1" pivotButton="0" quotePrefix="0" xfId="1">
      <alignment horizontal="right" vertical="center"/>
    </xf>
    <xf numFmtId="166" fontId="16" fillId="3" borderId="27" applyAlignment="1" pivotButton="0" quotePrefix="0" xfId="1">
      <alignment horizontal="right" vertical="center"/>
    </xf>
    <xf numFmtId="166" fontId="16" fillId="3" borderId="28" applyAlignment="1" pivotButton="0" quotePrefix="0" xfId="1">
      <alignment horizontal="right" vertical="center"/>
    </xf>
    <xf numFmtId="0" fontId="0" fillId="3" borderId="40" applyAlignment="1" pivotButton="0" quotePrefix="0" xfId="0">
      <alignment vertical="center"/>
    </xf>
    <xf numFmtId="0" fontId="0" fillId="3" borderId="52" applyAlignment="1" pivotButton="0" quotePrefix="0" xfId="0">
      <alignment vertical="center"/>
    </xf>
    <xf numFmtId="0" fontId="5" fillId="3" borderId="16" applyAlignment="1" pivotButton="0" quotePrefix="0" xfId="0">
      <alignment vertical="center"/>
    </xf>
    <xf numFmtId="165" fontId="0" fillId="3" borderId="42" applyAlignment="1" pivotButton="0" quotePrefix="0" xfId="0">
      <alignment vertical="center"/>
    </xf>
    <xf numFmtId="165" fontId="0" fillId="3" borderId="14" applyAlignment="1" pivotButton="0" quotePrefix="0" xfId="0">
      <alignment vertical="center"/>
    </xf>
    <xf numFmtId="166" fontId="16" fillId="3" borderId="15" applyAlignment="1" pivotButton="0" quotePrefix="0" xfId="1">
      <alignment horizontal="right" vertical="center"/>
    </xf>
    <xf numFmtId="166" fontId="16" fillId="3" borderId="16" applyAlignment="1" pivotButton="0" quotePrefix="0" xfId="1">
      <alignment horizontal="right" vertical="center"/>
    </xf>
    <xf numFmtId="166" fontId="16" fillId="3" borderId="42" applyAlignment="1" pivotButton="0" quotePrefix="0" xfId="1">
      <alignment horizontal="right" vertical="center"/>
    </xf>
    <xf numFmtId="166" fontId="16" fillId="3" borderId="14" applyAlignment="1" pivotButton="0" quotePrefix="0" xfId="1">
      <alignment horizontal="right" vertical="center"/>
    </xf>
    <xf numFmtId="0" fontId="5" fillId="3" borderId="1" applyAlignment="1" pivotButton="0" quotePrefix="0" xfId="0">
      <alignment vertical="center"/>
    </xf>
    <xf numFmtId="0" fontId="0" fillId="3" borderId="53" applyAlignment="1" pivotButton="0" quotePrefix="0" xfId="0">
      <alignment vertical="center"/>
    </xf>
    <xf numFmtId="165" fontId="0" fillId="3" borderId="54" applyAlignment="1" pivotButton="0" quotePrefix="0" xfId="0">
      <alignment vertical="center"/>
    </xf>
    <xf numFmtId="165" fontId="0" fillId="3" borderId="55" applyAlignment="1" pivotButton="0" quotePrefix="0" xfId="0">
      <alignment vertical="center"/>
    </xf>
    <xf numFmtId="166" fontId="16" fillId="3" borderId="56" applyAlignment="1" pivotButton="0" quotePrefix="0" xfId="1">
      <alignment horizontal="right" vertical="center"/>
    </xf>
    <xf numFmtId="166" fontId="16" fillId="3" borderId="57" applyAlignment="1" pivotButton="0" quotePrefix="0" xfId="1">
      <alignment horizontal="right" vertical="center"/>
    </xf>
    <xf numFmtId="166" fontId="16" fillId="3" borderId="54" applyAlignment="1" pivotButton="0" quotePrefix="0" xfId="1">
      <alignment horizontal="right" vertical="center"/>
    </xf>
    <xf numFmtId="166" fontId="16" fillId="3" borderId="55" applyAlignment="1" pivotButton="0" quotePrefix="0" xfId="1">
      <alignment horizontal="right" vertical="center"/>
    </xf>
    <xf numFmtId="167" fontId="0" fillId="0" borderId="0" applyAlignment="1" pivotButton="0" quotePrefix="0" xfId="0">
      <alignment vertical="center"/>
    </xf>
    <xf numFmtId="167" fontId="4" fillId="2" borderId="7" applyAlignment="1" pivotButton="0" quotePrefix="0" xfId="2">
      <alignment horizontal="center" vertical="center"/>
    </xf>
    <xf numFmtId="167" fontId="5" fillId="2" borderId="14" applyAlignment="1" pivotButton="0" quotePrefix="0" xfId="2">
      <alignment horizontal="center" vertical="center" shrinkToFit="1"/>
    </xf>
    <xf numFmtId="167" fontId="8" fillId="0" borderId="21" applyAlignment="1" pivotButton="0" quotePrefix="0" xfId="2">
      <alignment vertical="center"/>
    </xf>
    <xf numFmtId="167" fontId="10" fillId="0" borderId="28" applyAlignment="1" pivotButton="0" quotePrefix="0" xfId="2">
      <alignment vertical="center"/>
    </xf>
    <xf numFmtId="167" fontId="10" fillId="0" borderId="31" applyAlignment="1" pivotButton="0" quotePrefix="0" xfId="2">
      <alignment vertical="center"/>
    </xf>
    <xf numFmtId="167" fontId="8" fillId="0" borderId="28" applyAlignment="1" pivotButton="0" quotePrefix="0" xfId="2">
      <alignment vertical="center"/>
    </xf>
    <xf numFmtId="167" fontId="16" fillId="5" borderId="28" applyAlignment="1" pivotButton="0" quotePrefix="0" xfId="2">
      <alignment vertical="center"/>
    </xf>
    <xf numFmtId="167" fontId="16" fillId="5" borderId="14" applyAlignment="1" pivotButton="0" quotePrefix="0" xfId="2">
      <alignment vertical="center"/>
    </xf>
    <xf numFmtId="167" fontId="16" fillId="4" borderId="28" applyAlignment="1" pivotButton="0" quotePrefix="0" xfId="2">
      <alignment vertical="center"/>
    </xf>
    <xf numFmtId="167" fontId="16" fillId="4" borderId="14" applyAlignment="1" pivotButton="0" quotePrefix="0" xfId="2">
      <alignment vertical="center"/>
    </xf>
    <xf numFmtId="167" fontId="16" fillId="4" borderId="21" applyAlignment="1" pivotButton="0" quotePrefix="0" xfId="2">
      <alignment vertical="center"/>
    </xf>
    <xf numFmtId="167" fontId="16" fillId="3" borderId="21" applyAlignment="1" pivotButton="0" quotePrefix="0" xfId="2">
      <alignment vertical="center"/>
    </xf>
    <xf numFmtId="167" fontId="16" fillId="3" borderId="28" applyAlignment="1" pivotButton="0" quotePrefix="0" xfId="2">
      <alignment vertical="center"/>
    </xf>
    <xf numFmtId="167" fontId="16" fillId="3" borderId="14" applyAlignment="1" pivotButton="0" quotePrefix="0" xfId="2">
      <alignment vertical="center"/>
    </xf>
    <xf numFmtId="167" fontId="0" fillId="3" borderId="55" applyAlignment="1" pivotButton="0" quotePrefix="0" xfId="0">
      <alignment vertical="center"/>
    </xf>
    <xf numFmtId="0" fontId="0" fillId="5" borderId="58" applyAlignment="1" pivotButton="0" quotePrefix="0" xfId="0">
      <alignment vertical="center"/>
    </xf>
    <xf numFmtId="0" fontId="7" fillId="0" borderId="59" applyAlignment="1" pivotButton="0" quotePrefix="0" xfId="0">
      <alignment vertical="center"/>
    </xf>
    <xf numFmtId="165" fontId="7" fillId="0" borderId="60" applyAlignment="1" pivotButton="0" quotePrefix="0" xfId="2">
      <alignment vertical="center"/>
    </xf>
    <xf numFmtId="165" fontId="7" fillId="0" borderId="61" applyAlignment="1" pivotButton="0" quotePrefix="0" xfId="2">
      <alignment vertical="center"/>
    </xf>
    <xf numFmtId="167" fontId="8" fillId="0" borderId="61" applyAlignment="1" pivotButton="0" quotePrefix="0" xfId="2">
      <alignment vertical="center"/>
    </xf>
    <xf numFmtId="166" fontId="8" fillId="0" borderId="62" applyAlignment="1" pivotButton="0" quotePrefix="0" xfId="1">
      <alignment horizontal="right" vertical="center"/>
    </xf>
    <xf numFmtId="166" fontId="8" fillId="0" borderId="63" applyAlignment="1" pivotButton="0" quotePrefix="0" xfId="1">
      <alignment horizontal="right" vertical="center"/>
    </xf>
    <xf numFmtId="166" fontId="16" fillId="0" borderId="60" applyAlignment="1" pivotButton="0" quotePrefix="0" xfId="1">
      <alignment horizontal="right" vertical="center"/>
    </xf>
    <xf numFmtId="166" fontId="16" fillId="0" borderId="61" applyAlignment="1" pivotButton="0" quotePrefix="0" xfId="1">
      <alignment horizontal="right" vertical="center"/>
    </xf>
    <xf numFmtId="166" fontId="16" fillId="0" borderId="62" applyAlignment="1" pivotButton="0" quotePrefix="0" xfId="1">
      <alignment horizontal="right" vertical="center"/>
    </xf>
    <xf numFmtId="38" fontId="11" fillId="0" borderId="5" applyAlignment="1" pivotButton="0" quotePrefix="0" xfId="3">
      <alignment vertical="center"/>
    </xf>
    <xf numFmtId="38" fontId="11" fillId="0" borderId="31" applyAlignment="1" pivotButton="0" quotePrefix="0" xfId="3">
      <alignment vertical="center"/>
    </xf>
    <xf numFmtId="0" fontId="5" fillId="0" borderId="62" applyAlignment="1" pivotButton="0" quotePrefix="0" xfId="0">
      <alignment vertical="center"/>
    </xf>
    <xf numFmtId="165" fontId="2" fillId="0" borderId="2" applyAlignment="1" pivotButton="0" quotePrefix="0" xfId="2">
      <alignment horizontal="center" vertical="center"/>
    </xf>
    <xf numFmtId="0" fontId="0" fillId="0" borderId="3" pivotButton="0" quotePrefix="0" xfId="0"/>
    <xf numFmtId="0" fontId="0" fillId="0" borderId="19" pivotButton="0" quotePrefix="0" xfId="0"/>
    <xf numFmtId="165" fontId="2" fillId="0" borderId="3" applyAlignment="1" pivotButton="0" quotePrefix="0" xfId="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24" pivotButton="0" quotePrefix="0" xfId="0"/>
    <xf numFmtId="0" fontId="0" fillId="0" borderId="0" pivotButton="0" quotePrefix="0" xfId="0"/>
    <xf numFmtId="0" fontId="0" fillId="0" borderId="40" pivotButton="0" quotePrefix="0" xfId="0"/>
    <xf numFmtId="0" fontId="0" fillId="0" borderId="52" pivotButton="0" quotePrefix="0" xfId="0"/>
    <xf numFmtId="166" fontId="2" fillId="0" borderId="4" applyAlignment="1" pivotButton="0" quotePrefix="0" xfId="1">
      <alignment horizontal="center" vertical="center"/>
    </xf>
    <xf numFmtId="0" fontId="0" fillId="0" borderId="50" pivotButton="0" quotePrefix="0" xfId="0"/>
    <xf numFmtId="167" fontId="0" fillId="0" borderId="0" applyAlignment="1" pivotButton="0" quotePrefix="0" xfId="0">
      <alignment vertical="center"/>
    </xf>
    <xf numFmtId="165" fontId="2" fillId="0" borderId="2" applyAlignment="1" pivotButton="0" quotePrefix="0" xfId="2">
      <alignment horizontal="center" vertical="center"/>
    </xf>
    <xf numFmtId="165" fontId="2" fillId="0" borderId="3" applyAlignment="1" pivotButton="0" quotePrefix="0" xfId="2">
      <alignment horizontal="center" vertical="center"/>
    </xf>
    <xf numFmtId="166" fontId="2" fillId="0" borderId="4" applyAlignment="1" pivotButton="0" quotePrefix="0" xfId="1">
      <alignment horizontal="center" vertical="center"/>
    </xf>
    <xf numFmtId="164" fontId="3" fillId="2" borderId="5" applyAlignment="1" pivotButton="0" quotePrefix="0" xfId="2">
      <alignment horizontal="center" vertical="center"/>
    </xf>
    <xf numFmtId="164" fontId="3" fillId="2" borderId="6" applyAlignment="1" pivotButton="0" quotePrefix="0" xfId="2">
      <alignment horizontal="center" vertical="center"/>
    </xf>
    <xf numFmtId="167" fontId="4" fillId="2" borderId="7" applyAlignment="1" pivotButton="0" quotePrefix="0" xfId="2">
      <alignment horizontal="center" vertical="center"/>
    </xf>
    <xf numFmtId="164" fontId="4" fillId="2" borderId="8" applyAlignment="1" pivotButton="0" quotePrefix="0" xfId="2">
      <alignment horizontal="center" vertical="center"/>
    </xf>
    <xf numFmtId="164" fontId="4" fillId="2" borderId="9" applyAlignment="1" pivotButton="0" quotePrefix="0" xfId="2">
      <alignment horizontal="center" vertical="center"/>
    </xf>
    <xf numFmtId="164" fontId="16" fillId="2" borderId="7" applyAlignment="1" pivotButton="0" quotePrefix="0" xfId="1">
      <alignment vertical="center"/>
    </xf>
    <xf numFmtId="164" fontId="16" fillId="2" borderId="10" applyAlignment="1" pivotButton="0" quotePrefix="0" xfId="1">
      <alignment vertical="center"/>
    </xf>
    <xf numFmtId="165" fontId="5" fillId="2" borderId="11" applyAlignment="1" pivotButton="0" quotePrefix="0" xfId="2">
      <alignment horizontal="center" vertical="center"/>
    </xf>
    <xf numFmtId="165" fontId="5" fillId="2" borderId="12" applyAlignment="1" pivotButton="0" quotePrefix="0" xfId="2">
      <alignment horizontal="center" vertical="center"/>
    </xf>
    <xf numFmtId="165" fontId="5" fillId="2" borderId="13" applyAlignment="1" pivotButton="0" quotePrefix="0" xfId="2">
      <alignment horizontal="center" vertical="center"/>
    </xf>
    <xf numFmtId="167" fontId="5" fillId="2" borderId="14" applyAlignment="1" pivotButton="0" quotePrefix="0" xfId="2">
      <alignment horizontal="center" vertical="center" shrinkToFit="1"/>
    </xf>
    <xf numFmtId="166" fontId="5" fillId="2" borderId="15" applyAlignment="1" pivotButton="0" quotePrefix="0" xfId="1">
      <alignment horizontal="center" vertical="center" shrinkToFit="1"/>
    </xf>
    <xf numFmtId="166" fontId="5" fillId="2" borderId="16" applyAlignment="1" pivotButton="0" quotePrefix="0" xfId="1">
      <alignment horizontal="center" vertical="center" shrinkToFit="1"/>
    </xf>
    <xf numFmtId="166" fontId="5" fillId="2" borderId="14" applyAlignment="1" pivotButton="0" quotePrefix="0" xfId="1">
      <alignment horizontal="center" vertical="center" shrinkToFit="1"/>
    </xf>
    <xf numFmtId="165" fontId="7" fillId="0" borderId="20" applyAlignment="1" pivotButton="0" quotePrefix="0" xfId="2">
      <alignment vertical="center"/>
    </xf>
    <xf numFmtId="165" fontId="7" fillId="0" borderId="21" applyAlignment="1" pivotButton="0" quotePrefix="0" xfId="2">
      <alignment vertical="center"/>
    </xf>
    <xf numFmtId="167" fontId="8" fillId="0" borderId="21" applyAlignment="1" pivotButton="0" quotePrefix="0" xfId="2">
      <alignment vertical="center"/>
    </xf>
    <xf numFmtId="166" fontId="8" fillId="0" borderId="22" applyAlignment="1" pivotButton="0" quotePrefix="0" xfId="1">
      <alignment horizontal="right" vertical="center"/>
    </xf>
    <xf numFmtId="166" fontId="8" fillId="0" borderId="23" applyAlignment="1" pivotButton="0" quotePrefix="0" xfId="1">
      <alignment horizontal="right" vertical="center"/>
    </xf>
    <xf numFmtId="166" fontId="16" fillId="0" borderId="20" applyAlignment="1" pivotButton="0" quotePrefix="0" xfId="1">
      <alignment horizontal="right" vertical="center"/>
    </xf>
    <xf numFmtId="166" fontId="16" fillId="0" borderId="21" applyAlignment="1" pivotButton="0" quotePrefix="0" xfId="1">
      <alignment horizontal="right" vertical="center"/>
    </xf>
    <xf numFmtId="166" fontId="16" fillId="0" borderId="22" applyAlignment="1" pivotButton="0" quotePrefix="0" xfId="1">
      <alignment horizontal="right" vertical="center"/>
    </xf>
    <xf numFmtId="165" fontId="9" fillId="0" borderId="27" applyAlignment="1" pivotButton="0" quotePrefix="0" xfId="2">
      <alignment vertical="center"/>
    </xf>
    <xf numFmtId="165" fontId="9" fillId="0" borderId="28" applyAlignment="1" pivotButton="0" quotePrefix="0" xfId="2">
      <alignment vertical="center"/>
    </xf>
    <xf numFmtId="167" fontId="10" fillId="0" borderId="28" applyAlignment="1" pivotButton="0" quotePrefix="0" xfId="2">
      <alignment vertical="center"/>
    </xf>
    <xf numFmtId="166" fontId="10" fillId="0" borderId="26" applyAlignment="1" pivotButton="0" quotePrefix="0" xfId="1">
      <alignment horizontal="right" vertical="center"/>
    </xf>
    <xf numFmtId="166" fontId="10" fillId="0" borderId="29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6" fontId="16" fillId="0" borderId="28" applyAlignment="1" pivotButton="0" quotePrefix="0" xfId="1">
      <alignment horizontal="right" vertical="center"/>
    </xf>
    <xf numFmtId="166" fontId="16" fillId="0" borderId="26" applyAlignment="1" pivotButton="0" quotePrefix="0" xfId="1">
      <alignment horizontal="right" vertical="center"/>
    </xf>
    <xf numFmtId="165" fontId="11" fillId="0" borderId="5" applyAlignment="1" pivotButton="0" quotePrefix="0" xfId="2">
      <alignment vertical="center"/>
    </xf>
    <xf numFmtId="165" fontId="11" fillId="0" borderId="31" applyAlignment="1" pivotButton="0" quotePrefix="0" xfId="2">
      <alignment vertical="center"/>
    </xf>
    <xf numFmtId="165" fontId="11" fillId="0" borderId="28" applyAlignment="1" pivotButton="0" quotePrefix="0" xfId="2">
      <alignment vertical="center"/>
    </xf>
    <xf numFmtId="167" fontId="10" fillId="0" borderId="31" applyAlignment="1" pivotButton="0" quotePrefix="0" xfId="2">
      <alignment vertical="center"/>
    </xf>
    <xf numFmtId="166" fontId="10" fillId="0" borderId="30" applyAlignment="1" pivotButton="0" quotePrefix="0" xfId="1">
      <alignment horizontal="right" vertical="center"/>
    </xf>
    <xf numFmtId="166" fontId="10" fillId="0" borderId="32" applyAlignment="1" pivotButton="0" quotePrefix="0" xfId="1">
      <alignment horizontal="right" vertical="center"/>
    </xf>
    <xf numFmtId="166" fontId="16" fillId="0" borderId="5" applyAlignment="1" pivotButton="0" quotePrefix="0" xfId="1">
      <alignment horizontal="right" vertical="center"/>
    </xf>
    <xf numFmtId="166" fontId="16" fillId="0" borderId="31" applyAlignment="1" pivotButton="0" quotePrefix="0" xfId="1">
      <alignment horizontal="right" vertical="center"/>
    </xf>
    <xf numFmtId="166" fontId="16" fillId="0" borderId="30" applyAlignment="1" pivotButton="0" quotePrefix="0" xfId="1">
      <alignment horizontal="right" vertical="center"/>
    </xf>
    <xf numFmtId="165" fontId="7" fillId="0" borderId="27" applyAlignment="1" pivotButton="0" quotePrefix="0" xfId="2">
      <alignment vertical="center"/>
    </xf>
    <xf numFmtId="165" fontId="7" fillId="0" borderId="28" applyAlignment="1" pivotButton="0" quotePrefix="0" xfId="2">
      <alignment vertical="center"/>
    </xf>
    <xf numFmtId="167" fontId="8" fillId="0" borderId="28" applyAlignment="1" pivotButton="0" quotePrefix="0" xfId="2">
      <alignment vertical="center"/>
    </xf>
    <xf numFmtId="166" fontId="8" fillId="0" borderId="26" applyAlignment="1" pivotButton="0" quotePrefix="0" xfId="1">
      <alignment horizontal="right" vertical="center"/>
    </xf>
    <xf numFmtId="166" fontId="8" fillId="0" borderId="29" applyAlignment="1" pivotButton="0" quotePrefix="0" xfId="1">
      <alignment horizontal="right" vertical="center"/>
    </xf>
    <xf numFmtId="165" fontId="11" fillId="0" borderId="27" applyAlignment="1" pivotButton="0" quotePrefix="0" xfId="2">
      <alignment vertical="center"/>
    </xf>
    <xf numFmtId="165" fontId="9" fillId="0" borderId="34" applyAlignment="1" pivotButton="0" quotePrefix="0" xfId="2">
      <alignment vertical="center"/>
    </xf>
    <xf numFmtId="165" fontId="16" fillId="5" borderId="27" applyAlignment="1" pivotButton="0" quotePrefix="0" xfId="2">
      <alignment vertical="center"/>
    </xf>
    <xf numFmtId="165" fontId="16" fillId="5" borderId="28" applyAlignment="1" pivotButton="0" quotePrefix="0" xfId="2">
      <alignment vertical="center"/>
    </xf>
    <xf numFmtId="167" fontId="16" fillId="5" borderId="28" applyAlignment="1" pivotButton="0" quotePrefix="0" xfId="2">
      <alignment vertical="center"/>
    </xf>
    <xf numFmtId="166" fontId="16" fillId="5" borderId="26" applyAlignment="1" pivotButton="0" quotePrefix="0" xfId="1">
      <alignment horizontal="right" vertical="center"/>
    </xf>
    <xf numFmtId="165" fontId="16" fillId="5" borderId="34" applyAlignment="1" pivotButton="0" quotePrefix="0" xfId="2">
      <alignment vertical="center"/>
    </xf>
    <xf numFmtId="166" fontId="16" fillId="5" borderId="29" applyAlignment="1" pivotButton="0" quotePrefix="0" xfId="1">
      <alignment horizontal="right" vertical="center"/>
    </xf>
    <xf numFmtId="166" fontId="16" fillId="5" borderId="27" applyAlignment="1" pivotButton="0" quotePrefix="0" xfId="1">
      <alignment horizontal="right" vertical="center"/>
    </xf>
    <xf numFmtId="166" fontId="16" fillId="5" borderId="34" applyAlignment="1" pivotButton="0" quotePrefix="0" xfId="1">
      <alignment horizontal="right" vertical="center"/>
    </xf>
    <xf numFmtId="166" fontId="16" fillId="5" borderId="28" applyAlignment="1" pivotButton="0" quotePrefix="0" xfId="1">
      <alignment vertical="center"/>
    </xf>
    <xf numFmtId="166" fontId="16" fillId="5" borderId="26" applyAlignment="1" pivotButton="0" quotePrefix="0" xfId="1">
      <alignment vertical="center"/>
    </xf>
    <xf numFmtId="166" fontId="16" fillId="5" borderId="28" applyAlignment="1" pivotButton="0" quotePrefix="0" xfId="1">
      <alignment horizontal="right" vertical="center"/>
    </xf>
    <xf numFmtId="165" fontId="0" fillId="5" borderId="27" applyAlignment="1" pivotButton="0" quotePrefix="0" xfId="0">
      <alignment vertical="center"/>
    </xf>
    <xf numFmtId="165" fontId="0" fillId="5" borderId="34" applyAlignment="1" pivotButton="0" quotePrefix="0" xfId="0">
      <alignment vertical="center"/>
    </xf>
    <xf numFmtId="165" fontId="0" fillId="5" borderId="42" applyAlignment="1" pivotButton="0" quotePrefix="0" xfId="0">
      <alignment vertical="center"/>
    </xf>
    <xf numFmtId="165" fontId="0" fillId="5" borderId="14" applyAlignment="1" pivotButton="0" quotePrefix="0" xfId="0">
      <alignment vertical="center"/>
    </xf>
    <xf numFmtId="167" fontId="16" fillId="5" borderId="14" applyAlignment="1" pivotButton="0" quotePrefix="0" xfId="2">
      <alignment vertical="center"/>
    </xf>
    <xf numFmtId="166" fontId="16" fillId="5" borderId="15" applyAlignment="1" pivotButton="0" quotePrefix="0" xfId="1">
      <alignment horizontal="right" vertical="center"/>
    </xf>
    <xf numFmtId="165" fontId="16" fillId="5" borderId="43" applyAlignment="1" pivotButton="0" quotePrefix="0" xfId="2">
      <alignment vertical="center"/>
    </xf>
    <xf numFmtId="165" fontId="16" fillId="5" borderId="14" applyAlignment="1" pivotButton="0" quotePrefix="0" xfId="2">
      <alignment vertical="center"/>
    </xf>
    <xf numFmtId="166" fontId="16" fillId="5" borderId="16" applyAlignment="1" pivotButton="0" quotePrefix="0" xfId="1">
      <alignment horizontal="right" vertical="center"/>
    </xf>
    <xf numFmtId="166" fontId="16" fillId="5" borderId="42" applyAlignment="1" pivotButton="0" quotePrefix="0" xfId="1">
      <alignment horizontal="right" vertical="center"/>
    </xf>
    <xf numFmtId="166" fontId="16" fillId="5" borderId="14" applyAlignment="1" pivotButton="0" quotePrefix="0" xfId="1">
      <alignment horizontal="right" vertical="center"/>
    </xf>
    <xf numFmtId="166" fontId="16" fillId="5" borderId="14" applyAlignment="1" pivotButton="0" quotePrefix="0" xfId="1">
      <alignment vertical="center"/>
    </xf>
    <xf numFmtId="166" fontId="16" fillId="5" borderId="15" applyAlignment="1" pivotButton="0" quotePrefix="0" xfId="1">
      <alignment vertical="center"/>
    </xf>
    <xf numFmtId="165" fontId="7" fillId="0" borderId="44" applyAlignment="1" pivotButton="0" quotePrefix="0" xfId="2">
      <alignment vertical="center"/>
    </xf>
    <xf numFmtId="165" fontId="10" fillId="0" borderId="27" applyAlignment="1" pivotButton="0" quotePrefix="0" xfId="2">
      <alignment vertical="center"/>
    </xf>
    <xf numFmtId="165" fontId="10" fillId="0" borderId="28" applyAlignment="1" pivotButton="0" quotePrefix="0" xfId="2">
      <alignment vertical="center"/>
    </xf>
    <xf numFmtId="165" fontId="0" fillId="5" borderId="43" applyAlignment="1" pivotButton="0" quotePrefix="0" xfId="0">
      <alignment vertical="center"/>
    </xf>
    <xf numFmtId="165" fontId="7" fillId="0" borderId="60" applyAlignment="1" pivotButton="0" quotePrefix="0" xfId="2">
      <alignment vertical="center"/>
    </xf>
    <xf numFmtId="165" fontId="7" fillId="0" borderId="61" applyAlignment="1" pivotButton="0" quotePrefix="0" xfId="2">
      <alignment vertical="center"/>
    </xf>
    <xf numFmtId="167" fontId="8" fillId="0" borderId="61" applyAlignment="1" pivotButton="0" quotePrefix="0" xfId="2">
      <alignment vertical="center"/>
    </xf>
    <xf numFmtId="166" fontId="8" fillId="0" borderId="62" applyAlignment="1" pivotButton="0" quotePrefix="0" xfId="1">
      <alignment horizontal="right" vertical="center"/>
    </xf>
    <xf numFmtId="166" fontId="8" fillId="0" borderId="63" applyAlignment="1" pivotButton="0" quotePrefix="0" xfId="1">
      <alignment horizontal="right" vertical="center"/>
    </xf>
    <xf numFmtId="166" fontId="16" fillId="0" borderId="60" applyAlignment="1" pivotButton="0" quotePrefix="0" xfId="1">
      <alignment horizontal="right" vertical="center"/>
    </xf>
    <xf numFmtId="166" fontId="16" fillId="0" borderId="61" applyAlignment="1" pivotButton="0" quotePrefix="0" xfId="1">
      <alignment horizontal="right" vertical="center"/>
    </xf>
    <xf numFmtId="166" fontId="16" fillId="0" borderId="62" applyAlignment="1" pivotButton="0" quotePrefix="0" xfId="1">
      <alignment horizontal="right" vertical="center"/>
    </xf>
    <xf numFmtId="165" fontId="16" fillId="5" borderId="42" applyAlignment="1" pivotButton="0" quotePrefix="0" xfId="2">
      <alignment vertical="center"/>
    </xf>
    <xf numFmtId="165" fontId="0" fillId="5" borderId="5" applyAlignment="1" pivotButton="0" quotePrefix="0" xfId="0">
      <alignment vertical="center"/>
    </xf>
    <xf numFmtId="165" fontId="0" fillId="5" borderId="6" applyAlignment="1" pivotButton="0" quotePrefix="0" xfId="0">
      <alignment vertical="center"/>
    </xf>
    <xf numFmtId="165" fontId="0" fillId="4" borderId="27" applyAlignment="1" pivotButton="0" quotePrefix="0" xfId="0">
      <alignment vertical="center"/>
    </xf>
    <xf numFmtId="165" fontId="0" fillId="4" borderId="28" applyAlignment="1" pivotButton="0" quotePrefix="0" xfId="0">
      <alignment vertical="center"/>
    </xf>
    <xf numFmtId="167" fontId="16" fillId="4" borderId="28" applyAlignment="1" pivotButton="0" quotePrefix="0" xfId="2">
      <alignment vertical="center"/>
    </xf>
    <xf numFmtId="166" fontId="16" fillId="4" borderId="26" applyAlignment="1" pivotButton="0" quotePrefix="0" xfId="1">
      <alignment horizontal="right" vertical="center"/>
    </xf>
    <xf numFmtId="166" fontId="16" fillId="4" borderId="29" applyAlignment="1" pivotButton="0" quotePrefix="0" xfId="1">
      <alignment horizontal="right" vertical="center"/>
    </xf>
    <xf numFmtId="166" fontId="16" fillId="4" borderId="27" applyAlignment="1" pivotButton="0" quotePrefix="0" xfId="1">
      <alignment horizontal="right" vertical="center"/>
    </xf>
    <xf numFmtId="166" fontId="16" fillId="4" borderId="28" applyAlignment="1" pivotButton="0" quotePrefix="0" xfId="1">
      <alignment horizontal="right" vertical="center"/>
    </xf>
    <xf numFmtId="165" fontId="0" fillId="4" borderId="42" applyAlignment="1" pivotButton="0" quotePrefix="0" xfId="0">
      <alignment vertical="center"/>
    </xf>
    <xf numFmtId="165" fontId="0" fillId="4" borderId="14" applyAlignment="1" pivotButton="0" quotePrefix="0" xfId="0">
      <alignment vertical="center"/>
    </xf>
    <xf numFmtId="167" fontId="16" fillId="4" borderId="14" applyAlignment="1" pivotButton="0" quotePrefix="0" xfId="2">
      <alignment vertical="center"/>
    </xf>
    <xf numFmtId="166" fontId="16" fillId="4" borderId="15" applyAlignment="1" pivotButton="0" quotePrefix="0" xfId="1">
      <alignment horizontal="right" vertical="center"/>
    </xf>
    <xf numFmtId="166" fontId="16" fillId="4" borderId="16" applyAlignment="1" pivotButton="0" quotePrefix="0" xfId="1">
      <alignment horizontal="right" vertical="center"/>
    </xf>
    <xf numFmtId="166" fontId="16" fillId="4" borderId="5" applyAlignment="1" pivotButton="0" quotePrefix="0" xfId="1">
      <alignment horizontal="right" vertical="center"/>
    </xf>
    <xf numFmtId="166" fontId="16" fillId="4" borderId="31" applyAlignment="1" pivotButton="0" quotePrefix="0" xfId="1">
      <alignment horizontal="right" vertical="center"/>
    </xf>
    <xf numFmtId="166" fontId="16" fillId="4" borderId="30" applyAlignment="1" pivotButton="0" quotePrefix="0" xfId="1">
      <alignment horizontal="right" vertical="center"/>
    </xf>
    <xf numFmtId="165" fontId="14" fillId="4" borderId="20" applyAlignment="1" pivotButton="0" quotePrefix="0" xfId="2">
      <alignment vertical="center"/>
    </xf>
    <xf numFmtId="165" fontId="14" fillId="4" borderId="51" applyAlignment="1" pivotButton="0" quotePrefix="0" xfId="2">
      <alignment vertical="center"/>
    </xf>
    <xf numFmtId="165" fontId="4" fillId="4" borderId="21" applyAlignment="1" pivotButton="0" quotePrefix="0" xfId="2">
      <alignment vertical="center"/>
    </xf>
    <xf numFmtId="165" fontId="7" fillId="4" borderId="21" applyAlignment="1" pivotButton="0" quotePrefix="0" xfId="2">
      <alignment vertical="center"/>
    </xf>
    <xf numFmtId="167" fontId="16" fillId="4" borderId="21" applyAlignment="1" pivotButton="0" quotePrefix="0" xfId="2">
      <alignment vertical="center"/>
    </xf>
    <xf numFmtId="166" fontId="0" fillId="4" borderId="22" applyAlignment="1" pivotButton="0" quotePrefix="0" xfId="0">
      <alignment horizontal="right" vertical="center"/>
    </xf>
    <xf numFmtId="166" fontId="16" fillId="4" borderId="23" applyAlignment="1" pivotButton="0" quotePrefix="0" xfId="1">
      <alignment horizontal="right" vertical="center"/>
    </xf>
    <xf numFmtId="166" fontId="16" fillId="4" borderId="20" applyAlignment="1" pivotButton="0" quotePrefix="0" xfId="1">
      <alignment horizontal="right" vertical="center"/>
    </xf>
    <xf numFmtId="166" fontId="16" fillId="4" borderId="21" applyAlignment="1" pivotButton="0" quotePrefix="0" xfId="1">
      <alignment horizontal="right" vertical="center"/>
    </xf>
    <xf numFmtId="166" fontId="16" fillId="4" borderId="22" applyAlignment="1" pivotButton="0" quotePrefix="0" xfId="1">
      <alignment horizontal="right" vertical="center"/>
    </xf>
    <xf numFmtId="165" fontId="16" fillId="4" borderId="27" applyAlignment="1" pivotButton="0" quotePrefix="0" xfId="2">
      <alignment vertical="center"/>
    </xf>
    <xf numFmtId="165" fontId="16" fillId="4" borderId="34" applyAlignment="1" pivotButton="0" quotePrefix="0" xfId="2">
      <alignment vertical="center"/>
    </xf>
    <xf numFmtId="165" fontId="16" fillId="4" borderId="28" applyAlignment="1" pivotButton="0" quotePrefix="0" xfId="2">
      <alignment vertical="center"/>
    </xf>
    <xf numFmtId="166" fontId="0" fillId="4" borderId="26" applyAlignment="1" pivotButton="0" quotePrefix="0" xfId="0">
      <alignment horizontal="right" vertical="center"/>
    </xf>
    <xf numFmtId="165" fontId="4" fillId="4" borderId="27" applyAlignment="1" pivotButton="0" quotePrefix="0" xfId="2">
      <alignment vertical="center"/>
    </xf>
    <xf numFmtId="165" fontId="4" fillId="4" borderId="34" applyAlignment="1" pivotButton="0" quotePrefix="0" xfId="2">
      <alignment vertical="center"/>
    </xf>
    <xf numFmtId="165" fontId="4" fillId="4" borderId="28" applyAlignment="1" pivotButton="0" quotePrefix="0" xfId="2">
      <alignment vertical="center"/>
    </xf>
    <xf numFmtId="165" fontId="4" fillId="4" borderId="43" applyAlignment="1" pivotButton="0" quotePrefix="0" xfId="2">
      <alignment vertical="center"/>
    </xf>
    <xf numFmtId="165" fontId="4" fillId="4" borderId="14" applyAlignment="1" pivotButton="0" quotePrefix="0" xfId="2">
      <alignment vertical="center"/>
    </xf>
    <xf numFmtId="166" fontId="0" fillId="4" borderId="15" applyAlignment="1" pivotButton="0" quotePrefix="0" xfId="0">
      <alignment horizontal="right" vertical="center"/>
    </xf>
    <xf numFmtId="166" fontId="16" fillId="4" borderId="42" applyAlignment="1" pivotButton="0" quotePrefix="0" xfId="1">
      <alignment horizontal="right" vertical="center"/>
    </xf>
    <xf numFmtId="166" fontId="16" fillId="4" borderId="14" applyAlignment="1" pivotButton="0" quotePrefix="0" xfId="1">
      <alignment horizontal="right" vertical="center"/>
    </xf>
    <xf numFmtId="165" fontId="0" fillId="3" borderId="20" applyAlignment="1" pivotButton="0" quotePrefix="0" xfId="0">
      <alignment vertical="center"/>
    </xf>
    <xf numFmtId="165" fontId="0" fillId="3" borderId="21" applyAlignment="1" pivotButton="0" quotePrefix="0" xfId="0">
      <alignment vertical="center"/>
    </xf>
    <xf numFmtId="167" fontId="16" fillId="3" borderId="21" applyAlignment="1" pivotButton="0" quotePrefix="0" xfId="2">
      <alignment vertical="center"/>
    </xf>
    <xf numFmtId="166" fontId="16" fillId="3" borderId="22" applyAlignment="1" pivotButton="0" quotePrefix="0" xfId="1">
      <alignment horizontal="right" vertical="center"/>
    </xf>
    <xf numFmtId="166" fontId="16" fillId="3" borderId="23" applyAlignment="1" pivotButton="0" quotePrefix="0" xfId="1">
      <alignment horizontal="right" vertical="center"/>
    </xf>
    <xf numFmtId="166" fontId="16" fillId="3" borderId="20" applyAlignment="1" pivotButton="0" quotePrefix="0" xfId="1">
      <alignment horizontal="right" vertical="center"/>
    </xf>
    <xf numFmtId="166" fontId="16" fillId="3" borderId="21" applyAlignment="1" pivotButton="0" quotePrefix="0" xfId="1">
      <alignment horizontal="right" vertical="center"/>
    </xf>
    <xf numFmtId="165" fontId="0" fillId="3" borderId="27" applyAlignment="1" pivotButton="0" quotePrefix="0" xfId="0">
      <alignment vertical="center"/>
    </xf>
    <xf numFmtId="165" fontId="0" fillId="3" borderId="28" applyAlignment="1" pivotButton="0" quotePrefix="0" xfId="0">
      <alignment vertical="center"/>
    </xf>
    <xf numFmtId="167" fontId="16" fillId="3" borderId="28" applyAlignment="1" pivotButton="0" quotePrefix="0" xfId="2">
      <alignment vertical="center"/>
    </xf>
    <xf numFmtId="166" fontId="16" fillId="3" borderId="26" applyAlignment="1" pivotButton="0" quotePrefix="0" xfId="1">
      <alignment horizontal="right" vertical="center"/>
    </xf>
    <xf numFmtId="166" fontId="16" fillId="3" borderId="29" applyAlignment="1" pivotButton="0" quotePrefix="0" xfId="1">
      <alignment horizontal="right" vertical="center"/>
    </xf>
    <xf numFmtId="166" fontId="16" fillId="3" borderId="27" applyAlignment="1" pivotButton="0" quotePrefix="0" xfId="1">
      <alignment horizontal="right" vertical="center"/>
    </xf>
    <xf numFmtId="166" fontId="16" fillId="3" borderId="28" applyAlignment="1" pivotButton="0" quotePrefix="0" xfId="1">
      <alignment horizontal="right" vertical="center"/>
    </xf>
    <xf numFmtId="165" fontId="0" fillId="3" borderId="42" applyAlignment="1" pivotButton="0" quotePrefix="0" xfId="0">
      <alignment vertical="center"/>
    </xf>
    <xf numFmtId="165" fontId="0" fillId="3" borderId="14" applyAlignment="1" pivotButton="0" quotePrefix="0" xfId="0">
      <alignment vertical="center"/>
    </xf>
    <xf numFmtId="167" fontId="16" fillId="3" borderId="14" applyAlignment="1" pivotButton="0" quotePrefix="0" xfId="2">
      <alignment vertical="center"/>
    </xf>
    <xf numFmtId="166" fontId="16" fillId="3" borderId="15" applyAlignment="1" pivotButton="0" quotePrefix="0" xfId="1">
      <alignment horizontal="right" vertical="center"/>
    </xf>
    <xf numFmtId="166" fontId="16" fillId="3" borderId="16" applyAlignment="1" pivotButton="0" quotePrefix="0" xfId="1">
      <alignment horizontal="right" vertical="center"/>
    </xf>
    <xf numFmtId="166" fontId="16" fillId="3" borderId="42" applyAlignment="1" pivotButton="0" quotePrefix="0" xfId="1">
      <alignment horizontal="right" vertical="center"/>
    </xf>
    <xf numFmtId="166" fontId="16" fillId="3" borderId="14" applyAlignment="1" pivotButton="0" quotePrefix="0" xfId="1">
      <alignment horizontal="right" vertical="center"/>
    </xf>
    <xf numFmtId="165" fontId="0" fillId="3" borderId="54" applyAlignment="1" pivotButton="0" quotePrefix="0" xfId="0">
      <alignment vertical="center"/>
    </xf>
    <xf numFmtId="165" fontId="0" fillId="3" borderId="55" applyAlignment="1" pivotButton="0" quotePrefix="0" xfId="0">
      <alignment vertical="center"/>
    </xf>
    <xf numFmtId="167" fontId="0" fillId="3" borderId="55" applyAlignment="1" pivotButton="0" quotePrefix="0" xfId="0">
      <alignment vertical="center"/>
    </xf>
    <xf numFmtId="166" fontId="16" fillId="3" borderId="56" applyAlignment="1" pivotButton="0" quotePrefix="0" xfId="1">
      <alignment horizontal="right" vertical="center"/>
    </xf>
    <xf numFmtId="166" fontId="16" fillId="3" borderId="57" applyAlignment="1" pivotButton="0" quotePrefix="0" xfId="1">
      <alignment horizontal="right" vertical="center"/>
    </xf>
    <xf numFmtId="166" fontId="16" fillId="3" borderId="54" applyAlignment="1" pivotButton="0" quotePrefix="0" xfId="1">
      <alignment horizontal="right" vertical="center"/>
    </xf>
    <xf numFmtId="166" fontId="16" fillId="3" borderId="55" applyAlignment="1" pivotButton="0" quotePrefix="0" xfId="1">
      <alignment horizontal="right" vertical="center"/>
    </xf>
  </cellXfs>
  <cellStyles count="4">
    <cellStyle name="標準" xfId="0" builtinId="0"/>
    <cellStyle name="パーセント" xfId="1" builtinId="5"/>
    <cellStyle name="Excel Built-in Comma [0]" xfId="2"/>
    <cellStyle name="桁区切り" xfId="3" builtinId="6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Y143"/>
  <sheetViews>
    <sheetView zoomScaleNormal="100" workbookViewId="0">
      <pane xSplit="5" ySplit="6" topLeftCell="F97" activePane="bottomRight" state="frozen"/>
      <selection pane="topRight" activeCell="F1" sqref="F1"/>
      <selection pane="bottomLeft" activeCell="A130" sqref="A130"/>
      <selection pane="bottomRight" activeCell="H106" sqref="H106"/>
    </sheetView>
  </sheetViews>
  <sheetFormatPr baseColWidth="8" defaultColWidth="8.5" defaultRowHeight="18.75"/>
  <cols>
    <col width="1.875" customWidth="1" style="236" min="1" max="4"/>
    <col width="19.5" customWidth="1" style="236" min="5" max="5"/>
    <col width="8.5" customWidth="1" style="241" min="10" max="11"/>
    <col width="9.375" customWidth="1" style="236" min="16" max="16"/>
    <col width="8.5" customWidth="1" style="241" min="17" max="18"/>
    <col width="9.125" customWidth="1" style="236" min="20" max="23"/>
    <col width="9.375" customWidth="1" style="236" min="24" max="25"/>
  </cols>
  <sheetData>
    <row r="2" ht="20.25" customHeight="1" s="236">
      <c r="A2" s="2" t="inlineStr">
        <is>
          <t>1．単月実績</t>
        </is>
      </c>
      <c r="B2" s="2" t="n"/>
    </row>
    <row r="4" ht="24" customHeight="1" s="236">
      <c r="A4" s="233" t="n"/>
      <c r="B4" s="234" t="n"/>
      <c r="C4" s="234" t="n"/>
      <c r="D4" s="234" t="n"/>
      <c r="E4" s="234" t="n"/>
      <c r="F4" s="242" t="inlineStr">
        <is>
          <t>売上</t>
        </is>
      </c>
      <c r="G4" s="230" t="n"/>
      <c r="H4" s="230" t="n"/>
      <c r="I4" s="230" t="n"/>
      <c r="J4" s="230" t="n"/>
      <c r="K4" s="230" t="n"/>
      <c r="L4" s="231" t="n"/>
      <c r="M4" s="243" t="inlineStr">
        <is>
          <t>粗利益</t>
        </is>
      </c>
      <c r="N4" s="230" t="n"/>
      <c r="O4" s="230" t="n"/>
      <c r="P4" s="230" t="n"/>
      <c r="Q4" s="230" t="n"/>
      <c r="R4" s="230" t="n"/>
      <c r="S4" s="230" t="n"/>
      <c r="T4" s="244" t="inlineStr">
        <is>
          <t>粗利益率</t>
        </is>
      </c>
      <c r="U4" s="234" t="n"/>
      <c r="V4" s="234" t="n"/>
      <c r="W4" s="234" t="n"/>
      <c r="X4" s="234" t="n"/>
      <c r="Y4" s="240" t="n"/>
    </row>
    <row r="5">
      <c r="A5" s="235" t="n"/>
      <c r="F5" s="245" t="inlineStr">
        <is>
          <t>令和6年8月</t>
        </is>
      </c>
      <c r="G5" s="246" t="inlineStr">
        <is>
          <t>令和7年8月</t>
        </is>
      </c>
      <c r="H5" s="246" t="inlineStr">
        <is>
          <t>令和8年8月</t>
        </is>
      </c>
      <c r="I5" s="246" t="inlineStr">
        <is>
          <t>令和8年8月</t>
        </is>
      </c>
      <c r="J5" s="247" t="n"/>
      <c r="K5" s="247" t="n"/>
      <c r="L5" s="248" t="n"/>
      <c r="M5" s="245" t="inlineStr">
        <is>
          <t>令和6年8月</t>
        </is>
      </c>
      <c r="N5" s="246" t="inlineStr">
        <is>
          <t>令和7年8月</t>
        </is>
      </c>
      <c r="O5" s="246" t="inlineStr">
        <is>
          <t>令和8年8月</t>
        </is>
      </c>
      <c r="P5" s="246" t="inlineStr">
        <is>
          <t>令和8年8月</t>
        </is>
      </c>
      <c r="Q5" s="247" t="n"/>
      <c r="R5" s="247" t="n"/>
      <c r="S5" s="249" t="n"/>
      <c r="T5" s="245" t="inlineStr">
        <is>
          <t>令和6年8月</t>
        </is>
      </c>
      <c r="U5" s="246" t="inlineStr">
        <is>
          <t>令和7年8月</t>
        </is>
      </c>
      <c r="V5" s="246" t="inlineStr">
        <is>
          <t>令和8年8月</t>
        </is>
      </c>
      <c r="W5" s="246" t="inlineStr">
        <is>
          <t>令和8年8月</t>
        </is>
      </c>
      <c r="X5" s="250" t="n"/>
      <c r="Y5" s="251" t="n"/>
    </row>
    <row r="6">
      <c r="A6" s="237" t="n"/>
      <c r="B6" s="238" t="n"/>
      <c r="C6" s="238" t="n"/>
      <c r="D6" s="238" t="n"/>
      <c r="E6" s="238" t="n"/>
      <c r="F6" s="252" t="inlineStr">
        <is>
          <t>実績</t>
        </is>
      </c>
      <c r="G6" s="253" t="inlineStr">
        <is>
          <t>実績</t>
        </is>
      </c>
      <c r="H6" s="253" t="inlineStr">
        <is>
          <t>計画</t>
        </is>
      </c>
      <c r="I6" s="254" t="inlineStr">
        <is>
          <t>実績</t>
        </is>
      </c>
      <c r="J6" s="255" t="inlineStr">
        <is>
          <t>計画比</t>
        </is>
      </c>
      <c r="K6" s="255" t="inlineStr">
        <is>
          <t>前期比</t>
        </is>
      </c>
      <c r="L6" s="256" t="inlineStr">
        <is>
          <t>年率</t>
        </is>
      </c>
      <c r="M6" s="252" t="inlineStr">
        <is>
          <t>実績</t>
        </is>
      </c>
      <c r="N6" s="253" t="inlineStr">
        <is>
          <t>実績</t>
        </is>
      </c>
      <c r="O6" s="253" t="inlineStr">
        <is>
          <t>計画</t>
        </is>
      </c>
      <c r="P6" s="254" t="inlineStr">
        <is>
          <t>実績</t>
        </is>
      </c>
      <c r="Q6" s="255" t="inlineStr">
        <is>
          <t>計画比</t>
        </is>
      </c>
      <c r="R6" s="255" t="inlineStr">
        <is>
          <t>前期比</t>
        </is>
      </c>
      <c r="S6" s="257" t="inlineStr">
        <is>
          <t>年率</t>
        </is>
      </c>
      <c r="T6" s="252" t="inlineStr">
        <is>
          <t>実績</t>
        </is>
      </c>
      <c r="U6" s="253" t="inlineStr">
        <is>
          <t>実績</t>
        </is>
      </c>
      <c r="V6" s="253" t="inlineStr">
        <is>
          <t>計画</t>
        </is>
      </c>
      <c r="W6" s="254" t="inlineStr">
        <is>
          <t>実績</t>
        </is>
      </c>
      <c r="X6" s="258" t="inlineStr">
        <is>
          <t>計画比</t>
        </is>
      </c>
      <c r="Y6" s="256" t="inlineStr">
        <is>
          <t>前期比</t>
        </is>
      </c>
    </row>
    <row r="7">
      <c r="A7" s="15" t="n"/>
      <c r="B7" s="16" t="n"/>
      <c r="C7" s="17" t="n"/>
      <c r="D7" s="18" t="inlineStr">
        <is>
          <t>佐々木課長</t>
        </is>
      </c>
      <c r="E7" s="19" t="n"/>
      <c r="F7" s="259" t="n">
        <v>19902.035</v>
      </c>
      <c r="G7" s="260" t="n">
        <v>17756.598</v>
      </c>
      <c r="H7" s="260" t="n">
        <v>18720</v>
      </c>
      <c r="I7" s="260" t="n">
        <v>15638.502</v>
      </c>
      <c r="J7" s="261">
        <f>I7-H7</f>
        <v/>
      </c>
      <c r="K7" s="261">
        <f>I7-G7</f>
        <v/>
      </c>
      <c r="L7" s="262">
        <f>IF(G7=0,"***",K7/G7)</f>
        <v/>
      </c>
      <c r="M7" s="259" t="n">
        <v>4472.3902</v>
      </c>
      <c r="N7" s="260" t="n">
        <v>4379.712</v>
      </c>
      <c r="O7" s="260" t="n">
        <v>4450</v>
      </c>
      <c r="P7" s="260" t="n">
        <v>3800.213</v>
      </c>
      <c r="Q7" s="261">
        <f>P7-O7</f>
        <v/>
      </c>
      <c r="R7" s="261">
        <f>P7-N7</f>
        <v/>
      </c>
      <c r="S7" s="263">
        <f>IF(N7=0,"***",R7/N7)</f>
        <v/>
      </c>
      <c r="T7" s="264">
        <f>IF(F7=0,"***",M7/F7)</f>
        <v/>
      </c>
      <c r="U7" s="265">
        <f>IF(G7=0,"***",N7/G7)</f>
        <v/>
      </c>
      <c r="V7" s="265">
        <f>IF(H7=0,"***",O7/H7)</f>
        <v/>
      </c>
      <c r="W7" s="265">
        <f>IF(I7=0,"***",P7/I7)</f>
        <v/>
      </c>
      <c r="X7" s="265">
        <f>W7-V7</f>
        <v/>
      </c>
      <c r="Y7" s="266">
        <f>W7-U7</f>
        <v/>
      </c>
    </row>
    <row r="8">
      <c r="A8" s="27" t="n"/>
      <c r="B8" s="28" t="n"/>
      <c r="C8" s="29" t="n"/>
      <c r="D8" s="30" t="n"/>
      <c r="E8" s="31" t="inlineStr">
        <is>
          <t>包装資材</t>
        </is>
      </c>
      <c r="F8" s="267">
        <f>F7-F9</f>
        <v/>
      </c>
      <c r="G8" s="268">
        <f>G7-G9</f>
        <v/>
      </c>
      <c r="H8" s="268">
        <f>H7-H9</f>
        <v/>
      </c>
      <c r="I8" s="268">
        <f>I7-I9</f>
        <v/>
      </c>
      <c r="J8" s="269">
        <f>I8-H8</f>
        <v/>
      </c>
      <c r="K8" s="269">
        <f>I8-G8</f>
        <v/>
      </c>
      <c r="L8" s="270">
        <f>IF(G8=0,"***",K8/G8)</f>
        <v/>
      </c>
      <c r="M8" s="267">
        <f>M7-M9</f>
        <v/>
      </c>
      <c r="N8" s="268">
        <f>N7-N9</f>
        <v/>
      </c>
      <c r="O8" s="268">
        <f>O7-O9</f>
        <v/>
      </c>
      <c r="P8" s="268">
        <f>P7-P9</f>
        <v/>
      </c>
      <c r="Q8" s="269">
        <f>P8-O8</f>
        <v/>
      </c>
      <c r="R8" s="269">
        <f>P8-N8</f>
        <v/>
      </c>
      <c r="S8" s="271">
        <f>IF(N8=0,"***",R8/N8)</f>
        <v/>
      </c>
      <c r="T8" s="272">
        <f>IF(F8=0,"***",M8/F8)</f>
        <v/>
      </c>
      <c r="U8" s="273">
        <f>IF(G8=0,"***",N8/G8)</f>
        <v/>
      </c>
      <c r="V8" s="273">
        <f>IF(H8=0,"***",O8/H8)</f>
        <v/>
      </c>
      <c r="W8" s="273">
        <f>IF(I8=0,"***",P8/I8)</f>
        <v/>
      </c>
      <c r="X8" s="273">
        <f>W8-V8</f>
        <v/>
      </c>
      <c r="Y8" s="274">
        <f>W8-U8</f>
        <v/>
      </c>
    </row>
    <row r="9">
      <c r="A9" s="27" t="n"/>
      <c r="B9" s="28" t="n"/>
      <c r="C9" s="29" t="n"/>
      <c r="D9" s="30" t="n"/>
      <c r="E9" s="40" t="inlineStr">
        <is>
          <t>機械</t>
        </is>
      </c>
      <c r="F9" s="275" t="n">
        <v>3638.02</v>
      </c>
      <c r="G9" s="276" t="n">
        <v>598.03</v>
      </c>
      <c r="H9" s="276" t="n">
        <v>1000</v>
      </c>
      <c r="I9" s="277" t="n">
        <v>352.565</v>
      </c>
      <c r="J9" s="278">
        <f>I9-H9</f>
        <v/>
      </c>
      <c r="K9" s="278">
        <f>I9-G9</f>
        <v/>
      </c>
      <c r="L9" s="279">
        <f>IF(G9=0,"***",K9/G9)</f>
        <v/>
      </c>
      <c r="M9" s="275" t="n">
        <v>643.34</v>
      </c>
      <c r="N9" s="276" t="n">
        <v>165.33</v>
      </c>
      <c r="O9" s="276" t="n">
        <v>160</v>
      </c>
      <c r="P9" s="277" t="n">
        <v>80.40900000000001</v>
      </c>
      <c r="Q9" s="278">
        <f>P9-O9</f>
        <v/>
      </c>
      <c r="R9" s="278">
        <f>P9-N9</f>
        <v/>
      </c>
      <c r="S9" s="280">
        <f>IF(N9=0,"***",R9/N9)</f>
        <v/>
      </c>
      <c r="T9" s="281">
        <f>IF(F9=0,"***",M9/F9)</f>
        <v/>
      </c>
      <c r="U9" s="282">
        <f>IF(G9=0,"***",N9/G9)</f>
        <v/>
      </c>
      <c r="V9" s="282">
        <f>IF(H9=0,"***",O9/H9)</f>
        <v/>
      </c>
      <c r="W9" s="282">
        <f>IF(I9=0,"***",P9/I9)</f>
        <v/>
      </c>
      <c r="X9" s="282">
        <f>W9-V9</f>
        <v/>
      </c>
      <c r="Y9" s="283">
        <f>W9-U9</f>
        <v/>
      </c>
    </row>
    <row r="10">
      <c r="A10" s="49" t="n"/>
      <c r="B10" s="50" t="n"/>
      <c r="C10" s="51" t="n"/>
      <c r="D10" s="52" t="inlineStr">
        <is>
          <t>川上</t>
        </is>
      </c>
      <c r="E10" s="53" t="n"/>
      <c r="F10" s="284" t="n">
        <v>5177.704000000001</v>
      </c>
      <c r="G10" s="285" t="n">
        <v>8126.865000000001</v>
      </c>
      <c r="H10" s="285" t="n">
        <v>8110</v>
      </c>
      <c r="I10" s="285" t="n">
        <v>7202.003</v>
      </c>
      <c r="J10" s="286">
        <f>I10-H10</f>
        <v/>
      </c>
      <c r="K10" s="286">
        <f>I10-G10</f>
        <v/>
      </c>
      <c r="L10" s="287">
        <f>IF(G10=0,"***",K10/G10)</f>
        <v/>
      </c>
      <c r="M10" s="284" t="n">
        <v>1440.424</v>
      </c>
      <c r="N10" s="285" t="n">
        <v>2296.254</v>
      </c>
      <c r="O10" s="285" t="n">
        <v>2150</v>
      </c>
      <c r="P10" s="285" t="n">
        <v>1771.851</v>
      </c>
      <c r="Q10" s="286">
        <f>P10-O10</f>
        <v/>
      </c>
      <c r="R10" s="286">
        <f>P10-N10</f>
        <v/>
      </c>
      <c r="S10" s="288">
        <f>IF(N10=0,"***",R10/N10)</f>
        <v/>
      </c>
      <c r="T10" s="272">
        <f>IF(F10=0,"***",M10/F10)</f>
        <v/>
      </c>
      <c r="U10" s="273">
        <f>IF(G10=0,"***",N10/G10)</f>
        <v/>
      </c>
      <c r="V10" s="273">
        <f>IF(H10=0,"***",O10/H10)</f>
        <v/>
      </c>
      <c r="W10" s="273">
        <f>IF(I10=0,"***",P10/I10)</f>
        <v/>
      </c>
      <c r="X10" s="273">
        <f>W10-V10</f>
        <v/>
      </c>
      <c r="Y10" s="274">
        <f>W10-U10</f>
        <v/>
      </c>
    </row>
    <row r="11">
      <c r="A11" s="27" t="n"/>
      <c r="B11" s="28" t="n"/>
      <c r="C11" s="29" t="n"/>
      <c r="D11" s="30" t="n"/>
      <c r="E11" s="31" t="inlineStr">
        <is>
          <t>包装資材</t>
        </is>
      </c>
      <c r="F11" s="267">
        <f>F10-F12</f>
        <v/>
      </c>
      <c r="G11" s="268">
        <f>G10-G12</f>
        <v/>
      </c>
      <c r="H11" s="268">
        <f>H10-H12</f>
        <v/>
      </c>
      <c r="I11" s="268">
        <f>I10-I12</f>
        <v/>
      </c>
      <c r="J11" s="269">
        <f>I11-H11</f>
        <v/>
      </c>
      <c r="K11" s="269">
        <f>I11-G11</f>
        <v/>
      </c>
      <c r="L11" s="270">
        <f>IF(G11=0,"***",K11/G11)</f>
        <v/>
      </c>
      <c r="M11" s="267">
        <f>M10-M12</f>
        <v/>
      </c>
      <c r="N11" s="268">
        <f>N10-N12</f>
        <v/>
      </c>
      <c r="O11" s="268">
        <f>O10-O12</f>
        <v/>
      </c>
      <c r="P11" s="268">
        <f>P10-P12</f>
        <v/>
      </c>
      <c r="Q11" s="269">
        <f>P11-O11</f>
        <v/>
      </c>
      <c r="R11" s="269">
        <f>P11-N11</f>
        <v/>
      </c>
      <c r="S11" s="271">
        <f>IF(N11=0,"***",R11/N11)</f>
        <v/>
      </c>
      <c r="T11" s="272">
        <f>IF(F11=0,"***",M11/F11)</f>
        <v/>
      </c>
      <c r="U11" s="273">
        <f>IF(G11=0,"***",N11/G11)</f>
        <v/>
      </c>
      <c r="V11" s="273">
        <f>IF(H11=0,"***",O11/H11)</f>
        <v/>
      </c>
      <c r="W11" s="273">
        <f>IF(I11=0,"***",P11/I11)</f>
        <v/>
      </c>
      <c r="X11" s="273">
        <f>W11-V11</f>
        <v/>
      </c>
      <c r="Y11" s="274">
        <f>W11-U11</f>
        <v/>
      </c>
    </row>
    <row r="12">
      <c r="A12" s="27" t="n"/>
      <c r="B12" s="28" t="n"/>
      <c r="C12" s="29" t="n"/>
      <c r="D12" s="30" t="n"/>
      <c r="E12" s="58" t="inlineStr">
        <is>
          <t>機械</t>
        </is>
      </c>
      <c r="F12" s="289" t="n">
        <v>42</v>
      </c>
      <c r="G12" s="277" t="n">
        <v>45.385</v>
      </c>
      <c r="H12" s="277" t="n">
        <v>1000</v>
      </c>
      <c r="I12" s="277" t="n">
        <v>178.09</v>
      </c>
      <c r="J12" s="269">
        <f>I12-H12</f>
        <v/>
      </c>
      <c r="K12" s="269">
        <f>I12-G12</f>
        <v/>
      </c>
      <c r="L12" s="270">
        <f>IF(G12=0,"***",K12/G12)</f>
        <v/>
      </c>
      <c r="M12" s="289" t="n">
        <v>32</v>
      </c>
      <c r="N12" s="277" t="n">
        <v>6.88</v>
      </c>
      <c r="O12" s="277" t="n">
        <v>160</v>
      </c>
      <c r="P12" s="277" t="n">
        <v>42.968</v>
      </c>
      <c r="Q12" s="269">
        <f>P12-O12</f>
        <v/>
      </c>
      <c r="R12" s="269">
        <f>P12-N12</f>
        <v/>
      </c>
      <c r="S12" s="271">
        <f>IF(N12=0,"***",R12/N12)</f>
        <v/>
      </c>
      <c r="T12" s="272">
        <f>IF(F12=0,"***",M12/F12)</f>
        <v/>
      </c>
      <c r="U12" s="273">
        <f>IF(G12=0,"***",N12/G12)</f>
        <v/>
      </c>
      <c r="V12" s="273">
        <f>IF(H12=0,"***",O12/H12)</f>
        <v/>
      </c>
      <c r="W12" s="273">
        <f>IF(I12=0,"***",P12/I12)</f>
        <v/>
      </c>
      <c r="X12" s="273">
        <f>W12-V12</f>
        <v/>
      </c>
      <c r="Y12" s="274">
        <f>W12-U12</f>
        <v/>
      </c>
    </row>
    <row r="13">
      <c r="A13" s="49" t="n"/>
      <c r="B13" s="50" t="n"/>
      <c r="C13" s="51" t="n"/>
      <c r="D13" s="52" t="inlineStr">
        <is>
          <t>三浦</t>
        </is>
      </c>
      <c r="E13" s="53" t="n"/>
      <c r="F13" s="284" t="n">
        <v>21914.739</v>
      </c>
      <c r="G13" s="285" t="n">
        <v>22551.727</v>
      </c>
      <c r="H13" s="285" t="n">
        <v>23430</v>
      </c>
      <c r="I13" s="285" t="n">
        <v>25406.55</v>
      </c>
      <c r="J13" s="286">
        <f>I13-H13</f>
        <v/>
      </c>
      <c r="K13" s="286">
        <f>I13-G13</f>
        <v/>
      </c>
      <c r="L13" s="287">
        <f>IF(G13=0,"***",K13/G13)</f>
        <v/>
      </c>
      <c r="M13" s="284" t="n">
        <v>7119.109</v>
      </c>
      <c r="N13" s="285" t="n">
        <v>7872.362</v>
      </c>
      <c r="O13" s="285" t="n">
        <v>7770</v>
      </c>
      <c r="P13" s="285" t="n">
        <v>9186.766</v>
      </c>
      <c r="Q13" s="286">
        <f>P13-O13</f>
        <v/>
      </c>
      <c r="R13" s="286">
        <f>P13-N13</f>
        <v/>
      </c>
      <c r="S13" s="288">
        <f>IF(N13=0,"***",R13/N13)</f>
        <v/>
      </c>
      <c r="T13" s="272">
        <f>IF(F13=0,"***",M13/F13)</f>
        <v/>
      </c>
      <c r="U13" s="273">
        <f>IF(G13=0,"***",N13/G13)</f>
        <v/>
      </c>
      <c r="V13" s="273">
        <f>IF(H13=0,"***",O13/H13)</f>
        <v/>
      </c>
      <c r="W13" s="273">
        <f>IF(I13=0,"***",P13/I13)</f>
        <v/>
      </c>
      <c r="X13" s="273">
        <f>W13-V13</f>
        <v/>
      </c>
      <c r="Y13" s="274">
        <f>W13-U13</f>
        <v/>
      </c>
    </row>
    <row r="14">
      <c r="A14" s="27" t="n"/>
      <c r="B14" s="28" t="n"/>
      <c r="C14" s="29" t="n"/>
      <c r="D14" s="30" t="n"/>
      <c r="E14" s="31" t="inlineStr">
        <is>
          <t>包装資材</t>
        </is>
      </c>
      <c r="F14" s="267">
        <f>F13-F15</f>
        <v/>
      </c>
      <c r="G14" s="267">
        <f>G13-G15</f>
        <v/>
      </c>
      <c r="H14" s="268">
        <f>H13-H15</f>
        <v/>
      </c>
      <c r="I14" s="268">
        <f>I13-I15</f>
        <v/>
      </c>
      <c r="J14" s="269">
        <f>I14-H14</f>
        <v/>
      </c>
      <c r="K14" s="269">
        <f>I14-G14</f>
        <v/>
      </c>
      <c r="L14" s="270">
        <f>IF(G14=0,"***",K14/G14)</f>
        <v/>
      </c>
      <c r="M14" s="267">
        <f>M13-M15</f>
        <v/>
      </c>
      <c r="N14" s="290">
        <f>N13-N15</f>
        <v/>
      </c>
      <c r="O14" s="268">
        <f>O13-O15</f>
        <v/>
      </c>
      <c r="P14" s="268">
        <f>P13-P15</f>
        <v/>
      </c>
      <c r="Q14" s="269">
        <f>P14-O14</f>
        <v/>
      </c>
      <c r="R14" s="269">
        <f>P14-N14</f>
        <v/>
      </c>
      <c r="S14" s="271">
        <f>IF(N14=0,"***",R14/N14)</f>
        <v/>
      </c>
      <c r="T14" s="272">
        <f>IF(F14=0,"***",M14/F14)</f>
        <v/>
      </c>
      <c r="U14" s="273">
        <f>IF(G14=0,"***",N14/G14)</f>
        <v/>
      </c>
      <c r="V14" s="273">
        <f>IF(H14=0,"***",O14/H14)</f>
        <v/>
      </c>
      <c r="W14" s="273">
        <f>IF(I14=0,"***",P14/I14)</f>
        <v/>
      </c>
      <c r="X14" s="273">
        <f>W14-V14</f>
        <v/>
      </c>
      <c r="Y14" s="274">
        <f>W14-U14</f>
        <v/>
      </c>
    </row>
    <row r="15">
      <c r="A15" s="27" t="n"/>
      <c r="B15" s="28" t="n"/>
      <c r="C15" s="29" t="n"/>
      <c r="D15" s="30" t="n"/>
      <c r="E15" s="58" t="inlineStr">
        <is>
          <t>機械</t>
        </is>
      </c>
      <c r="F15" s="289" t="n">
        <v>475.179</v>
      </c>
      <c r="G15" s="277" t="n">
        <v>144.258</v>
      </c>
      <c r="H15" s="277" t="n">
        <v>1000</v>
      </c>
      <c r="I15" s="277" t="n">
        <v>197.345</v>
      </c>
      <c r="J15" s="269">
        <f>I15-H15</f>
        <v/>
      </c>
      <c r="K15" s="269">
        <f>I15-G15</f>
        <v/>
      </c>
      <c r="L15" s="270">
        <f>IF(G15=0,"***",K15/G15)</f>
        <v/>
      </c>
      <c r="M15" s="289" t="n">
        <v>97.68899999999999</v>
      </c>
      <c r="N15" s="277" t="n">
        <v>28.178</v>
      </c>
      <c r="O15" s="277" t="n">
        <v>160</v>
      </c>
      <c r="P15" s="277" t="n">
        <v>45.59</v>
      </c>
      <c r="Q15" s="269">
        <f>P15-O15</f>
        <v/>
      </c>
      <c r="R15" s="269">
        <f>P15-N15</f>
        <v/>
      </c>
      <c r="S15" s="271">
        <f>IF(N15=0,"***",R15/N15)</f>
        <v/>
      </c>
      <c r="T15" s="272">
        <f>IF(F15=0,"***",M15/F15)</f>
        <v/>
      </c>
      <c r="U15" s="273">
        <f>IF(G15=0,"***",N15/G15)</f>
        <v/>
      </c>
      <c r="V15" s="273">
        <f>IF(H15=0,"***",O15/H15)</f>
        <v/>
      </c>
      <c r="W15" s="273">
        <f>IF(I15=0,"***",P15/I15)</f>
        <v/>
      </c>
      <c r="X15" s="273">
        <f>W15-V15</f>
        <v/>
      </c>
      <c r="Y15" s="274">
        <f>W15-U15</f>
        <v/>
      </c>
    </row>
    <row r="16">
      <c r="A16" s="49" t="n"/>
      <c r="B16" s="50" t="n"/>
      <c r="C16" s="51" t="n"/>
      <c r="D16" s="52" t="inlineStr">
        <is>
          <t>木村課長</t>
        </is>
      </c>
      <c r="E16" s="53" t="n"/>
      <c r="F16" s="284" t="n">
        <v>20242.159</v>
      </c>
      <c r="G16" s="285" t="n">
        <v>15964.249</v>
      </c>
      <c r="H16" s="285" t="n">
        <v>19730</v>
      </c>
      <c r="I16" s="285" t="n">
        <v>14206.002</v>
      </c>
      <c r="J16" s="286">
        <f>I16-H16</f>
        <v/>
      </c>
      <c r="K16" s="286">
        <f>I16-G16</f>
        <v/>
      </c>
      <c r="L16" s="287">
        <f>IF(G16=0,"***",K16/G16)</f>
        <v/>
      </c>
      <c r="M16" s="284" t="n">
        <v>4610.463999999998</v>
      </c>
      <c r="N16" s="285" t="n">
        <v>3894.642999999999</v>
      </c>
      <c r="O16" s="285" t="n">
        <v>4560</v>
      </c>
      <c r="P16" s="285" t="n">
        <v>4068.284</v>
      </c>
      <c r="Q16" s="286">
        <f>P16-O16</f>
        <v/>
      </c>
      <c r="R16" s="286">
        <f>P16-N16</f>
        <v/>
      </c>
      <c r="S16" s="288">
        <f>IF(N16=0,"***",R16/N16)</f>
        <v/>
      </c>
      <c r="T16" s="272">
        <f>IF(F16=0,"***",M16/F16)</f>
        <v/>
      </c>
      <c r="U16" s="273">
        <f>IF(G16=0,"***",N16/G16)</f>
        <v/>
      </c>
      <c r="V16" s="273">
        <f>IF(H16=0,"***",O16/H16)</f>
        <v/>
      </c>
      <c r="W16" s="273">
        <f>IF(I16=0,"***",P16/I16)</f>
        <v/>
      </c>
      <c r="X16" s="273">
        <f>W16-V16</f>
        <v/>
      </c>
      <c r="Y16" s="274">
        <f>W16-U16</f>
        <v/>
      </c>
    </row>
    <row r="17">
      <c r="A17" s="27" t="n"/>
      <c r="B17" s="28" t="n"/>
      <c r="C17" s="29" t="n"/>
      <c r="D17" s="30" t="n"/>
      <c r="E17" s="31" t="inlineStr">
        <is>
          <t>包装資材</t>
        </is>
      </c>
      <c r="F17" s="267">
        <f>F16-F18</f>
        <v/>
      </c>
      <c r="G17" s="268">
        <f>G16-G18</f>
        <v/>
      </c>
      <c r="H17" s="268">
        <f>H16-H18</f>
        <v/>
      </c>
      <c r="I17" s="268">
        <f>I16-I18</f>
        <v/>
      </c>
      <c r="J17" s="269">
        <f>I17-H17</f>
        <v/>
      </c>
      <c r="K17" s="269">
        <f>I17-G17</f>
        <v/>
      </c>
      <c r="L17" s="270">
        <f>IF(G17=0,"***",K17/G17)</f>
        <v/>
      </c>
      <c r="M17" s="267">
        <f>M16-M18</f>
        <v/>
      </c>
      <c r="N17" s="268">
        <f>N16-N18</f>
        <v/>
      </c>
      <c r="O17" s="268">
        <f>O16-O18</f>
        <v/>
      </c>
      <c r="P17" s="268">
        <f>P16-P18</f>
        <v/>
      </c>
      <c r="Q17" s="269">
        <f>P17-O17</f>
        <v/>
      </c>
      <c r="R17" s="269">
        <f>P17-N17</f>
        <v/>
      </c>
      <c r="S17" s="271">
        <f>IF(N17=0,"***",R17/N17)</f>
        <v/>
      </c>
      <c r="T17" s="272">
        <f>IF(F17=0,"***",M17/F17)</f>
        <v/>
      </c>
      <c r="U17" s="273">
        <f>IF(G17=0,"***",N17/G17)</f>
        <v/>
      </c>
      <c r="V17" s="273">
        <f>IF(H17=0,"***",O17/H17)</f>
        <v/>
      </c>
      <c r="W17" s="273">
        <f>IF(I17=0,"***",P17/I17)</f>
        <v/>
      </c>
      <c r="X17" s="273">
        <f>W17-V17</f>
        <v/>
      </c>
      <c r="Y17" s="274">
        <f>W17-U17</f>
        <v/>
      </c>
    </row>
    <row r="18">
      <c r="A18" s="27" t="n"/>
      <c r="B18" s="28" t="n"/>
      <c r="C18" s="29" t="n"/>
      <c r="D18" s="30" t="n"/>
      <c r="E18" s="58" t="inlineStr">
        <is>
          <t>機械</t>
        </is>
      </c>
      <c r="F18" s="289" t="n">
        <v>284.019</v>
      </c>
      <c r="G18" s="277" t="n">
        <v>469.849</v>
      </c>
      <c r="H18" s="277" t="n">
        <v>1000</v>
      </c>
      <c r="I18" s="277" t="n">
        <v>228.371</v>
      </c>
      <c r="J18" s="269">
        <f>I18-H18</f>
        <v/>
      </c>
      <c r="K18" s="269">
        <f>I18-G18</f>
        <v/>
      </c>
      <c r="L18" s="270">
        <f>IF(G18=0,"***",K18/G18)</f>
        <v/>
      </c>
      <c r="M18" s="289" t="n">
        <v>79.20099999999999</v>
      </c>
      <c r="N18" s="277" t="n">
        <v>126.623</v>
      </c>
      <c r="O18" s="277" t="n">
        <v>160</v>
      </c>
      <c r="P18" s="277" t="n">
        <v>64.663</v>
      </c>
      <c r="Q18" s="269">
        <f>P18-O18</f>
        <v/>
      </c>
      <c r="R18" s="269">
        <f>P18-N18</f>
        <v/>
      </c>
      <c r="S18" s="271">
        <f>IF(N18=0,"***",R18/N18)</f>
        <v/>
      </c>
      <c r="T18" s="272">
        <f>IF(F18=0,"***",M18/F18)</f>
        <v/>
      </c>
      <c r="U18" s="273">
        <f>IF(G18=0,"***",N18/G18)</f>
        <v/>
      </c>
      <c r="V18" s="273">
        <f>IF(H18=0,"***",O18/H18)</f>
        <v/>
      </c>
      <c r="W18" s="273">
        <f>IF(I18=0,"***",P18/I18)</f>
        <v/>
      </c>
      <c r="X18" s="273">
        <f>W18-V18</f>
        <v/>
      </c>
      <c r="Y18" s="274">
        <f>W18-U18</f>
        <v/>
      </c>
    </row>
    <row r="19">
      <c r="A19" s="49" t="n"/>
      <c r="B19" s="50" t="n"/>
      <c r="C19" s="51" t="n"/>
      <c r="D19" s="52" t="inlineStr">
        <is>
          <t>その他</t>
        </is>
      </c>
      <c r="E19" s="53" t="n"/>
      <c r="F19" s="284" t="n">
        <v>745.691</v>
      </c>
      <c r="G19" s="285" t="n">
        <v>2588.084</v>
      </c>
      <c r="H19" s="285" t="n">
        <v>1750</v>
      </c>
      <c r="I19" s="285" t="n">
        <v>1093.155</v>
      </c>
      <c r="J19" s="286">
        <f>I19-H19</f>
        <v/>
      </c>
      <c r="K19" s="286">
        <f>I19-G19</f>
        <v/>
      </c>
      <c r="L19" s="287">
        <f>IF(G19=0,"***",K19/G19)</f>
        <v/>
      </c>
      <c r="M19" s="284" t="n">
        <v>108.956</v>
      </c>
      <c r="N19" s="285" t="n">
        <v>307.28</v>
      </c>
      <c r="O19" s="285" t="n">
        <v>220</v>
      </c>
      <c r="P19" s="285" t="n">
        <v>134.96</v>
      </c>
      <c r="Q19" s="286">
        <f>P19-O19</f>
        <v/>
      </c>
      <c r="R19" s="286">
        <f>P19-N19</f>
        <v/>
      </c>
      <c r="S19" s="288">
        <f>IF(N19=0,"***",R19/N19)</f>
        <v/>
      </c>
      <c r="T19" s="272">
        <f>IF(F19=0,"***",M19/F19)</f>
        <v/>
      </c>
      <c r="U19" s="273">
        <f>IF(G19=0,"***",N19/G19)</f>
        <v/>
      </c>
      <c r="V19" s="273">
        <f>IF(H19=0,"***",O19/H19)</f>
        <v/>
      </c>
      <c r="W19" s="273">
        <f>IF(I19=0,"***",P19/I19)</f>
        <v/>
      </c>
      <c r="X19" s="273">
        <f>W19-V19</f>
        <v/>
      </c>
      <c r="Y19" s="274">
        <f>W19-U19</f>
        <v/>
      </c>
    </row>
    <row r="20">
      <c r="A20" s="27" t="n"/>
      <c r="B20" s="28" t="n"/>
      <c r="C20" s="29" t="n"/>
      <c r="D20" s="30" t="n"/>
      <c r="E20" s="31" t="inlineStr">
        <is>
          <t>包装資材</t>
        </is>
      </c>
      <c r="F20" s="267">
        <f>F19-F21</f>
        <v/>
      </c>
      <c r="G20" s="268">
        <f>G19-G21</f>
        <v/>
      </c>
      <c r="H20" s="268">
        <f>H19-H21</f>
        <v/>
      </c>
      <c r="I20" s="268">
        <f>I19-I21</f>
        <v/>
      </c>
      <c r="J20" s="269">
        <f>I20-H20</f>
        <v/>
      </c>
      <c r="K20" s="269">
        <f>I20-G20</f>
        <v/>
      </c>
      <c r="L20" s="270">
        <f>IF(G20=0,"***",K20/G20)</f>
        <v/>
      </c>
      <c r="M20" s="267">
        <f>M19-M21</f>
        <v/>
      </c>
      <c r="N20" s="268">
        <f>N19-N21</f>
        <v/>
      </c>
      <c r="O20" s="268">
        <f>O19-O21</f>
        <v/>
      </c>
      <c r="P20" s="268">
        <f>P19-P21</f>
        <v/>
      </c>
      <c r="Q20" s="269">
        <f>P20-O20</f>
        <v/>
      </c>
      <c r="R20" s="269">
        <f>P20-N20</f>
        <v/>
      </c>
      <c r="S20" s="271">
        <f>IF(N20=0,"***",R20/N20)</f>
        <v/>
      </c>
      <c r="T20" s="272">
        <f>IF(F20=0,"***",M20/F20)</f>
        <v/>
      </c>
      <c r="U20" s="273">
        <f>IF(G20=0,"***",N20/G20)</f>
        <v/>
      </c>
      <c r="V20" s="273">
        <f>IF(H20=0,"***",O20/H20)</f>
        <v/>
      </c>
      <c r="W20" s="273">
        <f>IF(I20=0,"***",P20/I20)</f>
        <v/>
      </c>
      <c r="X20" s="273">
        <f>W20-V20</f>
        <v/>
      </c>
      <c r="Y20" s="274">
        <f>W20-U20</f>
        <v/>
      </c>
    </row>
    <row r="21">
      <c r="A21" s="27" t="n"/>
      <c r="B21" s="28" t="n"/>
      <c r="C21" s="29" t="n"/>
      <c r="D21" s="30" t="n"/>
      <c r="E21" s="58" t="inlineStr">
        <is>
          <t>機械</t>
        </is>
      </c>
      <c r="F21" s="289" t="n">
        <v>0</v>
      </c>
      <c r="G21" s="277" t="n">
        <v>8</v>
      </c>
      <c r="H21" s="277" t="n">
        <v>0</v>
      </c>
      <c r="I21" s="277" t="n">
        <v>18.75</v>
      </c>
      <c r="J21" s="269">
        <f>I21-H21</f>
        <v/>
      </c>
      <c r="K21" s="269">
        <f>I21-G21</f>
        <v/>
      </c>
      <c r="L21" s="270">
        <f>IF(G21=0,"***",K21/G21)</f>
        <v/>
      </c>
      <c r="M21" s="289" t="n">
        <v>0</v>
      </c>
      <c r="N21" s="277" t="n">
        <v>0</v>
      </c>
      <c r="O21" s="277" t="n">
        <v>0</v>
      </c>
      <c r="P21" s="277" t="n">
        <v>3.25</v>
      </c>
      <c r="Q21" s="269">
        <f>P21-O21</f>
        <v/>
      </c>
      <c r="R21" s="269">
        <f>P21-N21</f>
        <v/>
      </c>
      <c r="S21" s="271">
        <f>IF(N21=0,"***",R21/N21)</f>
        <v/>
      </c>
      <c r="T21" s="272">
        <f>IF(F21=0,"***",M21/F21)</f>
        <v/>
      </c>
      <c r="U21" s="273">
        <f>IF(G21=0,"***",N21/G21)</f>
        <v/>
      </c>
      <c r="V21" s="273">
        <f>IF(H21=0,"***",O21/H21)</f>
        <v/>
      </c>
      <c r="W21" s="273">
        <f>IF(I21=0,"***",P21/I21)</f>
        <v/>
      </c>
      <c r="X21" s="273">
        <f>W21-V21</f>
        <v/>
      </c>
      <c r="Y21" s="274">
        <f>W21-U21</f>
        <v/>
      </c>
    </row>
    <row r="22">
      <c r="A22" s="49" t="n"/>
      <c r="B22" s="50" t="n"/>
      <c r="C22" s="51" t="n"/>
      <c r="D22" s="52" t="inlineStr">
        <is>
          <t>自治体</t>
        </is>
      </c>
      <c r="E22" s="53" t="n"/>
      <c r="F22" s="284" t="n">
        <v>4126.3</v>
      </c>
      <c r="G22" s="285" t="n">
        <v>0</v>
      </c>
      <c r="H22" s="285" t="n">
        <v>1340</v>
      </c>
      <c r="I22" s="285" t="n">
        <v>698</v>
      </c>
      <c r="J22" s="286">
        <f>I22-H22</f>
        <v/>
      </c>
      <c r="K22" s="286">
        <f>I22-G22</f>
        <v/>
      </c>
      <c r="L22" s="287">
        <f>IF(G22=0,"***",K22/G22)</f>
        <v/>
      </c>
      <c r="M22" s="284" t="n">
        <v>267.6</v>
      </c>
      <c r="N22" s="285" t="n">
        <v>0</v>
      </c>
      <c r="O22" s="285" t="n">
        <v>210</v>
      </c>
      <c r="P22" s="285" t="n">
        <v>77.7</v>
      </c>
      <c r="Q22" s="286">
        <f>P22-O22</f>
        <v/>
      </c>
      <c r="R22" s="286">
        <f>P22-N22</f>
        <v/>
      </c>
      <c r="S22" s="288">
        <f>IF(N22=0,"***",R22/N22)</f>
        <v/>
      </c>
      <c r="T22" s="272">
        <f>IF(F22=0,"***",M22/F22)</f>
        <v/>
      </c>
      <c r="U22" s="273">
        <f>IF(G22=0,"***",N22/G22)</f>
        <v/>
      </c>
      <c r="V22" s="273">
        <f>IF(H22=0,"***",O22/H22)</f>
        <v/>
      </c>
      <c r="W22" s="273">
        <f>IF(I22=0,"***",P22/I22)</f>
        <v/>
      </c>
      <c r="X22" s="273">
        <f>W22-V22</f>
        <v/>
      </c>
      <c r="Y22" s="274">
        <f>W22-U22</f>
        <v/>
      </c>
    </row>
    <row r="23">
      <c r="A23" s="27" t="n"/>
      <c r="B23" s="28" t="n"/>
      <c r="C23" s="29" t="n"/>
      <c r="D23" s="30" t="n"/>
      <c r="E23" s="31" t="inlineStr">
        <is>
          <t>包装資材</t>
        </is>
      </c>
      <c r="F23" s="268">
        <f>F22-F24</f>
        <v/>
      </c>
      <c r="G23" s="268">
        <f>G22-G24</f>
        <v/>
      </c>
      <c r="H23" s="268">
        <f>H22-H24</f>
        <v/>
      </c>
      <c r="I23" s="268">
        <f>I22-I24</f>
        <v/>
      </c>
      <c r="J23" s="269">
        <f>I23-H23</f>
        <v/>
      </c>
      <c r="K23" s="269">
        <f>I23-G23</f>
        <v/>
      </c>
      <c r="L23" s="270">
        <f>IF(G23=0,"***",K23/G23)</f>
        <v/>
      </c>
      <c r="M23" s="268">
        <f>M22-M24</f>
        <v/>
      </c>
      <c r="N23" s="268">
        <f>N22-N24</f>
        <v/>
      </c>
      <c r="O23" s="268">
        <f>O22-O24</f>
        <v/>
      </c>
      <c r="P23" s="268">
        <f>P22-P24</f>
        <v/>
      </c>
      <c r="Q23" s="269">
        <f>P23-O23</f>
        <v/>
      </c>
      <c r="R23" s="269">
        <f>P23-N23</f>
        <v/>
      </c>
      <c r="S23" s="271">
        <f>IF(N23=0,"***",R23/N23)</f>
        <v/>
      </c>
      <c r="T23" s="272">
        <f>IF(F23=0,"***",M23/F23)</f>
        <v/>
      </c>
      <c r="U23" s="273">
        <f>IF(G23=0,"***",N23/G23)</f>
        <v/>
      </c>
      <c r="V23" s="273">
        <f>IF(H23=0,"***",O23/H23)</f>
        <v/>
      </c>
      <c r="W23" s="273">
        <f>IF(I23=0,"***",P23/I23)</f>
        <v/>
      </c>
      <c r="X23" s="273">
        <f>W23-V23</f>
        <v/>
      </c>
      <c r="Y23" s="274">
        <f>W23-U23</f>
        <v/>
      </c>
    </row>
    <row r="24">
      <c r="A24" s="27" t="n"/>
      <c r="B24" s="28" t="n"/>
      <c r="C24" s="29" t="n"/>
      <c r="D24" s="30" t="n"/>
      <c r="E24" s="58" t="inlineStr">
        <is>
          <t>機械</t>
        </is>
      </c>
      <c r="F24" s="289" t="n">
        <v>3070.3</v>
      </c>
      <c r="G24" s="277" t="n">
        <v>0</v>
      </c>
      <c r="H24" s="277" t="n">
        <v>0</v>
      </c>
      <c r="I24" s="277" t="n">
        <v>0</v>
      </c>
      <c r="J24" s="269">
        <f>I24-H24</f>
        <v/>
      </c>
      <c r="K24" s="269">
        <f>I24-G24</f>
        <v/>
      </c>
      <c r="L24" s="270">
        <f>IF(G24=0,"***",K24/G24)</f>
        <v/>
      </c>
      <c r="M24" s="289" t="n">
        <v>219.6</v>
      </c>
      <c r="N24" s="277" t="n">
        <v>0</v>
      </c>
      <c r="O24" s="277" t="n">
        <v>0</v>
      </c>
      <c r="P24" s="277" t="n">
        <v>0</v>
      </c>
      <c r="Q24" s="269" t="n"/>
      <c r="R24" s="269">
        <f>P24-N24</f>
        <v/>
      </c>
      <c r="S24" s="271">
        <f>IF(N24=0,"***",R24/N24)</f>
        <v/>
      </c>
      <c r="T24" s="272">
        <f>IF(F24=0,"***",M24/F24)</f>
        <v/>
      </c>
      <c r="U24" s="273">
        <f>IF(G24=0,"***",N24/G24)</f>
        <v/>
      </c>
      <c r="V24" s="273">
        <f>IF(H24=0,"***",O24/H24)</f>
        <v/>
      </c>
      <c r="W24" s="273">
        <f>IF(I24=0,"***",P24/I24)</f>
        <v/>
      </c>
      <c r="X24" s="273">
        <f>W24-V24</f>
        <v/>
      </c>
      <c r="Y24" s="274">
        <f>W24-U24</f>
        <v/>
      </c>
    </row>
    <row r="25">
      <c r="A25" s="49" t="n"/>
      <c r="B25" s="50" t="n"/>
      <c r="C25" s="61" t="inlineStr">
        <is>
          <t>石見営業所</t>
        </is>
      </c>
      <c r="D25" s="62" t="n"/>
      <c r="E25" s="63" t="n"/>
      <c r="F25" s="291">
        <f>F22+F19+F16+F13+F10+F7</f>
        <v/>
      </c>
      <c r="G25" s="292">
        <f>G22+G19+G16+G13+G10+G7</f>
        <v/>
      </c>
      <c r="H25" s="292">
        <f>H22+H19+H16+H13+H10+H7</f>
        <v/>
      </c>
      <c r="I25" s="292">
        <f>I22+I19+I16+I13+I10+I7</f>
        <v/>
      </c>
      <c r="J25" s="293">
        <f>I25-H25</f>
        <v/>
      </c>
      <c r="K25" s="293">
        <f>I25-G25</f>
        <v/>
      </c>
      <c r="L25" s="294">
        <f>IF(G25=0,"***",K25/G25)</f>
        <v/>
      </c>
      <c r="M25" s="295">
        <f>M22+M19+M16+M13+M10+M7</f>
        <v/>
      </c>
      <c r="N25" s="295">
        <f>N22+N19+N16+N13+N10+N7</f>
        <v/>
      </c>
      <c r="O25" s="295">
        <f>O22+O19+O16+O13+O10+O7</f>
        <v/>
      </c>
      <c r="P25" s="295">
        <f>P22+P19+P16+P13+P10+P7</f>
        <v/>
      </c>
      <c r="Q25" s="293">
        <f>P25-O25</f>
        <v/>
      </c>
      <c r="R25" s="293">
        <f>P25-N25</f>
        <v/>
      </c>
      <c r="S25" s="296">
        <f>IF(N25=0,"***",R25/N25)</f>
        <v/>
      </c>
      <c r="T25" s="297">
        <f>IF(F25=0,"***",M25/F25)</f>
        <v/>
      </c>
      <c r="U25" s="298">
        <f>IF(G25=0,"***",N25/G25)</f>
        <v/>
      </c>
      <c r="V25" s="298">
        <f>IF(H25=0,"***",O25/H25)</f>
        <v/>
      </c>
      <c r="W25" s="298">
        <f>IF(I25=0,"***",P25/I25)</f>
        <v/>
      </c>
      <c r="X25" s="299">
        <f>W25-V25</f>
        <v/>
      </c>
      <c r="Y25" s="300">
        <f>W25-U25</f>
        <v/>
      </c>
    </row>
    <row r="26">
      <c r="A26" s="49" t="n"/>
      <c r="B26" s="50" t="n"/>
      <c r="C26" s="73" t="n"/>
      <c r="D26" s="74" t="inlineStr">
        <is>
          <t>営業</t>
        </is>
      </c>
      <c r="E26" s="63" t="n"/>
      <c r="F26" s="291">
        <f>F25-F29</f>
        <v/>
      </c>
      <c r="G26" s="295">
        <f>G25-G29</f>
        <v/>
      </c>
      <c r="H26" s="295">
        <f>H25-H29</f>
        <v/>
      </c>
      <c r="I26" s="295">
        <f>I25-I29</f>
        <v/>
      </c>
      <c r="J26" s="293">
        <f>I26-H26</f>
        <v/>
      </c>
      <c r="K26" s="293">
        <f>I26-G26</f>
        <v/>
      </c>
      <c r="L26" s="294">
        <f>IF(G26=0,"***",K26/G26)</f>
        <v/>
      </c>
      <c r="M26" s="295">
        <f>M25-M29</f>
        <v/>
      </c>
      <c r="N26" s="295">
        <f>N25-N29</f>
        <v/>
      </c>
      <c r="O26" s="295">
        <f>O25-O29</f>
        <v/>
      </c>
      <c r="P26" s="295">
        <f>P25-P29</f>
        <v/>
      </c>
      <c r="Q26" s="293">
        <f>P26-O26</f>
        <v/>
      </c>
      <c r="R26" s="293">
        <f>P26-N26</f>
        <v/>
      </c>
      <c r="S26" s="296">
        <f>IF(N26=0,"***",R26/N26)</f>
        <v/>
      </c>
      <c r="T26" s="297">
        <f>IF(F26=0,"***",M26/F26)</f>
        <v/>
      </c>
      <c r="U26" s="301">
        <f>IF(G26=0,"***",N26/G26)</f>
        <v/>
      </c>
      <c r="V26" s="301">
        <f>IF(H26=0,"***",O26/H26)</f>
        <v/>
      </c>
      <c r="W26" s="301">
        <f>IF(I26=0,"***",P26/I26)</f>
        <v/>
      </c>
      <c r="X26" s="299">
        <f>W26-V26</f>
        <v/>
      </c>
      <c r="Y26" s="300">
        <f>W26-U26</f>
        <v/>
      </c>
    </row>
    <row r="27">
      <c r="A27" s="49" t="n"/>
      <c r="B27" s="50" t="n"/>
      <c r="C27" s="73" t="n"/>
      <c r="D27" s="76" t="n"/>
      <c r="E27" s="77" t="inlineStr">
        <is>
          <t>包装資材</t>
        </is>
      </c>
      <c r="F27" s="291">
        <f>F26-F28</f>
        <v/>
      </c>
      <c r="G27" s="292">
        <f>G26-G28</f>
        <v/>
      </c>
      <c r="H27" s="292">
        <f>H26-H28</f>
        <v/>
      </c>
      <c r="I27" s="292">
        <f>I26-I28</f>
        <v/>
      </c>
      <c r="J27" s="293">
        <f>I27-H27</f>
        <v/>
      </c>
      <c r="K27" s="293">
        <f>I27-G27</f>
        <v/>
      </c>
      <c r="L27" s="294">
        <f>IF(G27=0,"***",K27/G27)</f>
        <v/>
      </c>
      <c r="M27" s="295">
        <f>M26-M28</f>
        <v/>
      </c>
      <c r="N27" s="292">
        <f>N26-N28</f>
        <v/>
      </c>
      <c r="O27" s="292">
        <f>O26-O28</f>
        <v/>
      </c>
      <c r="P27" s="292">
        <f>P26-P28</f>
        <v/>
      </c>
      <c r="Q27" s="293">
        <f>P27-O27</f>
        <v/>
      </c>
      <c r="R27" s="293">
        <f>P27-N27</f>
        <v/>
      </c>
      <c r="S27" s="296">
        <f>IF(N27=0,"***",R27/N27)</f>
        <v/>
      </c>
      <c r="T27" s="297">
        <f>IF(F27=0,"***",M27/F27)</f>
        <v/>
      </c>
      <c r="U27" s="301">
        <f>IF(G27=0,"***",N27/G27)</f>
        <v/>
      </c>
      <c r="V27" s="301" t="n"/>
      <c r="W27" s="301">
        <f>IF(I27=0,"***",P27/I27)</f>
        <v/>
      </c>
      <c r="X27" s="299">
        <f>W27-V27</f>
        <v/>
      </c>
      <c r="Y27" s="300">
        <f>W27-U27</f>
        <v/>
      </c>
    </row>
    <row r="28">
      <c r="A28" s="49" t="n"/>
      <c r="B28" s="50" t="n"/>
      <c r="C28" s="73" t="n"/>
      <c r="D28" s="78" t="n"/>
      <c r="E28" s="77" t="inlineStr">
        <is>
          <t>機械</t>
        </is>
      </c>
      <c r="F28" s="291">
        <f>F21+F18+F15+F12+F9</f>
        <v/>
      </c>
      <c r="G28" s="295">
        <f>G21+G18+G15+G12+G9</f>
        <v/>
      </c>
      <c r="H28" s="295">
        <f>H21+H18+H15+H12+H9</f>
        <v/>
      </c>
      <c r="I28" s="295">
        <f>I21+I18+I15+I12+I9</f>
        <v/>
      </c>
      <c r="J28" s="293">
        <f>I28-H28</f>
        <v/>
      </c>
      <c r="K28" s="293">
        <f>I28-G28</f>
        <v/>
      </c>
      <c r="L28" s="294">
        <f>IF(G28=0,"***",K28/G28)</f>
        <v/>
      </c>
      <c r="M28" s="295">
        <f>M21+M18+M15+M12+M9</f>
        <v/>
      </c>
      <c r="N28" s="295">
        <f>N21+N18+N15+N12+N9</f>
        <v/>
      </c>
      <c r="O28" s="295">
        <f>O21+O18+O15+O12+O9</f>
        <v/>
      </c>
      <c r="P28" s="295">
        <f>P21+P18+P15+P12+P9</f>
        <v/>
      </c>
      <c r="Q28" s="293">
        <f>P28-O28</f>
        <v/>
      </c>
      <c r="R28" s="293">
        <f>P28-N28</f>
        <v/>
      </c>
      <c r="S28" s="296">
        <f>IF(N28=0,"***",R28/N28)</f>
        <v/>
      </c>
      <c r="T28" s="297">
        <f>IF(F28=0,"***",M28/F28)</f>
        <v/>
      </c>
      <c r="U28" s="301">
        <f>IF(G28=0,"***",N28/G28)</f>
        <v/>
      </c>
      <c r="V28" s="301">
        <f>IF(H28=0,"***",O28/H28)</f>
        <v/>
      </c>
      <c r="W28" s="301">
        <f>IF(I28=0,"***",P28/I28)</f>
        <v/>
      </c>
      <c r="X28" s="299">
        <f>W28-V28</f>
        <v/>
      </c>
      <c r="Y28" s="300">
        <f>W28-U28</f>
        <v/>
      </c>
    </row>
    <row r="29">
      <c r="A29" s="49" t="n"/>
      <c r="B29" s="50" t="n"/>
      <c r="C29" s="79" t="n"/>
      <c r="D29" s="80" t="inlineStr">
        <is>
          <t>自治体</t>
        </is>
      </c>
      <c r="E29" s="81" t="n"/>
      <c r="F29" s="291" t="n">
        <v>4126.3</v>
      </c>
      <c r="G29" s="292" t="n">
        <v>0</v>
      </c>
      <c r="H29" s="292" t="n">
        <v>1340</v>
      </c>
      <c r="I29" s="292" t="n">
        <v>698</v>
      </c>
      <c r="J29" s="293">
        <f>I29-H29</f>
        <v/>
      </c>
      <c r="K29" s="293">
        <f>I29-G29</f>
        <v/>
      </c>
      <c r="L29" s="294">
        <f>IF(G29=0,"***",K29/G29)</f>
        <v/>
      </c>
      <c r="M29" s="295" t="n">
        <v>267.6</v>
      </c>
      <c r="N29" s="292" t="n">
        <v>0</v>
      </c>
      <c r="O29" s="292" t="n">
        <v>210</v>
      </c>
      <c r="P29" s="292" t="n">
        <v>77.7</v>
      </c>
      <c r="Q29" s="293">
        <f>P29-O29</f>
        <v/>
      </c>
      <c r="R29" s="293">
        <f>P29-N29</f>
        <v/>
      </c>
      <c r="S29" s="296">
        <f>IF(N29=0,"***",R29/N29)</f>
        <v/>
      </c>
      <c r="T29" s="297">
        <f>IF(F29=0,"***",M29/F29)</f>
        <v/>
      </c>
      <c r="U29" s="301">
        <f>IF(G29=0,"***",N29/G29)</f>
        <v/>
      </c>
      <c r="V29" s="301">
        <f>IF(H29=0,"***",O29/H29)</f>
        <v/>
      </c>
      <c r="W29" s="301">
        <f>IF(I29=0,"***",P29/I29)</f>
        <v/>
      </c>
      <c r="X29" s="299">
        <f>W29-V29</f>
        <v/>
      </c>
      <c r="Y29" s="300">
        <f>W29-U29</f>
        <v/>
      </c>
    </row>
    <row r="30">
      <c r="A30" s="49" t="n"/>
      <c r="B30" s="50" t="n"/>
      <c r="C30" s="82" t="n"/>
      <c r="D30" s="18" t="inlineStr">
        <is>
          <t>高橋所長</t>
        </is>
      </c>
      <c r="E30" s="19" t="n"/>
      <c r="F30" s="260" t="n">
        <v>10776.385</v>
      </c>
      <c r="G30" s="260" t="n">
        <v>8473.623000000001</v>
      </c>
      <c r="H30" s="260" t="n">
        <v>11000</v>
      </c>
      <c r="I30" s="260" t="n">
        <v>7893.202</v>
      </c>
      <c r="J30" s="261">
        <f>I30-H30</f>
        <v/>
      </c>
      <c r="K30" s="261">
        <f>I30-G30</f>
        <v/>
      </c>
      <c r="L30" s="262">
        <f>IF(G30=0,"***",K30/G30)</f>
        <v/>
      </c>
      <c r="M30" s="260" t="n">
        <v>2387.037</v>
      </c>
      <c r="N30" s="260" t="n">
        <v>1948.398</v>
      </c>
      <c r="O30" s="260" t="n">
        <v>2550</v>
      </c>
      <c r="P30" s="260" t="n">
        <v>1748.686</v>
      </c>
      <c r="Q30" s="261">
        <f>P30-O30</f>
        <v/>
      </c>
      <c r="R30" s="261">
        <f>P30-N30</f>
        <v/>
      </c>
      <c r="S30" s="263">
        <f>IF(N30=0,"***",R30/N30)</f>
        <v/>
      </c>
      <c r="T30" s="264">
        <f>IF(F30=0,"***",M30/F30)</f>
        <v/>
      </c>
      <c r="U30" s="265">
        <f>IF(G30=0,"***",N30/G30)</f>
        <v/>
      </c>
      <c r="V30" s="265">
        <f>IF(H30=0,"***",O30/H30)</f>
        <v/>
      </c>
      <c r="W30" s="265">
        <f>IF(I30=0,"***",P30/I30)</f>
        <v/>
      </c>
      <c r="X30" s="265">
        <f>W30-V30</f>
        <v/>
      </c>
      <c r="Y30" s="266">
        <f>W30-U30</f>
        <v/>
      </c>
    </row>
    <row r="31">
      <c r="A31" s="27" t="n"/>
      <c r="B31" s="28" t="n"/>
      <c r="C31" s="83" t="n"/>
      <c r="D31" s="30" t="n"/>
      <c r="E31" s="31" t="inlineStr">
        <is>
          <t>包装資材</t>
        </is>
      </c>
      <c r="F31" s="267">
        <f>F30-F32</f>
        <v/>
      </c>
      <c r="G31" s="268">
        <f>G30-G32</f>
        <v/>
      </c>
      <c r="H31" s="268">
        <f>H30-H32</f>
        <v/>
      </c>
      <c r="I31" s="268">
        <f>I30-I32</f>
        <v/>
      </c>
      <c r="J31" s="269">
        <f>I31-H31</f>
        <v/>
      </c>
      <c r="K31" s="269">
        <f>I31-G31</f>
        <v/>
      </c>
      <c r="L31" s="270">
        <f>IF(G31=0,"***",K31/G31)</f>
        <v/>
      </c>
      <c r="M31" s="267">
        <f>M30-M32</f>
        <v/>
      </c>
      <c r="N31" s="268">
        <f>N30-N32</f>
        <v/>
      </c>
      <c r="O31" s="268">
        <f>O30-O32</f>
        <v/>
      </c>
      <c r="P31" s="268">
        <f>P30-P32</f>
        <v/>
      </c>
      <c r="Q31" s="269">
        <f>P31-O31</f>
        <v/>
      </c>
      <c r="R31" s="269">
        <f>P31-N31</f>
        <v/>
      </c>
      <c r="S31" s="271">
        <f>IF(N31=0,"***",R31/N31)</f>
        <v/>
      </c>
      <c r="T31" s="272">
        <f>IF(F31=0,"***",M31/F31)</f>
        <v/>
      </c>
      <c r="U31" s="273">
        <f>IF(G31=0,"***",N31/G31)</f>
        <v/>
      </c>
      <c r="V31" s="273">
        <f>IF(H31=0,"***",O31/H31)</f>
        <v/>
      </c>
      <c r="W31" s="273">
        <f>IF(I31=0,"***",P31/I31)</f>
        <v/>
      </c>
      <c r="X31" s="273">
        <f>W31-V31</f>
        <v/>
      </c>
      <c r="Y31" s="274">
        <f>W31-U31</f>
        <v/>
      </c>
    </row>
    <row r="32">
      <c r="A32" s="27" t="n"/>
      <c r="B32" s="28" t="n"/>
      <c r="C32" s="83" t="n"/>
      <c r="D32" s="30" t="n"/>
      <c r="E32" s="40" t="inlineStr">
        <is>
          <t>機械</t>
        </is>
      </c>
      <c r="F32" s="275" t="n">
        <v>93</v>
      </c>
      <c r="G32" s="276" t="n">
        <v>12</v>
      </c>
      <c r="H32" s="276" t="n">
        <v>150</v>
      </c>
      <c r="I32" s="276" t="n">
        <v>39.5</v>
      </c>
      <c r="J32" s="278">
        <f>I32-H32</f>
        <v/>
      </c>
      <c r="K32" s="278">
        <f>I32-G32</f>
        <v/>
      </c>
      <c r="L32" s="279">
        <f>IF(G32=0,"***",K32/G32)</f>
        <v/>
      </c>
      <c r="M32" s="275" t="n">
        <v>17</v>
      </c>
      <c r="N32" s="276" t="n">
        <v>1</v>
      </c>
      <c r="O32" s="276" t="n">
        <v>25</v>
      </c>
      <c r="P32" s="276" t="n">
        <v>8.25</v>
      </c>
      <c r="Q32" s="278">
        <f>P32-O32</f>
        <v/>
      </c>
      <c r="R32" s="278">
        <f>P32-N32</f>
        <v/>
      </c>
      <c r="S32" s="280">
        <f>IF(N32=0,"***",R32/N32)</f>
        <v/>
      </c>
      <c r="T32" s="281">
        <f>IF(F32=0,"***",M32/F32)</f>
        <v/>
      </c>
      <c r="U32" s="282">
        <f>IF(G32=0,"***",N32/G32)</f>
        <v/>
      </c>
      <c r="V32" s="282">
        <f>IF(H32=0,"***",O32/H32)</f>
        <v/>
      </c>
      <c r="W32" s="282">
        <f>IF(I32=0,"***",P32/I32)</f>
        <v/>
      </c>
      <c r="X32" s="282">
        <f>W32-V32</f>
        <v/>
      </c>
      <c r="Y32" s="283">
        <f>W32-U32</f>
        <v/>
      </c>
    </row>
    <row r="33">
      <c r="A33" s="49" t="n"/>
      <c r="B33" s="50" t="n"/>
      <c r="C33" s="51" t="n"/>
      <c r="D33" s="52" t="inlineStr">
        <is>
          <t>東野</t>
        </is>
      </c>
      <c r="E33" s="53" t="n"/>
      <c r="F33" s="285" t="n">
        <v>11383.003</v>
      </c>
      <c r="G33" s="285" t="n">
        <v>11761.85</v>
      </c>
      <c r="H33" s="285" t="n">
        <v>12200</v>
      </c>
      <c r="I33" s="285" t="n">
        <v>13478.139</v>
      </c>
      <c r="J33" s="286">
        <f>I33-H33</f>
        <v/>
      </c>
      <c r="K33" s="286">
        <f>I33-G33</f>
        <v/>
      </c>
      <c r="L33" s="287">
        <f>IF(G33=0,"***",K33/G33)</f>
        <v/>
      </c>
      <c r="M33" s="285" t="n">
        <v>2296.569</v>
      </c>
      <c r="N33" s="285" t="n">
        <v>2500.065000000001</v>
      </c>
      <c r="O33" s="285" t="n">
        <v>2550</v>
      </c>
      <c r="P33" s="285" t="n">
        <v>2715.531</v>
      </c>
      <c r="Q33" s="286">
        <f>P33-O33</f>
        <v/>
      </c>
      <c r="R33" s="286">
        <f>P33-N33</f>
        <v/>
      </c>
      <c r="S33" s="288">
        <f>IF(N33=0,"***",R33/N33)</f>
        <v/>
      </c>
      <c r="T33" s="272">
        <f>IF(F33=0,"***",M33/F33)</f>
        <v/>
      </c>
      <c r="U33" s="273">
        <f>IF(G33=0,"***",N33/G33)</f>
        <v/>
      </c>
      <c r="V33" s="273">
        <f>IF(H33=0,"***",O33/H33)</f>
        <v/>
      </c>
      <c r="W33" s="273">
        <f>IF(I33=0,"***",P33/I33)</f>
        <v/>
      </c>
      <c r="X33" s="273">
        <f>W33-V33</f>
        <v/>
      </c>
      <c r="Y33" s="274">
        <f>W33-U33</f>
        <v/>
      </c>
    </row>
    <row r="34">
      <c r="A34" s="27" t="n"/>
      <c r="B34" s="28" t="n"/>
      <c r="C34" s="83" t="n"/>
      <c r="D34" s="30" t="n"/>
      <c r="E34" s="31" t="inlineStr">
        <is>
          <t>包装資材</t>
        </is>
      </c>
      <c r="F34" s="267">
        <f>F33-F35</f>
        <v/>
      </c>
      <c r="G34" s="268">
        <f>G33-G35</f>
        <v/>
      </c>
      <c r="H34" s="268">
        <f>H33-H35</f>
        <v/>
      </c>
      <c r="I34" s="268">
        <f>I33-I35</f>
        <v/>
      </c>
      <c r="J34" s="269">
        <f>I34-H34</f>
        <v/>
      </c>
      <c r="K34" s="269">
        <f>I34-G34</f>
        <v/>
      </c>
      <c r="L34" s="270">
        <f>IF(G34=0,"***",K34/G34)</f>
        <v/>
      </c>
      <c r="M34" s="267">
        <f>M33-M35</f>
        <v/>
      </c>
      <c r="N34" s="268">
        <f>N33-N35</f>
        <v/>
      </c>
      <c r="O34" s="268">
        <f>O33-O35</f>
        <v/>
      </c>
      <c r="P34" s="268">
        <f>P33-P35</f>
        <v/>
      </c>
      <c r="Q34" s="269">
        <f>P34-O34</f>
        <v/>
      </c>
      <c r="R34" s="269">
        <f>P34-N34</f>
        <v/>
      </c>
      <c r="S34" s="271">
        <f>IF(N34=0,"***",R34/N34)</f>
        <v/>
      </c>
      <c r="T34" s="272">
        <f>IF(F34=0,"***",M34/F34)</f>
        <v/>
      </c>
      <c r="U34" s="273">
        <f>IF(G34=0,"***",N34/G34)</f>
        <v/>
      </c>
      <c r="V34" s="273">
        <f>IF(H34=0,"***",O34/H34)</f>
        <v/>
      </c>
      <c r="W34" s="273">
        <f>IF(I34=0,"***",P34/I34)</f>
        <v/>
      </c>
      <c r="X34" s="273">
        <f>W34-V34</f>
        <v/>
      </c>
      <c r="Y34" s="274">
        <f>W34-U34</f>
        <v/>
      </c>
    </row>
    <row r="35">
      <c r="A35" s="27" t="n"/>
      <c r="B35" s="28" t="n"/>
      <c r="C35" s="83" t="n"/>
      <c r="D35" s="30" t="n"/>
      <c r="E35" s="58" t="inlineStr">
        <is>
          <t>機械</t>
        </is>
      </c>
      <c r="F35" s="289" t="n">
        <v>0</v>
      </c>
      <c r="G35" s="277" t="n">
        <v>78</v>
      </c>
      <c r="H35" s="277" t="n">
        <v>0</v>
      </c>
      <c r="I35" s="277" t="n">
        <v>313</v>
      </c>
      <c r="J35" s="269">
        <f>I35-H35</f>
        <v/>
      </c>
      <c r="K35" s="269">
        <f>I35-G35</f>
        <v/>
      </c>
      <c r="L35" s="270">
        <f>IF(G35=0,"***",K35/G35)</f>
        <v/>
      </c>
      <c r="M35" s="289" t="n">
        <v>0</v>
      </c>
      <c r="N35" s="277" t="n">
        <v>17</v>
      </c>
      <c r="O35" s="277" t="n">
        <v>0</v>
      </c>
      <c r="P35" s="277" t="n">
        <v>61.68</v>
      </c>
      <c r="Q35" s="269">
        <f>P35-O35</f>
        <v/>
      </c>
      <c r="R35" s="269">
        <f>P35-N35</f>
        <v/>
      </c>
      <c r="S35" s="271">
        <f>IF(N35=0,"***",R35/N35)</f>
        <v/>
      </c>
      <c r="T35" s="272">
        <f>IF(F35=0,"***",M35/F35)</f>
        <v/>
      </c>
      <c r="U35" s="273">
        <f>IF(G35=0,"***",N35/G35)</f>
        <v/>
      </c>
      <c r="V35" s="273">
        <f>IF(H35=0,"***",O35/H35)</f>
        <v/>
      </c>
      <c r="W35" s="273">
        <f>IF(I35=0,"***",P35/I35)</f>
        <v/>
      </c>
      <c r="X35" s="273">
        <f>W35-V35</f>
        <v/>
      </c>
      <c r="Y35" s="274">
        <f>W35-U35</f>
        <v/>
      </c>
    </row>
    <row r="36">
      <c r="A36" s="49" t="n"/>
      <c r="B36" s="50" t="n"/>
      <c r="C36" s="51" t="n"/>
      <c r="D36" s="52" t="inlineStr">
        <is>
          <t>橋本課長</t>
        </is>
      </c>
      <c r="E36" s="53" t="n"/>
      <c r="F36" s="285" t="n">
        <v>8839.392000000002</v>
      </c>
      <c r="G36" s="285" t="n">
        <v>7106.066</v>
      </c>
      <c r="H36" s="285" t="n">
        <v>8000</v>
      </c>
      <c r="I36" s="285" t="n">
        <v>9650.882</v>
      </c>
      <c r="J36" s="286">
        <f>I36-H36</f>
        <v/>
      </c>
      <c r="K36" s="286">
        <f>I36-G36</f>
        <v/>
      </c>
      <c r="L36" s="287">
        <f>IF(G36=0,"***",K36/G36)</f>
        <v/>
      </c>
      <c r="M36" s="285" t="n">
        <v>1569.458</v>
      </c>
      <c r="N36" s="285" t="n">
        <v>1453.381</v>
      </c>
      <c r="O36" s="285" t="n">
        <v>1550</v>
      </c>
      <c r="P36" s="285" t="n">
        <v>1952.649</v>
      </c>
      <c r="Q36" s="286">
        <f>P36-O36</f>
        <v/>
      </c>
      <c r="R36" s="286">
        <f>P36-N36</f>
        <v/>
      </c>
      <c r="S36" s="288">
        <f>IF(N36=0,"***",R36/N36)</f>
        <v/>
      </c>
      <c r="T36" s="272">
        <f>IF(F36=0,"***",M36/F36)</f>
        <v/>
      </c>
      <c r="U36" s="273">
        <f>IF(G36=0,"***",N36/G36)</f>
        <v/>
      </c>
      <c r="V36" s="273">
        <f>IF(H36=0,"***",O36/H36)</f>
        <v/>
      </c>
      <c r="W36" s="273">
        <f>IF(I36=0,"***",P36/I36)</f>
        <v/>
      </c>
      <c r="X36" s="273">
        <f>W36-V36</f>
        <v/>
      </c>
      <c r="Y36" s="274">
        <f>W36-U36</f>
        <v/>
      </c>
    </row>
    <row r="37">
      <c r="A37" s="27" t="n"/>
      <c r="B37" s="28" t="n"/>
      <c r="C37" s="83" t="n"/>
      <c r="D37" s="30" t="n"/>
      <c r="E37" s="31" t="inlineStr">
        <is>
          <t>包装資材</t>
        </is>
      </c>
      <c r="F37" s="267">
        <f>F36-F38</f>
        <v/>
      </c>
      <c r="G37" s="268">
        <f>G36-G38</f>
        <v/>
      </c>
      <c r="H37" s="268">
        <f>H36-H38</f>
        <v/>
      </c>
      <c r="I37" s="268">
        <f>I36-I38</f>
        <v/>
      </c>
      <c r="J37" s="269">
        <f>I37-H37</f>
        <v/>
      </c>
      <c r="K37" s="269">
        <f>I37-G37</f>
        <v/>
      </c>
      <c r="L37" s="270">
        <f>IF(G37=0,"***",K37/G37)</f>
        <v/>
      </c>
      <c r="M37" s="267">
        <f>M36-M38</f>
        <v/>
      </c>
      <c r="N37" s="268">
        <f>N36-N38</f>
        <v/>
      </c>
      <c r="O37" s="268">
        <f>O36-O38</f>
        <v/>
      </c>
      <c r="P37" s="268">
        <f>P36-P38</f>
        <v/>
      </c>
      <c r="Q37" s="269">
        <f>P37-O37</f>
        <v/>
      </c>
      <c r="R37" s="269">
        <f>P37-N37</f>
        <v/>
      </c>
      <c r="S37" s="271">
        <f>IF(N37=0,"***",R37/N37)</f>
        <v/>
      </c>
      <c r="T37" s="272">
        <f>IF(F37=0,"***",M37/F37)</f>
        <v/>
      </c>
      <c r="U37" s="273">
        <f>IF(G37=0,"***",N37/G37)</f>
        <v/>
      </c>
      <c r="V37" s="273">
        <f>IF(H37=0,"***",O37/H37)</f>
        <v/>
      </c>
      <c r="W37" s="273">
        <f>IF(I37=0,"***",P37/I37)</f>
        <v/>
      </c>
      <c r="X37" s="273">
        <f>W37-V37</f>
        <v/>
      </c>
      <c r="Y37" s="274">
        <f>W37-U37</f>
        <v/>
      </c>
    </row>
    <row r="38">
      <c r="A38" s="27" t="n"/>
      <c r="B38" s="28" t="n"/>
      <c r="C38" s="83" t="n"/>
      <c r="D38" s="30" t="n"/>
      <c r="E38" s="58" t="inlineStr">
        <is>
          <t>機械</t>
        </is>
      </c>
      <c r="F38" s="289" t="n">
        <v>38</v>
      </c>
      <c r="G38" s="277" t="n">
        <v>0</v>
      </c>
      <c r="H38" s="277" t="n">
        <v>150</v>
      </c>
      <c r="I38" s="277" t="n">
        <v>0</v>
      </c>
      <c r="J38" s="269">
        <f>I38-H38</f>
        <v/>
      </c>
      <c r="K38" s="269">
        <f>I38-G38</f>
        <v/>
      </c>
      <c r="L38" s="270">
        <f>IF(G38=0,"***",K38/G38)</f>
        <v/>
      </c>
      <c r="M38" s="289" t="n">
        <v>5</v>
      </c>
      <c r="N38" s="277" t="n">
        <v>0</v>
      </c>
      <c r="O38" s="277" t="n">
        <v>25</v>
      </c>
      <c r="P38" s="277" t="n">
        <v>0</v>
      </c>
      <c r="Q38" s="269">
        <f>P38-O38</f>
        <v/>
      </c>
      <c r="R38" s="269">
        <f>P38-N38</f>
        <v/>
      </c>
      <c r="S38" s="271">
        <f>IF(N38=0,"***",R38/N38)</f>
        <v/>
      </c>
      <c r="T38" s="272">
        <f>IF(F38=0,"***",M38/F38)</f>
        <v/>
      </c>
      <c r="U38" s="273">
        <f>IF(G38=0,"***",N38/G38)</f>
        <v/>
      </c>
      <c r="V38" s="273">
        <f>IF(H38=0,"***",O38/H38)</f>
        <v/>
      </c>
      <c r="W38" s="273">
        <f>IF(I38=0,"***",P38/I38)</f>
        <v/>
      </c>
      <c r="X38" s="273">
        <f>W38-V38</f>
        <v/>
      </c>
      <c r="Y38" s="274">
        <f>W38-U38</f>
        <v/>
      </c>
    </row>
    <row r="39">
      <c r="A39" s="49" t="n"/>
      <c r="B39" s="50" t="n"/>
      <c r="C39" s="51" t="n"/>
      <c r="D39" s="52" t="inlineStr">
        <is>
          <t>井上課長</t>
        </is>
      </c>
      <c r="E39" s="53" t="n"/>
      <c r="F39" s="285" t="n">
        <v>11252.949</v>
      </c>
      <c r="G39" s="285" t="n">
        <v>11939.249</v>
      </c>
      <c r="H39" s="285" t="n">
        <v>12500</v>
      </c>
      <c r="I39" s="285" t="n">
        <v>13183.796</v>
      </c>
      <c r="J39" s="286">
        <f>I39-H39</f>
        <v/>
      </c>
      <c r="K39" s="286">
        <f>I39-G39</f>
        <v/>
      </c>
      <c r="L39" s="287">
        <f>IF(G39=0,"***",K39/G39)</f>
        <v/>
      </c>
      <c r="M39" s="285" t="n">
        <v>2204.012</v>
      </c>
      <c r="N39" s="285" t="n">
        <v>2364.696</v>
      </c>
      <c r="O39" s="285" t="n">
        <v>2450</v>
      </c>
      <c r="P39" s="285" t="n">
        <v>2770.063</v>
      </c>
      <c r="Q39" s="286">
        <f>P39-O39</f>
        <v/>
      </c>
      <c r="R39" s="286">
        <f>P39-N39</f>
        <v/>
      </c>
      <c r="S39" s="288">
        <f>IF(N39=0,"***",R39/N39)</f>
        <v/>
      </c>
      <c r="T39" s="272">
        <f>IF(F39=0,"***",M39/F39)</f>
        <v/>
      </c>
      <c r="U39" s="273">
        <f>IF(G39=0,"***",N39/G39)</f>
        <v/>
      </c>
      <c r="V39" s="273">
        <f>IF(H39=0,"***",O39/H39)</f>
        <v/>
      </c>
      <c r="W39" s="273">
        <f>IF(I39=0,"***",P39/I39)</f>
        <v/>
      </c>
      <c r="X39" s="273">
        <f>W39-V39</f>
        <v/>
      </c>
      <c r="Y39" s="274">
        <f>W39-U39</f>
        <v/>
      </c>
    </row>
    <row r="40">
      <c r="A40" s="27" t="n"/>
      <c r="B40" s="28" t="n"/>
      <c r="C40" s="83" t="n"/>
      <c r="D40" s="30" t="n"/>
      <c r="E40" s="31" t="inlineStr">
        <is>
          <t>包装資材</t>
        </is>
      </c>
      <c r="F40" s="267">
        <f>F39-F41</f>
        <v/>
      </c>
      <c r="G40" s="268">
        <f>G39-G41</f>
        <v/>
      </c>
      <c r="H40" s="268">
        <f>H39-H41</f>
        <v/>
      </c>
      <c r="I40" s="268">
        <f>I39-I41</f>
        <v/>
      </c>
      <c r="J40" s="269">
        <f>I40-H40</f>
        <v/>
      </c>
      <c r="K40" s="269">
        <f>I40-G40</f>
        <v/>
      </c>
      <c r="L40" s="270">
        <f>IF(G40=0,"***",K40/G40)</f>
        <v/>
      </c>
      <c r="M40" s="267">
        <f>M39-M41</f>
        <v/>
      </c>
      <c r="N40" s="268">
        <f>N39-N41</f>
        <v/>
      </c>
      <c r="O40" s="268">
        <f>O39-O41</f>
        <v/>
      </c>
      <c r="P40" s="268">
        <f>P39-P41</f>
        <v/>
      </c>
      <c r="Q40" s="269">
        <f>P40-O40</f>
        <v/>
      </c>
      <c r="R40" s="269">
        <f>P40-N40</f>
        <v/>
      </c>
      <c r="S40" s="271">
        <f>IF(N40=0,"***",R40/N40)</f>
        <v/>
      </c>
      <c r="T40" s="272">
        <f>IF(F40=0,"***",M40/F40)</f>
        <v/>
      </c>
      <c r="U40" s="273">
        <f>IF(G40=0,"***",N40/G40)</f>
        <v/>
      </c>
      <c r="V40" s="273">
        <f>IF(H40=0,"***",O40/H40)</f>
        <v/>
      </c>
      <c r="W40" s="273">
        <f>IF(I40=0,"***",P40/I40)</f>
        <v/>
      </c>
      <c r="X40" s="273">
        <f>W40-V40</f>
        <v/>
      </c>
      <c r="Y40" s="274">
        <f>W40-U40</f>
        <v/>
      </c>
    </row>
    <row r="41">
      <c r="A41" s="27" t="n"/>
      <c r="B41" s="28" t="n"/>
      <c r="C41" s="83" t="n"/>
      <c r="D41" s="30" t="n"/>
      <c r="E41" s="58" t="inlineStr">
        <is>
          <t>機械</t>
        </is>
      </c>
      <c r="F41" s="289" t="n">
        <v>42</v>
      </c>
      <c r="G41" s="277" t="n">
        <v>94</v>
      </c>
      <c r="H41" s="277" t="n">
        <v>0</v>
      </c>
      <c r="I41" s="277" t="n">
        <v>249.91</v>
      </c>
      <c r="J41" s="269">
        <f>I41-H41</f>
        <v/>
      </c>
      <c r="K41" s="269">
        <f>I41-G41</f>
        <v/>
      </c>
      <c r="L41" s="270">
        <f>IF(G41=0,"***",K41/G41)</f>
        <v/>
      </c>
      <c r="M41" s="289" t="n">
        <v>6</v>
      </c>
      <c r="N41" s="277" t="n">
        <v>9</v>
      </c>
      <c r="O41" s="277" t="n">
        <v>0</v>
      </c>
      <c r="P41" s="277" t="n">
        <v>40.47</v>
      </c>
      <c r="Q41" s="269">
        <f>P41-O41</f>
        <v/>
      </c>
      <c r="R41" s="269">
        <f>P41-N41</f>
        <v/>
      </c>
      <c r="S41" s="271">
        <f>IF(N41=0,"***",R41/N41)</f>
        <v/>
      </c>
      <c r="T41" s="272">
        <f>IF(F41=0,"***",M41/F41)</f>
        <v/>
      </c>
      <c r="U41" s="273">
        <f>IF(G41=0,"***",N41/G41)</f>
        <v/>
      </c>
      <c r="V41" s="273">
        <f>IF(H41=0,"***",O41/H41)</f>
        <v/>
      </c>
      <c r="W41" s="273">
        <f>IF(I41=0,"***",P41/I41)</f>
        <v/>
      </c>
      <c r="X41" s="273">
        <f>W41-V41</f>
        <v/>
      </c>
      <c r="Y41" s="274">
        <f>W41-U41</f>
        <v/>
      </c>
    </row>
    <row r="42">
      <c r="A42" s="49" t="n"/>
      <c r="B42" s="50" t="n"/>
      <c r="C42" s="51" t="n"/>
      <c r="D42" s="52" t="inlineStr">
        <is>
          <t>中国</t>
        </is>
      </c>
      <c r="E42" s="53" t="n"/>
      <c r="F42" s="284" t="n">
        <v>0</v>
      </c>
      <c r="G42" s="285" t="n">
        <v>0</v>
      </c>
      <c r="H42" s="285" t="n">
        <v>0</v>
      </c>
      <c r="I42" s="285" t="n">
        <v>0</v>
      </c>
      <c r="J42" s="286">
        <f>I42-H42</f>
        <v/>
      </c>
      <c r="K42" s="286">
        <f>I42-G42</f>
        <v/>
      </c>
      <c r="L42" s="287">
        <f>IF(G42=0,"***",K42/G42)</f>
        <v/>
      </c>
      <c r="M42" s="284" t="n">
        <v>0</v>
      </c>
      <c r="N42" s="285" t="n">
        <v>0</v>
      </c>
      <c r="O42" s="285" t="n">
        <v>0</v>
      </c>
      <c r="P42" s="285" t="n">
        <v>0</v>
      </c>
      <c r="Q42" s="286">
        <f>P42-O42</f>
        <v/>
      </c>
      <c r="R42" s="286">
        <f>P42-N42</f>
        <v/>
      </c>
      <c r="S42" s="288">
        <f>IF(N42=0,"***",R42/N42)</f>
        <v/>
      </c>
      <c r="T42" s="272">
        <f>IF(F42=0,"***",M42/F42)</f>
        <v/>
      </c>
      <c r="U42" s="273">
        <f>IF(G42=0,"***",N42/G42)</f>
        <v/>
      </c>
      <c r="V42" s="273">
        <f>IF(H42=0,"***",O42/H42)</f>
        <v/>
      </c>
      <c r="W42" s="273">
        <f>IF(I42=0,"***",P42/I42)</f>
        <v/>
      </c>
      <c r="X42" s="273">
        <f>W42-V42</f>
        <v/>
      </c>
      <c r="Y42" s="274">
        <f>W42-U42</f>
        <v/>
      </c>
    </row>
    <row r="43">
      <c r="A43" s="27" t="n"/>
      <c r="B43" s="28" t="n"/>
      <c r="C43" s="83" t="n"/>
      <c r="D43" s="30" t="n"/>
      <c r="E43" s="31" t="inlineStr">
        <is>
          <t>包装資材</t>
        </is>
      </c>
      <c r="F43" s="267">
        <f>F42-F44</f>
        <v/>
      </c>
      <c r="G43" s="268">
        <f>G42-G44</f>
        <v/>
      </c>
      <c r="H43" s="268">
        <f>H42-H44</f>
        <v/>
      </c>
      <c r="I43" s="268">
        <f>I42-I44</f>
        <v/>
      </c>
      <c r="J43" s="269">
        <f>I43-H43</f>
        <v/>
      </c>
      <c r="K43" s="269">
        <f>I43-G43</f>
        <v/>
      </c>
      <c r="L43" s="270">
        <f>IF(G43=0,"***",K43/G43)</f>
        <v/>
      </c>
      <c r="M43" s="267">
        <f>M42-M44</f>
        <v/>
      </c>
      <c r="N43" s="268">
        <f>N42-N44</f>
        <v/>
      </c>
      <c r="O43" s="268">
        <f>O42-O44</f>
        <v/>
      </c>
      <c r="P43" s="268">
        <f>P42-P44</f>
        <v/>
      </c>
      <c r="Q43" s="269">
        <f>P43-O43</f>
        <v/>
      </c>
      <c r="R43" s="269">
        <f>P43-N43</f>
        <v/>
      </c>
      <c r="S43" s="271">
        <f>IF(N43=0,"***",R43/N43)</f>
        <v/>
      </c>
      <c r="T43" s="272">
        <f>IF(F43=0,"***",M43/F43)</f>
        <v/>
      </c>
      <c r="U43" s="273">
        <f>IF(G43=0,"***",N43/G43)</f>
        <v/>
      </c>
      <c r="V43" s="273">
        <f>IF(H43=0,"***",O43/H43)</f>
        <v/>
      </c>
      <c r="W43" s="273">
        <f>IF(I43=0,"***",P43/I43)</f>
        <v/>
      </c>
      <c r="X43" s="273">
        <f>W43-V43</f>
        <v/>
      </c>
      <c r="Y43" s="274">
        <f>W43-U43</f>
        <v/>
      </c>
    </row>
    <row r="44">
      <c r="A44" s="27" t="n"/>
      <c r="B44" s="28" t="n"/>
      <c r="C44" s="83" t="n"/>
      <c r="D44" s="30" t="n"/>
      <c r="E44" s="58" t="inlineStr">
        <is>
          <t>機械</t>
        </is>
      </c>
      <c r="F44" s="289" t="n">
        <v>0</v>
      </c>
      <c r="G44" s="277" t="n">
        <v>0</v>
      </c>
      <c r="H44" s="277" t="n">
        <v>0</v>
      </c>
      <c r="I44" s="277" t="n">
        <v>0</v>
      </c>
      <c r="J44" s="269">
        <f>I44-H44</f>
        <v/>
      </c>
      <c r="K44" s="269">
        <f>I44-G44</f>
        <v/>
      </c>
      <c r="L44" s="270">
        <f>IF(G44=0,"***",K44/G44)</f>
        <v/>
      </c>
      <c r="M44" s="289" t="n">
        <v>0</v>
      </c>
      <c r="N44" s="277" t="n">
        <v>0</v>
      </c>
      <c r="O44" s="277" t="n">
        <v>0</v>
      </c>
      <c r="P44" s="277" t="n">
        <v>0</v>
      </c>
      <c r="Q44" s="269">
        <f>P44-O44</f>
        <v/>
      </c>
      <c r="R44" s="269">
        <f>P44-N44</f>
        <v/>
      </c>
      <c r="S44" s="271">
        <f>IF(N44=0,"***",R44/N44)</f>
        <v/>
      </c>
      <c r="T44" s="272">
        <f>IF(F44=0,"***",M44/F44)</f>
        <v/>
      </c>
      <c r="U44" s="273">
        <f>IF(G44=0,"***",N44/G44)</f>
        <v/>
      </c>
      <c r="V44" s="273">
        <f>IF(H44=0,"***",O44/H44)</f>
        <v/>
      </c>
      <c r="W44" s="273">
        <f>IF(I44=0,"***",P44/I44)</f>
        <v/>
      </c>
      <c r="X44" s="273">
        <f>W44-V44</f>
        <v/>
      </c>
      <c r="Y44" s="274">
        <f>W44-U44</f>
        <v/>
      </c>
    </row>
    <row r="45">
      <c r="A45" s="27" t="n"/>
      <c r="B45" s="28" t="n"/>
      <c r="C45" s="83" t="n"/>
      <c r="D45" s="84" t="inlineStr">
        <is>
          <t>自治体</t>
        </is>
      </c>
      <c r="E45" s="85" t="n"/>
      <c r="F45" s="289" t="n">
        <v>0</v>
      </c>
      <c r="G45" s="277" t="n">
        <v>0</v>
      </c>
      <c r="H45" s="277" t="n">
        <v>0</v>
      </c>
      <c r="I45" s="277" t="n">
        <v>69.09999999999999</v>
      </c>
      <c r="J45" s="269">
        <f>I45-H45</f>
        <v/>
      </c>
      <c r="K45" s="269">
        <f>I45-G45</f>
        <v/>
      </c>
      <c r="L45" s="270">
        <f>IF(G45=0,"***",K45/G45)</f>
        <v/>
      </c>
      <c r="M45" s="289" t="n">
        <v>0</v>
      </c>
      <c r="N45" s="277" t="n">
        <v>0</v>
      </c>
      <c r="O45" s="277" t="n">
        <v>0</v>
      </c>
      <c r="P45" s="277" t="n">
        <v>2.2</v>
      </c>
      <c r="Q45" s="269">
        <f>P45-O45</f>
        <v/>
      </c>
      <c r="R45" s="269">
        <f>P45-N45</f>
        <v/>
      </c>
      <c r="S45" s="271">
        <f>IF(N45=0,"***",R45/N45)</f>
        <v/>
      </c>
      <c r="T45" s="272">
        <f>IF(F45=0,"***",M45/F45)</f>
        <v/>
      </c>
      <c r="U45" s="273">
        <f>IF(G45=0,"***",N45/G45)</f>
        <v/>
      </c>
      <c r="V45" s="273">
        <f>IF(H45=0,"***",O45/H45)</f>
        <v/>
      </c>
      <c r="W45" s="273">
        <f>IF(I45=0,"***",P45/I45)</f>
        <v/>
      </c>
      <c r="X45" s="273">
        <f>W45-V45</f>
        <v/>
      </c>
      <c r="Y45" s="274">
        <f>W45-U45</f>
        <v/>
      </c>
    </row>
    <row r="46">
      <c r="A46" s="27" t="n"/>
      <c r="B46" s="28" t="n"/>
      <c r="C46" s="83" t="n"/>
      <c r="D46" s="86" t="n"/>
      <c r="E46" s="31" t="inlineStr">
        <is>
          <t>包装資材</t>
        </is>
      </c>
      <c r="F46" s="289" t="n"/>
      <c r="G46" s="277" t="n"/>
      <c r="H46" s="277" t="n"/>
      <c r="I46" s="277" t="n"/>
      <c r="J46" s="269" t="n"/>
      <c r="K46" s="269" t="n"/>
      <c r="L46" s="270" t="n"/>
      <c r="M46" s="289" t="n"/>
      <c r="N46" s="277" t="n"/>
      <c r="O46" s="277" t="n"/>
      <c r="P46" s="277" t="n"/>
      <c r="Q46" s="269" t="n"/>
      <c r="R46" s="269" t="n"/>
      <c r="S46" s="271" t="n"/>
      <c r="T46" s="272" t="n"/>
      <c r="U46" s="273" t="n"/>
      <c r="V46" s="273" t="n"/>
      <c r="W46" s="273" t="n"/>
      <c r="X46" s="273" t="n"/>
      <c r="Y46" s="274" t="n"/>
    </row>
    <row r="47">
      <c r="A47" s="27" t="n"/>
      <c r="B47" s="28" t="n"/>
      <c r="C47" s="83" t="n"/>
      <c r="D47" s="86" t="n"/>
      <c r="E47" s="58" t="inlineStr">
        <is>
          <t>機械</t>
        </is>
      </c>
      <c r="F47" s="289" t="n">
        <v>0</v>
      </c>
      <c r="G47" s="277" t="n">
        <v>0</v>
      </c>
      <c r="H47" s="277" t="n">
        <v>0</v>
      </c>
      <c r="I47" s="277" t="n">
        <v>0</v>
      </c>
      <c r="J47" s="269" t="n"/>
      <c r="K47" s="269" t="n"/>
      <c r="L47" s="270" t="n"/>
      <c r="M47" s="289" t="n">
        <v>0</v>
      </c>
      <c r="N47" s="277" t="n">
        <v>0</v>
      </c>
      <c r="O47" s="277" t="n">
        <v>0</v>
      </c>
      <c r="P47" s="277" t="n">
        <v>0</v>
      </c>
      <c r="Q47" s="269" t="n"/>
      <c r="R47" s="269" t="n"/>
      <c r="S47" s="271" t="n"/>
      <c r="T47" s="272" t="n"/>
      <c r="U47" s="273" t="n"/>
      <c r="V47" s="273" t="n"/>
      <c r="W47" s="273" t="n"/>
      <c r="X47" s="273" t="n"/>
      <c r="Y47" s="274" t="n"/>
    </row>
    <row r="48">
      <c r="A48" s="49" t="n"/>
      <c r="B48" s="50" t="n"/>
      <c r="C48" s="51" t="n"/>
      <c r="D48" s="52" t="inlineStr">
        <is>
          <t>その他</t>
        </is>
      </c>
      <c r="E48" s="53" t="n"/>
      <c r="F48" s="284" t="n">
        <v>0</v>
      </c>
      <c r="G48" s="285" t="n">
        <v>4.8</v>
      </c>
      <c r="H48" s="285" t="n">
        <v>0</v>
      </c>
      <c r="I48" s="285" t="n">
        <v>0</v>
      </c>
      <c r="J48" s="286">
        <f>I48-H48</f>
        <v/>
      </c>
      <c r="K48" s="286">
        <f>I48-G48</f>
        <v/>
      </c>
      <c r="L48" s="287">
        <f>IF(G48=0,"***",K48/G48)</f>
        <v/>
      </c>
      <c r="M48" s="284" t="n">
        <v>0</v>
      </c>
      <c r="N48" s="285" t="n">
        <v>1.38</v>
      </c>
      <c r="O48" s="285" t="n">
        <v>0</v>
      </c>
      <c r="P48" s="285" t="n">
        <v>0</v>
      </c>
      <c r="Q48" s="286">
        <f>P48-O48</f>
        <v/>
      </c>
      <c r="R48" s="286">
        <f>P48-N48</f>
        <v/>
      </c>
      <c r="S48" s="288">
        <f>IF(N48=0,"***",R48/N48)</f>
        <v/>
      </c>
      <c r="T48" s="272">
        <f>IF(F48=0,"***",M48/F48)</f>
        <v/>
      </c>
      <c r="U48" s="273">
        <f>IF(G48=0,"***",N48/G48)</f>
        <v/>
      </c>
      <c r="V48" s="273">
        <f>IF(H48=0,"***",O48/H48)</f>
        <v/>
      </c>
      <c r="W48" s="273">
        <f>IF(I48=0,"***",P48/I48)</f>
        <v/>
      </c>
      <c r="X48" s="273">
        <f>W48-V48</f>
        <v/>
      </c>
      <c r="Y48" s="274">
        <f>W48-U48</f>
        <v/>
      </c>
    </row>
    <row r="49">
      <c r="A49" s="27" t="n"/>
      <c r="B49" s="28" t="n"/>
      <c r="C49" s="83" t="n"/>
      <c r="D49" s="30" t="n"/>
      <c r="E49" s="31" t="inlineStr">
        <is>
          <t>包装資材</t>
        </is>
      </c>
      <c r="F49" s="267">
        <f>F48-F50</f>
        <v/>
      </c>
      <c r="G49" s="268">
        <f>G48-G50</f>
        <v/>
      </c>
      <c r="H49" s="268">
        <f>H48-H50</f>
        <v/>
      </c>
      <c r="I49" s="268">
        <f>I48-I50</f>
        <v/>
      </c>
      <c r="J49" s="269">
        <f>I49-H49</f>
        <v/>
      </c>
      <c r="K49" s="269">
        <f>I49-G49</f>
        <v/>
      </c>
      <c r="L49" s="270">
        <f>IF(G49=0,"***",K49/G49)</f>
        <v/>
      </c>
      <c r="M49" s="267">
        <f>M48-M50</f>
        <v/>
      </c>
      <c r="N49" s="268">
        <f>N48-N50</f>
        <v/>
      </c>
      <c r="O49" s="268">
        <f>O48-O50</f>
        <v/>
      </c>
      <c r="P49" s="268">
        <f>P48-P50</f>
        <v/>
      </c>
      <c r="Q49" s="269">
        <f>P49-O49</f>
        <v/>
      </c>
      <c r="R49" s="269">
        <f>P49-N49</f>
        <v/>
      </c>
      <c r="S49" s="271">
        <f>IF(N49=0,"***",R49/N49)</f>
        <v/>
      </c>
      <c r="T49" s="272">
        <f>IF(F49=0,"***",M49/F49)</f>
        <v/>
      </c>
      <c r="U49" s="273">
        <f>IF(G49=0,"***",N49/G49)</f>
        <v/>
      </c>
      <c r="V49" s="273">
        <f>IF(H49=0,"***",O49/H49)</f>
        <v/>
      </c>
      <c r="W49" s="273">
        <f>IF(I49=0,"***",P49/I49)</f>
        <v/>
      </c>
      <c r="X49" s="273">
        <f>W49-V49</f>
        <v/>
      </c>
      <c r="Y49" s="274">
        <f>W49-U49</f>
        <v/>
      </c>
    </row>
    <row r="50">
      <c r="A50" s="27" t="n"/>
      <c r="B50" s="28" t="n"/>
      <c r="C50" s="83" t="n"/>
      <c r="D50" s="30" t="n"/>
      <c r="E50" s="58" t="inlineStr">
        <is>
          <t>機械</t>
        </is>
      </c>
      <c r="F50" s="289" t="n">
        <v>0</v>
      </c>
      <c r="G50" s="277" t="n">
        <v>0</v>
      </c>
      <c r="H50" s="277" t="n">
        <v>0</v>
      </c>
      <c r="I50" s="277" t="n">
        <v>0</v>
      </c>
      <c r="J50" s="269">
        <f>I50-H50</f>
        <v/>
      </c>
      <c r="K50" s="269">
        <f>I50-G50</f>
        <v/>
      </c>
      <c r="L50" s="270">
        <f>IF(G50=0,"***",K50/G50)</f>
        <v/>
      </c>
      <c r="M50" s="289" t="n">
        <v>0</v>
      </c>
      <c r="N50" s="277" t="n">
        <v>0</v>
      </c>
      <c r="O50" s="277" t="n">
        <v>0</v>
      </c>
      <c r="P50" s="277" t="n">
        <v>0</v>
      </c>
      <c r="Q50" s="269">
        <f>P50-O50</f>
        <v/>
      </c>
      <c r="R50" s="269">
        <f>P50-N50</f>
        <v/>
      </c>
      <c r="S50" s="271">
        <f>IF(N50=0,"***",R50/N50)</f>
        <v/>
      </c>
      <c r="T50" s="272">
        <f>IF(F50=0,"***",M50/F50)</f>
        <v/>
      </c>
      <c r="U50" s="273">
        <f>IF(G50=0,"***",N50/G50)</f>
        <v/>
      </c>
      <c r="V50" s="273">
        <f>IF(H50=0,"***",O50/H50)</f>
        <v/>
      </c>
      <c r="W50" s="273">
        <f>IF(I50=0,"***",P50/I50)</f>
        <v/>
      </c>
      <c r="X50" s="273">
        <f>W50-V50</f>
        <v/>
      </c>
      <c r="Y50" s="274">
        <f>W50-U50</f>
        <v/>
      </c>
    </row>
    <row r="51">
      <c r="A51" s="49" t="n"/>
      <c r="B51" s="50" t="n"/>
      <c r="C51" s="87" t="inlineStr">
        <is>
          <t>下関営業所</t>
        </is>
      </c>
      <c r="D51" s="62" t="n"/>
      <c r="E51" s="63" t="n"/>
      <c r="F51" s="302">
        <f>F48+F45+F42+F39+F36+F33+F30</f>
        <v/>
      </c>
      <c r="G51" s="303">
        <f>G48+G45+G42+G39+G36+G33+G30</f>
        <v/>
      </c>
      <c r="H51" s="303">
        <f>H48+H45+H42+H39+H36+H33+H30</f>
        <v/>
      </c>
      <c r="I51" s="303">
        <f>I48+I45+I42+I39+I36+I33+I30</f>
        <v/>
      </c>
      <c r="J51" s="293">
        <f>I51-H51</f>
        <v/>
      </c>
      <c r="K51" s="293">
        <f>I51-G51</f>
        <v/>
      </c>
      <c r="L51" s="294">
        <f>IF(G51=0,"***",K51/G51)</f>
        <v/>
      </c>
      <c r="M51" s="295">
        <f>M48+M45+M42+M39+M36+M33+M30</f>
        <v/>
      </c>
      <c r="N51" s="295">
        <f>N48+N45+N42+N39+N36+N33+N30</f>
        <v/>
      </c>
      <c r="O51" s="295">
        <f>O48+O45+O42+O39+O36+O33+O30</f>
        <v/>
      </c>
      <c r="P51" s="295">
        <f>P48+P45+P42+P39+P36+P33+P30</f>
        <v/>
      </c>
      <c r="Q51" s="293">
        <f>P51-O51</f>
        <v/>
      </c>
      <c r="R51" s="293">
        <f>P51-N51</f>
        <v/>
      </c>
      <c r="S51" s="296">
        <f>IF(N51=0,"***",R51/N51)</f>
        <v/>
      </c>
      <c r="T51" s="297">
        <f>IF(F51=0,"***",M51/F51)</f>
        <v/>
      </c>
      <c r="U51" s="298">
        <f>IF(G51=0,"***",N51/G51)</f>
        <v/>
      </c>
      <c r="V51" s="298">
        <f>IF(H51=0,"***",O51/H51)</f>
        <v/>
      </c>
      <c r="W51" s="298">
        <f>IF(I51=0,"***",P51/I51)</f>
        <v/>
      </c>
      <c r="X51" s="299">
        <f>W51-V51</f>
        <v/>
      </c>
      <c r="Y51" s="300">
        <f>W51-U51</f>
        <v/>
      </c>
    </row>
    <row r="52">
      <c r="A52" s="49" t="n"/>
      <c r="B52" s="50" t="n"/>
      <c r="C52" s="73" t="n"/>
      <c r="D52" s="74" t="inlineStr">
        <is>
          <t>営業</t>
        </is>
      </c>
      <c r="E52" s="63" t="n"/>
      <c r="F52" s="302">
        <f>F51-F55</f>
        <v/>
      </c>
      <c r="G52" s="303">
        <f>G51-G55</f>
        <v/>
      </c>
      <c r="H52" s="303">
        <f>H51-H55</f>
        <v/>
      </c>
      <c r="I52" s="303">
        <f>I51-I55</f>
        <v/>
      </c>
      <c r="J52" s="293">
        <f>I52-H52</f>
        <v/>
      </c>
      <c r="K52" s="293">
        <f>I52-G52</f>
        <v/>
      </c>
      <c r="L52" s="294">
        <f>IF(G52=0,"***",K52/G52)</f>
        <v/>
      </c>
      <c r="M52" s="295">
        <f>M51-M55</f>
        <v/>
      </c>
      <c r="N52" s="295">
        <f>N51-N55</f>
        <v/>
      </c>
      <c r="O52" s="295">
        <f>O51-O55</f>
        <v/>
      </c>
      <c r="P52" s="295">
        <f>P51-P55</f>
        <v/>
      </c>
      <c r="Q52" s="293">
        <f>P52-O52</f>
        <v/>
      </c>
      <c r="R52" s="293">
        <f>P52-N52</f>
        <v/>
      </c>
      <c r="S52" s="296">
        <f>IF(N52=0,"***",R52/N52)</f>
        <v/>
      </c>
      <c r="T52" s="297">
        <f>IF(F52=0,"***",M52/F52)</f>
        <v/>
      </c>
      <c r="U52" s="301">
        <f>IF(G52=0,"***",N52/G52)</f>
        <v/>
      </c>
      <c r="V52" s="301">
        <f>IF(H52=0,"***",O52/H52)</f>
        <v/>
      </c>
      <c r="W52" s="301">
        <f>IF(I52=0,"***",P52/I52)</f>
        <v/>
      </c>
      <c r="X52" s="299">
        <f>W52-V52</f>
        <v/>
      </c>
      <c r="Y52" s="300">
        <f>W52-U52</f>
        <v/>
      </c>
    </row>
    <row r="53">
      <c r="A53" s="49" t="n"/>
      <c r="B53" s="50" t="n"/>
      <c r="C53" s="73" t="n"/>
      <c r="D53" s="76" t="n"/>
      <c r="E53" s="77" t="inlineStr">
        <is>
          <t>包装資材</t>
        </is>
      </c>
      <c r="F53" s="302">
        <f>F52-F54</f>
        <v/>
      </c>
      <c r="G53" s="292">
        <f>G52-G54</f>
        <v/>
      </c>
      <c r="H53" s="292">
        <f>H52-H54</f>
        <v/>
      </c>
      <c r="I53" s="292">
        <f>I52-I54</f>
        <v/>
      </c>
      <c r="J53" s="293">
        <f>I53-H53</f>
        <v/>
      </c>
      <c r="K53" s="293">
        <f>I53-G53</f>
        <v/>
      </c>
      <c r="L53" s="294">
        <f>IF(G53=0,"***",K53/G53)</f>
        <v/>
      </c>
      <c r="M53" s="295">
        <f>M52-M54</f>
        <v/>
      </c>
      <c r="N53" s="292">
        <f>N52-N54</f>
        <v/>
      </c>
      <c r="O53" s="292">
        <f>O52-O54</f>
        <v/>
      </c>
      <c r="P53" s="292">
        <f>P52-P54</f>
        <v/>
      </c>
      <c r="Q53" s="293">
        <f>P53-O53</f>
        <v/>
      </c>
      <c r="R53" s="293">
        <f>P53-N53</f>
        <v/>
      </c>
      <c r="S53" s="296">
        <f>IF(N53=0,"***",R53/N53)</f>
        <v/>
      </c>
      <c r="T53" s="297">
        <f>IF(F53=0,"***",M53/F53)</f>
        <v/>
      </c>
      <c r="U53" s="301">
        <f>IF(G53=0,"***",N53/G53)</f>
        <v/>
      </c>
      <c r="V53" s="301">
        <f>IF(H53=0,"***",O53/H53)</f>
        <v/>
      </c>
      <c r="W53" s="301">
        <f>IF(I53=0,"***",P53/I53)</f>
        <v/>
      </c>
      <c r="X53" s="299">
        <f>W53-V53</f>
        <v/>
      </c>
      <c r="Y53" s="300">
        <f>W53-U53</f>
        <v/>
      </c>
    </row>
    <row r="54">
      <c r="A54" s="49" t="n"/>
      <c r="B54" s="50" t="n"/>
      <c r="C54" s="73" t="n"/>
      <c r="D54" s="78" t="n"/>
      <c r="E54" s="77" t="inlineStr">
        <is>
          <t>機械</t>
        </is>
      </c>
      <c r="F54" s="302">
        <f>F50+F41+F38+F35+F32</f>
        <v/>
      </c>
      <c r="G54" s="303">
        <f>G50+G41+G38+G35+G32</f>
        <v/>
      </c>
      <c r="H54" s="295">
        <f>H50+H41+H38+H35+H32</f>
        <v/>
      </c>
      <c r="I54" s="295">
        <f>I50+I41+I38+I35+I32</f>
        <v/>
      </c>
      <c r="J54" s="293">
        <f>I54-H54</f>
        <v/>
      </c>
      <c r="K54" s="293">
        <f>I54-G54</f>
        <v/>
      </c>
      <c r="L54" s="294">
        <f>IF(G54=0,"***",K54/G54)</f>
        <v/>
      </c>
      <c r="M54" s="295">
        <f>M44+M41+M38+M35+M32</f>
        <v/>
      </c>
      <c r="N54" s="295">
        <f>N44+N41+N38+N35+N32</f>
        <v/>
      </c>
      <c r="O54" s="295">
        <f>O44+O41+O38+O35+O32</f>
        <v/>
      </c>
      <c r="P54" s="295">
        <f>P50+P41+P38+P35+P32</f>
        <v/>
      </c>
      <c r="Q54" s="293">
        <f>P54-O54</f>
        <v/>
      </c>
      <c r="R54" s="293">
        <f>P54-N54</f>
        <v/>
      </c>
      <c r="S54" s="296">
        <f>IF(N54=0,"***",R54/N54)</f>
        <v/>
      </c>
      <c r="T54" s="297">
        <f>IF(F54=0,"***",M54/F54)</f>
        <v/>
      </c>
      <c r="U54" s="301">
        <f>IF(G54=0,"***",N54/G54)</f>
        <v/>
      </c>
      <c r="V54" s="301">
        <f>IF(H54=0,"***",O54/H54)</f>
        <v/>
      </c>
      <c r="W54" s="301">
        <f>IF(I54=0,"***",P54/I54)</f>
        <v/>
      </c>
      <c r="X54" s="299">
        <f>W54-V54</f>
        <v/>
      </c>
      <c r="Y54" s="300">
        <f>W54-U54</f>
        <v/>
      </c>
    </row>
    <row r="55">
      <c r="A55" s="49" t="n"/>
      <c r="B55" s="50" t="n"/>
      <c r="C55" s="90" t="n"/>
      <c r="D55" s="91" t="inlineStr">
        <is>
          <t>中国事業</t>
        </is>
      </c>
      <c r="E55" s="92" t="n"/>
      <c r="F55" s="304">
        <f>F42</f>
        <v/>
      </c>
      <c r="G55" s="305">
        <f>G42</f>
        <v/>
      </c>
      <c r="H55" s="305">
        <f>H42</f>
        <v/>
      </c>
      <c r="I55" s="305">
        <f>I42</f>
        <v/>
      </c>
      <c r="J55" s="306">
        <f>I55-H55</f>
        <v/>
      </c>
      <c r="K55" s="306">
        <f>I55-G55</f>
        <v/>
      </c>
      <c r="L55" s="307">
        <f>IF(G55=0,"***",K55/G55)</f>
        <v/>
      </c>
      <c r="M55" s="308">
        <f>M42</f>
        <v/>
      </c>
      <c r="N55" s="309">
        <f>N42</f>
        <v/>
      </c>
      <c r="O55" s="309">
        <f>O42</f>
        <v/>
      </c>
      <c r="P55" s="309">
        <f>P42</f>
        <v/>
      </c>
      <c r="Q55" s="306">
        <f>P55-O55</f>
        <v/>
      </c>
      <c r="R55" s="306">
        <f>P55-N55</f>
        <v/>
      </c>
      <c r="S55" s="310">
        <f>IF(N55=0,"***",R55/N55)</f>
        <v/>
      </c>
      <c r="T55" s="311">
        <f>IF(F55=0,"***",M55/F55)</f>
        <v/>
      </c>
      <c r="U55" s="312">
        <f>IF(G55=0,"***",N55/G55)</f>
        <v/>
      </c>
      <c r="V55" s="312">
        <f>IF(H55=0,"***",O55/H55)</f>
        <v/>
      </c>
      <c r="W55" s="312">
        <f>IF(I55=0,"***",P55/I55)</f>
        <v/>
      </c>
      <c r="X55" s="313">
        <f>W55-V55</f>
        <v/>
      </c>
      <c r="Y55" s="314">
        <f>W55-U55</f>
        <v/>
      </c>
    </row>
    <row r="56">
      <c r="A56" s="49" t="n"/>
      <c r="B56" s="50" t="n"/>
      <c r="C56" s="82" t="n"/>
      <c r="D56" s="18" t="inlineStr">
        <is>
          <t>飯塚主任</t>
        </is>
      </c>
      <c r="E56" s="103" t="n"/>
      <c r="F56" s="315" t="n">
        <v>10947.936</v>
      </c>
      <c r="G56" s="260" t="n">
        <v>10299.5</v>
      </c>
      <c r="H56" s="260" t="n">
        <v>11790</v>
      </c>
      <c r="I56" s="260" t="n">
        <v>11940.197</v>
      </c>
      <c r="J56" s="261">
        <f>I56-H56</f>
        <v/>
      </c>
      <c r="K56" s="261">
        <f>I56-G56</f>
        <v/>
      </c>
      <c r="L56" s="262">
        <f>IF(G56=0,"***",K56/G56)</f>
        <v/>
      </c>
      <c r="M56" s="315" t="n">
        <v>3179.772999999999</v>
      </c>
      <c r="N56" s="260" t="n">
        <v>3226.146</v>
      </c>
      <c r="O56" s="260" t="n">
        <v>3560</v>
      </c>
      <c r="P56" s="260" t="n">
        <v>3975.887</v>
      </c>
      <c r="Q56" s="261">
        <f>P56-O56</f>
        <v/>
      </c>
      <c r="R56" s="261">
        <f>P56-N56</f>
        <v/>
      </c>
      <c r="S56" s="263">
        <f>IF(N56=0,"***",R56/N56)</f>
        <v/>
      </c>
      <c r="T56" s="264">
        <f>IF(F56=0,"***",M56/F56)</f>
        <v/>
      </c>
      <c r="U56" s="265">
        <f>IF(G56=0,"***",N56/G56)</f>
        <v/>
      </c>
      <c r="V56" s="265">
        <f>IF(H56=0,"***",O56/H56)</f>
        <v/>
      </c>
      <c r="W56" s="265">
        <f>IF(I56=0,"***",P56/I56)</f>
        <v/>
      </c>
      <c r="X56" s="265">
        <f>W56-V56</f>
        <v/>
      </c>
      <c r="Y56" s="266">
        <f>W56-U56</f>
        <v/>
      </c>
    </row>
    <row r="57">
      <c r="A57" s="27" t="n"/>
      <c r="B57" s="28" t="n"/>
      <c r="C57" s="83" t="n"/>
      <c r="D57" s="30" t="n"/>
      <c r="E57" s="105" t="inlineStr">
        <is>
          <t>包装資材</t>
        </is>
      </c>
      <c r="F57" s="267">
        <f>F56-F58</f>
        <v/>
      </c>
      <c r="G57" s="268">
        <f>G56-G58</f>
        <v/>
      </c>
      <c r="H57" s="268">
        <f>H56-H58</f>
        <v/>
      </c>
      <c r="I57" s="268">
        <f>I56-I58</f>
        <v/>
      </c>
      <c r="J57" s="269">
        <f>I57-H57</f>
        <v/>
      </c>
      <c r="K57" s="269">
        <f>I57-G57</f>
        <v/>
      </c>
      <c r="L57" s="270">
        <f>IF(G57=0,"***",K57/G57)</f>
        <v/>
      </c>
      <c r="M57" s="267">
        <f>M56-M58</f>
        <v/>
      </c>
      <c r="N57" s="268">
        <f>N56-N58</f>
        <v/>
      </c>
      <c r="O57" s="268">
        <f>O56-O58</f>
        <v/>
      </c>
      <c r="P57" s="268">
        <f>P56-P58</f>
        <v/>
      </c>
      <c r="Q57" s="269">
        <f>P57-O57</f>
        <v/>
      </c>
      <c r="R57" s="269">
        <f>P57-N57</f>
        <v/>
      </c>
      <c r="S57" s="271">
        <f>IF(N57=0,"***",R57/N57)</f>
        <v/>
      </c>
      <c r="T57" s="272">
        <f>IF(F57=0,"***",M57/F57)</f>
        <v/>
      </c>
      <c r="U57" s="273">
        <f>IF(G57=0,"***",N57/G57)</f>
        <v/>
      </c>
      <c r="V57" s="273">
        <f>IF(H57=0,"***",O57/H57)</f>
        <v/>
      </c>
      <c r="W57" s="273">
        <f>IF(I57=0,"***",P57/I57)</f>
        <v/>
      </c>
      <c r="X57" s="273">
        <f>W57-V57</f>
        <v/>
      </c>
      <c r="Y57" s="274">
        <f>W57-U57</f>
        <v/>
      </c>
    </row>
    <row r="58">
      <c r="A58" s="27" t="n"/>
      <c r="B58" s="28" t="n"/>
      <c r="C58" s="83" t="n"/>
      <c r="D58" s="30" t="n"/>
      <c r="E58" s="52" t="inlineStr">
        <is>
          <t>機械</t>
        </is>
      </c>
      <c r="F58" s="275" t="n">
        <v>210</v>
      </c>
      <c r="G58" s="276" t="n">
        <v>18</v>
      </c>
      <c r="H58" s="276" t="n">
        <v>200</v>
      </c>
      <c r="I58" s="276" t="n">
        <v>756.14</v>
      </c>
      <c r="J58" s="278">
        <f>I58-H58</f>
        <v/>
      </c>
      <c r="K58" s="278">
        <f>I58-G58</f>
        <v/>
      </c>
      <c r="L58" s="279">
        <f>IF(G58=0,"***",K58/G58)</f>
        <v/>
      </c>
      <c r="M58" s="275" t="n">
        <v>49</v>
      </c>
      <c r="N58" s="276" t="n">
        <v>7</v>
      </c>
      <c r="O58" s="276" t="n">
        <v>50</v>
      </c>
      <c r="P58" s="276" t="n">
        <v>151.195</v>
      </c>
      <c r="Q58" s="278">
        <f>P58-O58</f>
        <v/>
      </c>
      <c r="R58" s="278">
        <f>P58-N58</f>
        <v/>
      </c>
      <c r="S58" s="280">
        <f>IF(N58=0,"***",R58/N58)</f>
        <v/>
      </c>
      <c r="T58" s="281">
        <f>IF(F58=0,"***",M58/F58)</f>
        <v/>
      </c>
      <c r="U58" s="282">
        <f>IF(G58=0,"***",N58/G58)</f>
        <v/>
      </c>
      <c r="V58" s="282">
        <f>IF(H58=0,"***",O58/H58)</f>
        <v/>
      </c>
      <c r="W58" s="282">
        <f>IF(I58=0,"***",P58/I58)</f>
        <v/>
      </c>
      <c r="X58" s="282">
        <f>W58-V58</f>
        <v/>
      </c>
      <c r="Y58" s="283">
        <f>W58-U58</f>
        <v/>
      </c>
    </row>
    <row r="59">
      <c r="A59" s="49" t="n"/>
      <c r="B59" s="50" t="n"/>
      <c r="C59" s="51" t="n"/>
      <c r="D59" s="52" t="inlineStr">
        <is>
          <t>前田課長代理</t>
        </is>
      </c>
      <c r="E59" s="106" t="n"/>
      <c r="F59" s="284" t="n">
        <v>9769.475999999999</v>
      </c>
      <c r="G59" s="285" t="n">
        <v>7366.301</v>
      </c>
      <c r="H59" s="285" t="n">
        <v>9510</v>
      </c>
      <c r="I59" s="285" t="n">
        <v>10370.244</v>
      </c>
      <c r="J59" s="286">
        <f>I59-H59</f>
        <v/>
      </c>
      <c r="K59" s="286">
        <f>I59-G59</f>
        <v/>
      </c>
      <c r="L59" s="287">
        <f>IF(G59=0,"***",K59/G59)</f>
        <v/>
      </c>
      <c r="M59" s="284" t="n">
        <v>2149.223</v>
      </c>
      <c r="N59" s="285" t="n">
        <v>1950.749</v>
      </c>
      <c r="O59" s="285" t="n">
        <v>2280</v>
      </c>
      <c r="P59" s="285" t="n">
        <v>2625.623</v>
      </c>
      <c r="Q59" s="286">
        <f>P59-O59</f>
        <v/>
      </c>
      <c r="R59" s="286">
        <f>P59-N59</f>
        <v/>
      </c>
      <c r="S59" s="288">
        <f>IF(N59=0,"***",R59/N59)</f>
        <v/>
      </c>
      <c r="T59" s="272">
        <f>IF(F59=0,"***",M59/F59)</f>
        <v/>
      </c>
      <c r="U59" s="273">
        <f>IF(G59=0,"***",N59/G59)</f>
        <v/>
      </c>
      <c r="V59" s="273">
        <f>IF(H59=0,"***",O59/H59)</f>
        <v/>
      </c>
      <c r="W59" s="273">
        <f>IF(I59=0,"***",P59/I59)</f>
        <v/>
      </c>
      <c r="X59" s="273">
        <f>W59-V59</f>
        <v/>
      </c>
      <c r="Y59" s="274">
        <f>W59-U59</f>
        <v/>
      </c>
    </row>
    <row r="60">
      <c r="A60" s="27" t="n"/>
      <c r="B60" s="28" t="n"/>
      <c r="C60" s="83" t="n"/>
      <c r="D60" s="30" t="n"/>
      <c r="E60" s="105" t="inlineStr">
        <is>
          <t>包装資材</t>
        </is>
      </c>
      <c r="F60" s="267">
        <f>F59-F61</f>
        <v/>
      </c>
      <c r="G60" s="268">
        <f>G59-G61</f>
        <v/>
      </c>
      <c r="H60" s="268">
        <f>H59-H61</f>
        <v/>
      </c>
      <c r="I60" s="268">
        <f>I59-I61</f>
        <v/>
      </c>
      <c r="J60" s="269">
        <f>I60-H60</f>
        <v/>
      </c>
      <c r="K60" s="269">
        <f>I60-G60</f>
        <v/>
      </c>
      <c r="L60" s="270">
        <f>IF(G60=0,"***",K60/G60)</f>
        <v/>
      </c>
      <c r="M60" s="267">
        <f>M59-M61</f>
        <v/>
      </c>
      <c r="N60" s="268">
        <f>N59-N61</f>
        <v/>
      </c>
      <c r="O60" s="268">
        <f>O59-O61</f>
        <v/>
      </c>
      <c r="P60" s="268">
        <f>P59-P61</f>
        <v/>
      </c>
      <c r="Q60" s="269">
        <f>P60-O60</f>
        <v/>
      </c>
      <c r="R60" s="269">
        <f>P60-N60</f>
        <v/>
      </c>
      <c r="S60" s="271">
        <f>IF(N60=0,"***",R60/N60)</f>
        <v/>
      </c>
      <c r="T60" s="272">
        <f>IF(F60=0,"***",M60/F60)</f>
        <v/>
      </c>
      <c r="U60" s="273">
        <f>IF(G60=0,"***",N60/G60)</f>
        <v/>
      </c>
      <c r="V60" s="273">
        <f>IF(H60=0,"***",O60/H60)</f>
        <v/>
      </c>
      <c r="W60" s="273">
        <f>IF(I60=0,"***",P60/I60)</f>
        <v/>
      </c>
      <c r="X60" s="273">
        <f>W60-V60</f>
        <v/>
      </c>
      <c r="Y60" s="274">
        <f>W60-U60</f>
        <v/>
      </c>
    </row>
    <row r="61">
      <c r="A61" s="27" t="n"/>
      <c r="B61" s="28" t="n"/>
      <c r="C61" s="83" t="n"/>
      <c r="D61" s="30" t="n"/>
      <c r="E61" s="107" t="inlineStr">
        <is>
          <t>機械</t>
        </is>
      </c>
      <c r="F61" s="289" t="n">
        <v>90</v>
      </c>
      <c r="G61" s="277" t="n">
        <v>201</v>
      </c>
      <c r="H61" s="277" t="n">
        <v>200</v>
      </c>
      <c r="I61" s="277" t="n">
        <v>695.7</v>
      </c>
      <c r="J61" s="269">
        <f>I61-H61</f>
        <v/>
      </c>
      <c r="K61" s="269">
        <f>I61-G61</f>
        <v/>
      </c>
      <c r="L61" s="270">
        <f>IF(G61=0,"***",K61/G61)</f>
        <v/>
      </c>
      <c r="M61" s="289" t="n">
        <v>11</v>
      </c>
      <c r="N61" s="277" t="n">
        <v>70</v>
      </c>
      <c r="O61" s="277" t="n">
        <v>50</v>
      </c>
      <c r="P61" s="277" t="n">
        <v>148.74</v>
      </c>
      <c r="Q61" s="269">
        <f>P61-O61</f>
        <v/>
      </c>
      <c r="R61" s="269">
        <f>P61-N61</f>
        <v/>
      </c>
      <c r="S61" s="271">
        <f>IF(N61=0,"***",R61/N61)</f>
        <v/>
      </c>
      <c r="T61" s="272">
        <f>IF(F61=0,"***",M61/F61)</f>
        <v/>
      </c>
      <c r="U61" s="273">
        <f>IF(G61=0,"***",N61/G61)</f>
        <v/>
      </c>
      <c r="V61" s="273">
        <f>IF(H61=0,"***",O61/H61)</f>
        <v/>
      </c>
      <c r="W61" s="273">
        <f>IF(I61=0,"***",P61/I61)</f>
        <v/>
      </c>
      <c r="X61" s="273">
        <f>W61-V61</f>
        <v/>
      </c>
      <c r="Y61" s="274">
        <f>W61-U61</f>
        <v/>
      </c>
    </row>
    <row r="62">
      <c r="A62" s="27" t="n"/>
      <c r="B62" s="28" t="n"/>
      <c r="C62" s="83" t="n"/>
      <c r="D62" s="52" t="inlineStr">
        <is>
          <t>原田</t>
        </is>
      </c>
      <c r="E62" s="106" t="n"/>
      <c r="F62" s="289" t="n">
        <v>9130.425000000001</v>
      </c>
      <c r="G62" s="277" t="n">
        <v>8283.083000000002</v>
      </c>
      <c r="H62" s="277" t="n">
        <v>9670</v>
      </c>
      <c r="I62" s="277" t="n">
        <v>10792.559</v>
      </c>
      <c r="J62" s="269">
        <f>I62-H62</f>
        <v/>
      </c>
      <c r="K62" s="269">
        <f>I62-G62</f>
        <v/>
      </c>
      <c r="L62" s="270">
        <f>IF(G62=0,"***",K62/G62)</f>
        <v/>
      </c>
      <c r="M62" s="289" t="n">
        <v>1941.406</v>
      </c>
      <c r="N62" s="277" t="n">
        <v>2009.645</v>
      </c>
      <c r="O62" s="277" t="n">
        <v>2190</v>
      </c>
      <c r="P62" s="277" t="n">
        <v>2924.322</v>
      </c>
      <c r="Q62" s="269">
        <f>P62-O62</f>
        <v/>
      </c>
      <c r="R62" s="269">
        <f>P62-N62</f>
        <v/>
      </c>
      <c r="S62" s="271">
        <f>IF(N62=0,"***",R62/N62)</f>
        <v/>
      </c>
      <c r="T62" s="272">
        <f>IF(F62=0,"***",M62/F62)</f>
        <v/>
      </c>
      <c r="U62" s="273">
        <f>IF(G62=0,"***",N62/G62)</f>
        <v/>
      </c>
      <c r="V62" s="273">
        <f>IF(H62=0,"***",O62/H62)</f>
        <v/>
      </c>
      <c r="W62" s="273">
        <f>IF(I62=0,"***",P62/I62)</f>
        <v/>
      </c>
      <c r="X62" s="273">
        <f>W62-V62</f>
        <v/>
      </c>
      <c r="Y62" s="274">
        <f>W62-U62</f>
        <v/>
      </c>
    </row>
    <row r="63">
      <c r="A63" s="27" t="n"/>
      <c r="B63" s="28" t="n"/>
      <c r="C63" s="83" t="n"/>
      <c r="D63" s="30" t="n"/>
      <c r="E63" s="105" t="inlineStr">
        <is>
          <t>包装資材</t>
        </is>
      </c>
      <c r="F63" s="316">
        <f>F62-F64</f>
        <v/>
      </c>
      <c r="G63" s="317">
        <f>G62-G64</f>
        <v/>
      </c>
      <c r="H63" s="317">
        <f>H62-H64</f>
        <v/>
      </c>
      <c r="I63" s="317">
        <f>I62-I64</f>
        <v/>
      </c>
      <c r="J63" s="269">
        <f>I63-H63</f>
        <v/>
      </c>
      <c r="K63" s="269">
        <f>I63-G63</f>
        <v/>
      </c>
      <c r="L63" s="270">
        <f>IF(G63=0,"***",K63/G63)</f>
        <v/>
      </c>
      <c r="M63" s="316">
        <f>M62-M64</f>
        <v/>
      </c>
      <c r="N63" s="317">
        <f>N62-N64</f>
        <v/>
      </c>
      <c r="O63" s="317">
        <f>O62-O64</f>
        <v/>
      </c>
      <c r="P63" s="317">
        <f>P62-P64</f>
        <v/>
      </c>
      <c r="Q63" s="269">
        <f>P63-O63</f>
        <v/>
      </c>
      <c r="R63" s="269">
        <f>P63-N63</f>
        <v/>
      </c>
      <c r="S63" s="271">
        <f>IF(N63=0,"***",R63/N63)</f>
        <v/>
      </c>
      <c r="T63" s="272">
        <f>IF(F63=0,"***",M63/F63)</f>
        <v/>
      </c>
      <c r="U63" s="273">
        <f>IF(G63=0,"***",N63/G63)</f>
        <v/>
      </c>
      <c r="V63" s="273">
        <f>IF(H63=0,"***",O63/H63)</f>
        <v/>
      </c>
      <c r="W63" s="273">
        <f>IF(I63=0,"***",P63/I63)</f>
        <v/>
      </c>
      <c r="X63" s="273">
        <f>W63-V63</f>
        <v/>
      </c>
      <c r="Y63" s="274">
        <f>W63-U63</f>
        <v/>
      </c>
    </row>
    <row r="64">
      <c r="A64" s="27" t="n"/>
      <c r="B64" s="28" t="n"/>
      <c r="C64" s="83" t="n"/>
      <c r="D64" s="30" t="n"/>
      <c r="E64" s="107" t="inlineStr">
        <is>
          <t>機械</t>
        </is>
      </c>
      <c r="F64" s="289" t="n">
        <v>0</v>
      </c>
      <c r="G64" s="277" t="n">
        <v>0</v>
      </c>
      <c r="H64" s="277" t="n">
        <v>100</v>
      </c>
      <c r="I64" s="277" t="n">
        <v>0</v>
      </c>
      <c r="J64" s="269">
        <f>I64-H64</f>
        <v/>
      </c>
      <c r="K64" s="269">
        <f>I64-G64</f>
        <v/>
      </c>
      <c r="L64" s="270">
        <f>IF(G64=0,"***",K64/G64)</f>
        <v/>
      </c>
      <c r="M64" s="289" t="n">
        <v>0</v>
      </c>
      <c r="N64" s="277" t="n">
        <v>0</v>
      </c>
      <c r="O64" s="277" t="n">
        <v>20</v>
      </c>
      <c r="P64" s="277" t="n">
        <v>0</v>
      </c>
      <c r="Q64" s="269">
        <f>P64-O64</f>
        <v/>
      </c>
      <c r="R64" s="269">
        <f>P64-N64</f>
        <v/>
      </c>
      <c r="S64" s="271">
        <f>IF(N64=0,"***",R64/N64)</f>
        <v/>
      </c>
      <c r="T64" s="272">
        <f>IF(F64=0,"***",M64/F64)</f>
        <v/>
      </c>
      <c r="U64" s="273">
        <f>IF(G64=0,"***",N64/G64)</f>
        <v/>
      </c>
      <c r="V64" s="273">
        <f>IF(H64=0,"***",O64/H64)</f>
        <v/>
      </c>
      <c r="W64" s="273">
        <f>IF(I64=0,"***",P64/I64)</f>
        <v/>
      </c>
      <c r="X64" s="273">
        <f>W64-V64</f>
        <v/>
      </c>
      <c r="Y64" s="274">
        <f>W64-U64</f>
        <v/>
      </c>
    </row>
    <row r="65">
      <c r="A65" s="49" t="n"/>
      <c r="B65" s="50" t="n"/>
      <c r="C65" s="51" t="n"/>
      <c r="D65" s="52" t="inlineStr">
        <is>
          <t>自治体</t>
        </is>
      </c>
      <c r="E65" s="106" t="n"/>
      <c r="F65" s="284" t="n">
        <v>0</v>
      </c>
      <c r="G65" s="285" t="n">
        <v>6139.904</v>
      </c>
      <c r="H65" s="285" t="n">
        <v>0</v>
      </c>
      <c r="I65" s="285" t="n">
        <v>0</v>
      </c>
      <c r="J65" s="286">
        <f>I65-H65</f>
        <v/>
      </c>
      <c r="K65" s="286">
        <f>I65-G65</f>
        <v/>
      </c>
      <c r="L65" s="287">
        <f>IF(G65=0,"***",K65/G65)</f>
        <v/>
      </c>
      <c r="M65" s="284" t="n">
        <v>0</v>
      </c>
      <c r="N65" s="285" t="n">
        <v>115.904</v>
      </c>
      <c r="O65" s="285" t="n">
        <v>0</v>
      </c>
      <c r="P65" s="285" t="n">
        <v>0</v>
      </c>
      <c r="Q65" s="286">
        <f>P65-O65</f>
        <v/>
      </c>
      <c r="R65" s="286">
        <f>P65-N65</f>
        <v/>
      </c>
      <c r="S65" s="288">
        <f>IF(N65=0,"***",R65/N65)</f>
        <v/>
      </c>
      <c r="T65" s="272">
        <f>IF(F65=0,"***",M65/F65)</f>
        <v/>
      </c>
      <c r="U65" s="273">
        <f>IF(G65=0,"***",N65/G65)</f>
        <v/>
      </c>
      <c r="V65" s="273">
        <f>IF(H65=0,"***",O65/H65)</f>
        <v/>
      </c>
      <c r="W65" s="273">
        <f>IF(I65=0,"***",P65/I65)</f>
        <v/>
      </c>
      <c r="X65" s="273">
        <f>W65-V65</f>
        <v/>
      </c>
      <c r="Y65" s="274">
        <f>W65-U65</f>
        <v/>
      </c>
    </row>
    <row r="66">
      <c r="A66" s="27" t="n"/>
      <c r="B66" s="28" t="n"/>
      <c r="C66" s="83" t="n"/>
      <c r="D66" s="30" t="n"/>
      <c r="E66" s="105" t="inlineStr">
        <is>
          <t>包装資材</t>
        </is>
      </c>
      <c r="F66" s="267">
        <f>F65-F67</f>
        <v/>
      </c>
      <c r="G66" s="268">
        <f>G65-G67</f>
        <v/>
      </c>
      <c r="H66" s="268">
        <f>H65-H67</f>
        <v/>
      </c>
      <c r="I66" s="268">
        <f>I65-I67</f>
        <v/>
      </c>
      <c r="J66" s="269">
        <f>I66-H66</f>
        <v/>
      </c>
      <c r="K66" s="269">
        <f>I66-G66</f>
        <v/>
      </c>
      <c r="L66" s="270">
        <f>IF(G66=0,"***",K66/G66)</f>
        <v/>
      </c>
      <c r="M66" s="267">
        <f>M65-M67</f>
        <v/>
      </c>
      <c r="N66" s="268">
        <f>N65-N67</f>
        <v/>
      </c>
      <c r="O66" s="268">
        <f>O65-O67</f>
        <v/>
      </c>
      <c r="P66" s="268">
        <f>P65-P67</f>
        <v/>
      </c>
      <c r="Q66" s="269">
        <f>P66-O66</f>
        <v/>
      </c>
      <c r="R66" s="269">
        <f>P66-N66</f>
        <v/>
      </c>
      <c r="S66" s="271">
        <f>IF(N66=0,"***",R66/N66)</f>
        <v/>
      </c>
      <c r="T66" s="272">
        <f>IF(F66=0,"***",M66/F66)</f>
        <v/>
      </c>
      <c r="U66" s="273">
        <f>IF(G66=0,"***",N66/G66)</f>
        <v/>
      </c>
      <c r="V66" s="273">
        <f>IF(H66=0,"***",O66/H66)</f>
        <v/>
      </c>
      <c r="W66" s="273">
        <f>IF(I66=0,"***",P66/I66)</f>
        <v/>
      </c>
      <c r="X66" s="273">
        <f>W66-V66</f>
        <v/>
      </c>
      <c r="Y66" s="274">
        <f>W66-U66</f>
        <v/>
      </c>
    </row>
    <row r="67">
      <c r="A67" s="27" t="n"/>
      <c r="B67" s="28" t="n"/>
      <c r="C67" s="83" t="n"/>
      <c r="D67" s="30" t="n"/>
      <c r="E67" s="107" t="inlineStr">
        <is>
          <t>機械</t>
        </is>
      </c>
      <c r="F67" s="289" t="n">
        <v>0</v>
      </c>
      <c r="G67" s="277" t="n">
        <v>0</v>
      </c>
      <c r="H67" s="277" t="n">
        <v>0</v>
      </c>
      <c r="I67" s="277" t="n">
        <v>0</v>
      </c>
      <c r="J67" s="269">
        <f>I67-H67</f>
        <v/>
      </c>
      <c r="K67" s="269">
        <f>I67-G67</f>
        <v/>
      </c>
      <c r="L67" s="270">
        <f>IF(G67=0,"***",K67/G67)</f>
        <v/>
      </c>
      <c r="M67" s="289" t="n">
        <v>0</v>
      </c>
      <c r="N67" s="277" t="n">
        <v>0</v>
      </c>
      <c r="O67" s="277" t="n">
        <v>0</v>
      </c>
      <c r="P67" s="277" t="n">
        <v>0</v>
      </c>
      <c r="Q67" s="269">
        <f>P67-O67</f>
        <v/>
      </c>
      <c r="R67" s="269">
        <f>P67-N67</f>
        <v/>
      </c>
      <c r="S67" s="271">
        <f>IF(N67=0,"***",R67/N67)</f>
        <v/>
      </c>
      <c r="T67" s="272">
        <f>IF(F67=0,"***",M67/F67)</f>
        <v/>
      </c>
      <c r="U67" s="273">
        <f>IF(G67=0,"***",N67/G67)</f>
        <v/>
      </c>
      <c r="V67" s="273">
        <f>IF(H67=0,"***",O67/H67)</f>
        <v/>
      </c>
      <c r="W67" s="273">
        <f>IF(I67=0,"***",P67/I67)</f>
        <v/>
      </c>
      <c r="X67" s="273">
        <f>W67-V67</f>
        <v/>
      </c>
      <c r="Y67" s="274">
        <f>W67-U67</f>
        <v/>
      </c>
    </row>
    <row r="68">
      <c r="A68" s="49" t="n"/>
      <c r="B68" s="50" t="n"/>
      <c r="C68" s="51" t="n"/>
      <c r="D68" s="52" t="inlineStr">
        <is>
          <t>その他</t>
        </is>
      </c>
      <c r="E68" s="106" t="n"/>
      <c r="F68" s="284" t="n">
        <v>30.37</v>
      </c>
      <c r="G68" s="285" t="n">
        <v>1.1</v>
      </c>
      <c r="H68" s="285" t="n">
        <v>0</v>
      </c>
      <c r="I68" s="285" t="n">
        <v>10.79</v>
      </c>
      <c r="J68" s="286">
        <f>I68-H68</f>
        <v/>
      </c>
      <c r="K68" s="286">
        <f>I68-G68</f>
        <v/>
      </c>
      <c r="L68" s="287">
        <f>IF(G68=0,"***",K68/G68)</f>
        <v/>
      </c>
      <c r="M68" s="284" t="n">
        <v>10.076</v>
      </c>
      <c r="N68" s="285" t="n">
        <v>0.375</v>
      </c>
      <c r="O68" s="285" t="n">
        <v>0</v>
      </c>
      <c r="P68" s="285" t="n">
        <v>4.266</v>
      </c>
      <c r="Q68" s="286">
        <f>P68-O68</f>
        <v/>
      </c>
      <c r="R68" s="286">
        <f>P68-N68</f>
        <v/>
      </c>
      <c r="S68" s="288">
        <f>IF(N68=0,"***",R68/N68)</f>
        <v/>
      </c>
      <c r="T68" s="272">
        <f>IF(F68=0,"***",M68/F68)</f>
        <v/>
      </c>
      <c r="U68" s="273">
        <f>IF(G68=0,"***",N68/G68)</f>
        <v/>
      </c>
      <c r="V68" s="273">
        <f>IF(H68=0,"***",O68/H68)</f>
        <v/>
      </c>
      <c r="W68" s="273">
        <f>IF(I68=0,"***",P68/I68)</f>
        <v/>
      </c>
      <c r="X68" s="273">
        <f>W68-V68</f>
        <v/>
      </c>
      <c r="Y68" s="274">
        <f>W68-U68</f>
        <v/>
      </c>
    </row>
    <row r="69">
      <c r="A69" s="27" t="n"/>
      <c r="B69" s="28" t="n"/>
      <c r="C69" s="83" t="n"/>
      <c r="D69" s="30" t="n"/>
      <c r="E69" s="105" t="inlineStr">
        <is>
          <t>包装資材</t>
        </is>
      </c>
      <c r="F69" s="267">
        <f>F68-F70</f>
        <v/>
      </c>
      <c r="G69" s="268">
        <f>G68-G70</f>
        <v/>
      </c>
      <c r="H69" s="268">
        <f>H68-H70</f>
        <v/>
      </c>
      <c r="I69" s="268">
        <f>I68-I70</f>
        <v/>
      </c>
      <c r="J69" s="269">
        <f>I69-H69</f>
        <v/>
      </c>
      <c r="K69" s="269">
        <f>I69-G69</f>
        <v/>
      </c>
      <c r="L69" s="270">
        <f>IF(G69=0,"***",K69/G69)</f>
        <v/>
      </c>
      <c r="M69" s="267">
        <f>M68-M70</f>
        <v/>
      </c>
      <c r="N69" s="268">
        <f>N68-N70</f>
        <v/>
      </c>
      <c r="O69" s="268">
        <f>O68-O70</f>
        <v/>
      </c>
      <c r="P69" s="268">
        <f>P68-P70</f>
        <v/>
      </c>
      <c r="Q69" s="269">
        <f>P69-O69</f>
        <v/>
      </c>
      <c r="R69" s="269">
        <f>P69-N69</f>
        <v/>
      </c>
      <c r="S69" s="271">
        <f>IF(N69=0,"***",R69/N69)</f>
        <v/>
      </c>
      <c r="T69" s="272">
        <f>IF(F69=0,"***",M69/F69)</f>
        <v/>
      </c>
      <c r="U69" s="273">
        <f>IF(G69=0,"***",N69/G69)</f>
        <v/>
      </c>
      <c r="V69" s="273">
        <f>IF(H69=0,"***",O69/H69)</f>
        <v/>
      </c>
      <c r="W69" s="273">
        <f>IF(I69=0,"***",P69/I69)</f>
        <v/>
      </c>
      <c r="X69" s="273">
        <f>W69-V69</f>
        <v/>
      </c>
      <c r="Y69" s="274">
        <f>W69-U69</f>
        <v/>
      </c>
    </row>
    <row r="70">
      <c r="A70" s="27" t="n"/>
      <c r="B70" s="28" t="n"/>
      <c r="C70" s="83" t="n"/>
      <c r="D70" s="30" t="n"/>
      <c r="E70" s="107" t="inlineStr">
        <is>
          <t>機械</t>
        </is>
      </c>
      <c r="F70" s="289" t="n">
        <v>0</v>
      </c>
      <c r="G70" s="277" t="n">
        <v>0</v>
      </c>
      <c r="H70" s="277" t="n">
        <v>0</v>
      </c>
      <c r="I70" s="277" t="n">
        <v>0</v>
      </c>
      <c r="J70" s="269">
        <f>I70-H70</f>
        <v/>
      </c>
      <c r="K70" s="269">
        <f>I70-G70</f>
        <v/>
      </c>
      <c r="L70" s="270">
        <f>IF(G70=0,"***",K70/G70)</f>
        <v/>
      </c>
      <c r="M70" s="289" t="n">
        <v>0</v>
      </c>
      <c r="N70" s="277" t="n">
        <v>0</v>
      </c>
      <c r="O70" s="277" t="n">
        <v>0</v>
      </c>
      <c r="P70" s="277" t="n">
        <v>0</v>
      </c>
      <c r="Q70" s="269">
        <f>P70-O70</f>
        <v/>
      </c>
      <c r="R70" s="269">
        <f>P70-N70</f>
        <v/>
      </c>
      <c r="S70" s="271">
        <f>IF(N70=0,"***",R70/N70)</f>
        <v/>
      </c>
      <c r="T70" s="272">
        <f>IF(F70=0,"***",M70/F70)</f>
        <v/>
      </c>
      <c r="U70" s="273">
        <f>IF(G70=0,"***",N70/G70)</f>
        <v/>
      </c>
      <c r="V70" s="273">
        <f>IF(H70=0,"***",O70/H70)</f>
        <v/>
      </c>
      <c r="W70" s="273">
        <f>IF(I70=0,"***",P70/I70)</f>
        <v/>
      </c>
      <c r="X70" s="273">
        <f>W70-V70</f>
        <v/>
      </c>
      <c r="Y70" s="274">
        <f>W70-U70</f>
        <v/>
      </c>
    </row>
    <row r="71">
      <c r="A71" s="49" t="n"/>
      <c r="B71" s="50" t="n"/>
      <c r="C71" s="87" t="inlineStr">
        <is>
          <t>松江営業所</t>
        </is>
      </c>
      <c r="D71" s="62" t="n"/>
      <c r="E71" s="62" t="n"/>
      <c r="F71" s="302">
        <f>+F68+F65+F59+F56+F62</f>
        <v/>
      </c>
      <c r="G71" s="303">
        <f>+G68+G65+G59+G56+G62</f>
        <v/>
      </c>
      <c r="H71" s="303">
        <f>+H68+H65+H59+H56+H62</f>
        <v/>
      </c>
      <c r="I71" s="303">
        <f>+I68+I65+I59+I56+I62</f>
        <v/>
      </c>
      <c r="J71" s="293">
        <f>I71-H71</f>
        <v/>
      </c>
      <c r="K71" s="293">
        <f>I71-G71</f>
        <v/>
      </c>
      <c r="L71" s="294">
        <f>IF(G71=0,"***",K71/G71)</f>
        <v/>
      </c>
      <c r="M71" s="303">
        <f>+M68+M65+M59+M56+M62</f>
        <v/>
      </c>
      <c r="N71" s="303">
        <f>+N68+N65+N59+N56+N62</f>
        <v/>
      </c>
      <c r="O71" s="303">
        <f>+O68+O65+O59+O56+O62</f>
        <v/>
      </c>
      <c r="P71" s="303">
        <f>+P68+P65+P59+P56+P62</f>
        <v/>
      </c>
      <c r="Q71" s="293">
        <f>P71-O71</f>
        <v/>
      </c>
      <c r="R71" s="293">
        <f>P71-N71</f>
        <v/>
      </c>
      <c r="S71" s="296">
        <f>IF(N71=0,"***",R71/N71)</f>
        <v/>
      </c>
      <c r="T71" s="297">
        <f>IF(F71=0,"***",M71/F71)</f>
        <v/>
      </c>
      <c r="U71" s="298">
        <f>IF(G71=0,"***",N71/G71)</f>
        <v/>
      </c>
      <c r="V71" s="298">
        <f>IF(H71=0,"***",O71/H71)</f>
        <v/>
      </c>
      <c r="W71" s="298">
        <f>IF(I71=0,"***",P71/I71)</f>
        <v/>
      </c>
      <c r="X71" s="299">
        <f>W71-V71</f>
        <v/>
      </c>
      <c r="Y71" s="300">
        <f>W71-U71</f>
        <v/>
      </c>
    </row>
    <row r="72">
      <c r="A72" s="49" t="n"/>
      <c r="B72" s="50" t="n"/>
      <c r="C72" s="73" t="n"/>
      <c r="D72" s="74" t="inlineStr">
        <is>
          <t>営業</t>
        </is>
      </c>
      <c r="E72" s="62" t="n"/>
      <c r="F72" s="302">
        <f>F71-F75</f>
        <v/>
      </c>
      <c r="G72" s="303">
        <f>G71-G75</f>
        <v/>
      </c>
      <c r="H72" s="303">
        <f>H71-H75</f>
        <v/>
      </c>
      <c r="I72" s="303">
        <f>I71-I75</f>
        <v/>
      </c>
      <c r="J72" s="293">
        <f>I72-H72</f>
        <v/>
      </c>
      <c r="K72" s="293">
        <f>I72-G72</f>
        <v/>
      </c>
      <c r="L72" s="294">
        <f>IF(G72=0,"***",K72/G72)</f>
        <v/>
      </c>
      <c r="M72" s="303">
        <f>M71-M75</f>
        <v/>
      </c>
      <c r="N72" s="303">
        <f>N71-N75</f>
        <v/>
      </c>
      <c r="O72" s="303">
        <f>O71-O75</f>
        <v/>
      </c>
      <c r="P72" s="303">
        <f>P71-P75</f>
        <v/>
      </c>
      <c r="Q72" s="293">
        <f>P72-O72</f>
        <v/>
      </c>
      <c r="R72" s="293">
        <f>P72-N72</f>
        <v/>
      </c>
      <c r="S72" s="296">
        <f>IF(N72=0,"***",R72/N72)</f>
        <v/>
      </c>
      <c r="T72" s="297">
        <f>IF(F72=0,"***",M72/F72)</f>
        <v/>
      </c>
      <c r="U72" s="301">
        <f>IF(G72=0,"***",N72/G72)</f>
        <v/>
      </c>
      <c r="V72" s="301">
        <f>IF(H72=0,"***",O72/H72)</f>
        <v/>
      </c>
      <c r="W72" s="301">
        <f>IF(I72=0,"***",P72/I72)</f>
        <v/>
      </c>
      <c r="X72" s="299">
        <f>W72-V72</f>
        <v/>
      </c>
      <c r="Y72" s="300">
        <f>W72-U72</f>
        <v/>
      </c>
    </row>
    <row r="73">
      <c r="A73" s="49" t="n"/>
      <c r="B73" s="50" t="n"/>
      <c r="C73" s="73" t="n"/>
      <c r="D73" s="76" t="n"/>
      <c r="E73" s="80" t="inlineStr">
        <is>
          <t>包装資材</t>
        </is>
      </c>
      <c r="F73" s="291">
        <f>F72-F74</f>
        <v/>
      </c>
      <c r="G73" s="292">
        <f>G72-G74</f>
        <v/>
      </c>
      <c r="H73" s="292">
        <f>H72-H74</f>
        <v/>
      </c>
      <c r="I73" s="292">
        <f>I72-I74</f>
        <v/>
      </c>
      <c r="J73" s="293">
        <f>I73-H73</f>
        <v/>
      </c>
      <c r="K73" s="293">
        <f>I73-G73</f>
        <v/>
      </c>
      <c r="L73" s="294">
        <f>IF(G73=0,"***",K73/G73)</f>
        <v/>
      </c>
      <c r="M73" s="303">
        <f>M72-M74</f>
        <v/>
      </c>
      <c r="N73" s="292">
        <f>N72-N74</f>
        <v/>
      </c>
      <c r="O73" s="292">
        <f>O72-O74</f>
        <v/>
      </c>
      <c r="P73" s="292">
        <f>P72-P74</f>
        <v/>
      </c>
      <c r="Q73" s="293">
        <f>P73-O73</f>
        <v/>
      </c>
      <c r="R73" s="293">
        <f>P73-N73</f>
        <v/>
      </c>
      <c r="S73" s="296">
        <f>IF(N73=0,"***",R73/N73)</f>
        <v/>
      </c>
      <c r="T73" s="297">
        <f>IF(F73=0,"***",M73/F73)</f>
        <v/>
      </c>
      <c r="U73" s="301">
        <f>IF(G73=0,"***",N73/G73)</f>
        <v/>
      </c>
      <c r="V73" s="301">
        <f>IF(H73=0,"***",O73/H73)</f>
        <v/>
      </c>
      <c r="W73" s="301">
        <f>IF(I73=0,"***",P73/I73)</f>
        <v/>
      </c>
      <c r="X73" s="299">
        <f>W73-V73</f>
        <v/>
      </c>
      <c r="Y73" s="300">
        <f>W73-U73</f>
        <v/>
      </c>
    </row>
    <row r="74">
      <c r="A74" s="49" t="n"/>
      <c r="B74" s="50" t="n"/>
      <c r="C74" s="73" t="n"/>
      <c r="D74" s="78" t="n"/>
      <c r="E74" s="80" t="inlineStr">
        <is>
          <t>機械</t>
        </is>
      </c>
      <c r="F74" s="302">
        <f>F70+F61+F58+F64</f>
        <v/>
      </c>
      <c r="G74" s="303">
        <f>G70+G61+G58+G64</f>
        <v/>
      </c>
      <c r="H74" s="303">
        <f>H70+H61+H58+H64</f>
        <v/>
      </c>
      <c r="I74" s="303">
        <f>I70+I61+I58+I64</f>
        <v/>
      </c>
      <c r="J74" s="293">
        <f>I74-H74</f>
        <v/>
      </c>
      <c r="K74" s="293">
        <f>I74-G74</f>
        <v/>
      </c>
      <c r="L74" s="294">
        <f>IF(G74=0,"***",K74/G74)</f>
        <v/>
      </c>
      <c r="M74" s="303">
        <f>M70+M61+M58+M64</f>
        <v/>
      </c>
      <c r="N74" s="303">
        <f>N70+N61+N58+N64</f>
        <v/>
      </c>
      <c r="O74" s="303">
        <f>O70+O61+O58+O64</f>
        <v/>
      </c>
      <c r="P74" s="303">
        <f>P70+P61+P58+P64</f>
        <v/>
      </c>
      <c r="Q74" s="293">
        <f>P74-O74</f>
        <v/>
      </c>
      <c r="R74" s="293">
        <f>P74-N74</f>
        <v/>
      </c>
      <c r="S74" s="296">
        <f>IF(N74=0,"***",R74/N74)</f>
        <v/>
      </c>
      <c r="T74" s="297">
        <f>IF(F74=0,"***",M74/F74)</f>
        <v/>
      </c>
      <c r="U74" s="301">
        <f>IF(G74=0,"***",N74/G74)</f>
        <v/>
      </c>
      <c r="V74" s="301">
        <f>IF(H74=0,"***",O74/H74)</f>
        <v/>
      </c>
      <c r="W74" s="301">
        <f>IF(I74=0,"***",P74/I74)</f>
        <v/>
      </c>
      <c r="X74" s="299">
        <f>W74-V74</f>
        <v/>
      </c>
      <c r="Y74" s="300">
        <f>W74-U74</f>
        <v/>
      </c>
    </row>
    <row r="75">
      <c r="A75" s="49" t="n"/>
      <c r="B75" s="50" t="n"/>
      <c r="C75" s="90" t="n"/>
      <c r="D75" s="91" t="inlineStr">
        <is>
          <t>自治体</t>
        </is>
      </c>
      <c r="E75" s="109" t="n"/>
      <c r="F75" s="304" t="n">
        <v>0</v>
      </c>
      <c r="G75" s="318" t="n">
        <v>6139.904</v>
      </c>
      <c r="H75" s="318" t="n">
        <v>0</v>
      </c>
      <c r="I75" s="318" t="n">
        <v>0</v>
      </c>
      <c r="J75" s="306">
        <f>I75-H75</f>
        <v/>
      </c>
      <c r="K75" s="306">
        <f>I75-G75</f>
        <v/>
      </c>
      <c r="L75" s="307">
        <f>IF(G75=0,"***",K75/G75)</f>
        <v/>
      </c>
      <c r="M75" s="318" t="n">
        <v>0</v>
      </c>
      <c r="N75" s="318" t="n">
        <v>115.904</v>
      </c>
      <c r="O75" s="318" t="n">
        <v>0</v>
      </c>
      <c r="P75" s="318" t="n">
        <v>0</v>
      </c>
      <c r="Q75" s="306">
        <f>P75-O75</f>
        <v/>
      </c>
      <c r="R75" s="306">
        <f>P75-N75</f>
        <v/>
      </c>
      <c r="S75" s="310">
        <f>IF(N75=0,"***",R75/N75)</f>
        <v/>
      </c>
      <c r="T75" s="311">
        <f>IF(F75=0,"***",M75/F75)</f>
        <v/>
      </c>
      <c r="U75" s="312">
        <f>IF(G75=0,"***",N75/G75)</f>
        <v/>
      </c>
      <c r="V75" s="312">
        <f>IF(H75=0,"***",O75/H75)</f>
        <v/>
      </c>
      <c r="W75" s="312">
        <f>IF(I75=0,"***",P75/I75)</f>
        <v/>
      </c>
      <c r="X75" s="313">
        <f>W75-V75</f>
        <v/>
      </c>
      <c r="Y75" s="314">
        <f>W75-U75</f>
        <v/>
      </c>
    </row>
    <row r="76">
      <c r="A76" s="49" t="n"/>
      <c r="B76" s="50" t="n"/>
      <c r="C76" s="82" t="n"/>
      <c r="D76" s="18" t="inlineStr">
        <is>
          <t>馬場部長（鳥栖）</t>
        </is>
      </c>
      <c r="E76" s="103" t="n"/>
      <c r="F76" s="259" t="n">
        <v>29803.714</v>
      </c>
      <c r="G76" s="260" t="n">
        <v>30768.325</v>
      </c>
      <c r="H76" s="260" t="n">
        <v>34300</v>
      </c>
      <c r="I76" s="260" t="n">
        <v>23660.445</v>
      </c>
      <c r="J76" s="261" t="n">
        <v>66</v>
      </c>
      <c r="K76" s="261">
        <f>I76-G76</f>
        <v/>
      </c>
      <c r="L76" s="262">
        <f>IF(G76=0,"***",K76/G76)</f>
        <v/>
      </c>
      <c r="M76" s="259" t="n">
        <v>3770.767</v>
      </c>
      <c r="N76" s="260" t="n">
        <v>4390.406</v>
      </c>
      <c r="O76" s="260" t="n">
        <v>4950</v>
      </c>
      <c r="P76" s="260" t="n">
        <v>4850.286</v>
      </c>
      <c r="Q76" s="261">
        <f>P76-O76</f>
        <v/>
      </c>
      <c r="R76" s="261">
        <f>P76-N76</f>
        <v/>
      </c>
      <c r="S76" s="263">
        <f>IF(N76=0,"***",R76/N76)</f>
        <v/>
      </c>
      <c r="T76" s="264">
        <f>IF(F76=0,"***",M76/F76)</f>
        <v/>
      </c>
      <c r="U76" s="265">
        <f>IF(G76=0,"***",N76/G76)</f>
        <v/>
      </c>
      <c r="V76" s="265">
        <f>IF(H76=0,"***",O76/H76)</f>
        <v/>
      </c>
      <c r="W76" s="265">
        <f>IF(I76=0,"***",P76/I76)</f>
        <v/>
      </c>
      <c r="X76" s="265">
        <f>W76-V76</f>
        <v/>
      </c>
      <c r="Y76" s="266">
        <f>W76-U76</f>
        <v/>
      </c>
    </row>
    <row r="77">
      <c r="A77" s="27" t="n"/>
      <c r="B77" s="28" t="n"/>
      <c r="C77" s="83" t="n"/>
      <c r="D77" s="30" t="n"/>
      <c r="E77" s="105" t="inlineStr">
        <is>
          <t>包装資材</t>
        </is>
      </c>
      <c r="F77" s="267">
        <f>F76-F78</f>
        <v/>
      </c>
      <c r="G77" s="268">
        <f>G76-G78</f>
        <v/>
      </c>
      <c r="H77" s="268">
        <f>H76-H78</f>
        <v/>
      </c>
      <c r="I77" s="268">
        <f>I76-I78</f>
        <v/>
      </c>
      <c r="J77" s="269">
        <f>I77-H77</f>
        <v/>
      </c>
      <c r="K77" s="269">
        <f>I77-G77</f>
        <v/>
      </c>
      <c r="L77" s="270">
        <f>IF(G77=0,"***",K77/G77)</f>
        <v/>
      </c>
      <c r="M77" s="267">
        <f>M76-M78</f>
        <v/>
      </c>
      <c r="N77" s="268">
        <f>N76-N78</f>
        <v/>
      </c>
      <c r="O77" s="268">
        <f>O76-O78</f>
        <v/>
      </c>
      <c r="P77" s="268">
        <f>P76-P78</f>
        <v/>
      </c>
      <c r="Q77" s="269">
        <f>P77-O77</f>
        <v/>
      </c>
      <c r="R77" s="269">
        <f>P77-N77</f>
        <v/>
      </c>
      <c r="S77" s="271">
        <f>IF(N77=0,"***",R77/N77)</f>
        <v/>
      </c>
      <c r="T77" s="272">
        <f>IF(F77=0,"***",M77/F77)</f>
        <v/>
      </c>
      <c r="U77" s="273">
        <f>IF(G77=0,"***",N77/G77)</f>
        <v/>
      </c>
      <c r="V77" s="273">
        <f>IF(H77=0,"***",O77/H77)</f>
        <v/>
      </c>
      <c r="W77" s="273">
        <f>IF(I77=0,"***",P77/I77)</f>
        <v/>
      </c>
      <c r="X77" s="273">
        <f>W77-V77</f>
        <v/>
      </c>
      <c r="Y77" s="274">
        <f>W77-U77</f>
        <v/>
      </c>
    </row>
    <row r="78">
      <c r="A78" s="27" t="n"/>
      <c r="B78" s="28" t="n"/>
      <c r="C78" s="83" t="n"/>
      <c r="D78" s="30" t="n"/>
      <c r="E78" s="52" t="inlineStr">
        <is>
          <t>機械</t>
        </is>
      </c>
      <c r="F78" s="275" t="n">
        <v>83</v>
      </c>
      <c r="G78" s="276" t="n">
        <v>23</v>
      </c>
      <c r="H78" s="276" t="n">
        <v>500</v>
      </c>
      <c r="I78" s="276" t="n">
        <v>286.455</v>
      </c>
      <c r="J78" s="278">
        <f>I78-H78</f>
        <v/>
      </c>
      <c r="K78" s="278">
        <f>I78-G78</f>
        <v/>
      </c>
      <c r="L78" s="279">
        <f>IF(G78=0,"***",K78/G78)</f>
        <v/>
      </c>
      <c r="M78" s="275" t="n">
        <v>1</v>
      </c>
      <c r="N78" s="276" t="n">
        <v>1</v>
      </c>
      <c r="O78" s="276" t="n">
        <v>50</v>
      </c>
      <c r="P78" s="276" t="n">
        <v>25.625</v>
      </c>
      <c r="Q78" s="278">
        <f>P78-O78</f>
        <v/>
      </c>
      <c r="R78" s="278">
        <f>P78-N78</f>
        <v/>
      </c>
      <c r="S78" s="280">
        <f>IF(N78=0,"***",R78/N78)</f>
        <v/>
      </c>
      <c r="T78" s="281">
        <f>IF(F78=0,"***",M78/F78)</f>
        <v/>
      </c>
      <c r="U78" s="282">
        <f>IF(G78=0,"***",N78/G78)</f>
        <v/>
      </c>
      <c r="V78" s="282">
        <f>IF(H78=0,"***",O78/H78)</f>
        <v/>
      </c>
      <c r="W78" s="282">
        <f>IF(I78=0,"***",P78/I78)</f>
        <v/>
      </c>
      <c r="X78" s="282">
        <f>W78-V78</f>
        <v/>
      </c>
      <c r="Y78" s="283">
        <f>W78-U78</f>
        <v/>
      </c>
    </row>
    <row r="79">
      <c r="A79" s="27" t="n"/>
      <c r="B79" s="28" t="n"/>
      <c r="C79" s="83" t="n"/>
      <c r="D79" s="111" t="inlineStr">
        <is>
          <t>ペーパーハグ</t>
        </is>
      </c>
      <c r="E79" s="112" t="n"/>
      <c r="F79" s="275" t="n">
        <v>0</v>
      </c>
      <c r="G79" s="276" t="n">
        <v>5.8</v>
      </c>
      <c r="H79" s="276" t="n">
        <v>0</v>
      </c>
      <c r="I79" s="276" t="n">
        <v>0</v>
      </c>
      <c r="J79" s="278">
        <f>I79-H79</f>
        <v/>
      </c>
      <c r="K79" s="278">
        <f>I79-G79</f>
        <v/>
      </c>
      <c r="L79" s="279">
        <f>IF(G79=0,"***",K79/G79)</f>
        <v/>
      </c>
      <c r="M79" s="275" t="n">
        <v>0</v>
      </c>
      <c r="N79" s="276" t="n">
        <v>0.79</v>
      </c>
      <c r="O79" s="276" t="n">
        <v>0</v>
      </c>
      <c r="P79" s="276" t="n">
        <v>0</v>
      </c>
      <c r="Q79" s="278">
        <f>P79-O79</f>
        <v/>
      </c>
      <c r="R79" s="278">
        <f>P79-N79</f>
        <v/>
      </c>
      <c r="S79" s="280">
        <f>IF(N79=0,"***",R79/N79)</f>
        <v/>
      </c>
      <c r="T79" s="281">
        <f>IF(F79=0,"***",M79/F79)</f>
        <v/>
      </c>
      <c r="U79" s="282">
        <f>IF(G79=0,"***",N79/G79)</f>
        <v/>
      </c>
      <c r="V79" s="282">
        <f>IF(H79=0,"***",O79/H79)</f>
        <v/>
      </c>
      <c r="W79" s="282">
        <f>IF(I79=0,"***",P79/I79)</f>
        <v/>
      </c>
      <c r="X79" s="282">
        <f>W79-V79</f>
        <v/>
      </c>
      <c r="Y79" s="283">
        <f>W79-U79</f>
        <v/>
      </c>
    </row>
    <row r="80">
      <c r="A80" s="27" t="n"/>
      <c r="B80" s="28" t="n"/>
      <c r="C80" s="83" t="n"/>
      <c r="D80" s="111" t="n"/>
      <c r="E80" s="105" t="inlineStr">
        <is>
          <t>包装資材</t>
        </is>
      </c>
      <c r="F80" s="275" t="n"/>
      <c r="G80" s="276" t="n"/>
      <c r="H80" s="276" t="n"/>
      <c r="I80" s="276" t="n"/>
      <c r="J80" s="278" t="n"/>
      <c r="K80" s="278" t="n"/>
      <c r="L80" s="279" t="n"/>
      <c r="M80" s="275" t="n"/>
      <c r="N80" s="276" t="n"/>
      <c r="O80" s="276" t="n"/>
      <c r="P80" s="276" t="n"/>
      <c r="Q80" s="278" t="n"/>
      <c r="R80" s="278" t="n"/>
      <c r="S80" s="280" t="n"/>
      <c r="T80" s="281" t="n"/>
      <c r="U80" s="282" t="n"/>
      <c r="V80" s="282" t="n"/>
      <c r="W80" s="282" t="n"/>
      <c r="X80" s="282" t="n"/>
      <c r="Y80" s="283" t="n"/>
    </row>
    <row r="81">
      <c r="A81" s="27" t="n"/>
      <c r="B81" s="28" t="n"/>
      <c r="C81" s="83" t="n"/>
      <c r="D81" s="111" t="n"/>
      <c r="E81" s="52" t="inlineStr">
        <is>
          <t>機械</t>
        </is>
      </c>
      <c r="F81" s="275" t="n">
        <v>0</v>
      </c>
      <c r="G81" s="276" t="n">
        <v>0</v>
      </c>
      <c r="H81" s="276" t="n">
        <v>0</v>
      </c>
      <c r="I81" s="276" t="n">
        <v>0</v>
      </c>
      <c r="J81" s="278" t="n"/>
      <c r="K81" s="278" t="n"/>
      <c r="L81" s="279" t="n"/>
      <c r="M81" s="275" t="n">
        <v>0</v>
      </c>
      <c r="N81" s="276" t="n">
        <v>0</v>
      </c>
      <c r="O81" s="276" t="n">
        <v>0</v>
      </c>
      <c r="P81" s="276" t="n">
        <v>0</v>
      </c>
      <c r="Q81" s="278" t="n"/>
      <c r="R81" s="278" t="n"/>
      <c r="S81" s="280" t="n"/>
      <c r="T81" s="281" t="n"/>
      <c r="U81" s="282" t="n"/>
      <c r="V81" s="282" t="n"/>
      <c r="W81" s="282" t="n"/>
      <c r="X81" s="282" t="n"/>
      <c r="Y81" s="283" t="n"/>
    </row>
    <row r="82">
      <c r="A82" s="49" t="n"/>
      <c r="B82" s="50" t="n"/>
      <c r="C82" s="51" t="n"/>
      <c r="D82" s="52" t="inlineStr">
        <is>
          <t>角田</t>
        </is>
      </c>
      <c r="E82" s="106" t="n"/>
      <c r="F82" s="284" t="n">
        <v>5858.116</v>
      </c>
      <c r="G82" s="285" t="n">
        <v>5607.593</v>
      </c>
      <c r="H82" s="285" t="n">
        <v>6550</v>
      </c>
      <c r="I82" s="285" t="n">
        <v>6788.099</v>
      </c>
      <c r="J82" s="286">
        <f>I82-H82</f>
        <v/>
      </c>
      <c r="K82" s="286">
        <f>I82-G82</f>
        <v/>
      </c>
      <c r="L82" s="287">
        <f>IF(G82=0,"***",K82/G82)</f>
        <v/>
      </c>
      <c r="M82" s="284" t="n">
        <v>1098.501</v>
      </c>
      <c r="N82" s="285" t="n">
        <v>1156.275</v>
      </c>
      <c r="O82" s="285" t="n">
        <v>1330</v>
      </c>
      <c r="P82" s="285" t="n">
        <v>1199.07</v>
      </c>
      <c r="Q82" s="286">
        <f>P82-O82</f>
        <v/>
      </c>
      <c r="R82" s="286">
        <f>P82-N82</f>
        <v/>
      </c>
      <c r="S82" s="288">
        <f>IF(N82=0,"***",R82/N82)</f>
        <v/>
      </c>
      <c r="T82" s="272">
        <f>IF(F82=0,"***",M82/F82)</f>
        <v/>
      </c>
      <c r="U82" s="273">
        <f>IF(G82=0,"***",N82/G82)</f>
        <v/>
      </c>
      <c r="V82" s="273">
        <f>IF(H82=0,"***",O82/H82)</f>
        <v/>
      </c>
      <c r="W82" s="273">
        <f>IF(I82=0,"***",P82/I82)</f>
        <v/>
      </c>
      <c r="X82" s="273">
        <f>W82-V82</f>
        <v/>
      </c>
      <c r="Y82" s="274">
        <f>W82-U82</f>
        <v/>
      </c>
    </row>
    <row r="83">
      <c r="A83" s="27" t="n"/>
      <c r="B83" s="28" t="n"/>
      <c r="C83" s="83" t="n"/>
      <c r="D83" s="30" t="n"/>
      <c r="E83" s="105" t="inlineStr">
        <is>
          <t>包装資材</t>
        </is>
      </c>
      <c r="F83" s="267">
        <f>F82-F84</f>
        <v/>
      </c>
      <c r="G83" s="268">
        <f>G82-G84</f>
        <v/>
      </c>
      <c r="H83" s="268">
        <f>H82-H84</f>
        <v/>
      </c>
      <c r="I83" s="268">
        <f>I82-I84</f>
        <v/>
      </c>
      <c r="J83" s="269">
        <f>I83-H83</f>
        <v/>
      </c>
      <c r="K83" s="269">
        <f>I83-G83</f>
        <v/>
      </c>
      <c r="L83" s="270">
        <f>IF(G83=0,"***",K83/G83)</f>
        <v/>
      </c>
      <c r="M83" s="267">
        <f>M82-M84</f>
        <v/>
      </c>
      <c r="N83" s="268">
        <f>N82-N84</f>
        <v/>
      </c>
      <c r="O83" s="268">
        <f>O82-O84</f>
        <v/>
      </c>
      <c r="P83" s="268">
        <f>P82-P84</f>
        <v/>
      </c>
      <c r="Q83" s="269">
        <f>P83-O83</f>
        <v/>
      </c>
      <c r="R83" s="269">
        <f>P83-N83</f>
        <v/>
      </c>
      <c r="S83" s="271">
        <f>IF(N83=0,"***",R83/N83)</f>
        <v/>
      </c>
      <c r="T83" s="272">
        <f>IF(F83=0,"***",M83/F83)</f>
        <v/>
      </c>
      <c r="U83" s="273">
        <f>IF(G83=0,"***",N83/G83)</f>
        <v/>
      </c>
      <c r="V83" s="273">
        <f>IF(H83=0,"***",O83/H83)</f>
        <v/>
      </c>
      <c r="W83" s="273">
        <f>IF(I83=0,"***",P83/I83)</f>
        <v/>
      </c>
      <c r="X83" s="273">
        <f>W83-V83</f>
        <v/>
      </c>
      <c r="Y83" s="274">
        <f>W83-U83</f>
        <v/>
      </c>
    </row>
    <row r="84">
      <c r="A84" s="27" t="n"/>
      <c r="B84" s="28" t="n"/>
      <c r="C84" s="83" t="n"/>
      <c r="D84" s="30" t="n"/>
      <c r="E84" s="107" t="inlineStr">
        <is>
          <t>機械</t>
        </is>
      </c>
      <c r="F84" s="289" t="n">
        <v>70</v>
      </c>
      <c r="G84" s="277" t="n">
        <v>18</v>
      </c>
      <c r="H84" s="277" t="n">
        <v>250</v>
      </c>
      <c r="I84" s="277" t="n">
        <v>0</v>
      </c>
      <c r="J84" s="269">
        <f>I84-H84</f>
        <v/>
      </c>
      <c r="K84" s="269">
        <f>I84-G84</f>
        <v/>
      </c>
      <c r="L84" s="270">
        <f>IF(G84=0,"***",K84/G84)</f>
        <v/>
      </c>
      <c r="M84" s="289" t="n">
        <v>7</v>
      </c>
      <c r="N84" s="277" t="n">
        <v>1</v>
      </c>
      <c r="O84" s="277" t="n">
        <v>30</v>
      </c>
      <c r="P84" s="277" t="n">
        <v>0</v>
      </c>
      <c r="Q84" s="269">
        <f>P84-O84</f>
        <v/>
      </c>
      <c r="R84" s="269">
        <f>P84-N84</f>
        <v/>
      </c>
      <c r="S84" s="271">
        <f>IF(N84=0,"***",R84/N84)</f>
        <v/>
      </c>
      <c r="T84" s="272">
        <f>IF(F84=0,"***",M84/F84)</f>
        <v/>
      </c>
      <c r="U84" s="273">
        <f>IF(G84=0,"***",N84/G84)</f>
        <v/>
      </c>
      <c r="V84" s="273">
        <f>IF(H84=0,"***",O84/H84)</f>
        <v/>
      </c>
      <c r="W84" s="273">
        <f>IF(I84=0,"***",P84/I84)</f>
        <v/>
      </c>
      <c r="X84" s="273">
        <f>W84-V84</f>
        <v/>
      </c>
      <c r="Y84" s="274">
        <f>W84-U84</f>
        <v/>
      </c>
    </row>
    <row r="85">
      <c r="A85" s="27" t="n"/>
      <c r="B85" s="28" t="n"/>
      <c r="C85" s="83" t="n"/>
      <c r="D85" s="111" t="inlineStr">
        <is>
          <t>馬場部長（静岡）</t>
        </is>
      </c>
      <c r="E85" s="113" t="n"/>
      <c r="F85" s="289" t="n">
        <v>0</v>
      </c>
      <c r="G85" s="277" t="n">
        <v>0</v>
      </c>
      <c r="H85" s="277" t="n">
        <v>0</v>
      </c>
      <c r="I85" s="277" t="n">
        <v>13852.311</v>
      </c>
      <c r="J85" s="269">
        <f>I85-H85</f>
        <v/>
      </c>
      <c r="K85" s="269">
        <f>I85-G85</f>
        <v/>
      </c>
      <c r="L85" s="270">
        <f>IF(G85=0,"***",K85/G85)</f>
        <v/>
      </c>
      <c r="M85" s="289" t="n">
        <v>0</v>
      </c>
      <c r="N85" s="277" t="n">
        <v>0</v>
      </c>
      <c r="O85" s="277" t="n">
        <v>0</v>
      </c>
      <c r="P85" s="277" t="n">
        <v>2388.065</v>
      </c>
      <c r="Q85" s="269">
        <f>P85-O85</f>
        <v/>
      </c>
      <c r="R85" s="269">
        <f>P85-N85</f>
        <v/>
      </c>
      <c r="S85" s="271">
        <f>IF(N85=0,"***",R85/N85)</f>
        <v/>
      </c>
      <c r="T85" s="272">
        <f>IF(F85=0,"***",M85/F85)</f>
        <v/>
      </c>
      <c r="U85" s="273">
        <f>IF(G85=0,"***",N85/G85)</f>
        <v/>
      </c>
      <c r="V85" s="273">
        <f>IF(H85=0,"***",O85/H85)</f>
        <v/>
      </c>
      <c r="W85" s="273">
        <f>IF(I85=0,"***",P85/I85)</f>
        <v/>
      </c>
      <c r="X85" s="273">
        <f>W85-V85</f>
        <v/>
      </c>
      <c r="Y85" s="274">
        <f>W85-U85</f>
        <v/>
      </c>
    </row>
    <row r="86">
      <c r="A86" s="27" t="n"/>
      <c r="B86" s="28" t="n"/>
      <c r="C86" s="83" t="n"/>
      <c r="D86" s="111" t="n"/>
      <c r="E86" s="105" t="inlineStr">
        <is>
          <t>包装資材</t>
        </is>
      </c>
      <c r="F86" s="289" t="n"/>
      <c r="G86" s="277" t="n"/>
      <c r="H86" s="277" t="n"/>
      <c r="I86" s="277" t="n"/>
      <c r="J86" s="269" t="n"/>
      <c r="K86" s="269" t="n"/>
      <c r="L86" s="270" t="n"/>
      <c r="M86" s="289" t="n"/>
      <c r="N86" s="277" t="n"/>
      <c r="O86" s="277" t="n"/>
      <c r="P86" s="277" t="n"/>
      <c r="Q86" s="269" t="n"/>
      <c r="R86" s="269" t="n"/>
      <c r="S86" s="271" t="n"/>
      <c r="T86" s="272" t="n"/>
      <c r="U86" s="273" t="n"/>
      <c r="V86" s="273" t="n"/>
      <c r="W86" s="273" t="n"/>
      <c r="X86" s="273" t="n"/>
      <c r="Y86" s="274" t="n"/>
    </row>
    <row r="87">
      <c r="A87" s="27" t="n"/>
      <c r="B87" s="28" t="n"/>
      <c r="C87" s="83" t="n"/>
      <c r="D87" s="111" t="n"/>
      <c r="E87" s="107" t="inlineStr">
        <is>
          <t>機械</t>
        </is>
      </c>
      <c r="F87" s="289" t="n">
        <v>0</v>
      </c>
      <c r="G87" s="277" t="n">
        <v>0</v>
      </c>
      <c r="H87" s="277" t="n">
        <v>0</v>
      </c>
      <c r="I87" s="277" t="n">
        <v>0</v>
      </c>
      <c r="J87" s="269" t="n"/>
      <c r="K87" s="269" t="n"/>
      <c r="L87" s="270" t="n"/>
      <c r="M87" s="289" t="n">
        <v>0</v>
      </c>
      <c r="N87" s="277" t="n">
        <v>0</v>
      </c>
      <c r="O87" s="277" t="n">
        <v>0</v>
      </c>
      <c r="P87" s="277" t="n">
        <v>0</v>
      </c>
      <c r="Q87" s="269" t="n"/>
      <c r="R87" s="269" t="n"/>
      <c r="S87" s="271" t="n"/>
      <c r="T87" s="272" t="n"/>
      <c r="U87" s="273" t="n"/>
      <c r="V87" s="273" t="n"/>
      <c r="W87" s="273" t="n"/>
      <c r="X87" s="273" t="n"/>
      <c r="Y87" s="274" t="n"/>
    </row>
    <row r="88">
      <c r="A88" s="49" t="n"/>
      <c r="B88" s="50" t="n"/>
      <c r="C88" s="51" t="n"/>
      <c r="D88" s="52" t="inlineStr">
        <is>
          <t>馬場所長（東京）</t>
        </is>
      </c>
      <c r="E88" s="106" t="n"/>
      <c r="F88" s="284" t="n">
        <v>195.075</v>
      </c>
      <c r="G88" s="285" t="n">
        <v>395.325</v>
      </c>
      <c r="H88" s="285" t="n">
        <v>0</v>
      </c>
      <c r="I88" s="285" t="n">
        <v>0</v>
      </c>
      <c r="J88" s="286">
        <f>I88-H88</f>
        <v/>
      </c>
      <c r="K88" s="286">
        <f>I88-G88</f>
        <v/>
      </c>
      <c r="L88" s="287">
        <f>IF(G88=0,"***",K88/G88)</f>
        <v/>
      </c>
      <c r="M88" s="284" t="n">
        <v>53.971</v>
      </c>
      <c r="N88" s="285" t="n">
        <v>121.105</v>
      </c>
      <c r="O88" s="285" t="n">
        <v>0</v>
      </c>
      <c r="P88" s="285" t="n">
        <v>0</v>
      </c>
      <c r="Q88" s="286">
        <f>P88-O88</f>
        <v/>
      </c>
      <c r="R88" s="286">
        <f>P88-N88</f>
        <v/>
      </c>
      <c r="S88" s="288">
        <f>IF(N88=0,"***",R88/N88)</f>
        <v/>
      </c>
      <c r="T88" s="272">
        <f>IF(F88=0,"***",M88/F88)</f>
        <v/>
      </c>
      <c r="U88" s="273">
        <f>IF(G88=0,"***",N88/G88)</f>
        <v/>
      </c>
      <c r="V88" s="273">
        <f>IF(H88=0,"***",O88/H88)</f>
        <v/>
      </c>
      <c r="W88" s="273">
        <f>IF(I88=0,"***",P88/I88)</f>
        <v/>
      </c>
      <c r="X88" s="273">
        <f>W88-V88</f>
        <v/>
      </c>
      <c r="Y88" s="274">
        <f>W88-U88</f>
        <v/>
      </c>
    </row>
    <row r="89">
      <c r="A89" s="27" t="n"/>
      <c r="B89" s="28" t="n"/>
      <c r="C89" s="83" t="n"/>
      <c r="D89" s="30" t="n"/>
      <c r="E89" s="105" t="inlineStr">
        <is>
          <t>包装資材</t>
        </is>
      </c>
      <c r="F89" s="267">
        <f>F88-F90</f>
        <v/>
      </c>
      <c r="G89" s="268">
        <f>G88-G90</f>
        <v/>
      </c>
      <c r="H89" s="268">
        <f>H88-H90</f>
        <v/>
      </c>
      <c r="I89" s="268">
        <f>I88-I90</f>
        <v/>
      </c>
      <c r="J89" s="269">
        <f>I89-H89</f>
        <v/>
      </c>
      <c r="K89" s="269">
        <f>I89-G89</f>
        <v/>
      </c>
      <c r="L89" s="270">
        <f>IF(G89=0,"***",K89/G89)</f>
        <v/>
      </c>
      <c r="M89" s="267">
        <f>M88-M90</f>
        <v/>
      </c>
      <c r="N89" s="268">
        <f>N88-N90</f>
        <v/>
      </c>
      <c r="O89" s="268">
        <f>O88-O90</f>
        <v/>
      </c>
      <c r="P89" s="268">
        <f>P88-P90</f>
        <v/>
      </c>
      <c r="Q89" s="269">
        <f>P89-O89</f>
        <v/>
      </c>
      <c r="R89" s="269">
        <f>P89-N89</f>
        <v/>
      </c>
      <c r="S89" s="271">
        <f>IF(N89=0,"***",R89/N89)</f>
        <v/>
      </c>
      <c r="T89" s="272">
        <f>IF(F89=0,"***",M89/F89)</f>
        <v/>
      </c>
      <c r="U89" s="273">
        <f>IF(G89=0,"***",N89/G89)</f>
        <v/>
      </c>
      <c r="V89" s="273">
        <f>IF(H89=0,"***",O89/H89)</f>
        <v/>
      </c>
      <c r="W89" s="273">
        <f>IF(I89=0,"***",P89/I89)</f>
        <v/>
      </c>
      <c r="X89" s="273">
        <f>W89-V89</f>
        <v/>
      </c>
      <c r="Y89" s="274">
        <f>W89-U89</f>
        <v/>
      </c>
    </row>
    <row r="90">
      <c r="A90" s="27" t="n"/>
      <c r="B90" s="28" t="n"/>
      <c r="C90" s="83" t="n"/>
      <c r="D90" s="30" t="n"/>
      <c r="E90" s="107" t="inlineStr">
        <is>
          <t>機械</t>
        </is>
      </c>
      <c r="F90" s="289" t="n">
        <v>0</v>
      </c>
      <c r="G90" s="277" t="n">
        <v>0</v>
      </c>
      <c r="H90" s="277" t="n">
        <v>0</v>
      </c>
      <c r="I90" s="277" t="n">
        <v>0</v>
      </c>
      <c r="J90" s="269">
        <f>I90-H90</f>
        <v/>
      </c>
      <c r="K90" s="269">
        <f>I90-G90</f>
        <v/>
      </c>
      <c r="L90" s="270">
        <f>IF(G90=0,"***",K90/G90)</f>
        <v/>
      </c>
      <c r="M90" s="289" t="n">
        <v>0</v>
      </c>
      <c r="N90" s="277" t="n">
        <v>0</v>
      </c>
      <c r="O90" s="277" t="n">
        <v>0</v>
      </c>
      <c r="P90" s="277" t="n">
        <v>0</v>
      </c>
      <c r="Q90" s="269">
        <f>P90-O90</f>
        <v/>
      </c>
      <c r="R90" s="269">
        <f>P90-N90</f>
        <v/>
      </c>
      <c r="S90" s="271">
        <f>IF(N90=0,"***",R90/N90)</f>
        <v/>
      </c>
      <c r="T90" s="272">
        <f>IF(F90=0,"***",M90/F90)</f>
        <v/>
      </c>
      <c r="U90" s="273">
        <f>IF(G90=0,"***",N90/G90)</f>
        <v/>
      </c>
      <c r="V90" s="273">
        <f>IF(H90=0,"***",O90/H90)</f>
        <v/>
      </c>
      <c r="W90" s="273">
        <f>IF(I90=0,"***",P90/I90)</f>
        <v/>
      </c>
      <c r="X90" s="273">
        <f>W90-V90</f>
        <v/>
      </c>
      <c r="Y90" s="274">
        <f>W90-U90</f>
        <v/>
      </c>
    </row>
    <row r="91">
      <c r="A91" s="49" t="n"/>
      <c r="B91" s="50" t="n"/>
      <c r="C91" s="51" t="n"/>
      <c r="D91" s="52" t="inlineStr">
        <is>
          <t>馬場部長（東京）</t>
        </is>
      </c>
      <c r="E91" s="106" t="n"/>
      <c r="F91" s="284" t="n">
        <v>2241.943</v>
      </c>
      <c r="G91" s="285" t="n">
        <v>3566.672</v>
      </c>
      <c r="H91" s="285" t="n">
        <v>4140</v>
      </c>
      <c r="I91" s="285" t="n">
        <v>5422.219</v>
      </c>
      <c r="J91" s="286">
        <f>I91-H91</f>
        <v/>
      </c>
      <c r="K91" s="286">
        <f>I91-G91</f>
        <v/>
      </c>
      <c r="L91" s="287">
        <f>IF(G91=0,"***",K91/G91)</f>
        <v/>
      </c>
      <c r="M91" s="284" t="n">
        <v>264.976</v>
      </c>
      <c r="N91" s="285" t="n">
        <v>421.772</v>
      </c>
      <c r="O91" s="285" t="n">
        <v>530</v>
      </c>
      <c r="P91" s="285" t="n">
        <v>715.4935</v>
      </c>
      <c r="Q91" s="286">
        <f>P91-O91</f>
        <v/>
      </c>
      <c r="R91" s="286">
        <f>P91-N91</f>
        <v/>
      </c>
      <c r="S91" s="288">
        <f>IF(N91=0,"***",R91/N91)</f>
        <v/>
      </c>
      <c r="T91" s="272">
        <f>IF(F91=0,"***",M91/F91)</f>
        <v/>
      </c>
      <c r="U91" s="273">
        <f>IF(G91=0,"***",N91/G91)</f>
        <v/>
      </c>
      <c r="V91" s="273">
        <f>IF(H91=0,"***",O91/H91)</f>
        <v/>
      </c>
      <c r="W91" s="273">
        <f>IF(I91=0,"***",P91/I91)</f>
        <v/>
      </c>
      <c r="X91" s="273">
        <f>W91-V91</f>
        <v/>
      </c>
      <c r="Y91" s="274">
        <f>W91-U91</f>
        <v/>
      </c>
    </row>
    <row r="92">
      <c r="A92" s="27" t="n"/>
      <c r="B92" s="28" t="n"/>
      <c r="C92" s="83" t="n"/>
      <c r="D92" s="30" t="n"/>
      <c r="E92" s="105" t="inlineStr">
        <is>
          <t>包装資材</t>
        </is>
      </c>
      <c r="F92" s="267">
        <f>F91-F93</f>
        <v/>
      </c>
      <c r="G92" s="268">
        <f>G91-G93</f>
        <v/>
      </c>
      <c r="H92" s="268">
        <f>H91-H93</f>
        <v/>
      </c>
      <c r="I92" s="268">
        <f>I91-I93</f>
        <v/>
      </c>
      <c r="J92" s="269">
        <f>I92-H92</f>
        <v/>
      </c>
      <c r="K92" s="269">
        <f>I92-G92</f>
        <v/>
      </c>
      <c r="L92" s="270">
        <f>IF(G92=0,"***",K92/G92)</f>
        <v/>
      </c>
      <c r="M92" s="267">
        <f>M91-M93</f>
        <v/>
      </c>
      <c r="N92" s="268">
        <f>N91-N93</f>
        <v/>
      </c>
      <c r="O92" s="268">
        <f>O91-O93</f>
        <v/>
      </c>
      <c r="P92" s="268">
        <f>P91-P93</f>
        <v/>
      </c>
      <c r="Q92" s="269">
        <f>P92-O92</f>
        <v/>
      </c>
      <c r="R92" s="269">
        <f>P92-N92</f>
        <v/>
      </c>
      <c r="S92" s="271">
        <f>IF(N92=0,"***",R92/N92)</f>
        <v/>
      </c>
      <c r="T92" s="272">
        <f>IF(F92=0,"***",M92/F92)</f>
        <v/>
      </c>
      <c r="U92" s="273">
        <f>IF(G92=0,"***",N92/G92)</f>
        <v/>
      </c>
      <c r="V92" s="273">
        <f>IF(H92=0,"***",O92/H92)</f>
        <v/>
      </c>
      <c r="W92" s="273">
        <f>IF(I92=0,"***",P92/I92)</f>
        <v/>
      </c>
      <c r="X92" s="273">
        <f>W92-V92</f>
        <v/>
      </c>
      <c r="Y92" s="274">
        <f>W92-U92</f>
        <v/>
      </c>
    </row>
    <row r="93">
      <c r="A93" s="27" t="n"/>
      <c r="B93" s="28" t="n"/>
      <c r="C93" s="83" t="n"/>
      <c r="D93" s="30" t="n"/>
      <c r="E93" s="107" t="inlineStr">
        <is>
          <t>機械</t>
        </is>
      </c>
      <c r="F93" s="289" t="n">
        <v>54</v>
      </c>
      <c r="G93" s="277" t="n">
        <v>29</v>
      </c>
      <c r="H93" s="277" t="n">
        <v>250</v>
      </c>
      <c r="I93" s="277" t="n">
        <v>76.59999999999999</v>
      </c>
      <c r="J93" s="269">
        <f>I93-H93</f>
        <v/>
      </c>
      <c r="K93" s="269">
        <f>I93-G93</f>
        <v/>
      </c>
      <c r="L93" s="270">
        <f>IF(G93=0,"***",K93/G93)</f>
        <v/>
      </c>
      <c r="M93" s="289" t="n">
        <v>14</v>
      </c>
      <c r="N93" s="277" t="n">
        <v>4</v>
      </c>
      <c r="O93" s="277" t="n">
        <v>30</v>
      </c>
      <c r="P93" s="277" t="n">
        <v>14.72</v>
      </c>
      <c r="Q93" s="269">
        <f>P93-O93</f>
        <v/>
      </c>
      <c r="R93" s="269">
        <f>P93-N93</f>
        <v/>
      </c>
      <c r="S93" s="271">
        <f>IF(N93=0,"***",R93/N93)</f>
        <v/>
      </c>
      <c r="T93" s="272">
        <f>IF(F93=0,"***",M93/F93)</f>
        <v/>
      </c>
      <c r="U93" s="273">
        <f>IF(G93=0,"***",N93/G93)</f>
        <v/>
      </c>
      <c r="V93" s="273">
        <f>IF(H93=0,"***",O93/H93)</f>
        <v/>
      </c>
      <c r="W93" s="273">
        <f>IF(I93=0,"***",P93/I93)</f>
        <v/>
      </c>
      <c r="X93" s="273">
        <f>W93-V93</f>
        <v/>
      </c>
      <c r="Y93" s="274">
        <f>W93-U93</f>
        <v/>
      </c>
    </row>
    <row r="94">
      <c r="A94" s="49" t="n"/>
      <c r="B94" s="50" t="n"/>
      <c r="C94" s="216" t="n"/>
      <c r="D94" s="52" t="inlineStr">
        <is>
          <t>【参考】馬場部長合計</t>
        </is>
      </c>
      <c r="E94" s="217" t="n"/>
      <c r="F94" s="319">
        <f>F76+F85+F88+F91</f>
        <v/>
      </c>
      <c r="G94" s="320">
        <f>G76+G85+G88+G91</f>
        <v/>
      </c>
      <c r="H94" s="320">
        <f>H76+H85+H88+H91</f>
        <v/>
      </c>
      <c r="I94" s="320">
        <f>I76+I85+I88+I91</f>
        <v/>
      </c>
      <c r="J94" s="321">
        <f>I94-H94</f>
        <v/>
      </c>
      <c r="K94" s="321">
        <f>I94-G94</f>
        <v/>
      </c>
      <c r="L94" s="322">
        <f>IF(G94=0,"***",K94/G94)</f>
        <v/>
      </c>
      <c r="M94" s="319">
        <f>M76+M85+M88+M91</f>
        <v/>
      </c>
      <c r="N94" s="320">
        <f>N76+N85+N88+N91</f>
        <v/>
      </c>
      <c r="O94" s="320">
        <f>O76+O85+O88+O91</f>
        <v/>
      </c>
      <c r="P94" s="320">
        <f>P76+P85+P88+P91</f>
        <v/>
      </c>
      <c r="Q94" s="321">
        <f>P94-O94</f>
        <v/>
      </c>
      <c r="R94" s="321">
        <f>P94-N94</f>
        <v/>
      </c>
      <c r="S94" s="323">
        <f>IF(N94=0,"***",R94/N94)</f>
        <v/>
      </c>
      <c r="T94" s="324">
        <f>IF(F94=0,"***",M94/F94)</f>
        <v/>
      </c>
      <c r="U94" s="325">
        <f>IF(G94=0,"***",N94/G94)</f>
        <v/>
      </c>
      <c r="V94" s="325">
        <f>IF(H94=0,"***",O94/H94)</f>
        <v/>
      </c>
      <c r="W94" s="325">
        <f>IF(I94=0,"***",P94/I94)</f>
        <v/>
      </c>
      <c r="X94" s="325">
        <f>W94-V94</f>
        <v/>
      </c>
      <c r="Y94" s="326">
        <f>W94-U94</f>
        <v/>
      </c>
    </row>
    <row r="95">
      <c r="A95" s="27" t="n"/>
      <c r="B95" s="28" t="n"/>
      <c r="C95" s="83" t="n"/>
      <c r="D95" s="30" t="n"/>
      <c r="E95" s="105" t="inlineStr">
        <is>
          <t>包装資材</t>
        </is>
      </c>
      <c r="F95" s="267">
        <f>F94-F96</f>
        <v/>
      </c>
      <c r="G95" s="268">
        <f>G94-G96</f>
        <v/>
      </c>
      <c r="H95" s="268">
        <f>H94-H96</f>
        <v/>
      </c>
      <c r="I95" s="268">
        <f>I94-I96</f>
        <v/>
      </c>
      <c r="J95" s="269">
        <f>I95-H95</f>
        <v/>
      </c>
      <c r="K95" s="269">
        <f>I95-G95</f>
        <v/>
      </c>
      <c r="L95" s="270">
        <f>IF(G95=0,"***",K95/G95)</f>
        <v/>
      </c>
      <c r="M95" s="267">
        <f>M94-M96</f>
        <v/>
      </c>
      <c r="N95" s="268">
        <f>N94-N96</f>
        <v/>
      </c>
      <c r="O95" s="268">
        <f>O94-O96</f>
        <v/>
      </c>
      <c r="P95" s="268">
        <f>P94-P96</f>
        <v/>
      </c>
      <c r="Q95" s="269">
        <f>P95-O95</f>
        <v/>
      </c>
      <c r="R95" s="269">
        <f>P95-N95</f>
        <v/>
      </c>
      <c r="S95" s="271">
        <f>IF(N95=0,"***",R95/N95)</f>
        <v/>
      </c>
      <c r="T95" s="272">
        <f>IF(F95=0,"***",M95/F95)</f>
        <v/>
      </c>
      <c r="U95" s="273">
        <f>IF(G95=0,"***",N95/G95)</f>
        <v/>
      </c>
      <c r="V95" s="273">
        <f>IF(H95=0,"***",O95/H95)</f>
        <v/>
      </c>
      <c r="W95" s="273">
        <f>IF(I95=0,"***",P95/I95)</f>
        <v/>
      </c>
      <c r="X95" s="273">
        <f>W95-V95</f>
        <v/>
      </c>
      <c r="Y95" s="274">
        <f>W95-U95</f>
        <v/>
      </c>
    </row>
    <row r="96">
      <c r="A96" s="27" t="n"/>
      <c r="B96" s="28" t="n"/>
      <c r="C96" s="83" t="n"/>
      <c r="D96" s="30" t="n"/>
      <c r="E96" s="52" t="inlineStr">
        <is>
          <t>機械</t>
        </is>
      </c>
      <c r="F96" s="275">
        <f>F78+F87+F90+F93</f>
        <v/>
      </c>
      <c r="G96" s="276">
        <f>G78+G87+G90+G93</f>
        <v/>
      </c>
      <c r="H96" s="276">
        <f>H78+H87+H90+H93</f>
        <v/>
      </c>
      <c r="I96" s="276">
        <f>I78+I87+I90+I93</f>
        <v/>
      </c>
      <c r="J96" s="278">
        <f>I96-H96</f>
        <v/>
      </c>
      <c r="K96" s="278">
        <f>I96-G96</f>
        <v/>
      </c>
      <c r="L96" s="279">
        <f>IF(G96=0,"***",K96/G96)</f>
        <v/>
      </c>
      <c r="M96" s="226">
        <f>M78+M87+M90+M93</f>
        <v/>
      </c>
      <c r="N96" s="227">
        <f>N78+N87+N90+N93</f>
        <v/>
      </c>
      <c r="O96" s="276">
        <f>O78+O87+O90+O93</f>
        <v/>
      </c>
      <c r="P96" s="276">
        <f>P78+P87+P90+P93</f>
        <v/>
      </c>
      <c r="Q96" s="278">
        <f>P96-O96</f>
        <v/>
      </c>
      <c r="R96" s="278">
        <f>P96-N96</f>
        <v/>
      </c>
      <c r="S96" s="280">
        <f>IF(N96=0,"***",R96/N96)</f>
        <v/>
      </c>
      <c r="T96" s="281">
        <f>IF(F96=0,"***",M96/F96)</f>
        <v/>
      </c>
      <c r="U96" s="282">
        <f>IF(G96=0,"***",N96/G96)</f>
        <v/>
      </c>
      <c r="V96" s="282">
        <f>IF(H96=0,"***",O96/H96)</f>
        <v/>
      </c>
      <c r="W96" s="282">
        <f>IF(I96=0,"***",P96/I96)</f>
        <v/>
      </c>
      <c r="X96" s="282">
        <f>W96-V96</f>
        <v/>
      </c>
      <c r="Y96" s="283">
        <f>W96-U96</f>
        <v/>
      </c>
    </row>
    <row r="97">
      <c r="A97" s="49" t="n"/>
      <c r="B97" s="50" t="n"/>
      <c r="C97" s="87" t="inlineStr">
        <is>
          <t>広域営業部</t>
        </is>
      </c>
      <c r="D97" s="62" t="n"/>
      <c r="E97" s="62" t="n"/>
      <c r="F97" s="291">
        <f>+F91+F88+F85+F82+F79+F76</f>
        <v/>
      </c>
      <c r="G97" s="295">
        <f>+G91+G88+G85+G82+G79+G76</f>
        <v/>
      </c>
      <c r="H97" s="295">
        <f>+H91+H88+H85+H82+H79+H76</f>
        <v/>
      </c>
      <c r="I97" s="295">
        <f>+I91+I88+I85+I82+I79+I76</f>
        <v/>
      </c>
      <c r="J97" s="293">
        <f>I97-H97</f>
        <v/>
      </c>
      <c r="K97" s="293">
        <f>I97-G97</f>
        <v/>
      </c>
      <c r="L97" s="294">
        <f>IF(G97=0,"***",K97/G97)</f>
        <v/>
      </c>
      <c r="M97" s="303">
        <f>+M91+M88+M85+M82+M79+M76</f>
        <v/>
      </c>
      <c r="N97" s="303">
        <f>+N91+N88+N85+N82+N79+N76</f>
        <v/>
      </c>
      <c r="O97" s="303">
        <f>+O91+O88+O85+O82+O79+O76</f>
        <v/>
      </c>
      <c r="P97" s="303">
        <f>+P91+P88+P85+P82+P79+P76</f>
        <v/>
      </c>
      <c r="Q97" s="293">
        <f>P97-O97</f>
        <v/>
      </c>
      <c r="R97" s="293">
        <f>P97-N97</f>
        <v/>
      </c>
      <c r="S97" s="296">
        <f>IF(N97=0,"***",R97/N97)</f>
        <v/>
      </c>
      <c r="T97" s="297">
        <f>IF(F97=0,"***",M97/F97)</f>
        <v/>
      </c>
      <c r="U97" s="298">
        <f>IF(G97=0,"***",N97/G97)</f>
        <v/>
      </c>
      <c r="V97" s="298">
        <f>IF(H97=0,"***",O97/H97)</f>
        <v/>
      </c>
      <c r="W97" s="298">
        <f>IF(I97=0,"***",P97/I97)</f>
        <v/>
      </c>
      <c r="X97" s="299">
        <f>W97-V97</f>
        <v/>
      </c>
      <c r="Y97" s="300">
        <f>W97-U97</f>
        <v/>
      </c>
    </row>
    <row r="98">
      <c r="A98" s="49" t="n"/>
      <c r="B98" s="50" t="n"/>
      <c r="C98" s="73" t="n"/>
      <c r="D98" s="114" t="n"/>
      <c r="E98" s="80" t="inlineStr">
        <is>
          <t>包装資材</t>
        </is>
      </c>
      <c r="F98" s="291">
        <f>F97-F99</f>
        <v/>
      </c>
      <c r="G98" s="292">
        <f>G97-G99</f>
        <v/>
      </c>
      <c r="H98" s="292">
        <f>H97-H99</f>
        <v/>
      </c>
      <c r="I98" s="292">
        <f>I97-I99</f>
        <v/>
      </c>
      <c r="J98" s="293">
        <f>I98-H98</f>
        <v/>
      </c>
      <c r="K98" s="293">
        <f>I98-G98</f>
        <v/>
      </c>
      <c r="L98" s="294">
        <f>IF(G98=0,"***",K98/G98)</f>
        <v/>
      </c>
      <c r="M98" s="303">
        <f>M97-M99</f>
        <v/>
      </c>
      <c r="N98" s="292">
        <f>N97-N99</f>
        <v/>
      </c>
      <c r="O98" s="292">
        <f>O97-O99</f>
        <v/>
      </c>
      <c r="P98" s="292">
        <f>P97-P99</f>
        <v/>
      </c>
      <c r="Q98" s="293">
        <f>P98-O98</f>
        <v/>
      </c>
      <c r="R98" s="293">
        <f>P98-N98</f>
        <v/>
      </c>
      <c r="S98" s="296">
        <f>IF(N98=0,"***",R98/N98)</f>
        <v/>
      </c>
      <c r="T98" s="297">
        <f>IF(F98=0,"***",M98/F98)</f>
        <v/>
      </c>
      <c r="U98" s="301">
        <f>IF(G98=0,"***",N98/G98)</f>
        <v/>
      </c>
      <c r="V98" s="301">
        <f>IF(H98=0,"***",O98/H98)</f>
        <v/>
      </c>
      <c r="W98" s="301">
        <f>IF(I98=0,"***",P98/I98)</f>
        <v/>
      </c>
      <c r="X98" s="299">
        <f>W98-V98</f>
        <v/>
      </c>
      <c r="Y98" s="300">
        <f>W98-U98</f>
        <v/>
      </c>
    </row>
    <row r="99">
      <c r="A99" s="49" t="n"/>
      <c r="B99" s="50" t="n"/>
      <c r="C99" s="90" t="n"/>
      <c r="D99" s="115" t="n"/>
      <c r="E99" s="91" t="inlineStr">
        <is>
          <t>機械</t>
        </is>
      </c>
      <c r="F99" s="327">
        <f>+F93+F90+F84+F78</f>
        <v/>
      </c>
      <c r="G99" s="308">
        <f>+G93+G90+G84+G78</f>
        <v/>
      </c>
      <c r="H99" s="308">
        <f>+H93+H90+H84+H78</f>
        <v/>
      </c>
      <c r="I99" s="308">
        <f>+I93+I90+I84+I78</f>
        <v/>
      </c>
      <c r="J99" s="306">
        <f>I99-H99</f>
        <v/>
      </c>
      <c r="K99" s="306">
        <f>I99-G99</f>
        <v/>
      </c>
      <c r="L99" s="307">
        <f>IF(G99=0,"***",K99/G99)</f>
        <v/>
      </c>
      <c r="M99" s="318">
        <f>+M93+M90+M84+M78</f>
        <v/>
      </c>
      <c r="N99" s="308">
        <f>+N93+N90+N84+N78</f>
        <v/>
      </c>
      <c r="O99" s="308">
        <f>+O93+O90+O84+O78</f>
        <v/>
      </c>
      <c r="P99" s="308">
        <f>+P93+P90+P84+P78</f>
        <v/>
      </c>
      <c r="Q99" s="306">
        <f>P99-O99</f>
        <v/>
      </c>
      <c r="R99" s="306">
        <f>P99-N99</f>
        <v/>
      </c>
      <c r="S99" s="310">
        <f>IF(N99=0,"***",R99/N99)</f>
        <v/>
      </c>
      <c r="T99" s="311">
        <f>IF(F99=0,"***",M99/F99)</f>
        <v/>
      </c>
      <c r="U99" s="312">
        <f>IF(G99=0,"***",N99/G99)</f>
        <v/>
      </c>
      <c r="V99" s="312">
        <f>IF(H99=0,"***",O99/H99)</f>
        <v/>
      </c>
      <c r="W99" s="312">
        <f>IF(I99=0,"***",P99/I99)</f>
        <v/>
      </c>
      <c r="X99" s="313">
        <f>W99-V99</f>
        <v/>
      </c>
      <c r="Y99" s="314">
        <f>W99-U99</f>
        <v/>
      </c>
    </row>
    <row r="100">
      <c r="A100" s="49" t="n"/>
      <c r="B100" s="117" t="n"/>
      <c r="C100" s="17" t="n"/>
      <c r="D100" s="18" t="inlineStr">
        <is>
          <t>西岡</t>
        </is>
      </c>
      <c r="E100" s="103" t="n"/>
      <c r="F100" s="259" t="n">
        <v>2707.683</v>
      </c>
      <c r="G100" s="260" t="n">
        <v>1678.593</v>
      </c>
      <c r="H100" s="260" t="n">
        <v>2090</v>
      </c>
      <c r="I100" s="260" t="n">
        <v>1726.807</v>
      </c>
      <c r="J100" s="261">
        <f>I100-H100</f>
        <v/>
      </c>
      <c r="K100" s="261">
        <f>I100-G100</f>
        <v/>
      </c>
      <c r="L100" s="262">
        <f>IF(G100=0,"***",K100/G100)</f>
        <v/>
      </c>
      <c r="M100" s="259" t="n">
        <v>563.2789999999999</v>
      </c>
      <c r="N100" s="260" t="n">
        <v>329.8500000000001</v>
      </c>
      <c r="O100" s="260" t="n">
        <v>480</v>
      </c>
      <c r="P100" s="260" t="n">
        <v>465.365</v>
      </c>
      <c r="Q100" s="261">
        <f>P100-O100</f>
        <v/>
      </c>
      <c r="R100" s="261">
        <f>P100-N100</f>
        <v/>
      </c>
      <c r="S100" s="263">
        <f>IF(N100=0,"***",R100/N100)</f>
        <v/>
      </c>
      <c r="T100" s="264">
        <f>IF(F100=0,"***",M100/F100)</f>
        <v/>
      </c>
      <c r="U100" s="265">
        <f>IF(G100=0,"***",N100/G100)</f>
        <v/>
      </c>
      <c r="V100" s="265">
        <f>IF(H100=0,"***",O100/H100)</f>
        <v/>
      </c>
      <c r="W100" s="265">
        <f>IF(I100=0,"***",P100/I100)</f>
        <v/>
      </c>
      <c r="X100" s="265">
        <f>W100-V100</f>
        <v/>
      </c>
      <c r="Y100" s="266">
        <f>W100-U100</f>
        <v/>
      </c>
    </row>
    <row r="101">
      <c r="A101" s="27" t="n"/>
      <c r="B101" s="28" t="n"/>
      <c r="C101" s="29" t="n"/>
      <c r="D101" s="30" t="n"/>
      <c r="E101" s="105" t="inlineStr">
        <is>
          <t>包装資材</t>
        </is>
      </c>
      <c r="F101" s="268">
        <f>F100-F102</f>
        <v/>
      </c>
      <c r="G101" s="268">
        <f>G100-G102</f>
        <v/>
      </c>
      <c r="H101" s="268">
        <f>H100-H102</f>
        <v/>
      </c>
      <c r="I101" s="268">
        <f>I100-I102</f>
        <v/>
      </c>
      <c r="J101" s="269">
        <f>I101-H101</f>
        <v/>
      </c>
      <c r="K101" s="269">
        <f>I101-G101</f>
        <v/>
      </c>
      <c r="L101" s="270">
        <f>IF(G101=0,"***",K101/G101)</f>
        <v/>
      </c>
      <c r="M101" s="268">
        <f>M100-M102</f>
        <v/>
      </c>
      <c r="N101" s="268">
        <f>N100-N102</f>
        <v/>
      </c>
      <c r="O101" s="268">
        <f>O100-O102</f>
        <v/>
      </c>
      <c r="P101" s="268">
        <f>P100-P102</f>
        <v/>
      </c>
      <c r="Q101" s="269">
        <f>P101-O101</f>
        <v/>
      </c>
      <c r="R101" s="269">
        <f>P101-N101</f>
        <v/>
      </c>
      <c r="S101" s="271">
        <f>IF(N101=0,"***",R101/N101)</f>
        <v/>
      </c>
      <c r="T101" s="272">
        <f>IF(F101=0,"***",M101/F101)</f>
        <v/>
      </c>
      <c r="U101" s="273">
        <f>IF(G101=0,"***",N101/G101)</f>
        <v/>
      </c>
      <c r="V101" s="273">
        <f>IF(H101=0,"***",O101/H101)</f>
        <v/>
      </c>
      <c r="W101" s="273">
        <f>IF(I101=0,"***",P101/I101)</f>
        <v/>
      </c>
      <c r="X101" s="273">
        <f>W101-V101</f>
        <v/>
      </c>
      <c r="Y101" s="274">
        <f>W101-U101</f>
        <v/>
      </c>
    </row>
    <row r="102">
      <c r="A102" s="27" t="n"/>
      <c r="B102" s="28" t="n"/>
      <c r="C102" s="29" t="n"/>
      <c r="D102" s="30" t="n"/>
      <c r="E102" s="52" t="inlineStr">
        <is>
          <t>機械</t>
        </is>
      </c>
      <c r="F102" s="275" t="n">
        <v>228</v>
      </c>
      <c r="G102" s="276" t="n">
        <v>68</v>
      </c>
      <c r="H102" s="276" t="n">
        <v>200</v>
      </c>
      <c r="I102" s="276" t="n">
        <v>95.95</v>
      </c>
      <c r="J102" s="278">
        <f>I102-H102</f>
        <v/>
      </c>
      <c r="K102" s="278">
        <f>I102-G102</f>
        <v/>
      </c>
      <c r="L102" s="279">
        <f>IF(G102=0,"***",K102/G102)</f>
        <v/>
      </c>
      <c r="M102" s="275" t="n">
        <v>65</v>
      </c>
      <c r="N102" s="276" t="n">
        <v>14</v>
      </c>
      <c r="O102" s="276" t="n">
        <v>70</v>
      </c>
      <c r="P102" s="276" t="n">
        <v>31.3</v>
      </c>
      <c r="Q102" s="278">
        <f>P102-O102</f>
        <v/>
      </c>
      <c r="R102" s="278">
        <f>P102-N102</f>
        <v/>
      </c>
      <c r="S102" s="280">
        <f>IF(N102=0,"***",R102/N102)</f>
        <v/>
      </c>
      <c r="T102" s="281">
        <f>IF(F102=0,"***",M102/F102)</f>
        <v/>
      </c>
      <c r="U102" s="282">
        <f>IF(G102=0,"***",N102/G102)</f>
        <v/>
      </c>
      <c r="V102" s="282">
        <f>IF(H102=0,"***",O102/H102)</f>
        <v/>
      </c>
      <c r="W102" s="282">
        <f>IF(I102=0,"***",P102/I102)</f>
        <v/>
      </c>
      <c r="X102" s="282">
        <f>W102-V102</f>
        <v/>
      </c>
      <c r="Y102" s="283">
        <f>W102-U102</f>
        <v/>
      </c>
    </row>
    <row r="103">
      <c r="A103" s="49" t="n"/>
      <c r="B103" s="50" t="n"/>
      <c r="C103" s="51" t="n"/>
      <c r="D103" s="52" t="inlineStr">
        <is>
          <t>足立次長</t>
        </is>
      </c>
      <c r="E103" s="106" t="n"/>
      <c r="F103" s="284" t="n">
        <v>8433.195</v>
      </c>
      <c r="G103" s="285" t="n">
        <v>94774.13499999999</v>
      </c>
      <c r="H103" s="285" t="n">
        <v>18000</v>
      </c>
      <c r="I103" s="285" t="n">
        <v>13005.837</v>
      </c>
      <c r="J103" s="286">
        <f>I103-H103</f>
        <v/>
      </c>
      <c r="K103" s="286">
        <f>I103-G103</f>
        <v/>
      </c>
      <c r="L103" s="287">
        <f>IF(G103=0,"***",K103/G103)</f>
        <v/>
      </c>
      <c r="M103" s="284" t="n">
        <v>1946.27</v>
      </c>
      <c r="N103" s="285" t="n">
        <v>16143.789</v>
      </c>
      <c r="O103" s="285" t="n">
        <v>3480</v>
      </c>
      <c r="P103" s="285" t="n">
        <v>2594.545</v>
      </c>
      <c r="Q103" s="286">
        <f>P103-O103</f>
        <v/>
      </c>
      <c r="R103" s="286">
        <f>P103-N103</f>
        <v/>
      </c>
      <c r="S103" s="288">
        <f>IF(N103=0,"***",R103/N103)</f>
        <v/>
      </c>
      <c r="T103" s="272">
        <f>IF(F103=0,"***",M103/F103)</f>
        <v/>
      </c>
      <c r="U103" s="273">
        <f>IF(G103=0,"***",N103/G103)</f>
        <v/>
      </c>
      <c r="V103" s="273">
        <f>IF(H103=0,"***",O103/H103)</f>
        <v/>
      </c>
      <c r="W103" s="273">
        <f>IF(I103=0,"***",P103/I103)</f>
        <v/>
      </c>
      <c r="X103" s="273">
        <f>W103-V103</f>
        <v/>
      </c>
      <c r="Y103" s="274">
        <f>W103-U103</f>
        <v/>
      </c>
    </row>
    <row r="104">
      <c r="A104" s="27" t="n"/>
      <c r="B104" s="28" t="n"/>
      <c r="C104" s="29" t="n"/>
      <c r="D104" s="30" t="n"/>
      <c r="E104" s="105" t="inlineStr">
        <is>
          <t>包装資材</t>
        </is>
      </c>
      <c r="F104" s="267">
        <f>F103-F105</f>
        <v/>
      </c>
      <c r="G104" s="268">
        <f>G103-G105</f>
        <v/>
      </c>
      <c r="H104" s="268">
        <f>H103-H105</f>
        <v/>
      </c>
      <c r="I104" s="268">
        <f>I103-I105</f>
        <v/>
      </c>
      <c r="J104" s="269">
        <f>I104-H104</f>
        <v/>
      </c>
      <c r="K104" s="269">
        <f>I104-G104</f>
        <v/>
      </c>
      <c r="L104" s="270">
        <f>IF(G104=0,"***",K104/G104)</f>
        <v/>
      </c>
      <c r="M104" s="267">
        <f>M103-M105</f>
        <v/>
      </c>
      <c r="N104" s="268">
        <f>N103-N105</f>
        <v/>
      </c>
      <c r="O104" s="268">
        <f>O103-O105</f>
        <v/>
      </c>
      <c r="P104" s="268">
        <f>P103-P105</f>
        <v/>
      </c>
      <c r="Q104" s="269">
        <f>P104-O104</f>
        <v/>
      </c>
      <c r="R104" s="269">
        <f>P104-N104</f>
        <v/>
      </c>
      <c r="S104" s="271">
        <f>IF(N104=0,"***",R104/N104)</f>
        <v/>
      </c>
      <c r="T104" s="272">
        <f>IF(F104=0,"***",M104/F104)</f>
        <v/>
      </c>
      <c r="U104" s="273">
        <f>IF(G104=0,"***",N104/G104)</f>
        <v/>
      </c>
      <c r="V104" s="273">
        <f>IF(H104=0,"***",O104/H104)</f>
        <v/>
      </c>
      <c r="W104" s="273">
        <f>IF(I104=0,"***",P104/I104)</f>
        <v/>
      </c>
      <c r="X104" s="273">
        <f>W104-V104</f>
        <v/>
      </c>
      <c r="Y104" s="274">
        <f>W104-U104</f>
        <v/>
      </c>
    </row>
    <row r="105">
      <c r="A105" s="27" t="n"/>
      <c r="B105" s="28" t="n"/>
      <c r="C105" s="29" t="n"/>
      <c r="D105" s="30" t="n"/>
      <c r="E105" s="107" t="inlineStr">
        <is>
          <t>機械</t>
        </is>
      </c>
      <c r="F105" s="289" t="n">
        <v>265</v>
      </c>
      <c r="G105" s="277" t="n">
        <v>82542</v>
      </c>
      <c r="H105" s="277" t="n">
        <v>5000</v>
      </c>
      <c r="I105" s="277" t="n">
        <v>2776.22</v>
      </c>
      <c r="J105" s="269">
        <f>I105-H105</f>
        <v/>
      </c>
      <c r="K105" s="269">
        <f>I105-G105</f>
        <v/>
      </c>
      <c r="L105" s="270">
        <f>IF(G105=0,"***",K105/G105)</f>
        <v/>
      </c>
      <c r="M105" s="289" t="n">
        <v>47</v>
      </c>
      <c r="N105" s="277" t="n">
        <v>13969</v>
      </c>
      <c r="O105" s="277" t="n">
        <v>1000</v>
      </c>
      <c r="P105" s="277" t="n">
        <v>427.306</v>
      </c>
      <c r="Q105" s="269">
        <f>P105-O105</f>
        <v/>
      </c>
      <c r="R105" s="269">
        <f>P105-N105</f>
        <v/>
      </c>
      <c r="S105" s="271">
        <f>IF(N105=0,"***",R105/N105)</f>
        <v/>
      </c>
      <c r="T105" s="272">
        <f>IF(F105=0,"***",M105/F105)</f>
        <v/>
      </c>
      <c r="U105" s="273">
        <f>IF(G105=0,"***",N105/G105)</f>
        <v/>
      </c>
      <c r="V105" s="273">
        <f>IF(H105=0,"***",O105/H105)</f>
        <v/>
      </c>
      <c r="W105" s="273">
        <f>IF(I105=0,"***",P105/I105)</f>
        <v/>
      </c>
      <c r="X105" s="273">
        <f>W105-V105</f>
        <v/>
      </c>
      <c r="Y105" s="274">
        <f>W105-U105</f>
        <v/>
      </c>
    </row>
    <row r="106">
      <c r="A106" s="49" t="n"/>
      <c r="B106" s="50" t="n"/>
      <c r="C106" s="51" t="n"/>
      <c r="D106" s="52" t="inlineStr">
        <is>
          <t>藤波課長</t>
        </is>
      </c>
      <c r="E106" s="106" t="n"/>
      <c r="F106" s="284" t="n">
        <v>6436.907999999999</v>
      </c>
      <c r="G106" s="285" t="n">
        <v>10570.955</v>
      </c>
      <c r="H106" s="285" t="n">
        <v>9160</v>
      </c>
      <c r="I106" s="285" t="n">
        <v>8694.421</v>
      </c>
      <c r="J106" s="286">
        <f>I106-H106</f>
        <v/>
      </c>
      <c r="K106" s="286">
        <f>I106-G106</f>
        <v/>
      </c>
      <c r="L106" s="287">
        <f>IF(G106=0,"***",K106/G106)</f>
        <v/>
      </c>
      <c r="M106" s="284" t="n">
        <v>1134.483</v>
      </c>
      <c r="N106" s="285" t="n">
        <v>2207.566000000001</v>
      </c>
      <c r="O106" s="285" t="n">
        <v>1830</v>
      </c>
      <c r="P106" s="285" t="n">
        <v>1564.721</v>
      </c>
      <c r="Q106" s="286">
        <f>P106-O106</f>
        <v/>
      </c>
      <c r="R106" s="286">
        <f>P106-N106</f>
        <v/>
      </c>
      <c r="S106" s="288">
        <f>IF(N106=0,"***",R106/N106)</f>
        <v/>
      </c>
      <c r="T106" s="272">
        <f>IF(F106=0,"***",M106/F106)</f>
        <v/>
      </c>
      <c r="U106" s="273">
        <f>IF(G106=0,"***",N106/G106)</f>
        <v/>
      </c>
      <c r="V106" s="273">
        <f>IF(H106=0,"***",O106/H106)</f>
        <v/>
      </c>
      <c r="W106" s="273">
        <f>IF(I106=0,"***",P106/I106)</f>
        <v/>
      </c>
      <c r="X106" s="273">
        <f>W106-V106</f>
        <v/>
      </c>
      <c r="Y106" s="274">
        <f>W106-U106</f>
        <v/>
      </c>
    </row>
    <row r="107">
      <c r="A107" s="27" t="n"/>
      <c r="B107" s="28" t="n"/>
      <c r="C107" s="29" t="n"/>
      <c r="D107" s="30" t="n"/>
      <c r="E107" s="105" t="inlineStr">
        <is>
          <t>包装資材</t>
        </is>
      </c>
      <c r="F107" s="267">
        <f>F106-F108</f>
        <v/>
      </c>
      <c r="G107" s="268">
        <f>G106-G108</f>
        <v/>
      </c>
      <c r="H107" s="268">
        <f>H106-H108</f>
        <v/>
      </c>
      <c r="I107" s="268">
        <f>I106-I108</f>
        <v/>
      </c>
      <c r="J107" s="269">
        <f>I107-H107</f>
        <v/>
      </c>
      <c r="K107" s="269">
        <f>I107-G107</f>
        <v/>
      </c>
      <c r="L107" s="270">
        <f>IF(G107=0,"***",K107/G107)</f>
        <v/>
      </c>
      <c r="M107" s="267">
        <f>M106-M108</f>
        <v/>
      </c>
      <c r="N107" s="268">
        <f>N106-N108</f>
        <v/>
      </c>
      <c r="O107" s="268">
        <f>O106-O108</f>
        <v/>
      </c>
      <c r="P107" s="268">
        <f>P106-P108</f>
        <v/>
      </c>
      <c r="Q107" s="269">
        <f>P107-O107</f>
        <v/>
      </c>
      <c r="R107" s="269">
        <f>P107-N107</f>
        <v/>
      </c>
      <c r="S107" s="271">
        <f>IF(N107=0,"***",R107/N107)</f>
        <v/>
      </c>
      <c r="T107" s="272">
        <f>IF(F107=0,"***",M107/F107)</f>
        <v/>
      </c>
      <c r="U107" s="273">
        <f>IF(G107=0,"***",N107/G107)</f>
        <v/>
      </c>
      <c r="V107" s="273">
        <f>IF(H107=0,"***",O107/H107)</f>
        <v/>
      </c>
      <c r="W107" s="273">
        <f>IF(I107=0,"***",P107/I107)</f>
        <v/>
      </c>
      <c r="X107" s="273">
        <f>W107-V107</f>
        <v/>
      </c>
      <c r="Y107" s="274">
        <f>W107-U107</f>
        <v/>
      </c>
    </row>
    <row r="108">
      <c r="A108" s="27" t="n"/>
      <c r="B108" s="28" t="n"/>
      <c r="C108" s="29" t="n"/>
      <c r="D108" s="30" t="n"/>
      <c r="E108" s="107" t="inlineStr">
        <is>
          <t>機械</t>
        </is>
      </c>
      <c r="F108" s="289" t="n">
        <v>227</v>
      </c>
      <c r="G108" s="277" t="n">
        <v>2238</v>
      </c>
      <c r="H108" s="277" t="n">
        <v>700</v>
      </c>
      <c r="I108" s="277" t="n">
        <v>430.34</v>
      </c>
      <c r="J108" s="269">
        <f>I108-H108</f>
        <v/>
      </c>
      <c r="K108" s="269">
        <f>I108-G108</f>
        <v/>
      </c>
      <c r="L108" s="270">
        <f>IF(G108=0,"***",K108/G108)</f>
        <v/>
      </c>
      <c r="M108" s="289" t="n">
        <v>109</v>
      </c>
      <c r="N108" s="277" t="n">
        <v>681</v>
      </c>
      <c r="O108" s="277" t="n">
        <v>250</v>
      </c>
      <c r="P108" s="277" t="n">
        <v>181.44</v>
      </c>
      <c r="Q108" s="269">
        <f>P108-O108</f>
        <v/>
      </c>
      <c r="R108" s="269">
        <f>P108-N108</f>
        <v/>
      </c>
      <c r="S108" s="271">
        <f>IF(N108=0,"***",R108/N108)</f>
        <v/>
      </c>
      <c r="T108" s="272">
        <f>IF(F108=0,"***",M108/F108)</f>
        <v/>
      </c>
      <c r="U108" s="273">
        <f>IF(G108=0,"***",N108/G108)</f>
        <v/>
      </c>
      <c r="V108" s="273">
        <f>IF(H108=0,"***",O108/H108)</f>
        <v/>
      </c>
      <c r="W108" s="273">
        <f>IF(I108=0,"***",P108/I108)</f>
        <v/>
      </c>
      <c r="X108" s="273">
        <f>W108-V108</f>
        <v/>
      </c>
      <c r="Y108" s="274">
        <f>W108-U108</f>
        <v/>
      </c>
    </row>
    <row r="109">
      <c r="A109" s="49" t="n"/>
      <c r="B109" s="50" t="n"/>
      <c r="C109" s="51" t="n"/>
      <c r="D109" s="52" t="inlineStr">
        <is>
          <t>足立課長</t>
        </is>
      </c>
      <c r="E109" s="106" t="n"/>
      <c r="F109" s="284" t="n">
        <v>0</v>
      </c>
      <c r="G109" s="285" t="n">
        <v>0</v>
      </c>
      <c r="H109" s="285" t="n">
        <v>0</v>
      </c>
      <c r="I109" s="285" t="n">
        <v>0</v>
      </c>
      <c r="J109" s="286">
        <f>I109-H109</f>
        <v/>
      </c>
      <c r="K109" s="286">
        <f>I109-G109</f>
        <v/>
      </c>
      <c r="L109" s="287">
        <f>IF(G109=0,"***",K109/G109)</f>
        <v/>
      </c>
      <c r="M109" s="284" t="n">
        <v>0</v>
      </c>
      <c r="N109" s="285" t="n">
        <v>0</v>
      </c>
      <c r="O109" s="285" t="n">
        <v>0</v>
      </c>
      <c r="P109" s="285" t="n">
        <v>0</v>
      </c>
      <c r="Q109" s="286">
        <f>P109-O109</f>
        <v/>
      </c>
      <c r="R109" s="286">
        <f>P109-N109</f>
        <v/>
      </c>
      <c r="S109" s="288">
        <f>IF(N109=0,"***",R109/N109)</f>
        <v/>
      </c>
      <c r="T109" s="272">
        <f>IF(F109=0,"***",M109/F109)</f>
        <v/>
      </c>
      <c r="U109" s="273">
        <f>IF(G109=0,"***",N109/G109)</f>
        <v/>
      </c>
      <c r="V109" s="273">
        <f>IF(H109=0,"***",O109/H109)</f>
        <v/>
      </c>
      <c r="W109" s="273">
        <f>IF(I109=0,"***",P109/I109)</f>
        <v/>
      </c>
      <c r="X109" s="273">
        <f>W109-V109</f>
        <v/>
      </c>
      <c r="Y109" s="274">
        <f>W109-U109</f>
        <v/>
      </c>
    </row>
    <row r="110">
      <c r="A110" s="27" t="n"/>
      <c r="B110" s="28" t="n"/>
      <c r="C110" s="29" t="n"/>
      <c r="D110" s="30" t="n"/>
      <c r="E110" s="105" t="inlineStr">
        <is>
          <t>包装資材</t>
        </is>
      </c>
      <c r="F110" s="267">
        <f>F109-F111</f>
        <v/>
      </c>
      <c r="G110" s="268">
        <f>G109-G111</f>
        <v/>
      </c>
      <c r="H110" s="268">
        <f>H109-H111</f>
        <v/>
      </c>
      <c r="I110" s="268">
        <f>I109-I111</f>
        <v/>
      </c>
      <c r="J110" s="269">
        <f>I110-H110</f>
        <v/>
      </c>
      <c r="K110" s="269">
        <f>I110-G110</f>
        <v/>
      </c>
      <c r="L110" s="270">
        <f>IF(G110=0,"***",K110/G110)</f>
        <v/>
      </c>
      <c r="M110" s="267">
        <f>M109-M111</f>
        <v/>
      </c>
      <c r="N110" s="268">
        <f>N109-N111</f>
        <v/>
      </c>
      <c r="O110" s="268">
        <f>O109-O111</f>
        <v/>
      </c>
      <c r="P110" s="268">
        <f>P109-P111</f>
        <v/>
      </c>
      <c r="Q110" s="269">
        <f>P110-O110</f>
        <v/>
      </c>
      <c r="R110" s="269">
        <f>P110-N110</f>
        <v/>
      </c>
      <c r="S110" s="271">
        <f>IF(N110=0,"***",R110/N110)</f>
        <v/>
      </c>
      <c r="T110" s="272">
        <f>IF(F110=0,"***",M110/F110)</f>
        <v/>
      </c>
      <c r="U110" s="273">
        <f>IF(G110=0,"***",N110/G110)</f>
        <v/>
      </c>
      <c r="V110" s="273">
        <f>IF(H110=0,"***",O110/H110)</f>
        <v/>
      </c>
      <c r="W110" s="273">
        <f>IF(I110=0,"***",P110/I110)</f>
        <v/>
      </c>
      <c r="X110" s="273">
        <f>W110-V110</f>
        <v/>
      </c>
      <c r="Y110" s="274">
        <f>W110-U110</f>
        <v/>
      </c>
    </row>
    <row r="111">
      <c r="A111" s="27" t="n"/>
      <c r="B111" s="28" t="n"/>
      <c r="C111" s="29" t="n"/>
      <c r="D111" s="30" t="n"/>
      <c r="E111" s="107" t="inlineStr">
        <is>
          <t>機械</t>
        </is>
      </c>
      <c r="F111" s="289" t="n">
        <v>0</v>
      </c>
      <c r="G111" s="277" t="n">
        <v>0</v>
      </c>
      <c r="H111" s="277" t="n">
        <v>0</v>
      </c>
      <c r="I111" s="277" t="n">
        <v>0</v>
      </c>
      <c r="J111" s="269">
        <f>I111-H111</f>
        <v/>
      </c>
      <c r="K111" s="269">
        <f>I111-G111</f>
        <v/>
      </c>
      <c r="L111" s="270">
        <f>IF(G111=0,"***",K111/G111)</f>
        <v/>
      </c>
      <c r="M111" s="289" t="n">
        <v>0</v>
      </c>
      <c r="N111" s="277" t="n">
        <v>0</v>
      </c>
      <c r="O111" s="277" t="n">
        <v>0</v>
      </c>
      <c r="P111" s="277" t="n">
        <v>0</v>
      </c>
      <c r="Q111" s="269">
        <f>P111-O111</f>
        <v/>
      </c>
      <c r="R111" s="269">
        <f>P111-N111</f>
        <v/>
      </c>
      <c r="S111" s="271">
        <f>IF(N111=0,"***",R111/N111)</f>
        <v/>
      </c>
      <c r="T111" s="272">
        <f>IF(F111=0,"***",M111/F111)</f>
        <v/>
      </c>
      <c r="U111" s="273">
        <f>IF(G111=0,"***",N111/G111)</f>
        <v/>
      </c>
      <c r="V111" s="273">
        <f>IF(H111=0,"***",O111/H111)</f>
        <v/>
      </c>
      <c r="W111" s="273">
        <f>IF(I111=0,"***",P111/I111)</f>
        <v/>
      </c>
      <c r="X111" s="273">
        <f>W111-V111</f>
        <v/>
      </c>
      <c r="Y111" s="274">
        <f>W111-U111</f>
        <v/>
      </c>
    </row>
    <row r="112">
      <c r="A112" s="49" t="n"/>
      <c r="B112" s="50" t="n"/>
      <c r="C112" s="51" t="n"/>
      <c r="D112" s="52" t="inlineStr">
        <is>
          <t>川邊主任</t>
        </is>
      </c>
      <c r="E112" s="106" t="n"/>
      <c r="F112" s="284" t="n">
        <v>8467.791000000001</v>
      </c>
      <c r="G112" s="285" t="n">
        <v>6927.711000000001</v>
      </c>
      <c r="H112" s="285" t="n">
        <v>8000</v>
      </c>
      <c r="I112" s="285" t="n">
        <v>9474.611999999999</v>
      </c>
      <c r="J112" s="286">
        <f>I112-H112</f>
        <v/>
      </c>
      <c r="K112" s="286">
        <f>I112-G112</f>
        <v/>
      </c>
      <c r="L112" s="287">
        <f>IF(G112=0,"***",K112/G112)</f>
        <v/>
      </c>
      <c r="M112" s="284" t="n">
        <v>1504.084</v>
      </c>
      <c r="N112" s="285" t="n">
        <v>1138.342</v>
      </c>
      <c r="O112" s="285" t="n">
        <v>1480</v>
      </c>
      <c r="P112" s="285" t="n">
        <v>1573.26</v>
      </c>
      <c r="Q112" s="286">
        <f>P112-O112</f>
        <v/>
      </c>
      <c r="R112" s="286">
        <f>P112-N112</f>
        <v/>
      </c>
      <c r="S112" s="288">
        <f>IF(N112=0,"***",R112/N112)</f>
        <v/>
      </c>
      <c r="T112" s="272">
        <f>IF(F112=0,"***",M112/F112)</f>
        <v/>
      </c>
      <c r="U112" s="273">
        <f>IF(G112=0,"***",N112/G112)</f>
        <v/>
      </c>
      <c r="V112" s="273">
        <f>IF(H112=0,"***",O112/H112)</f>
        <v/>
      </c>
      <c r="W112" s="273">
        <f>IF(I112=0,"***",P112/I112)</f>
        <v/>
      </c>
      <c r="X112" s="273">
        <f>W112-V112</f>
        <v/>
      </c>
      <c r="Y112" s="274">
        <f>W112-U112</f>
        <v/>
      </c>
    </row>
    <row r="113">
      <c r="A113" s="27" t="n"/>
      <c r="B113" s="28" t="n"/>
      <c r="C113" s="29" t="n"/>
      <c r="D113" s="30" t="n"/>
      <c r="E113" s="105" t="inlineStr">
        <is>
          <t>包装資材</t>
        </is>
      </c>
      <c r="F113" s="267">
        <f>F112-F114</f>
        <v/>
      </c>
      <c r="G113" s="268">
        <f>G112-G114</f>
        <v/>
      </c>
      <c r="H113" s="268">
        <f>H112-H114</f>
        <v/>
      </c>
      <c r="I113" s="268">
        <f>I112-I114</f>
        <v/>
      </c>
      <c r="J113" s="269">
        <f>I113-H113</f>
        <v/>
      </c>
      <c r="K113" s="269">
        <f>I113-G113</f>
        <v/>
      </c>
      <c r="L113" s="270">
        <f>IF(G113=0,"***",K113/G113)</f>
        <v/>
      </c>
      <c r="M113" s="267">
        <f>M112-M114</f>
        <v/>
      </c>
      <c r="N113" s="268">
        <f>N112-N114</f>
        <v/>
      </c>
      <c r="O113" s="268">
        <f>O112-O114</f>
        <v/>
      </c>
      <c r="P113" s="268">
        <f>P112-P114</f>
        <v/>
      </c>
      <c r="Q113" s="269">
        <f>P113-O113</f>
        <v/>
      </c>
      <c r="R113" s="269">
        <f>P113-N113</f>
        <v/>
      </c>
      <c r="S113" s="271">
        <f>IF(N113=0,"***",R113/N113)</f>
        <v/>
      </c>
      <c r="T113" s="272">
        <f>IF(F113=0,"***",M113/F113)</f>
        <v/>
      </c>
      <c r="U113" s="273">
        <f>IF(G113=0,"***",N113/G113)</f>
        <v/>
      </c>
      <c r="V113" s="273">
        <f>IF(H113=0,"***",O113/H113)</f>
        <v/>
      </c>
      <c r="W113" s="273">
        <f>IF(I113=0,"***",P113/I113)</f>
        <v/>
      </c>
      <c r="X113" s="273">
        <f>W113-V113</f>
        <v/>
      </c>
      <c r="Y113" s="274">
        <f>W113-U113</f>
        <v/>
      </c>
    </row>
    <row r="114">
      <c r="A114" s="27" t="n"/>
      <c r="B114" s="28" t="n"/>
      <c r="C114" s="29" t="n"/>
      <c r="D114" s="30" t="n"/>
      <c r="E114" s="107" t="inlineStr">
        <is>
          <t>機械</t>
        </is>
      </c>
      <c r="F114" s="289" t="n">
        <v>237</v>
      </c>
      <c r="G114" s="277" t="n">
        <v>402</v>
      </c>
      <c r="H114" s="277" t="n">
        <v>700</v>
      </c>
      <c r="I114" s="277" t="n">
        <v>248.8</v>
      </c>
      <c r="J114" s="269">
        <f>I114-H114</f>
        <v/>
      </c>
      <c r="K114" s="269">
        <f>I114-G114</f>
        <v/>
      </c>
      <c r="L114" s="270">
        <f>IF(G114=0,"***",K114/G114)</f>
        <v/>
      </c>
      <c r="M114" s="289" t="n">
        <v>52</v>
      </c>
      <c r="N114" s="277" t="n">
        <v>77</v>
      </c>
      <c r="O114" s="277" t="n">
        <v>180</v>
      </c>
      <c r="P114" s="277" t="n">
        <v>59.55</v>
      </c>
      <c r="Q114" s="269">
        <f>P114-O114</f>
        <v/>
      </c>
      <c r="R114" s="269">
        <f>P114-N114</f>
        <v/>
      </c>
      <c r="S114" s="271">
        <f>IF(N114=0,"***",R114/N114)</f>
        <v/>
      </c>
      <c r="T114" s="272">
        <f>IF(F114=0,"***",M114/F114)</f>
        <v/>
      </c>
      <c r="U114" s="273">
        <f>IF(G114=0,"***",N114/G114)</f>
        <v/>
      </c>
      <c r="V114" s="273">
        <f>IF(H114=0,"***",O114/H114)</f>
        <v/>
      </c>
      <c r="W114" s="273">
        <f>IF(I114=0,"***",P114/I114)</f>
        <v/>
      </c>
      <c r="X114" s="273">
        <f>W114-V114</f>
        <v/>
      </c>
      <c r="Y114" s="274">
        <f>W114-U114</f>
        <v/>
      </c>
    </row>
    <row r="115">
      <c r="A115" s="49" t="n"/>
      <c r="B115" s="50" t="n"/>
      <c r="C115" s="51" t="n"/>
      <c r="D115" s="52" t="inlineStr">
        <is>
          <t>白根主任</t>
        </is>
      </c>
      <c r="E115" s="106" t="n"/>
      <c r="F115" s="284" t="n">
        <v>18835.421</v>
      </c>
      <c r="G115" s="285" t="n">
        <v>8043.705</v>
      </c>
      <c r="H115" s="285" t="n">
        <v>10000</v>
      </c>
      <c r="I115" s="285" t="n">
        <v>8513.204</v>
      </c>
      <c r="J115" s="286">
        <f>I115-H115</f>
        <v/>
      </c>
      <c r="K115" s="286">
        <f>I115-G115</f>
        <v/>
      </c>
      <c r="L115" s="287">
        <f>IF(G115=0,"***",K115/G115)</f>
        <v/>
      </c>
      <c r="M115" s="284" t="n">
        <v>4384.139999999999</v>
      </c>
      <c r="N115" s="285" t="n">
        <v>1698.655</v>
      </c>
      <c r="O115" s="285" t="n">
        <v>2030</v>
      </c>
      <c r="P115" s="285" t="n">
        <v>2123.723</v>
      </c>
      <c r="Q115" s="286">
        <f>P115-O115</f>
        <v/>
      </c>
      <c r="R115" s="286">
        <f>P115-N115</f>
        <v/>
      </c>
      <c r="S115" s="288">
        <f>IF(N115=0,"***",R115/N115)</f>
        <v/>
      </c>
      <c r="T115" s="272">
        <f>IF(F115=0,"***",M115/F115)</f>
        <v/>
      </c>
      <c r="U115" s="273">
        <f>IF(G115=0,"***",N115/G115)</f>
        <v/>
      </c>
      <c r="V115" s="273">
        <f>IF(H115=0,"***",O115/H115)</f>
        <v/>
      </c>
      <c r="W115" s="273">
        <f>IF(I115=0,"***",P115/I115)</f>
        <v/>
      </c>
      <c r="X115" s="273">
        <f>W115-V115</f>
        <v/>
      </c>
      <c r="Y115" s="274">
        <f>W115-U115</f>
        <v/>
      </c>
    </row>
    <row r="116">
      <c r="A116" s="27" t="n"/>
      <c r="B116" s="28" t="n"/>
      <c r="C116" s="29" t="n"/>
      <c r="D116" s="30" t="n"/>
      <c r="E116" s="105" t="inlineStr">
        <is>
          <t>包装資材</t>
        </is>
      </c>
      <c r="F116" s="267">
        <f>F115-F117</f>
        <v/>
      </c>
      <c r="G116" s="268">
        <f>G115-G117</f>
        <v/>
      </c>
      <c r="H116" s="268">
        <f>H115-H117</f>
        <v/>
      </c>
      <c r="I116" s="268">
        <f>I115-I117</f>
        <v/>
      </c>
      <c r="J116" s="269">
        <f>I116-H116</f>
        <v/>
      </c>
      <c r="K116" s="269">
        <f>I116-G116</f>
        <v/>
      </c>
      <c r="L116" s="270">
        <f>IF(G116=0,"***",K116/G116)</f>
        <v/>
      </c>
      <c r="M116" s="267">
        <f>M115-M117</f>
        <v/>
      </c>
      <c r="N116" s="268">
        <f>N115-N117</f>
        <v/>
      </c>
      <c r="O116" s="268">
        <f>O115-O117</f>
        <v/>
      </c>
      <c r="P116" s="268">
        <f>P115-P117</f>
        <v/>
      </c>
      <c r="Q116" s="269">
        <f>P116-O116</f>
        <v/>
      </c>
      <c r="R116" s="269">
        <f>P116-N116</f>
        <v/>
      </c>
      <c r="S116" s="271">
        <f>IF(N116=0,"***",R116/N116)</f>
        <v/>
      </c>
      <c r="T116" s="272">
        <f>IF(F116=0,"***",M116/F116)</f>
        <v/>
      </c>
      <c r="U116" s="273">
        <f>IF(G116=0,"***",N116/G116)</f>
        <v/>
      </c>
      <c r="V116" s="273">
        <f>IF(H116=0,"***",O116/H116)</f>
        <v/>
      </c>
      <c r="W116" s="273">
        <f>IF(I116=0,"***",P116/I116)</f>
        <v/>
      </c>
      <c r="X116" s="273">
        <f>W116-V116</f>
        <v/>
      </c>
      <c r="Y116" s="274">
        <f>W116-U116</f>
        <v/>
      </c>
    </row>
    <row r="117">
      <c r="A117" s="27" t="n"/>
      <c r="B117" s="28" t="n"/>
      <c r="C117" s="29" t="n"/>
      <c r="D117" s="30" t="n"/>
      <c r="E117" s="107" t="inlineStr">
        <is>
          <t>機械</t>
        </is>
      </c>
      <c r="F117" s="289" t="n">
        <v>326</v>
      </c>
      <c r="G117" s="277" t="n">
        <v>427</v>
      </c>
      <c r="H117" s="277" t="n">
        <v>1500</v>
      </c>
      <c r="I117" s="277" t="n">
        <v>783.25</v>
      </c>
      <c r="J117" s="269">
        <f>I117-H117</f>
        <v/>
      </c>
      <c r="K117" s="269">
        <f>I117-G117</f>
        <v/>
      </c>
      <c r="L117" s="270">
        <f>IF(G117=0,"***",K117/G117)</f>
        <v/>
      </c>
      <c r="M117" s="289" t="n">
        <v>89</v>
      </c>
      <c r="N117" s="277" t="n">
        <v>158</v>
      </c>
      <c r="O117" s="277" t="n">
        <v>300</v>
      </c>
      <c r="P117" s="277" t="n">
        <v>242.149</v>
      </c>
      <c r="Q117" s="269">
        <f>P117-O117</f>
        <v/>
      </c>
      <c r="R117" s="269">
        <f>P117-N117</f>
        <v/>
      </c>
      <c r="S117" s="271">
        <f>IF(N117=0,"***",R117/N117)</f>
        <v/>
      </c>
      <c r="T117" s="272">
        <f>IF(F117=0,"***",M117/F117)</f>
        <v/>
      </c>
      <c r="U117" s="273">
        <f>IF(G117=0,"***",N117/G117)</f>
        <v/>
      </c>
      <c r="V117" s="273">
        <f>IF(H117=0,"***",O117/H117)</f>
        <v/>
      </c>
      <c r="W117" s="273">
        <f>IF(I117=0,"***",P117/I117)</f>
        <v/>
      </c>
      <c r="X117" s="273">
        <f>W117-V117</f>
        <v/>
      </c>
      <c r="Y117" s="274">
        <f>W117-U117</f>
        <v/>
      </c>
    </row>
    <row r="118">
      <c r="A118" s="49" t="n"/>
      <c r="B118" s="50" t="n"/>
      <c r="C118" s="51" t="n"/>
      <c r="D118" s="52" t="inlineStr">
        <is>
          <t>海外</t>
        </is>
      </c>
      <c r="E118" s="106" t="n"/>
      <c r="F118" s="284" t="n">
        <v>232.15</v>
      </c>
      <c r="G118" s="285" t="n">
        <v>21.15</v>
      </c>
      <c r="H118" s="285" t="n">
        <v>530</v>
      </c>
      <c r="I118" s="285" t="n">
        <v>314.45</v>
      </c>
      <c r="J118" s="286">
        <f>I118-H118</f>
        <v/>
      </c>
      <c r="K118" s="286">
        <f>I118-G118</f>
        <v/>
      </c>
      <c r="L118" s="287">
        <f>IF(G118=0,"***",K118/G118)</f>
        <v/>
      </c>
      <c r="M118" s="284" t="n">
        <v>73.45</v>
      </c>
      <c r="N118" s="285" t="n">
        <v>5.8</v>
      </c>
      <c r="O118" s="285" t="n">
        <v>100</v>
      </c>
      <c r="P118" s="285" t="n">
        <v>59.63</v>
      </c>
      <c r="Q118" s="286">
        <f>P118-O118</f>
        <v/>
      </c>
      <c r="R118" s="286">
        <f>P118-N118</f>
        <v/>
      </c>
      <c r="S118" s="288">
        <f>IF(N118=0,"***",R118/N118)</f>
        <v/>
      </c>
      <c r="T118" s="272">
        <f>IF(F118=0,"***",M118/F118)</f>
        <v/>
      </c>
      <c r="U118" s="273">
        <f>IF(G118=0,"***",N118/G118)</f>
        <v/>
      </c>
      <c r="V118" s="273">
        <f>IF(H118=0,"***",O118/H118)</f>
        <v/>
      </c>
      <c r="W118" s="273">
        <f>IF(I118=0,"***",P118/I118)</f>
        <v/>
      </c>
      <c r="X118" s="273">
        <f>W118-V118</f>
        <v/>
      </c>
      <c r="Y118" s="274">
        <f>W118-U118</f>
        <v/>
      </c>
    </row>
    <row r="119">
      <c r="A119" s="27" t="n"/>
      <c r="B119" s="28" t="n"/>
      <c r="C119" s="29" t="n"/>
      <c r="D119" s="30" t="n"/>
      <c r="E119" s="105" t="inlineStr">
        <is>
          <t>包装資材</t>
        </is>
      </c>
      <c r="F119" s="267">
        <f>F118-F120</f>
        <v/>
      </c>
      <c r="G119" s="268">
        <f>G118-G120</f>
        <v/>
      </c>
      <c r="H119" s="268">
        <f>H118-H120</f>
        <v/>
      </c>
      <c r="I119" s="268">
        <f>I118-I120</f>
        <v/>
      </c>
      <c r="J119" s="269">
        <f>I119-H119</f>
        <v/>
      </c>
      <c r="K119" s="269">
        <f>I119-G119</f>
        <v/>
      </c>
      <c r="L119" s="270">
        <f>IF(G119=0,"***",K119/G119)</f>
        <v/>
      </c>
      <c r="M119" s="267">
        <f>M118-M120</f>
        <v/>
      </c>
      <c r="N119" s="268">
        <f>N118-N120</f>
        <v/>
      </c>
      <c r="O119" s="268">
        <f>O118-O120</f>
        <v/>
      </c>
      <c r="P119" s="268">
        <f>P118-P120</f>
        <v/>
      </c>
      <c r="Q119" s="269">
        <f>P119-O119</f>
        <v/>
      </c>
      <c r="R119" s="269">
        <f>P119-N119</f>
        <v/>
      </c>
      <c r="S119" s="271">
        <f>IF(N119=0,"***",R119/N119)</f>
        <v/>
      </c>
      <c r="T119" s="272">
        <f>IF(F119=0,"***",M119/F119)</f>
        <v/>
      </c>
      <c r="U119" s="273">
        <f>IF(G119=0,"***",N119/G119)</f>
        <v/>
      </c>
      <c r="V119" s="273">
        <f>IF(H119=0,"***",O119/H119)</f>
        <v/>
      </c>
      <c r="W119" s="273">
        <f>IF(I119=0,"***",P119/I119)</f>
        <v/>
      </c>
      <c r="X119" s="273">
        <f>W119-V119</f>
        <v/>
      </c>
      <c r="Y119" s="274">
        <f>W119-U119</f>
        <v/>
      </c>
    </row>
    <row r="120">
      <c r="A120" s="27" t="n"/>
      <c r="B120" s="28" t="n"/>
      <c r="C120" s="29" t="n"/>
      <c r="D120" s="30" t="n"/>
      <c r="E120" s="107" t="inlineStr">
        <is>
          <t>機械</t>
        </is>
      </c>
      <c r="F120" s="289" t="n">
        <v>35</v>
      </c>
      <c r="G120" s="277" t="n">
        <v>2</v>
      </c>
      <c r="H120" s="277" t="n">
        <v>400</v>
      </c>
      <c r="I120" s="277" t="n">
        <v>314.45</v>
      </c>
      <c r="J120" s="269">
        <f>I120-H120</f>
        <v/>
      </c>
      <c r="K120" s="269">
        <f>I120-G120</f>
        <v/>
      </c>
      <c r="L120" s="270">
        <f>IF(G120=0,"***",K120/G120)</f>
        <v/>
      </c>
      <c r="M120" s="289" t="n">
        <v>29</v>
      </c>
      <c r="N120" s="277" t="n">
        <v>0</v>
      </c>
      <c r="O120" s="277" t="n">
        <v>80</v>
      </c>
      <c r="P120" s="277" t="n">
        <v>59.63</v>
      </c>
      <c r="Q120" s="269">
        <f>P120-O120</f>
        <v/>
      </c>
      <c r="R120" s="269">
        <f>P120-N120</f>
        <v/>
      </c>
      <c r="S120" s="271">
        <f>IF(N120=0,"***",R120/N120)</f>
        <v/>
      </c>
      <c r="T120" s="272">
        <f>IF(F120=0,"***",M120/F120)</f>
        <v/>
      </c>
      <c r="U120" s="273">
        <f>IF(G120=0,"***",N120/G120)</f>
        <v/>
      </c>
      <c r="V120" s="273">
        <f>IF(H120=0,"***",O120/H120)</f>
        <v/>
      </c>
      <c r="W120" s="273">
        <f>IF(I120=0,"***",P120/I120)</f>
        <v/>
      </c>
      <c r="X120" s="273">
        <f>W120-V120</f>
        <v/>
      </c>
      <c r="Y120" s="274">
        <f>W120-U120</f>
        <v/>
      </c>
    </row>
    <row r="121">
      <c r="A121" s="49" t="n"/>
      <c r="B121" s="50" t="n"/>
      <c r="C121" s="51" t="n"/>
      <c r="D121" s="52" t="inlineStr">
        <is>
          <t>その他</t>
        </is>
      </c>
      <c r="E121" s="106" t="n"/>
      <c r="F121" s="284" t="n">
        <v>39.02500000000001</v>
      </c>
      <c r="G121" s="285" t="n">
        <v>32.296</v>
      </c>
      <c r="H121" s="285" t="n">
        <v>30</v>
      </c>
      <c r="I121" s="285" t="n">
        <v>0</v>
      </c>
      <c r="J121" s="286">
        <f>I121-H121</f>
        <v/>
      </c>
      <c r="K121" s="286">
        <f>I121-G121</f>
        <v/>
      </c>
      <c r="L121" s="287">
        <f>IF(G121=0,"***",K121/G121)</f>
        <v/>
      </c>
      <c r="M121" s="284" t="n">
        <v>6.324999999999999</v>
      </c>
      <c r="N121" s="285" t="n">
        <v>8.956</v>
      </c>
      <c r="O121" s="285" t="n">
        <v>10</v>
      </c>
      <c r="P121" s="285" t="n">
        <v>0</v>
      </c>
      <c r="Q121" s="286" t="n"/>
      <c r="R121" s="286">
        <f>P121-N121</f>
        <v/>
      </c>
      <c r="S121" s="288">
        <f>IF(N121=0,"***",R121/N121)</f>
        <v/>
      </c>
      <c r="T121" s="272">
        <f>IF(F121=0,"***",M121/F121)</f>
        <v/>
      </c>
      <c r="U121" s="273">
        <f>IF(G121=0,"***",N121/G121)</f>
        <v/>
      </c>
      <c r="V121" s="273">
        <f>IF(H121=0,"***",O121/H121)</f>
        <v/>
      </c>
      <c r="W121" s="273">
        <f>IF(I121=0,"***",P121/I121)</f>
        <v/>
      </c>
      <c r="X121" s="273">
        <f>W121-V121</f>
        <v/>
      </c>
      <c r="Y121" s="274">
        <f>W121-U121</f>
        <v/>
      </c>
    </row>
    <row r="122">
      <c r="A122" s="27" t="n"/>
      <c r="B122" s="28" t="n"/>
      <c r="C122" s="29" t="n"/>
      <c r="D122" s="30" t="n"/>
      <c r="E122" s="105" t="inlineStr">
        <is>
          <t>包装資材</t>
        </is>
      </c>
      <c r="F122" s="267">
        <f>F121-F123</f>
        <v/>
      </c>
      <c r="G122" s="268">
        <f>G121-G123</f>
        <v/>
      </c>
      <c r="H122" s="268">
        <f>H121-H123</f>
        <v/>
      </c>
      <c r="I122" s="268">
        <f>I121-I123</f>
        <v/>
      </c>
      <c r="J122" s="269">
        <f>I122-H122</f>
        <v/>
      </c>
      <c r="K122" s="269">
        <f>I122-G122</f>
        <v/>
      </c>
      <c r="L122" s="270">
        <f>IF(G122=0,"***",K122/G122)</f>
        <v/>
      </c>
      <c r="M122" s="267">
        <f>M121-M123</f>
        <v/>
      </c>
      <c r="N122" s="268">
        <f>N121-N123</f>
        <v/>
      </c>
      <c r="O122" s="268">
        <f>O121-O123</f>
        <v/>
      </c>
      <c r="P122" s="268">
        <f>P121-P123</f>
        <v/>
      </c>
      <c r="Q122" s="269">
        <f>P122-O122</f>
        <v/>
      </c>
      <c r="R122" s="269">
        <f>P122-N122</f>
        <v/>
      </c>
      <c r="S122" s="271">
        <f>IF(N122=0,"***",R122/N122)</f>
        <v/>
      </c>
      <c r="T122" s="272">
        <f>IF(F122=0,"***",M122/F122)</f>
        <v/>
      </c>
      <c r="U122" s="273">
        <f>IF(G122=0,"***",N122/G122)</f>
        <v/>
      </c>
      <c r="V122" s="273">
        <f>IF(H122=0,"***",O122/H122)</f>
        <v/>
      </c>
      <c r="W122" s="273">
        <f>IF(I122=0,"***",P122/I122)</f>
        <v/>
      </c>
      <c r="X122" s="273">
        <f>W122-V122</f>
        <v/>
      </c>
      <c r="Y122" s="274">
        <f>W122-U122</f>
        <v/>
      </c>
    </row>
    <row r="123">
      <c r="A123" s="27" t="n"/>
      <c r="B123" s="28" t="n"/>
      <c r="C123" s="29" t="n"/>
      <c r="D123" s="30" t="n"/>
      <c r="E123" s="107" t="inlineStr">
        <is>
          <t>機械</t>
        </is>
      </c>
      <c r="F123" s="289" t="n">
        <v>0</v>
      </c>
      <c r="G123" s="277" t="n">
        <v>0</v>
      </c>
      <c r="H123" s="277" t="n">
        <v>0</v>
      </c>
      <c r="I123" s="277" t="n">
        <v>0</v>
      </c>
      <c r="J123" s="269">
        <f>I123-H123</f>
        <v/>
      </c>
      <c r="K123" s="269">
        <f>I123-G123</f>
        <v/>
      </c>
      <c r="L123" s="270">
        <f>IF(G123=0,"***",K123/G123)</f>
        <v/>
      </c>
      <c r="M123" s="289" t="n">
        <v>0</v>
      </c>
      <c r="N123" s="277" t="n">
        <v>0</v>
      </c>
      <c r="O123" s="277" t="n">
        <v>0</v>
      </c>
      <c r="P123" s="277" t="n">
        <v>0</v>
      </c>
      <c r="Q123" s="269">
        <f>P123-O123</f>
        <v/>
      </c>
      <c r="R123" s="269">
        <f>P123-N123</f>
        <v/>
      </c>
      <c r="S123" s="271">
        <f>IF(N123=0,"***",R123/N123)</f>
        <v/>
      </c>
      <c r="T123" s="272">
        <f>IF(F123=0,"***",M123/F123)</f>
        <v/>
      </c>
      <c r="U123" s="273">
        <f>IF(G123=0,"***",N123/G123)</f>
        <v/>
      </c>
      <c r="V123" s="273">
        <f>IF(H123=0,"***",O123/H123)</f>
        <v/>
      </c>
      <c r="W123" s="273">
        <f>IF(I123=0,"***",P123/I123)</f>
        <v/>
      </c>
      <c r="X123" s="273">
        <f>W123-V123</f>
        <v/>
      </c>
      <c r="Y123" s="274">
        <f>W123-U123</f>
        <v/>
      </c>
    </row>
    <row r="124">
      <c r="A124" s="27" t="n"/>
      <c r="B124" s="28" t="n"/>
      <c r="C124" s="29" t="n"/>
      <c r="D124" s="52" t="inlineStr">
        <is>
          <t>自治体</t>
        </is>
      </c>
      <c r="E124" s="106" t="n"/>
      <c r="F124" s="284" t="n">
        <v>0</v>
      </c>
      <c r="G124" s="285" t="n">
        <v>0</v>
      </c>
      <c r="H124" s="285" t="n">
        <v>0</v>
      </c>
      <c r="I124" s="285" t="n">
        <v>156</v>
      </c>
      <c r="J124" s="286">
        <f>I124-H124</f>
        <v/>
      </c>
      <c r="K124" s="286">
        <f>I124-G124</f>
        <v/>
      </c>
      <c r="L124" s="287">
        <f>IF(G124=0,"***",K124/G124)</f>
        <v/>
      </c>
      <c r="M124" s="284" t="n">
        <v>0</v>
      </c>
      <c r="N124" s="285" t="n">
        <v>0</v>
      </c>
      <c r="O124" s="285" t="n">
        <v>0</v>
      </c>
      <c r="P124" s="285" t="n">
        <v>4.8</v>
      </c>
      <c r="Q124" s="286">
        <f>P124-O124</f>
        <v/>
      </c>
      <c r="R124" s="286">
        <f>P124-N124</f>
        <v/>
      </c>
      <c r="S124" s="288">
        <f>IF(N124=0,"***",R124/N124)</f>
        <v/>
      </c>
      <c r="T124" s="272">
        <f>IF(F124=0,"***",M124/F124)</f>
        <v/>
      </c>
      <c r="U124" s="273">
        <f>IF(G124=0,"***",N124/G124)</f>
        <v/>
      </c>
      <c r="V124" s="273">
        <f>IF(H124=0,"***",O124/H124)</f>
        <v/>
      </c>
      <c r="W124" s="273">
        <f>IF(I124=0,"***",P124/I124)</f>
        <v/>
      </c>
      <c r="X124" s="273">
        <f>W124-V124</f>
        <v/>
      </c>
      <c r="Y124" s="274">
        <f>W124-U124</f>
        <v/>
      </c>
    </row>
    <row r="125">
      <c r="A125" s="27" t="n"/>
      <c r="B125" s="28" t="n"/>
      <c r="C125" s="29" t="n"/>
      <c r="D125" s="30" t="n"/>
      <c r="E125" s="105" t="inlineStr">
        <is>
          <t>包装資材</t>
        </is>
      </c>
      <c r="F125" s="267">
        <f>F124-F126</f>
        <v/>
      </c>
      <c r="G125" s="268">
        <f>G124-G126</f>
        <v/>
      </c>
      <c r="H125" s="268">
        <f>H124-H126</f>
        <v/>
      </c>
      <c r="I125" s="268">
        <f>I124-I126</f>
        <v/>
      </c>
      <c r="J125" s="269">
        <f>I125-H125</f>
        <v/>
      </c>
      <c r="K125" s="269">
        <f>I125-G125</f>
        <v/>
      </c>
      <c r="L125" s="270">
        <f>IF(G125=0,"***",K125/G125)</f>
        <v/>
      </c>
      <c r="M125" s="267">
        <f>M124-M126</f>
        <v/>
      </c>
      <c r="N125" s="268">
        <f>N124-N126</f>
        <v/>
      </c>
      <c r="O125" s="268">
        <f>O124-O126</f>
        <v/>
      </c>
      <c r="P125" s="268">
        <f>P124-P126</f>
        <v/>
      </c>
      <c r="Q125" s="269">
        <f>P125-O125</f>
        <v/>
      </c>
      <c r="R125" s="269">
        <f>P125-N125</f>
        <v/>
      </c>
      <c r="S125" s="271">
        <f>IF(N125=0,"***",R125/N125)</f>
        <v/>
      </c>
      <c r="T125" s="272">
        <f>IF(F125=0,"***",M125/F125)</f>
        <v/>
      </c>
      <c r="U125" s="273">
        <f>IF(G125=0,"***",N125/G125)</f>
        <v/>
      </c>
      <c r="V125" s="273">
        <f>IF(H125=0,"***",O125/H125)</f>
        <v/>
      </c>
      <c r="W125" s="273">
        <f>IF(I125=0,"***",P125/I125)</f>
        <v/>
      </c>
      <c r="X125" s="273">
        <f>W125-V125</f>
        <v/>
      </c>
      <c r="Y125" s="274">
        <f>W125-U125</f>
        <v/>
      </c>
    </row>
    <row r="126">
      <c r="A126" s="27" t="n"/>
      <c r="B126" s="28" t="n"/>
      <c r="C126" s="29" t="n"/>
      <c r="D126" s="30" t="n"/>
      <c r="E126" s="107" t="inlineStr">
        <is>
          <t>機械</t>
        </is>
      </c>
      <c r="F126" s="289" t="n">
        <v>0</v>
      </c>
      <c r="G126" s="277" t="n">
        <v>0</v>
      </c>
      <c r="H126" s="277" t="n">
        <v>0</v>
      </c>
      <c r="I126" s="277" t="n">
        <v>0</v>
      </c>
      <c r="J126" s="269">
        <f>I126-H126</f>
        <v/>
      </c>
      <c r="K126" s="269">
        <f>I126-G126</f>
        <v/>
      </c>
      <c r="L126" s="270">
        <f>IF(G126=0,"***",K126/G126)</f>
        <v/>
      </c>
      <c r="M126" s="289" t="n">
        <v>0</v>
      </c>
      <c r="N126" s="277" t="n">
        <v>0</v>
      </c>
      <c r="O126" s="277" t="n">
        <v>0</v>
      </c>
      <c r="P126" s="277" t="n">
        <v>0</v>
      </c>
      <c r="Q126" s="269">
        <f>P126-O126</f>
        <v/>
      </c>
      <c r="R126" s="269">
        <f>P126-N126</f>
        <v/>
      </c>
      <c r="S126" s="271">
        <f>IF(N126=0,"***",R126/N126)</f>
        <v/>
      </c>
      <c r="T126" s="272">
        <f>IF(F126=0,"***",M126/F126)</f>
        <v/>
      </c>
      <c r="U126" s="273">
        <f>IF(G126=0,"***",N126/G126)</f>
        <v/>
      </c>
      <c r="V126" s="273">
        <f>IF(H126=0,"***",O126/H126)</f>
        <v/>
      </c>
      <c r="W126" s="273">
        <f>IF(I126=0,"***",P126/I126)</f>
        <v/>
      </c>
      <c r="X126" s="273">
        <f>W126-V126</f>
        <v/>
      </c>
      <c r="Y126" s="274">
        <f>W126-U126</f>
        <v/>
      </c>
    </row>
    <row r="127">
      <c r="A127" s="118" t="n"/>
      <c r="B127" s="50" t="n"/>
      <c r="C127" s="61" t="inlineStr">
        <is>
          <t>境港営業所</t>
        </is>
      </c>
      <c r="D127" s="62" t="n"/>
      <c r="E127" s="62" t="n"/>
      <c r="F127" s="302">
        <f>F124+F121+F118+F115+F112+F109+F106+F103+F100</f>
        <v/>
      </c>
      <c r="G127" s="303">
        <f>G124+G121+G118+G115+G112+G109+G106+G103+G100</f>
        <v/>
      </c>
      <c r="H127" s="303">
        <f>H124+H121+H118+H115+H112+H109+H106+H103+H100</f>
        <v/>
      </c>
      <c r="I127" s="303">
        <f>I124+I121+I118+I115+I112+I109+I106+I103+I100</f>
        <v/>
      </c>
      <c r="J127" s="293">
        <f>I127-H127</f>
        <v/>
      </c>
      <c r="K127" s="293">
        <f>I127-G127</f>
        <v/>
      </c>
      <c r="L127" s="294">
        <f>IF(G127=0,"***",K127/G127)</f>
        <v/>
      </c>
      <c r="M127" s="303">
        <f>M124+M121+M118+M115+M112+M109+M106+M103+M100</f>
        <v/>
      </c>
      <c r="N127" s="303">
        <f>N124+N121+N118+N115+N112+N109+N106+N103+N100</f>
        <v/>
      </c>
      <c r="O127" s="303">
        <f>O124+O121+O118+O115+O112+O109+O106+O103+O100</f>
        <v/>
      </c>
      <c r="P127" s="303">
        <f>P124+P121+P118+P115+P112+P109+P106+P103+P100</f>
        <v/>
      </c>
      <c r="Q127" s="293">
        <f>P127-O127</f>
        <v/>
      </c>
      <c r="R127" s="293">
        <f>P127-N127</f>
        <v/>
      </c>
      <c r="S127" s="296">
        <f>IF(N127=0,"***",R127/N127)</f>
        <v/>
      </c>
      <c r="T127" s="297">
        <f>IF(F127=0,"***",M127/F127)</f>
        <v/>
      </c>
      <c r="U127" s="298">
        <f>IF(G127=0,"***",N127/G127)</f>
        <v/>
      </c>
      <c r="V127" s="298">
        <f>IF(H127=0,"***",O127/H127)</f>
        <v/>
      </c>
      <c r="W127" s="298">
        <f>IF(I127=0,"***",P127/I127)</f>
        <v/>
      </c>
      <c r="X127" s="299">
        <f>W127-V127</f>
        <v/>
      </c>
      <c r="Y127" s="300">
        <f>W127-U127</f>
        <v/>
      </c>
    </row>
    <row r="128">
      <c r="A128" s="118" t="n"/>
      <c r="B128" s="50" t="n"/>
      <c r="C128" s="73" t="n"/>
      <c r="D128" s="74" t="inlineStr">
        <is>
          <t>営業</t>
        </is>
      </c>
      <c r="E128" s="62" t="n"/>
      <c r="F128" s="302">
        <f>F127-F131</f>
        <v/>
      </c>
      <c r="G128" s="303">
        <f>G127-G131</f>
        <v/>
      </c>
      <c r="H128" s="303">
        <f>H127-H131</f>
        <v/>
      </c>
      <c r="I128" s="303">
        <f>I127-I131</f>
        <v/>
      </c>
      <c r="J128" s="293">
        <f>I128-H128</f>
        <v/>
      </c>
      <c r="K128" s="293">
        <f>I128-G128</f>
        <v/>
      </c>
      <c r="L128" s="294">
        <f>IF(G128=0,"***",K128/G128)</f>
        <v/>
      </c>
      <c r="M128" s="303">
        <f>M127-M131</f>
        <v/>
      </c>
      <c r="N128" s="303">
        <f>N127-N131</f>
        <v/>
      </c>
      <c r="O128" s="303">
        <f>O127-O131</f>
        <v/>
      </c>
      <c r="P128" s="303">
        <f>P127-P131</f>
        <v/>
      </c>
      <c r="Q128" s="293">
        <f>P128-O128</f>
        <v/>
      </c>
      <c r="R128" s="293">
        <f>P128-N128</f>
        <v/>
      </c>
      <c r="S128" s="296">
        <f>IF(N128=0,"***",R128/N128)</f>
        <v/>
      </c>
      <c r="T128" s="297">
        <f>IF(F128=0,"***",M128/F128)</f>
        <v/>
      </c>
      <c r="U128" s="301">
        <f>IF(G128=0,"***",N128/G128)</f>
        <v/>
      </c>
      <c r="V128" s="301">
        <f>IF(H128=0,"***",O128/H128)</f>
        <v/>
      </c>
      <c r="W128" s="301">
        <f>IF(I128=0,"***",P128/I128)</f>
        <v/>
      </c>
      <c r="X128" s="299">
        <f>W128-V128</f>
        <v/>
      </c>
      <c r="Y128" s="300">
        <f>W128-U128</f>
        <v/>
      </c>
    </row>
    <row r="129">
      <c r="A129" s="118" t="n"/>
      <c r="B129" s="50" t="n"/>
      <c r="C129" s="73" t="n"/>
      <c r="D129" s="76" t="n"/>
      <c r="E129" s="80" t="inlineStr">
        <is>
          <t>包装資材</t>
        </is>
      </c>
      <c r="F129" s="302">
        <f>F128-F130</f>
        <v/>
      </c>
      <c r="G129" s="292">
        <f>G128-G130</f>
        <v/>
      </c>
      <c r="H129" s="292">
        <f>H128-H130</f>
        <v/>
      </c>
      <c r="I129" s="292">
        <f>I128-I130</f>
        <v/>
      </c>
      <c r="J129" s="293">
        <f>I129-H129</f>
        <v/>
      </c>
      <c r="K129" s="293">
        <f>I129-G129</f>
        <v/>
      </c>
      <c r="L129" s="294">
        <f>IF(G129=0,"***",K129/G129)</f>
        <v/>
      </c>
      <c r="M129" s="303">
        <f>M128-M130</f>
        <v/>
      </c>
      <c r="N129" s="292">
        <f>N128-N130</f>
        <v/>
      </c>
      <c r="O129" s="292">
        <f>O128-O130</f>
        <v/>
      </c>
      <c r="P129" s="292">
        <f>P128-P130</f>
        <v/>
      </c>
      <c r="Q129" s="293">
        <f>P129-O129</f>
        <v/>
      </c>
      <c r="R129" s="293">
        <f>P129-N129</f>
        <v/>
      </c>
      <c r="S129" s="296">
        <f>IF(N129=0,"***",R129/N129)</f>
        <v/>
      </c>
      <c r="T129" s="297">
        <f>IF(F129=0,"***",M129/F129)</f>
        <v/>
      </c>
      <c r="U129" s="301">
        <f>IF(G129=0,"***",N129/G129)</f>
        <v/>
      </c>
      <c r="V129" s="301">
        <f>IF(H129=0,"***",O129/H129)</f>
        <v/>
      </c>
      <c r="W129" s="301">
        <f>IF(I129=0,"***",P129/I129)</f>
        <v/>
      </c>
      <c r="X129" s="299">
        <f>W129-V129</f>
        <v/>
      </c>
      <c r="Y129" s="300">
        <f>W129-U129</f>
        <v/>
      </c>
    </row>
    <row r="130">
      <c r="A130" s="118" t="n"/>
      <c r="B130" s="50" t="n"/>
      <c r="C130" s="73" t="n"/>
      <c r="D130" s="78" t="n"/>
      <c r="E130" s="80" t="inlineStr">
        <is>
          <t>機械</t>
        </is>
      </c>
      <c r="F130" s="302">
        <f>F123+F117+F114+F111+F108+F105+F102</f>
        <v/>
      </c>
      <c r="G130" s="303">
        <f>G123+G117+G114+G111+G108+G105+G102</f>
        <v/>
      </c>
      <c r="H130" s="303">
        <f>H123+H117+H114+H111+H108+H105+H102</f>
        <v/>
      </c>
      <c r="I130" s="303">
        <f>I123+I117+I114+I111+I108+I105+I102</f>
        <v/>
      </c>
      <c r="J130" s="293">
        <f>I130-H130</f>
        <v/>
      </c>
      <c r="K130" s="293">
        <f>I130-G130</f>
        <v/>
      </c>
      <c r="L130" s="294">
        <f>IF(G130=0,"***",K130/G130)</f>
        <v/>
      </c>
      <c r="M130" s="303">
        <f>M123+M117+M114+M111+M108+M105+M102</f>
        <v/>
      </c>
      <c r="N130" s="303">
        <f>N123+N117+N114+N111+N108+N105+N102</f>
        <v/>
      </c>
      <c r="O130" s="303">
        <f>O123+O117+O114+O111+O108+O105+O102</f>
        <v/>
      </c>
      <c r="P130" s="303">
        <f>P123+P117+P114+P111+P108+P105+P102</f>
        <v/>
      </c>
      <c r="Q130" s="293">
        <f>P130-O130</f>
        <v/>
      </c>
      <c r="R130" s="293">
        <f>P130-N130</f>
        <v/>
      </c>
      <c r="S130" s="296">
        <f>IF(N130=0,"***",R130/N130)</f>
        <v/>
      </c>
      <c r="T130" s="297">
        <f>IF(F130=0,"***",M130/F130)</f>
        <v/>
      </c>
      <c r="U130" s="301">
        <f>IF(G130=0,"***",N130/G130)</f>
        <v/>
      </c>
      <c r="V130" s="301">
        <f>IF(H130=0,"***",O130/H130)</f>
        <v/>
      </c>
      <c r="W130" s="301">
        <f>IF(I130=0,"***",P130/I130)</f>
        <v/>
      </c>
      <c r="X130" s="299">
        <f>W130-V130</f>
        <v/>
      </c>
      <c r="Y130" s="300">
        <f>W130-U130</f>
        <v/>
      </c>
    </row>
    <row r="131">
      <c r="A131" s="118" t="n"/>
      <c r="B131" s="50" t="n"/>
      <c r="C131" s="79" t="n"/>
      <c r="D131" s="80" t="inlineStr">
        <is>
          <t>海外</t>
        </is>
      </c>
      <c r="E131" s="119" t="n"/>
      <c r="F131" s="328" t="n">
        <v>232.15</v>
      </c>
      <c r="G131" s="329" t="n">
        <v>21.15</v>
      </c>
      <c r="H131" s="329" t="n">
        <v>530</v>
      </c>
      <c r="I131" s="329" t="n">
        <v>314.45</v>
      </c>
      <c r="J131" s="293">
        <f>I131-H131</f>
        <v/>
      </c>
      <c r="K131" s="293">
        <f>I131-G131</f>
        <v/>
      </c>
      <c r="L131" s="294">
        <f>IF(G131=0,"***",K131/G131)</f>
        <v/>
      </c>
      <c r="M131" s="303" t="n">
        <v>73.45</v>
      </c>
      <c r="N131" s="303" t="n">
        <v>5.8</v>
      </c>
      <c r="O131" s="303" t="n">
        <v>100</v>
      </c>
      <c r="P131" s="303" t="n">
        <v>59.63</v>
      </c>
      <c r="Q131" s="293">
        <f>P131-O131</f>
        <v/>
      </c>
      <c r="R131" s="293">
        <f>P131-N131</f>
        <v/>
      </c>
      <c r="S131" s="296">
        <f>IF(N131=0,"***",R131/N131)</f>
        <v/>
      </c>
      <c r="T131" s="297">
        <f>IF(F131=0,"***",M131/F131)</f>
        <v/>
      </c>
      <c r="U131" s="301">
        <f>IF(G131=0,"***",N131/G131)</f>
        <v/>
      </c>
      <c r="V131" s="301">
        <f>IF(H131=0,"***",O131/H131)</f>
        <v/>
      </c>
      <c r="W131" s="301">
        <f>IF(I131=0,"***",P131/I131)</f>
        <v/>
      </c>
      <c r="X131" s="299">
        <f>W131-V131</f>
        <v/>
      </c>
      <c r="Y131" s="300">
        <f>W131-U131</f>
        <v/>
      </c>
    </row>
    <row r="132">
      <c r="A132" s="118" t="n"/>
      <c r="B132" s="122" t="inlineStr">
        <is>
          <t>営業部門</t>
        </is>
      </c>
      <c r="C132" s="123" t="n"/>
      <c r="D132" s="123" t="n"/>
      <c r="E132" s="123" t="n"/>
      <c r="F132" s="330">
        <f>F127++F97+F71+F51+F25</f>
        <v/>
      </c>
      <c r="G132" s="331">
        <f>G127++G97+G71+G51+G25</f>
        <v/>
      </c>
      <c r="H132" s="331">
        <f>H127++H97+H71+H51+H25</f>
        <v/>
      </c>
      <c r="I132" s="331">
        <f>I127++I97+I71+I51+I25</f>
        <v/>
      </c>
      <c r="J132" s="332">
        <f>I132-H132</f>
        <v/>
      </c>
      <c r="K132" s="332">
        <f>I132-G132</f>
        <v/>
      </c>
      <c r="L132" s="333">
        <f>IF(G132=0,"***",K132/G132)</f>
        <v/>
      </c>
      <c r="M132" s="331">
        <f>M127++M97+M71+M51+M25</f>
        <v/>
      </c>
      <c r="N132" s="331">
        <f>N127++N97+N71+N51+N25</f>
        <v/>
      </c>
      <c r="O132" s="331">
        <f>O127++O97+O71+O51+O25</f>
        <v/>
      </c>
      <c r="P132" s="331">
        <f>P127++P97+P71+P51+P25</f>
        <v/>
      </c>
      <c r="Q132" s="332">
        <f>P132-O132</f>
        <v/>
      </c>
      <c r="R132" s="332">
        <f>P132-N132</f>
        <v/>
      </c>
      <c r="S132" s="334">
        <f>IF(N132=0,"***",R132/N132)</f>
        <v/>
      </c>
      <c r="T132" s="335">
        <f>IF(F132=0,"***",M132/F132)</f>
        <v/>
      </c>
      <c r="U132" s="336">
        <f>IF(G132=0,"***",N132/G132)</f>
        <v/>
      </c>
      <c r="V132" s="336">
        <f>IF(H132=0,"***",O132/H132)</f>
        <v/>
      </c>
      <c r="W132" s="336">
        <f>IF(I132=0,"***",P132/I132)</f>
        <v/>
      </c>
      <c r="X132" s="336">
        <f>W132-V132</f>
        <v/>
      </c>
      <c r="Y132" s="333">
        <f>W132-U132</f>
        <v/>
      </c>
    </row>
    <row r="133">
      <c r="A133" s="118" t="n"/>
      <c r="B133" s="50" t="n"/>
      <c r="C133" s="123" t="n"/>
      <c r="D133" s="123" t="n"/>
      <c r="E133" s="131" t="inlineStr">
        <is>
          <t>機械以外</t>
        </is>
      </c>
      <c r="F133" s="330">
        <f>F132-F134</f>
        <v/>
      </c>
      <c r="G133" s="331">
        <f>G132-G134</f>
        <v/>
      </c>
      <c r="H133" s="331">
        <f>H132-H134</f>
        <v/>
      </c>
      <c r="I133" s="331">
        <f>I132-I134</f>
        <v/>
      </c>
      <c r="J133" s="332">
        <f>I133-H133</f>
        <v/>
      </c>
      <c r="K133" s="332">
        <f>I133-G133</f>
        <v/>
      </c>
      <c r="L133" s="333">
        <f>IF(G133=0,"***",K133/G133)</f>
        <v/>
      </c>
      <c r="M133" s="331">
        <f>M132-M134</f>
        <v/>
      </c>
      <c r="N133" s="331">
        <f>N132-N134</f>
        <v/>
      </c>
      <c r="O133" s="331">
        <f>O132-O134</f>
        <v/>
      </c>
      <c r="P133" s="331">
        <f>P132-P134</f>
        <v/>
      </c>
      <c r="Q133" s="332">
        <f>P133-O133</f>
        <v/>
      </c>
      <c r="R133" s="332">
        <f>P133-N133</f>
        <v/>
      </c>
      <c r="S133" s="334">
        <f>IF(N133=0,"***",R133/N133)</f>
        <v/>
      </c>
      <c r="T133" s="335">
        <f>IF(F133=0,"***",M133/F133)</f>
        <v/>
      </c>
      <c r="U133" s="336">
        <f>IF(G133=0,"***",N133/G133)</f>
        <v/>
      </c>
      <c r="V133" s="336">
        <f>IF(H133=0,"***",O133/H133)</f>
        <v/>
      </c>
      <c r="W133" s="336">
        <f>IF(I133=0,"***",P133/I133)</f>
        <v/>
      </c>
      <c r="X133" s="336">
        <f>W133-V133</f>
        <v/>
      </c>
      <c r="Y133" s="333">
        <f>W133-U133</f>
        <v/>
      </c>
    </row>
    <row r="134">
      <c r="A134" s="118" t="n"/>
      <c r="B134" s="50" t="n"/>
      <c r="C134" s="123" t="n"/>
      <c r="D134" s="123" t="n"/>
      <c r="E134" s="131" t="inlineStr">
        <is>
          <t>機械</t>
        </is>
      </c>
      <c r="F134" s="337">
        <f>F130+F99+F74+F54+F28</f>
        <v/>
      </c>
      <c r="G134" s="338">
        <f>G130+G99+G74+G54+G28</f>
        <v/>
      </c>
      <c r="H134" s="338">
        <f>H130+H99+H74+H54+H28</f>
        <v/>
      </c>
      <c r="I134" s="338">
        <f>I130+I99+I74+I54+I28</f>
        <v/>
      </c>
      <c r="J134" s="339">
        <f>I134-H134</f>
        <v/>
      </c>
      <c r="K134" s="339">
        <f>I134-G134</f>
        <v/>
      </c>
      <c r="L134" s="340">
        <f>IF(G134=0,"***",K134/G134)</f>
        <v/>
      </c>
      <c r="M134" s="338">
        <f>M130+M99+M74+M54+M28</f>
        <v/>
      </c>
      <c r="N134" s="338">
        <f>N130+N99+N74+N54+N28</f>
        <v/>
      </c>
      <c r="O134" s="338">
        <f>O130+O99+O74+O54+O28</f>
        <v/>
      </c>
      <c r="P134" s="338">
        <f>P130+P99+P74+P54+P28</f>
        <v/>
      </c>
      <c r="Q134" s="339">
        <f>P134-O134</f>
        <v/>
      </c>
      <c r="R134" s="339">
        <f>P134-N134</f>
        <v/>
      </c>
      <c r="S134" s="341">
        <f>IF(N134=0,"***",R134/N134)</f>
        <v/>
      </c>
      <c r="T134" s="342">
        <f>IF(F134=0,"***",M134/F134)</f>
        <v/>
      </c>
      <c r="U134" s="343">
        <f>IF(G134=0,"***",N134/G134)</f>
        <v/>
      </c>
      <c r="V134" s="343">
        <f>IF(H134=0,"***",O134/H134)</f>
        <v/>
      </c>
      <c r="W134" s="343">
        <f>IF(I134=0,"***",P134/I134)</f>
        <v/>
      </c>
      <c r="X134" s="343">
        <f>W134-V134</f>
        <v/>
      </c>
      <c r="Y134" s="344">
        <f>W134-U134</f>
        <v/>
      </c>
    </row>
    <row r="135">
      <c r="A135" s="49" t="n"/>
      <c r="B135" s="139" t="inlineStr">
        <is>
          <t>水産部</t>
        </is>
      </c>
      <c r="C135" s="140" t="n"/>
      <c r="D135" s="141" t="n"/>
      <c r="E135" s="142" t="n"/>
      <c r="F135" s="345" t="n">
        <v>27052.538</v>
      </c>
      <c r="G135" s="346" t="n">
        <v>26566.747</v>
      </c>
      <c r="H135" s="347" t="n">
        <v>28670</v>
      </c>
      <c r="I135" s="348" t="n">
        <v>32703.688</v>
      </c>
      <c r="J135" s="349">
        <f>I135-H135</f>
        <v/>
      </c>
      <c r="K135" s="349">
        <f>I135-G135</f>
        <v/>
      </c>
      <c r="L135" s="350">
        <f>IF(G135=0,"***",K135/G135)</f>
        <v/>
      </c>
      <c r="M135" s="345" t="n">
        <v>8027.116</v>
      </c>
      <c r="N135" s="346" t="n">
        <v>7803.715</v>
      </c>
      <c r="O135" s="347" t="n">
        <v>8170</v>
      </c>
      <c r="P135" s="348" t="n">
        <v>8776.157000000001</v>
      </c>
      <c r="Q135" s="349">
        <f>P135-O135</f>
        <v/>
      </c>
      <c r="R135" s="349">
        <f>P135-N135</f>
        <v/>
      </c>
      <c r="S135" s="351">
        <f>IF(N135=0,"***",R135/N135)</f>
        <v/>
      </c>
      <c r="T135" s="352">
        <f>IF(F135=0,"***",M135/F135)</f>
        <v/>
      </c>
      <c r="U135" s="353">
        <f>IF(G135=0,"***",N135/G135)</f>
        <v/>
      </c>
      <c r="V135" s="353">
        <f>IF(H135=0,"***",O135/H135)</f>
        <v/>
      </c>
      <c r="W135" s="353">
        <f>IF(I135=0,"***",P135/I135)</f>
        <v/>
      </c>
      <c r="X135" s="353">
        <f>W135-V135</f>
        <v/>
      </c>
      <c r="Y135" s="354">
        <f>W135-U135</f>
        <v/>
      </c>
    </row>
    <row r="136">
      <c r="A136" s="49" t="n"/>
      <c r="B136" s="50" t="n"/>
      <c r="C136" s="123" t="n"/>
      <c r="D136" s="123" t="n"/>
      <c r="E136" s="152" t="inlineStr">
        <is>
          <t>包装資材</t>
        </is>
      </c>
      <c r="F136" s="355">
        <f>F135-F137-F138</f>
        <v/>
      </c>
      <c r="G136" s="356">
        <f>G135-G137-G138</f>
        <v/>
      </c>
      <c r="H136" s="357">
        <f>H135-H137-H138</f>
        <v/>
      </c>
      <c r="I136" s="357">
        <f>I135-I137-I138</f>
        <v/>
      </c>
      <c r="J136" s="332">
        <f>I136-H136</f>
        <v/>
      </c>
      <c r="K136" s="332">
        <f>I136-G136</f>
        <v/>
      </c>
      <c r="L136" s="358">
        <f>IF(G136=0,"***",K136/G136)</f>
        <v/>
      </c>
      <c r="M136" s="355">
        <f>M135-M137-M138</f>
        <v/>
      </c>
      <c r="N136" s="356">
        <f>N135-N137-N138</f>
        <v/>
      </c>
      <c r="O136" s="357">
        <f>O135-O137-O138</f>
        <v/>
      </c>
      <c r="P136" s="357">
        <f>P135-P137-P138</f>
        <v/>
      </c>
      <c r="Q136" s="332">
        <f>P136-O136</f>
        <v/>
      </c>
      <c r="R136" s="332">
        <f>P136-N136</f>
        <v/>
      </c>
      <c r="S136" s="334">
        <f>IF(N136=0,"***",R136/N136)</f>
        <v/>
      </c>
      <c r="T136" s="335">
        <f>IF(F136=0,"***",M136/F136)</f>
        <v/>
      </c>
      <c r="U136" s="336">
        <f>IF(G136=0,"***",N136/G136)</f>
        <v/>
      </c>
      <c r="V136" s="336">
        <f>IF(H136=0,"***",O136/H136)</f>
        <v/>
      </c>
      <c r="W136" s="336">
        <f>IF(I136=0,"***",P136/I136)</f>
        <v/>
      </c>
      <c r="X136" s="336">
        <f>W136-V136</f>
        <v/>
      </c>
      <c r="Y136" s="333">
        <f>W136-U136</f>
        <v/>
      </c>
    </row>
    <row r="137">
      <c r="A137" s="49" t="n"/>
      <c r="B137" s="50" t="n"/>
      <c r="C137" s="123" t="n"/>
      <c r="D137" s="123" t="n"/>
      <c r="E137" s="156" t="inlineStr">
        <is>
          <t>荷役</t>
        </is>
      </c>
      <c r="F137" s="359" t="n">
        <v>6750.28</v>
      </c>
      <c r="G137" s="360" t="n">
        <v>3372.415</v>
      </c>
      <c r="H137" s="361" t="n">
        <v>3840</v>
      </c>
      <c r="I137" s="361" t="n">
        <v>3402.158</v>
      </c>
      <c r="J137" s="332">
        <f>I137-H137</f>
        <v/>
      </c>
      <c r="K137" s="332">
        <f>I137-G137</f>
        <v/>
      </c>
      <c r="L137" s="358">
        <f>IF(G137=0,"***",K137/G137)</f>
        <v/>
      </c>
      <c r="M137" s="359" t="n">
        <v>4107.718000000001</v>
      </c>
      <c r="N137" s="360" t="n">
        <v>2118.043</v>
      </c>
      <c r="O137" s="361" t="n">
        <v>2380</v>
      </c>
      <c r="P137" s="361" t="n">
        <v>2241.816</v>
      </c>
      <c r="Q137" s="332">
        <f>P137-O137</f>
        <v/>
      </c>
      <c r="R137" s="332">
        <f>P137-N137</f>
        <v/>
      </c>
      <c r="S137" s="334">
        <f>IF(N137=0,"***",R137/N137)</f>
        <v/>
      </c>
      <c r="T137" s="335">
        <f>IF(F137=0,"***",M137/F137)</f>
        <v/>
      </c>
      <c r="U137" s="336">
        <f>IF(G137=0,"***",N137/G137)</f>
        <v/>
      </c>
      <c r="V137" s="336">
        <f>IF(H137=0,"***",O137/H137)</f>
        <v/>
      </c>
      <c r="W137" s="336">
        <f>IF(I137=0,"***",P137/I137)</f>
        <v/>
      </c>
      <c r="X137" s="336">
        <f>W137-V137</f>
        <v/>
      </c>
      <c r="Y137" s="333">
        <f>W137-U137</f>
        <v/>
      </c>
    </row>
    <row r="138">
      <c r="A138" s="49" t="n"/>
      <c r="B138" s="160" t="n"/>
      <c r="C138" s="161" t="n"/>
      <c r="D138" s="161" t="n"/>
      <c r="E138" s="162" t="inlineStr">
        <is>
          <t>機械</t>
        </is>
      </c>
      <c r="F138" s="362" t="n">
        <v>124.2</v>
      </c>
      <c r="G138" s="363" t="n">
        <v>90.48</v>
      </c>
      <c r="H138" s="363" t="n">
        <v>90</v>
      </c>
      <c r="I138" s="363" t="n">
        <v>50.38</v>
      </c>
      <c r="J138" s="339">
        <f>I138-H138</f>
        <v/>
      </c>
      <c r="K138" s="339">
        <f>I138-G138</f>
        <v/>
      </c>
      <c r="L138" s="364">
        <f>IF(G138=0,"***",K138/G138)</f>
        <v/>
      </c>
      <c r="M138" s="362" t="n">
        <v>17.16</v>
      </c>
      <c r="N138" s="363" t="n">
        <v>5.48</v>
      </c>
      <c r="O138" s="363" t="n">
        <v>20</v>
      </c>
      <c r="P138" s="363" t="n">
        <v>8.91</v>
      </c>
      <c r="Q138" s="339">
        <f>P138-O138</f>
        <v/>
      </c>
      <c r="R138" s="339">
        <f>P138-N138</f>
        <v/>
      </c>
      <c r="S138" s="341">
        <f>IF(N138=0,"***",R138/N138)</f>
        <v/>
      </c>
      <c r="T138" s="365">
        <f>IF(F138=0,"***",M138/F138)</f>
        <v/>
      </c>
      <c r="U138" s="366">
        <f>IF(G138=0,"***",N138/G138)</f>
        <v/>
      </c>
      <c r="V138" s="366">
        <f>IF(H138=0,"***",O138/H138)</f>
        <v/>
      </c>
      <c r="W138" s="366">
        <f>IF(I138=0,"***",P138/I138)</f>
        <v/>
      </c>
      <c r="X138" s="366">
        <f>W138-V138</f>
        <v/>
      </c>
      <c r="Y138" s="340">
        <f>W138-U138</f>
        <v/>
      </c>
    </row>
    <row r="139">
      <c r="A139" s="168" t="inlineStr">
        <is>
          <t>合計</t>
        </is>
      </c>
      <c r="B139" s="169" t="n"/>
      <c r="C139" s="169" t="n"/>
      <c r="D139" s="169" t="n"/>
      <c r="E139" s="169" t="n"/>
      <c r="F139" s="367">
        <f>F135+F132</f>
        <v/>
      </c>
      <c r="G139" s="368">
        <f>G135+G132</f>
        <v/>
      </c>
      <c r="H139" s="368">
        <f>H135+H132</f>
        <v/>
      </c>
      <c r="I139" s="368">
        <f>I135+I132</f>
        <v/>
      </c>
      <c r="J139" s="369">
        <f>I139-H139</f>
        <v/>
      </c>
      <c r="K139" s="369">
        <f>I139-G139</f>
        <v/>
      </c>
      <c r="L139" s="370">
        <f>IF(G139=0,"***",K139/G139)</f>
        <v/>
      </c>
      <c r="M139" s="368">
        <f>M135+M132</f>
        <v/>
      </c>
      <c r="N139" s="368">
        <f>N135+N132</f>
        <v/>
      </c>
      <c r="O139" s="368">
        <f>O135+O132</f>
        <v/>
      </c>
      <c r="P139" s="368">
        <f>P135+P132</f>
        <v/>
      </c>
      <c r="Q139" s="369">
        <f>P139-O139</f>
        <v/>
      </c>
      <c r="R139" s="369">
        <f>P139-N139</f>
        <v/>
      </c>
      <c r="S139" s="371">
        <f>IF(N139=0,"***",R139/N139)</f>
        <v/>
      </c>
      <c r="T139" s="372">
        <f>IF(F139=0,"***",M139/F139)</f>
        <v/>
      </c>
      <c r="U139" s="373">
        <f>IF(G139=0,"***",N139/G139)</f>
        <v/>
      </c>
      <c r="V139" s="373">
        <f>IF(H139=0,"***",O139/H139)</f>
        <v/>
      </c>
      <c r="W139" s="373">
        <f>IF(I139=0,"***",P139/I139)</f>
        <v/>
      </c>
      <c r="X139" s="373">
        <f>W139-V139</f>
        <v/>
      </c>
      <c r="Y139" s="370">
        <f>W139-U139</f>
        <v/>
      </c>
    </row>
    <row r="140">
      <c r="A140" s="49" t="n"/>
      <c r="B140" s="169" t="n"/>
      <c r="C140" s="169" t="n"/>
      <c r="D140" s="169" t="n"/>
      <c r="E140" s="176" t="inlineStr">
        <is>
          <t>機械以外</t>
        </is>
      </c>
      <c r="F140" s="374">
        <f>F139-F141</f>
        <v/>
      </c>
      <c r="G140" s="375">
        <f>G139-G141</f>
        <v/>
      </c>
      <c r="H140" s="375">
        <f>H139-H141</f>
        <v/>
      </c>
      <c r="I140" s="375">
        <f>I139-I141</f>
        <v/>
      </c>
      <c r="J140" s="376">
        <f>I140-H140</f>
        <v/>
      </c>
      <c r="K140" s="376">
        <f>I140-G140</f>
        <v/>
      </c>
      <c r="L140" s="377">
        <f>IF(G140=0,"***",K140/G140)</f>
        <v/>
      </c>
      <c r="M140" s="374">
        <f>M139-M141</f>
        <v/>
      </c>
      <c r="N140" s="375">
        <f>N139-N141</f>
        <v/>
      </c>
      <c r="O140" s="375">
        <f>O139-O141</f>
        <v/>
      </c>
      <c r="P140" s="375">
        <f>P139-P141</f>
        <v/>
      </c>
      <c r="Q140" s="376">
        <f>P140-O140</f>
        <v/>
      </c>
      <c r="R140" s="376">
        <f>P140-N140</f>
        <v/>
      </c>
      <c r="S140" s="378">
        <f>IF(N140=0,"***",R140/N140)</f>
        <v/>
      </c>
      <c r="T140" s="379">
        <f>IF(F140=0,"***",M140/F140)</f>
        <v/>
      </c>
      <c r="U140" s="380">
        <f>IF(G140=0,"***",N140/G140)</f>
        <v/>
      </c>
      <c r="V140" s="380">
        <f>IF(H140=0,"***",O140/H140)</f>
        <v/>
      </c>
      <c r="W140" s="380">
        <f>IF(I140=0,"***",P140/I140)</f>
        <v/>
      </c>
      <c r="X140" s="380">
        <f>W140-V140</f>
        <v/>
      </c>
      <c r="Y140" s="377">
        <f>W140-U140</f>
        <v/>
      </c>
    </row>
    <row r="141">
      <c r="A141" s="183" t="n"/>
      <c r="B141" s="184" t="n"/>
      <c r="C141" s="184" t="n"/>
      <c r="D141" s="184" t="n"/>
      <c r="E141" s="185" t="inlineStr">
        <is>
          <t>機械</t>
        </is>
      </c>
      <c r="F141" s="381">
        <f>F138+F134</f>
        <v/>
      </c>
      <c r="G141" s="382">
        <f>G138+G134</f>
        <v/>
      </c>
      <c r="H141" s="382">
        <f>H138+H134</f>
        <v/>
      </c>
      <c r="I141" s="382">
        <f>I138+I134</f>
        <v/>
      </c>
      <c r="J141" s="383">
        <f>I141-H141</f>
        <v/>
      </c>
      <c r="K141" s="383">
        <f>I141-G141</f>
        <v/>
      </c>
      <c r="L141" s="384">
        <f>IF(G141=0,"***",K141/G141)</f>
        <v/>
      </c>
      <c r="M141" s="381">
        <f>M138+M134</f>
        <v/>
      </c>
      <c r="N141" s="382">
        <f>N138+N134</f>
        <v/>
      </c>
      <c r="O141" s="382">
        <f>O138+O134</f>
        <v/>
      </c>
      <c r="P141" s="382">
        <f>P138+P134</f>
        <v/>
      </c>
      <c r="Q141" s="383">
        <f>P141-O141</f>
        <v/>
      </c>
      <c r="R141" s="383">
        <f>P141-N141</f>
        <v/>
      </c>
      <c r="S141" s="385">
        <f>IF(N141=0,"***",R141/N141)</f>
        <v/>
      </c>
      <c r="T141" s="386">
        <f>IF(F141=0,"***",M141/F141)</f>
        <v/>
      </c>
      <c r="U141" s="387">
        <f>IF(G141=0,"***",N141/G141)</f>
        <v/>
      </c>
      <c r="V141" s="387">
        <f>IF(H141=0,"***",O141/H141)</f>
        <v/>
      </c>
      <c r="W141" s="387">
        <f>IF(I141=0,"***",P141/I141)</f>
        <v/>
      </c>
      <c r="X141" s="387">
        <f>W141-V141</f>
        <v/>
      </c>
      <c r="Y141" s="384">
        <f>W141-U141</f>
        <v/>
      </c>
    </row>
    <row r="142"/>
    <row r="143">
      <c r="A143" s="192" t="inlineStr">
        <is>
          <t>キョウワ（税抜）</t>
        </is>
      </c>
      <c r="B143" s="193" t="n"/>
      <c r="C143" s="193" t="n"/>
      <c r="D143" s="193" t="n"/>
      <c r="E143" s="193" t="n"/>
      <c r="F143" s="388" t="n">
        <v>1570</v>
      </c>
      <c r="G143" s="389" t="n">
        <v>1190</v>
      </c>
      <c r="H143" s="389" t="n">
        <v>1360</v>
      </c>
      <c r="I143" s="389" t="n">
        <v>3950</v>
      </c>
      <c r="J143" s="390">
        <f>I143-H143</f>
        <v/>
      </c>
      <c r="K143" s="390">
        <f>I143-G143</f>
        <v/>
      </c>
      <c r="L143" s="391">
        <f>IF(G143=0,"***",K143/G143)</f>
        <v/>
      </c>
      <c r="M143" s="388" t="n">
        <v>1040</v>
      </c>
      <c r="N143" s="389" t="n">
        <v>750</v>
      </c>
      <c r="O143" s="389" t="n">
        <v>880</v>
      </c>
      <c r="P143" s="389" t="n">
        <v>1723</v>
      </c>
      <c r="Q143" s="390">
        <f>P143-O143</f>
        <v/>
      </c>
      <c r="R143" s="390">
        <f>P143-N143</f>
        <v/>
      </c>
      <c r="S143" s="392">
        <f>IF(N143=0,"***",R143/N143)</f>
        <v/>
      </c>
      <c r="T143" s="393">
        <f>IF(F143=0,"***",M143/F143)</f>
        <v/>
      </c>
      <c r="U143" s="394">
        <f>IF(G143=0,"***",N143/G143)</f>
        <v/>
      </c>
      <c r="V143" s="394">
        <f>IF(H143=0,"***",O143/H143)</f>
        <v/>
      </c>
      <c r="W143" s="394">
        <f>IF(I143=0,"***",P143/I143)</f>
        <v/>
      </c>
      <c r="X143" s="394">
        <f>W143-V143</f>
        <v/>
      </c>
      <c r="Y143" s="391">
        <f>W143-U143</f>
        <v/>
      </c>
    </row>
  </sheetData>
  <mergeCells count="4">
    <mergeCell ref="F4:L4"/>
    <mergeCell ref="M4:S4"/>
    <mergeCell ref="A4:E6"/>
    <mergeCell ref="T4:Y4"/>
  </mergeCells>
  <pageMargins left="0.708333333333333" right="0.708333333333333" top="0.747916666666667" bottom="0.747916666666667" header="0.511811023622047" footer="0.511811023622047"/>
  <pageSetup orientation="landscape" paperSize="9" fitToHeight="0" horizontalDpi="300" verticalDpi="300"/>
  <rowBreaks count="4" manualBreakCount="4">
    <brk id="29" min="0" max="16383" man="1"/>
    <brk id="55" min="0" max="16383" man="1"/>
    <brk id="75" min="0" max="16383" man="1"/>
    <brk id="9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Y143"/>
  <sheetViews>
    <sheetView tabSelected="1" topLeftCell="A37" workbookViewId="0">
      <selection activeCell="I103" sqref="I103:I104"/>
    </sheetView>
  </sheetViews>
  <sheetFormatPr baseColWidth="8" defaultColWidth="8.5" defaultRowHeight="18.75"/>
  <cols>
    <col width="1.875" customWidth="1" style="236" min="1" max="4"/>
    <col width="19.5" customWidth="1" style="236" min="5" max="5"/>
    <col width="9.5" customWidth="1" style="236" min="8" max="9"/>
    <col width="8.5" customWidth="1" style="241" min="10" max="11"/>
    <col width="9.375" customWidth="1" style="236" min="16" max="16"/>
    <col width="8.5" customWidth="1" style="241" min="17" max="18"/>
    <col width="9.125" customWidth="1" style="236" min="20" max="23"/>
    <col width="9.375" customWidth="1" style="236" min="24" max="25"/>
  </cols>
  <sheetData>
    <row r="2" ht="20.25" customHeight="1" s="236">
      <c r="A2" s="2" t="inlineStr">
        <is>
          <t>2．下期累計実績（4〜8月）</t>
        </is>
      </c>
      <c r="B2" s="2" t="n"/>
    </row>
    <row r="4" ht="24" customHeight="1" s="236">
      <c r="A4" s="233" t="n"/>
      <c r="B4" s="234" t="n"/>
      <c r="C4" s="234" t="n"/>
      <c r="D4" s="234" t="n"/>
      <c r="E4" s="234" t="n"/>
      <c r="F4" s="242" t="inlineStr">
        <is>
          <t>売上</t>
        </is>
      </c>
      <c r="G4" s="230" t="n"/>
      <c r="H4" s="230" t="n"/>
      <c r="I4" s="230" t="n"/>
      <c r="J4" s="230" t="n"/>
      <c r="K4" s="230" t="n"/>
      <c r="L4" s="231" t="n"/>
      <c r="M4" s="243" t="inlineStr">
        <is>
          <t>粗利益</t>
        </is>
      </c>
      <c r="N4" s="230" t="n"/>
      <c r="O4" s="230" t="n"/>
      <c r="P4" s="230" t="n"/>
      <c r="Q4" s="230" t="n"/>
      <c r="R4" s="230" t="n"/>
      <c r="S4" s="230" t="n"/>
      <c r="T4" s="244" t="inlineStr">
        <is>
          <t>粗利益率</t>
        </is>
      </c>
      <c r="U4" s="234" t="n"/>
      <c r="V4" s="234" t="n"/>
      <c r="W4" s="234" t="n"/>
      <c r="X4" s="234" t="n"/>
      <c r="Y4" s="240" t="n"/>
    </row>
    <row r="5">
      <c r="A5" s="235" t="n"/>
      <c r="F5" s="245" t="inlineStr">
        <is>
          <t>令和6年4〜8月</t>
        </is>
      </c>
      <c r="G5" s="246" t="inlineStr">
        <is>
          <t>令和7年4〜8月</t>
        </is>
      </c>
      <c r="H5" s="246" t="inlineStr">
        <is>
          <t>令和8年4〜8月</t>
        </is>
      </c>
      <c r="I5" s="246" t="inlineStr">
        <is>
          <t>令和8年4〜8月</t>
        </is>
      </c>
      <c r="J5" s="247" t="n"/>
      <c r="K5" s="247" t="n"/>
      <c r="L5" s="248" t="n"/>
      <c r="M5" s="245" t="inlineStr">
        <is>
          <t>令和6年4〜8月</t>
        </is>
      </c>
      <c r="N5" s="246" t="inlineStr">
        <is>
          <t>令和7年4〜8月</t>
        </is>
      </c>
      <c r="O5" s="246" t="inlineStr">
        <is>
          <t>令和8年4〜8月</t>
        </is>
      </c>
      <c r="P5" s="246" t="inlineStr">
        <is>
          <t>令和8年4〜8月</t>
        </is>
      </c>
      <c r="Q5" s="247" t="n"/>
      <c r="R5" s="247" t="n"/>
      <c r="S5" s="249" t="n"/>
      <c r="T5" s="245" t="inlineStr">
        <is>
          <t>令和6年4〜8月</t>
        </is>
      </c>
      <c r="U5" s="246" t="inlineStr">
        <is>
          <t>令和7年4〜8月</t>
        </is>
      </c>
      <c r="V5" s="246" t="inlineStr">
        <is>
          <t>令和8年4〜8月</t>
        </is>
      </c>
      <c r="W5" s="246" t="inlineStr">
        <is>
          <t>令和8年4〜8月</t>
        </is>
      </c>
      <c r="X5" s="250" t="n"/>
      <c r="Y5" s="251" t="n"/>
    </row>
    <row r="6">
      <c r="A6" s="237" t="n"/>
      <c r="B6" s="238" t="n"/>
      <c r="C6" s="238" t="n"/>
      <c r="D6" s="238" t="n"/>
      <c r="E6" s="238" t="n"/>
      <c r="F6" s="252" t="inlineStr">
        <is>
          <t>実績</t>
        </is>
      </c>
      <c r="G6" s="253" t="inlineStr">
        <is>
          <t>実績</t>
        </is>
      </c>
      <c r="H6" s="253" t="inlineStr">
        <is>
          <t>計画</t>
        </is>
      </c>
      <c r="I6" s="254" t="inlineStr">
        <is>
          <t>実績</t>
        </is>
      </c>
      <c r="J6" s="255" t="inlineStr">
        <is>
          <t>計画比</t>
        </is>
      </c>
      <c r="K6" s="255" t="inlineStr">
        <is>
          <t>前期比</t>
        </is>
      </c>
      <c r="L6" s="256" t="inlineStr">
        <is>
          <t>年率</t>
        </is>
      </c>
      <c r="M6" s="252" t="inlineStr">
        <is>
          <t>実績</t>
        </is>
      </c>
      <c r="N6" s="253" t="inlineStr">
        <is>
          <t>実績</t>
        </is>
      </c>
      <c r="O6" s="253" t="inlineStr">
        <is>
          <t>計画</t>
        </is>
      </c>
      <c r="P6" s="254" t="inlineStr">
        <is>
          <t>実績</t>
        </is>
      </c>
      <c r="Q6" s="255" t="inlineStr">
        <is>
          <t>計画比</t>
        </is>
      </c>
      <c r="R6" s="255" t="inlineStr">
        <is>
          <t>前期比</t>
        </is>
      </c>
      <c r="S6" s="257" t="inlineStr">
        <is>
          <t>年率</t>
        </is>
      </c>
      <c r="T6" s="252" t="inlineStr">
        <is>
          <t>実績</t>
        </is>
      </c>
      <c r="U6" s="253" t="inlineStr">
        <is>
          <t>実績</t>
        </is>
      </c>
      <c r="V6" s="253" t="inlineStr">
        <is>
          <t>計画</t>
        </is>
      </c>
      <c r="W6" s="254" t="inlineStr">
        <is>
          <t>実績</t>
        </is>
      </c>
      <c r="X6" s="258" t="inlineStr">
        <is>
          <t>計画比</t>
        </is>
      </c>
      <c r="Y6" s="256" t="inlineStr">
        <is>
          <t>前期比</t>
        </is>
      </c>
    </row>
    <row r="7">
      <c r="A7" s="15" t="n"/>
      <c r="B7" s="16" t="n"/>
      <c r="C7" s="17" t="n"/>
      <c r="D7" s="18" t="inlineStr">
        <is>
          <t>佐々木課長</t>
        </is>
      </c>
      <c r="E7" s="19" t="n"/>
      <c r="F7" s="259" t="n">
        <v>91598.68700000001</v>
      </c>
      <c r="G7" s="260" t="n">
        <v>84149.004</v>
      </c>
      <c r="H7" s="260" t="n">
        <v>100170</v>
      </c>
      <c r="I7" s="260" t="n">
        <v>91442.867</v>
      </c>
      <c r="J7" s="261">
        <f>I7-H7</f>
        <v/>
      </c>
      <c r="K7" s="261">
        <f>I7-G7</f>
        <v/>
      </c>
      <c r="L7" s="262">
        <f>IF(G7=0,"***",K7/G7)</f>
        <v/>
      </c>
      <c r="M7" s="259" t="n">
        <v>21503.6837</v>
      </c>
      <c r="N7" s="260" t="n">
        <v>22430.781</v>
      </c>
      <c r="O7" s="260" t="n">
        <v>24270</v>
      </c>
      <c r="P7" s="260" t="n">
        <v>23574.884</v>
      </c>
      <c r="Q7" s="261">
        <f>P7-O7</f>
        <v/>
      </c>
      <c r="R7" s="261">
        <f>P7-N7</f>
        <v/>
      </c>
      <c r="S7" s="263">
        <f>IF(N7=0,"***",R7/N7)</f>
        <v/>
      </c>
      <c r="T7" s="264">
        <f>IF(F7=0,"***",M7/F7)</f>
        <v/>
      </c>
      <c r="U7" s="265">
        <f>IF(G7=0,"***",N7/G7)</f>
        <v/>
      </c>
      <c r="V7" s="265">
        <f>IF(H7=0,"***",O7/H7)</f>
        <v/>
      </c>
      <c r="W7" s="265">
        <f>IF(I7=0,"***",P7/I7)</f>
        <v/>
      </c>
      <c r="X7" s="265">
        <f>W7-V7</f>
        <v/>
      </c>
      <c r="Y7" s="266">
        <f>W7-U7</f>
        <v/>
      </c>
    </row>
    <row r="8">
      <c r="A8" s="27" t="n"/>
      <c r="B8" s="28" t="n"/>
      <c r="C8" s="29" t="n"/>
      <c r="D8" s="30" t="n"/>
      <c r="E8" s="31" t="inlineStr">
        <is>
          <t>包装資材</t>
        </is>
      </c>
      <c r="F8" s="267">
        <f>F7-F9</f>
        <v/>
      </c>
      <c r="G8" s="268">
        <f>G7-G9</f>
        <v/>
      </c>
      <c r="H8" s="268">
        <f>H7-H9</f>
        <v/>
      </c>
      <c r="I8" s="268">
        <f>I7-I9</f>
        <v/>
      </c>
      <c r="J8" s="269">
        <f>I8-H8</f>
        <v/>
      </c>
      <c r="K8" s="269">
        <f>I8-G8</f>
        <v/>
      </c>
      <c r="L8" s="270">
        <f>IF(G8=0,"***",K8/G8)</f>
        <v/>
      </c>
      <c r="M8" s="267">
        <f>M7-M9</f>
        <v/>
      </c>
      <c r="N8" s="268">
        <f>N7-N9</f>
        <v/>
      </c>
      <c r="O8" s="268">
        <f>O7-O9</f>
        <v/>
      </c>
      <c r="P8" s="268">
        <f>P7-P9</f>
        <v/>
      </c>
      <c r="Q8" s="269">
        <f>P8-O8</f>
        <v/>
      </c>
      <c r="R8" s="269">
        <f>P8-N8</f>
        <v/>
      </c>
      <c r="S8" s="271">
        <f>IF(N8=0,"***",R8/N8)</f>
        <v/>
      </c>
      <c r="T8" s="272">
        <f>IF(F8=0,"***",M8/F8)</f>
        <v/>
      </c>
      <c r="U8" s="273">
        <f>IF(G8=0,"***",N8/G8)</f>
        <v/>
      </c>
      <c r="V8" s="273">
        <f>IF(H8=0,"***",O8/H8)</f>
        <v/>
      </c>
      <c r="W8" s="273">
        <f>IF(I8=0,"***",P8/I8)</f>
        <v/>
      </c>
      <c r="X8" s="273">
        <f>W8-V8</f>
        <v/>
      </c>
      <c r="Y8" s="274">
        <f>W8-U8</f>
        <v/>
      </c>
    </row>
    <row r="9">
      <c r="A9" s="27" t="n"/>
      <c r="B9" s="28" t="n"/>
      <c r="C9" s="29" t="n"/>
      <c r="D9" s="30" t="n"/>
      <c r="E9" s="40" t="inlineStr">
        <is>
          <t>機械</t>
        </is>
      </c>
      <c r="F9" s="275" t="n">
        <v>10435.02</v>
      </c>
      <c r="G9" s="276" t="n">
        <v>1707.444</v>
      </c>
      <c r="H9" s="276" t="n">
        <v>5000</v>
      </c>
      <c r="I9" s="277" t="n">
        <v>2671.163</v>
      </c>
      <c r="J9" s="278">
        <f>I9-H9</f>
        <v/>
      </c>
      <c r="K9" s="278">
        <f>I9-G9</f>
        <v/>
      </c>
      <c r="L9" s="279">
        <f>IF(G9=0,"***",K9/G9)</f>
        <v/>
      </c>
      <c r="M9" s="275" t="n">
        <v>1857.386</v>
      </c>
      <c r="N9" s="276" t="n">
        <v>626.3956000000001</v>
      </c>
      <c r="O9" s="276" t="n">
        <v>800</v>
      </c>
      <c r="P9" s="277" t="n">
        <v>805.372</v>
      </c>
      <c r="Q9" s="278">
        <f>P9-O9</f>
        <v/>
      </c>
      <c r="R9" s="278">
        <f>P9-N9</f>
        <v/>
      </c>
      <c r="S9" s="280">
        <f>IF(N9=0,"***",R9/N9)</f>
        <v/>
      </c>
      <c r="T9" s="281">
        <f>IF(F9=0,"***",M9/F9)</f>
        <v/>
      </c>
      <c r="U9" s="282">
        <f>IF(G9=0,"***",N9/G9)</f>
        <v/>
      </c>
      <c r="V9" s="282">
        <f>IF(H9=0,"***",O9/H9)</f>
        <v/>
      </c>
      <c r="W9" s="282">
        <f>IF(I9=0,"***",P9/I9)</f>
        <v/>
      </c>
      <c r="X9" s="282">
        <f>W9-V9</f>
        <v/>
      </c>
      <c r="Y9" s="283">
        <f>W9-U9</f>
        <v/>
      </c>
    </row>
    <row r="10">
      <c r="A10" s="49" t="n"/>
      <c r="B10" s="50" t="n"/>
      <c r="C10" s="51" t="n"/>
      <c r="D10" s="52" t="inlineStr">
        <is>
          <t>川上</t>
        </is>
      </c>
      <c r="E10" s="53" t="n"/>
      <c r="F10" s="284" t="n">
        <v>39658.443</v>
      </c>
      <c r="G10" s="285" t="n">
        <v>37245.22399999999</v>
      </c>
      <c r="H10" s="285" t="n">
        <v>44580</v>
      </c>
      <c r="I10" s="285" t="n">
        <v>52050.339</v>
      </c>
      <c r="J10" s="286">
        <f>I10-H10</f>
        <v/>
      </c>
      <c r="K10" s="286">
        <f>I10-G10</f>
        <v/>
      </c>
      <c r="L10" s="287">
        <f>IF(G10=0,"***",K10/G10)</f>
        <v/>
      </c>
      <c r="M10" s="284" t="n">
        <v>11208.023</v>
      </c>
      <c r="N10" s="285" t="n">
        <v>10474.658</v>
      </c>
      <c r="O10" s="285" t="n">
        <v>11900</v>
      </c>
      <c r="P10" s="285" t="n">
        <v>14725.357</v>
      </c>
      <c r="Q10" s="286">
        <f>P10-O10</f>
        <v/>
      </c>
      <c r="R10" s="286">
        <f>P10-N10</f>
        <v/>
      </c>
      <c r="S10" s="288">
        <f>IF(N10=0,"***",R10/N10)</f>
        <v/>
      </c>
      <c r="T10" s="272">
        <f>IF(F10=0,"***",M10/F10)</f>
        <v/>
      </c>
      <c r="U10" s="273">
        <f>IF(G10=0,"***",N10/G10)</f>
        <v/>
      </c>
      <c r="V10" s="273">
        <f>IF(H10=0,"***",O10/H10)</f>
        <v/>
      </c>
      <c r="W10" s="273">
        <f>IF(I10=0,"***",P10/I10)</f>
        <v/>
      </c>
      <c r="X10" s="273">
        <f>W10-V10</f>
        <v/>
      </c>
      <c r="Y10" s="274">
        <f>W10-U10</f>
        <v/>
      </c>
    </row>
    <row r="11">
      <c r="A11" s="27" t="n"/>
      <c r="B11" s="28" t="n"/>
      <c r="C11" s="29" t="n"/>
      <c r="D11" s="30" t="n"/>
      <c r="E11" s="31" t="inlineStr">
        <is>
          <t>包装資材</t>
        </is>
      </c>
      <c r="F11" s="267">
        <f>F10-F12</f>
        <v/>
      </c>
      <c r="G11" s="268">
        <f>G10-G12</f>
        <v/>
      </c>
      <c r="H11" s="268">
        <f>H10-H12</f>
        <v/>
      </c>
      <c r="I11" s="268">
        <f>I10-I12</f>
        <v/>
      </c>
      <c r="J11" s="269">
        <f>I11-H11</f>
        <v/>
      </c>
      <c r="K11" s="269">
        <f>I11-G11</f>
        <v/>
      </c>
      <c r="L11" s="270">
        <f>IF(G11=0,"***",K11/G11)</f>
        <v/>
      </c>
      <c r="M11" s="267">
        <f>M10-M12</f>
        <v/>
      </c>
      <c r="N11" s="268">
        <f>N10-N12</f>
        <v/>
      </c>
      <c r="O11" s="268">
        <f>O10-O12</f>
        <v/>
      </c>
      <c r="P11" s="268">
        <f>P10-P12</f>
        <v/>
      </c>
      <c r="Q11" s="269">
        <f>P11-O11</f>
        <v/>
      </c>
      <c r="R11" s="269">
        <f>P11-N11</f>
        <v/>
      </c>
      <c r="S11" s="271">
        <f>IF(N11=0,"***",R11/N11)</f>
        <v/>
      </c>
      <c r="T11" s="272">
        <f>IF(F11=0,"***",M11/F11)</f>
        <v/>
      </c>
      <c r="U11" s="273">
        <f>IF(G11=0,"***",N11/G11)</f>
        <v/>
      </c>
      <c r="V11" s="273">
        <f>IF(H11=0,"***",O11/H11)</f>
        <v/>
      </c>
      <c r="W11" s="273">
        <f>IF(I11=0,"***",P11/I11)</f>
        <v/>
      </c>
      <c r="X11" s="273">
        <f>W11-V11</f>
        <v/>
      </c>
      <c r="Y11" s="274">
        <f>W11-U11</f>
        <v/>
      </c>
    </row>
    <row r="12">
      <c r="A12" s="27" t="n"/>
      <c r="B12" s="28" t="n"/>
      <c r="C12" s="29" t="n"/>
      <c r="D12" s="30" t="n"/>
      <c r="E12" s="58" t="inlineStr">
        <is>
          <t>機械</t>
        </is>
      </c>
      <c r="F12" s="289" t="n">
        <v>2223.2</v>
      </c>
      <c r="G12" s="277" t="n">
        <v>561.895</v>
      </c>
      <c r="H12" s="277" t="n">
        <v>5000</v>
      </c>
      <c r="I12" s="277" t="n">
        <v>1345.29</v>
      </c>
      <c r="J12" s="269">
        <f>I12-H12</f>
        <v/>
      </c>
      <c r="K12" s="269">
        <f>I12-G12</f>
        <v/>
      </c>
      <c r="L12" s="270">
        <f>IF(G12=0,"***",K12/G12)</f>
        <v/>
      </c>
      <c r="M12" s="289" t="n">
        <v>790.8099999999999</v>
      </c>
      <c r="N12" s="277" t="n">
        <v>112.618</v>
      </c>
      <c r="O12" s="277" t="n">
        <v>800</v>
      </c>
      <c r="P12" s="277" t="n">
        <v>127.588</v>
      </c>
      <c r="Q12" s="269">
        <f>P12-O12</f>
        <v/>
      </c>
      <c r="R12" s="269">
        <f>P12-N12</f>
        <v/>
      </c>
      <c r="S12" s="271">
        <f>IF(N12=0,"***",R12/N12)</f>
        <v/>
      </c>
      <c r="T12" s="272">
        <f>IF(F12=0,"***",M12/F12)</f>
        <v/>
      </c>
      <c r="U12" s="273">
        <f>IF(G12=0,"***",N12/G12)</f>
        <v/>
      </c>
      <c r="V12" s="273">
        <f>IF(H12=0,"***",O12/H12)</f>
        <v/>
      </c>
      <c r="W12" s="273">
        <f>IF(I12=0,"***",P12/I12)</f>
        <v/>
      </c>
      <c r="X12" s="273">
        <f>W12-V12</f>
        <v/>
      </c>
      <c r="Y12" s="274">
        <f>W12-U12</f>
        <v/>
      </c>
    </row>
    <row r="13">
      <c r="A13" s="49" t="n"/>
      <c r="B13" s="50" t="n"/>
      <c r="C13" s="51" t="n"/>
      <c r="D13" s="52" t="inlineStr">
        <is>
          <t>三浦</t>
        </is>
      </c>
      <c r="E13" s="53" t="n"/>
      <c r="F13" s="284" t="n">
        <v>95023.72499999999</v>
      </c>
      <c r="G13" s="285" t="n">
        <v>99912.88500000001</v>
      </c>
      <c r="H13" s="285" t="n">
        <v>104110</v>
      </c>
      <c r="I13" s="285" t="n">
        <v>112463.558</v>
      </c>
      <c r="J13" s="286">
        <f>I13-H13</f>
        <v/>
      </c>
      <c r="K13" s="286">
        <f>I13-G13</f>
        <v/>
      </c>
      <c r="L13" s="287">
        <f>IF(G13=0,"***",K13/G13)</f>
        <v/>
      </c>
      <c r="M13" s="284" t="n">
        <v>31035.269</v>
      </c>
      <c r="N13" s="285" t="n">
        <v>34174.401</v>
      </c>
      <c r="O13" s="285" t="n">
        <v>34060</v>
      </c>
      <c r="P13" s="285" t="n">
        <v>39255.364</v>
      </c>
      <c r="Q13" s="286">
        <f>P13-O13</f>
        <v/>
      </c>
      <c r="R13" s="286">
        <f>P13-N13</f>
        <v/>
      </c>
      <c r="S13" s="288">
        <f>IF(N13=0,"***",R13/N13)</f>
        <v/>
      </c>
      <c r="T13" s="272">
        <f>IF(F13=0,"***",M13/F13)</f>
        <v/>
      </c>
      <c r="U13" s="273">
        <f>IF(G13=0,"***",N13/G13)</f>
        <v/>
      </c>
      <c r="V13" s="273">
        <f>IF(H13=0,"***",O13/H13)</f>
        <v/>
      </c>
      <c r="W13" s="273">
        <f>IF(I13=0,"***",P13/I13)</f>
        <v/>
      </c>
      <c r="X13" s="273">
        <f>W13-V13</f>
        <v/>
      </c>
      <c r="Y13" s="274">
        <f>W13-U13</f>
        <v/>
      </c>
    </row>
    <row r="14">
      <c r="A14" s="27" t="n"/>
      <c r="B14" s="28" t="n"/>
      <c r="C14" s="29" t="n"/>
      <c r="D14" s="30" t="n"/>
      <c r="E14" s="31" t="inlineStr">
        <is>
          <t>包装資材</t>
        </is>
      </c>
      <c r="F14" s="267">
        <f>F13-F15</f>
        <v/>
      </c>
      <c r="G14" s="267">
        <f>G13-G15</f>
        <v/>
      </c>
      <c r="H14" s="268">
        <f>H13-H15</f>
        <v/>
      </c>
      <c r="I14" s="268">
        <f>I13-I15</f>
        <v/>
      </c>
      <c r="J14" s="269">
        <f>I14-H14</f>
        <v/>
      </c>
      <c r="K14" s="269">
        <f>I14-G14</f>
        <v/>
      </c>
      <c r="L14" s="270">
        <f>IF(G14=0,"***",K14/G14)</f>
        <v/>
      </c>
      <c r="M14" s="267">
        <f>M13-M15</f>
        <v/>
      </c>
      <c r="N14" s="290">
        <f>N13-N15</f>
        <v/>
      </c>
      <c r="O14" s="268">
        <f>O13-O15</f>
        <v/>
      </c>
      <c r="P14" s="268">
        <f>P13-P15</f>
        <v/>
      </c>
      <c r="Q14" s="269">
        <f>P14-O14</f>
        <v/>
      </c>
      <c r="R14" s="269">
        <f>P14-N14</f>
        <v/>
      </c>
      <c r="S14" s="271">
        <f>IF(N14=0,"***",R14/N14)</f>
        <v/>
      </c>
      <c r="T14" s="272">
        <f>IF(F14=0,"***",M14/F14)</f>
        <v/>
      </c>
      <c r="U14" s="273">
        <f>IF(G14=0,"***",N14/G14)</f>
        <v/>
      </c>
      <c r="V14" s="273">
        <f>IF(H14=0,"***",O14/H14)</f>
        <v/>
      </c>
      <c r="W14" s="273">
        <f>IF(I14=0,"***",P14/I14)</f>
        <v/>
      </c>
      <c r="X14" s="273">
        <f>W14-V14</f>
        <v/>
      </c>
      <c r="Y14" s="274">
        <f>W14-U14</f>
        <v/>
      </c>
    </row>
    <row r="15">
      <c r="A15" s="27" t="n"/>
      <c r="B15" s="28" t="n"/>
      <c r="C15" s="29" t="n"/>
      <c r="D15" s="30" t="n"/>
      <c r="E15" s="58" t="inlineStr">
        <is>
          <t>機械</t>
        </is>
      </c>
      <c r="F15" s="289" t="n">
        <v>1034.374</v>
      </c>
      <c r="G15" s="277" t="n">
        <v>721.0605</v>
      </c>
      <c r="H15" s="277" t="n">
        <v>5000</v>
      </c>
      <c r="I15" s="277" t="n">
        <v>968.7360000000001</v>
      </c>
      <c r="J15" s="269">
        <f>I15-H15</f>
        <v/>
      </c>
      <c r="K15" s="269">
        <f>I15-G15</f>
        <v/>
      </c>
      <c r="L15" s="270">
        <f>IF(G15=0,"***",K15/G15)</f>
        <v/>
      </c>
      <c r="M15" s="289" t="n">
        <v>245.085</v>
      </c>
      <c r="N15" s="277" t="n">
        <v>216.831</v>
      </c>
      <c r="O15" s="277" t="n">
        <v>800</v>
      </c>
      <c r="P15" s="277" t="n">
        <v>178.543</v>
      </c>
      <c r="Q15" s="269">
        <f>P15-O15</f>
        <v/>
      </c>
      <c r="R15" s="269">
        <f>P15-N15</f>
        <v/>
      </c>
      <c r="S15" s="271">
        <f>IF(N15=0,"***",R15/N15)</f>
        <v/>
      </c>
      <c r="T15" s="272">
        <f>IF(F15=0,"***",M15/F15)</f>
        <v/>
      </c>
      <c r="U15" s="273">
        <f>IF(G15=0,"***",N15/G15)</f>
        <v/>
      </c>
      <c r="V15" s="273">
        <f>IF(H15=0,"***",O15/H15)</f>
        <v/>
      </c>
      <c r="W15" s="273">
        <f>IF(I15=0,"***",P15/I15)</f>
        <v/>
      </c>
      <c r="X15" s="273">
        <f>W15-V15</f>
        <v/>
      </c>
      <c r="Y15" s="274">
        <f>W15-U15</f>
        <v/>
      </c>
    </row>
    <row r="16">
      <c r="A16" s="49" t="n"/>
      <c r="B16" s="50" t="n"/>
      <c r="C16" s="51" t="n"/>
      <c r="D16" s="52" t="inlineStr">
        <is>
          <t>木村課長</t>
        </is>
      </c>
      <c r="E16" s="53" t="n"/>
      <c r="F16" s="284" t="n">
        <v>100172.787</v>
      </c>
      <c r="G16" s="285" t="n">
        <v>85350.66299999999</v>
      </c>
      <c r="H16" s="285" t="n">
        <v>96530</v>
      </c>
      <c r="I16" s="285" t="n">
        <v>102658.616</v>
      </c>
      <c r="J16" s="286">
        <f>I16-H16</f>
        <v/>
      </c>
      <c r="K16" s="286">
        <f>I16-G16</f>
        <v/>
      </c>
      <c r="L16" s="287">
        <f>IF(G16=0,"***",K16/G16)</f>
        <v/>
      </c>
      <c r="M16" s="284" t="n">
        <v>22216.8795</v>
      </c>
      <c r="N16" s="285" t="n">
        <v>21288.5946</v>
      </c>
      <c r="O16" s="285" t="n">
        <v>22840</v>
      </c>
      <c r="P16" s="285" t="n">
        <v>28216.1004</v>
      </c>
      <c r="Q16" s="286">
        <f>P16-O16</f>
        <v/>
      </c>
      <c r="R16" s="286">
        <f>P16-N16</f>
        <v/>
      </c>
      <c r="S16" s="288">
        <f>IF(N16=0,"***",R16/N16)</f>
        <v/>
      </c>
      <c r="T16" s="272">
        <f>IF(F16=0,"***",M16/F16)</f>
        <v/>
      </c>
      <c r="U16" s="273">
        <f>IF(G16=0,"***",N16/G16)</f>
        <v/>
      </c>
      <c r="V16" s="273">
        <f>IF(H16=0,"***",O16/H16)</f>
        <v/>
      </c>
      <c r="W16" s="273">
        <f>IF(I16=0,"***",P16/I16)</f>
        <v/>
      </c>
      <c r="X16" s="273">
        <f>W16-V16</f>
        <v/>
      </c>
      <c r="Y16" s="274">
        <f>W16-U16</f>
        <v/>
      </c>
    </row>
    <row r="17">
      <c r="A17" s="27" t="n"/>
      <c r="B17" s="28" t="n"/>
      <c r="C17" s="29" t="n"/>
      <c r="D17" s="30" t="n"/>
      <c r="E17" s="31" t="inlineStr">
        <is>
          <t>包装資材</t>
        </is>
      </c>
      <c r="F17" s="267">
        <f>F16-F18</f>
        <v/>
      </c>
      <c r="G17" s="268">
        <f>G16-G18</f>
        <v/>
      </c>
      <c r="H17" s="268">
        <f>H16-H18</f>
        <v/>
      </c>
      <c r="I17" s="268">
        <f>I16-I18</f>
        <v/>
      </c>
      <c r="J17" s="269">
        <f>I17-H17</f>
        <v/>
      </c>
      <c r="K17" s="269">
        <f>I17-G17</f>
        <v/>
      </c>
      <c r="L17" s="270">
        <f>IF(G17=0,"***",K17/G17)</f>
        <v/>
      </c>
      <c r="M17" s="267">
        <f>M16-M18</f>
        <v/>
      </c>
      <c r="N17" s="268">
        <f>N16-N18</f>
        <v/>
      </c>
      <c r="O17" s="268">
        <f>O16-O18</f>
        <v/>
      </c>
      <c r="P17" s="268">
        <f>P16-P18</f>
        <v/>
      </c>
      <c r="Q17" s="269">
        <f>P17-O17</f>
        <v/>
      </c>
      <c r="R17" s="269">
        <f>P17-N17</f>
        <v/>
      </c>
      <c r="S17" s="271">
        <f>IF(N17=0,"***",R17/N17)</f>
        <v/>
      </c>
      <c r="T17" s="272">
        <f>IF(F17=0,"***",M17/F17)</f>
        <v/>
      </c>
      <c r="U17" s="273">
        <f>IF(G17=0,"***",N17/G17)</f>
        <v/>
      </c>
      <c r="V17" s="273">
        <f>IF(H17=0,"***",O17/H17)</f>
        <v/>
      </c>
      <c r="W17" s="273">
        <f>IF(I17=0,"***",P17/I17)</f>
        <v/>
      </c>
      <c r="X17" s="273">
        <f>W17-V17</f>
        <v/>
      </c>
      <c r="Y17" s="274">
        <f>W17-U17</f>
        <v/>
      </c>
    </row>
    <row r="18">
      <c r="A18" s="27" t="n"/>
      <c r="B18" s="28" t="n"/>
      <c r="C18" s="29" t="n"/>
      <c r="D18" s="30" t="n"/>
      <c r="E18" s="58" t="inlineStr">
        <is>
          <t>機械</t>
        </is>
      </c>
      <c r="F18" s="289" t="n">
        <v>9502.705</v>
      </c>
      <c r="G18" s="277" t="n">
        <v>3024.351</v>
      </c>
      <c r="H18" s="277" t="n">
        <v>5000</v>
      </c>
      <c r="I18" s="277" t="n">
        <v>2802.319</v>
      </c>
      <c r="J18" s="269">
        <f>I18-H18</f>
        <v/>
      </c>
      <c r="K18" s="269">
        <f>I18-G18</f>
        <v/>
      </c>
      <c r="L18" s="270">
        <f>IF(G18=0,"***",K18/G18)</f>
        <v/>
      </c>
      <c r="M18" s="289" t="n">
        <v>1361.598</v>
      </c>
      <c r="N18" s="277" t="n">
        <v>625.4100000000001</v>
      </c>
      <c r="O18" s="277" t="n">
        <v>800</v>
      </c>
      <c r="P18" s="277" t="n">
        <v>545.122</v>
      </c>
      <c r="Q18" s="269">
        <f>P18-O18</f>
        <v/>
      </c>
      <c r="R18" s="269">
        <f>P18-N18</f>
        <v/>
      </c>
      <c r="S18" s="271">
        <f>IF(N18=0,"***",R18/N18)</f>
        <v/>
      </c>
      <c r="T18" s="272">
        <f>IF(F18=0,"***",M18/F18)</f>
        <v/>
      </c>
      <c r="U18" s="273">
        <f>IF(G18=0,"***",N18/G18)</f>
        <v/>
      </c>
      <c r="V18" s="273">
        <f>IF(H18=0,"***",O18/H18)</f>
        <v/>
      </c>
      <c r="W18" s="273">
        <f>IF(I18=0,"***",P18/I18)</f>
        <v/>
      </c>
      <c r="X18" s="273">
        <f>W18-V18</f>
        <v/>
      </c>
      <c r="Y18" s="274">
        <f>W18-U18</f>
        <v/>
      </c>
    </row>
    <row r="19">
      <c r="A19" s="49" t="n"/>
      <c r="B19" s="50" t="n"/>
      <c r="C19" s="51" t="n"/>
      <c r="D19" s="52" t="inlineStr">
        <is>
          <t>その他</t>
        </is>
      </c>
      <c r="E19" s="53" t="n"/>
      <c r="F19" s="284" t="n">
        <v>3969.036999999999</v>
      </c>
      <c r="G19" s="285" t="n">
        <v>8616.858</v>
      </c>
      <c r="H19" s="285" t="n">
        <v>6560</v>
      </c>
      <c r="I19" s="285" t="n">
        <v>4474.934</v>
      </c>
      <c r="J19" s="286">
        <f>I19-H19</f>
        <v/>
      </c>
      <c r="K19" s="286">
        <f>I19-G19</f>
        <v/>
      </c>
      <c r="L19" s="287">
        <f>IF(G19=0,"***",K19/G19)</f>
        <v/>
      </c>
      <c r="M19" s="284" t="n">
        <v>633.4350000000001</v>
      </c>
      <c r="N19" s="285" t="n">
        <v>996.559</v>
      </c>
      <c r="O19" s="285" t="n">
        <v>850</v>
      </c>
      <c r="P19" s="285" t="n">
        <v>766.933</v>
      </c>
      <c r="Q19" s="286">
        <f>P19-O19</f>
        <v/>
      </c>
      <c r="R19" s="286">
        <f>P19-N19</f>
        <v/>
      </c>
      <c r="S19" s="288">
        <f>IF(N19=0,"***",R19/N19)</f>
        <v/>
      </c>
      <c r="T19" s="272">
        <f>IF(F19=0,"***",M19/F19)</f>
        <v/>
      </c>
      <c r="U19" s="273">
        <f>IF(G19=0,"***",N19/G19)</f>
        <v/>
      </c>
      <c r="V19" s="273">
        <f>IF(H19=0,"***",O19/H19)</f>
        <v/>
      </c>
      <c r="W19" s="273">
        <f>IF(I19=0,"***",P19/I19)</f>
        <v/>
      </c>
      <c r="X19" s="273">
        <f>W19-V19</f>
        <v/>
      </c>
      <c r="Y19" s="274">
        <f>W19-U19</f>
        <v/>
      </c>
    </row>
    <row r="20">
      <c r="A20" s="27" t="n"/>
      <c r="B20" s="28" t="n"/>
      <c r="C20" s="29" t="n"/>
      <c r="D20" s="30" t="n"/>
      <c r="E20" s="31" t="inlineStr">
        <is>
          <t>包装資材</t>
        </is>
      </c>
      <c r="F20" s="267">
        <f>F19-F21</f>
        <v/>
      </c>
      <c r="G20" s="268">
        <f>G19-G21</f>
        <v/>
      </c>
      <c r="H20" s="268">
        <f>H19-H21</f>
        <v/>
      </c>
      <c r="I20" s="268">
        <f>I19-I21</f>
        <v/>
      </c>
      <c r="J20" s="269">
        <f>I20-H20</f>
        <v/>
      </c>
      <c r="K20" s="269">
        <f>I20-G20</f>
        <v/>
      </c>
      <c r="L20" s="270">
        <f>IF(G20=0,"***",K20/G20)</f>
        <v/>
      </c>
      <c r="M20" s="267">
        <f>M19-M21</f>
        <v/>
      </c>
      <c r="N20" s="268">
        <f>N19-N21</f>
        <v/>
      </c>
      <c r="O20" s="268">
        <f>O19-O21</f>
        <v/>
      </c>
      <c r="P20" s="268">
        <f>P19-P21</f>
        <v/>
      </c>
      <c r="Q20" s="269">
        <f>P20-O20</f>
        <v/>
      </c>
      <c r="R20" s="269">
        <f>P20-N20</f>
        <v/>
      </c>
      <c r="S20" s="271">
        <f>IF(N20=0,"***",R20/N20)</f>
        <v/>
      </c>
      <c r="T20" s="272">
        <f>IF(F20=0,"***",M20/F20)</f>
        <v/>
      </c>
      <c r="U20" s="273">
        <f>IF(G20=0,"***",N20/G20)</f>
        <v/>
      </c>
      <c r="V20" s="273">
        <f>IF(H20=0,"***",O20/H20)</f>
        <v/>
      </c>
      <c r="W20" s="273">
        <f>IF(I20=0,"***",P20/I20)</f>
        <v/>
      </c>
      <c r="X20" s="273">
        <f>W20-V20</f>
        <v/>
      </c>
      <c r="Y20" s="274">
        <f>W20-U20</f>
        <v/>
      </c>
    </row>
    <row r="21">
      <c r="A21" s="27" t="n"/>
      <c r="B21" s="28" t="n"/>
      <c r="C21" s="29" t="n"/>
      <c r="D21" s="30" t="n"/>
      <c r="E21" s="58" t="inlineStr">
        <is>
          <t>機械</t>
        </is>
      </c>
      <c r="F21" s="289" t="n">
        <v>11</v>
      </c>
      <c r="G21" s="277" t="n">
        <v>128</v>
      </c>
      <c r="H21" s="277" t="n">
        <v>0</v>
      </c>
      <c r="I21" s="277" t="n">
        <v>18.75</v>
      </c>
      <c r="J21" s="269">
        <f>I21-H21</f>
        <v/>
      </c>
      <c r="K21" s="269">
        <f>I21-G21</f>
        <v/>
      </c>
      <c r="L21" s="270">
        <f>IF(G21=0,"***",K21/G21)</f>
        <v/>
      </c>
      <c r="M21" s="289" t="n">
        <v>11</v>
      </c>
      <c r="N21" s="277" t="n">
        <v>53</v>
      </c>
      <c r="O21" s="277" t="n">
        <v>0</v>
      </c>
      <c r="P21" s="277" t="n">
        <v>3.25</v>
      </c>
      <c r="Q21" s="269">
        <f>P21-O21</f>
        <v/>
      </c>
      <c r="R21" s="269">
        <f>P21-N21</f>
        <v/>
      </c>
      <c r="S21" s="271">
        <f>IF(N21=0,"***",R21/N21)</f>
        <v/>
      </c>
      <c r="T21" s="272">
        <f>IF(F21=0,"***",M21/F21)</f>
        <v/>
      </c>
      <c r="U21" s="273">
        <f>IF(G21=0,"***",N21/G21)</f>
        <v/>
      </c>
      <c r="V21" s="273">
        <f>IF(H21=0,"***",O21/H21)</f>
        <v/>
      </c>
      <c r="W21" s="273">
        <f>IF(I21=0,"***",P21/I21)</f>
        <v/>
      </c>
      <c r="X21" s="273">
        <f>W21-V21</f>
        <v/>
      </c>
      <c r="Y21" s="274">
        <f>W21-U21</f>
        <v/>
      </c>
    </row>
    <row r="22">
      <c r="A22" s="49" t="n"/>
      <c r="B22" s="50" t="n"/>
      <c r="C22" s="51" t="n"/>
      <c r="D22" s="52" t="inlineStr">
        <is>
          <t>自治体</t>
        </is>
      </c>
      <c r="E22" s="53" t="n"/>
      <c r="F22" s="284" t="n">
        <v>6820.064</v>
      </c>
      <c r="G22" s="285" t="n">
        <v>923.977</v>
      </c>
      <c r="H22" s="285" t="n">
        <v>6700</v>
      </c>
      <c r="I22" s="285" t="n">
        <v>1335.377</v>
      </c>
      <c r="J22" s="286">
        <f>I22-H22</f>
        <v/>
      </c>
      <c r="K22" s="286">
        <f>I22-G22</f>
        <v/>
      </c>
      <c r="L22" s="287">
        <f>IF(G22=0,"***",K22/G22)</f>
        <v/>
      </c>
      <c r="M22" s="284" t="n">
        <v>851.0580000000001</v>
      </c>
      <c r="N22" s="285" t="n">
        <v>88.964</v>
      </c>
      <c r="O22" s="285" t="n">
        <v>1050</v>
      </c>
      <c r="P22" s="285" t="n">
        <v>154.084</v>
      </c>
      <c r="Q22" s="286">
        <f>P22-O22</f>
        <v/>
      </c>
      <c r="R22" s="286">
        <f>P22-N22</f>
        <v/>
      </c>
      <c r="S22" s="288">
        <f>IF(N22=0,"***",R22/N22)</f>
        <v/>
      </c>
      <c r="T22" s="272">
        <f>IF(F22=0,"***",M22/F22)</f>
        <v/>
      </c>
      <c r="U22" s="273">
        <f>IF(G22=0,"***",N22/G22)</f>
        <v/>
      </c>
      <c r="V22" s="273">
        <f>IF(H22=0,"***",O22/H22)</f>
        <v/>
      </c>
      <c r="W22" s="273">
        <f>IF(I22=0,"***",P22/I22)</f>
        <v/>
      </c>
      <c r="X22" s="273">
        <f>W22-V22</f>
        <v/>
      </c>
      <c r="Y22" s="274">
        <f>W22-U22</f>
        <v/>
      </c>
    </row>
    <row r="23">
      <c r="A23" s="27" t="n"/>
      <c r="B23" s="28" t="n"/>
      <c r="C23" s="29" t="n"/>
      <c r="D23" s="30" t="n"/>
      <c r="E23" s="31" t="inlineStr">
        <is>
          <t>包装資材</t>
        </is>
      </c>
      <c r="F23" s="268">
        <f>F22-F24</f>
        <v/>
      </c>
      <c r="G23" s="268">
        <f>G22-G24</f>
        <v/>
      </c>
      <c r="H23" s="268">
        <f>H22-H24</f>
        <v/>
      </c>
      <c r="I23" s="268">
        <f>I22-I24</f>
        <v/>
      </c>
      <c r="J23" s="269">
        <f>I23-H23</f>
        <v/>
      </c>
      <c r="K23" s="269">
        <f>I23-G23</f>
        <v/>
      </c>
      <c r="L23" s="270">
        <f>IF(G23=0,"***",K23/G23)</f>
        <v/>
      </c>
      <c r="M23" s="268">
        <f>M22-M24</f>
        <v/>
      </c>
      <c r="N23" s="268">
        <f>N22-N24</f>
        <v/>
      </c>
      <c r="O23" s="268">
        <f>O22-O24</f>
        <v/>
      </c>
      <c r="P23" s="268">
        <f>P22-P24</f>
        <v/>
      </c>
      <c r="Q23" s="269">
        <f>P23-O23</f>
        <v/>
      </c>
      <c r="R23" s="269">
        <f>P23-N23</f>
        <v/>
      </c>
      <c r="S23" s="271">
        <f>IF(N23=0,"***",R23/N23)</f>
        <v/>
      </c>
      <c r="T23" s="272">
        <f>IF(F23=0,"***",M23/F23)</f>
        <v/>
      </c>
      <c r="U23" s="273">
        <f>IF(G23=0,"***",N23/G23)</f>
        <v/>
      </c>
      <c r="V23" s="273">
        <f>IF(H23=0,"***",O23/H23)</f>
        <v/>
      </c>
      <c r="W23" s="273">
        <f>IF(I23=0,"***",P23/I23)</f>
        <v/>
      </c>
      <c r="X23" s="273">
        <f>W23-V23</f>
        <v/>
      </c>
      <c r="Y23" s="274">
        <f>W23-U23</f>
        <v/>
      </c>
    </row>
    <row r="24">
      <c r="A24" s="27" t="n"/>
      <c r="B24" s="28" t="n"/>
      <c r="C24" s="29" t="n"/>
      <c r="D24" s="30" t="n"/>
      <c r="E24" s="58" t="inlineStr">
        <is>
          <t>機械</t>
        </is>
      </c>
      <c r="F24" s="289" t="n">
        <v>3070.3</v>
      </c>
      <c r="G24" s="277" t="n">
        <v>0</v>
      </c>
      <c r="H24" s="277" t="n">
        <v>0</v>
      </c>
      <c r="I24" s="277" t="n">
        <v>0</v>
      </c>
      <c r="J24" s="269">
        <f>I24-H24</f>
        <v/>
      </c>
      <c r="K24" s="269">
        <f>I24-G24</f>
        <v/>
      </c>
      <c r="L24" s="270">
        <f>IF(G24=0,"***",K24/G24)</f>
        <v/>
      </c>
      <c r="M24" s="289" t="n">
        <v>219.6</v>
      </c>
      <c r="N24" s="277" t="n">
        <v>0</v>
      </c>
      <c r="O24" s="277" t="n">
        <v>0</v>
      </c>
      <c r="P24" s="277" t="n">
        <v>0</v>
      </c>
      <c r="Q24" s="269" t="n"/>
      <c r="R24" s="269">
        <f>P24-N24</f>
        <v/>
      </c>
      <c r="S24" s="271">
        <f>IF(N24=0,"***",R24/N24)</f>
        <v/>
      </c>
      <c r="T24" s="272">
        <f>IF(F24=0,"***",M24/F24)</f>
        <v/>
      </c>
      <c r="U24" s="273">
        <f>IF(G24=0,"***",N24/G24)</f>
        <v/>
      </c>
      <c r="V24" s="273">
        <f>IF(H24=0,"***",O24/H24)</f>
        <v/>
      </c>
      <c r="W24" s="273">
        <f>IF(I24=0,"***",P24/I24)</f>
        <v/>
      </c>
      <c r="X24" s="273">
        <f>W24-V24</f>
        <v/>
      </c>
      <c r="Y24" s="274">
        <f>W24-U24</f>
        <v/>
      </c>
    </row>
    <row r="25">
      <c r="A25" s="49" t="n"/>
      <c r="B25" s="50" t="n"/>
      <c r="C25" s="61" t="inlineStr">
        <is>
          <t>石見営業所</t>
        </is>
      </c>
      <c r="D25" s="62" t="n"/>
      <c r="E25" s="63" t="n"/>
      <c r="F25" s="291">
        <f>F22+F19+F16+F13+F10+F7</f>
        <v/>
      </c>
      <c r="G25" s="292">
        <f>G22+G19+G16+G13+G10+G7</f>
        <v/>
      </c>
      <c r="H25" s="292">
        <f>H22+H19+H16+H13+H10+H7</f>
        <v/>
      </c>
      <c r="I25" s="292">
        <f>I22+I19+I16+I13+I10+I7</f>
        <v/>
      </c>
      <c r="J25" s="293">
        <f>I25-H25</f>
        <v/>
      </c>
      <c r="K25" s="293">
        <f>I25-G25</f>
        <v/>
      </c>
      <c r="L25" s="294">
        <f>IF(G25=0,"***",K25/G25)</f>
        <v/>
      </c>
      <c r="M25" s="295">
        <f>M22+M19+M16+M13+M10+M7</f>
        <v/>
      </c>
      <c r="N25" s="295">
        <f>N22+N19+N16+N13+N10+N7</f>
        <v/>
      </c>
      <c r="O25" s="295">
        <f>O22+O19+O16+O13+O10+O7</f>
        <v/>
      </c>
      <c r="P25" s="295">
        <f>P22+P19+P16+P13+P10+P7</f>
        <v/>
      </c>
      <c r="Q25" s="293">
        <f>P25-O25</f>
        <v/>
      </c>
      <c r="R25" s="293">
        <f>P25-N25</f>
        <v/>
      </c>
      <c r="S25" s="296">
        <f>IF(N25=0,"***",R25/N25)</f>
        <v/>
      </c>
      <c r="T25" s="297">
        <f>IF(F25=0,"***",M25/F25)</f>
        <v/>
      </c>
      <c r="U25" s="298">
        <f>IF(G25=0,"***",N25/G25)</f>
        <v/>
      </c>
      <c r="V25" s="298">
        <f>IF(H25=0,"***",O25/H25)</f>
        <v/>
      </c>
      <c r="W25" s="298">
        <f>IF(I25=0,"***",P25/I25)</f>
        <v/>
      </c>
      <c r="X25" s="299">
        <f>W25-V25</f>
        <v/>
      </c>
      <c r="Y25" s="300">
        <f>W25-U25</f>
        <v/>
      </c>
    </row>
    <row r="26">
      <c r="A26" s="49" t="n"/>
      <c r="B26" s="50" t="n"/>
      <c r="C26" s="73" t="n"/>
      <c r="D26" s="74" t="inlineStr">
        <is>
          <t>営業</t>
        </is>
      </c>
      <c r="E26" s="63" t="n"/>
      <c r="F26" s="291">
        <f>F25-F29</f>
        <v/>
      </c>
      <c r="G26" s="295">
        <f>G25-G29</f>
        <v/>
      </c>
      <c r="H26" s="295">
        <f>H25-H29</f>
        <v/>
      </c>
      <c r="I26" s="295">
        <f>I25-I29</f>
        <v/>
      </c>
      <c r="J26" s="293">
        <f>I26-H26</f>
        <v/>
      </c>
      <c r="K26" s="293">
        <f>I26-G26</f>
        <v/>
      </c>
      <c r="L26" s="294">
        <f>IF(G26=0,"***",K26/G26)</f>
        <v/>
      </c>
      <c r="M26" s="295">
        <f>M25-M29</f>
        <v/>
      </c>
      <c r="N26" s="295">
        <f>N25-N29</f>
        <v/>
      </c>
      <c r="O26" s="295">
        <f>O25-O29</f>
        <v/>
      </c>
      <c r="P26" s="295">
        <f>P25-P29</f>
        <v/>
      </c>
      <c r="Q26" s="293">
        <f>P26-O26</f>
        <v/>
      </c>
      <c r="R26" s="293">
        <f>P26-N26</f>
        <v/>
      </c>
      <c r="S26" s="296">
        <f>IF(N26=0,"***",R26/N26)</f>
        <v/>
      </c>
      <c r="T26" s="297">
        <f>IF(F26=0,"***",M26/F26)</f>
        <v/>
      </c>
      <c r="U26" s="301">
        <f>IF(G26=0,"***",N26/G26)</f>
        <v/>
      </c>
      <c r="V26" s="301">
        <f>IF(H26=0,"***",O26/H26)</f>
        <v/>
      </c>
      <c r="W26" s="301">
        <f>IF(I26=0,"***",P26/I26)</f>
        <v/>
      </c>
      <c r="X26" s="299">
        <f>W26-V26</f>
        <v/>
      </c>
      <c r="Y26" s="300">
        <f>W26-U26</f>
        <v/>
      </c>
    </row>
    <row r="27">
      <c r="A27" s="49" t="n"/>
      <c r="B27" s="50" t="n"/>
      <c r="C27" s="73" t="n"/>
      <c r="D27" s="76" t="n"/>
      <c r="E27" s="77" t="inlineStr">
        <is>
          <t>包装資材</t>
        </is>
      </c>
      <c r="F27" s="291">
        <f>F26-F28</f>
        <v/>
      </c>
      <c r="G27" s="292">
        <f>G26-G28</f>
        <v/>
      </c>
      <c r="H27" s="292">
        <f>H26-H28</f>
        <v/>
      </c>
      <c r="I27" s="292">
        <f>I26-I28</f>
        <v/>
      </c>
      <c r="J27" s="293">
        <f>I27-H27</f>
        <v/>
      </c>
      <c r="K27" s="293">
        <f>I27-G27</f>
        <v/>
      </c>
      <c r="L27" s="294">
        <f>IF(G27=0,"***",K27/G27)</f>
        <v/>
      </c>
      <c r="M27" s="295">
        <f>M26-M28</f>
        <v/>
      </c>
      <c r="N27" s="292">
        <f>N26-N28</f>
        <v/>
      </c>
      <c r="O27" s="292">
        <f>O26-O28</f>
        <v/>
      </c>
      <c r="P27" s="292">
        <f>P26-P28</f>
        <v/>
      </c>
      <c r="Q27" s="293">
        <f>P27-O27</f>
        <v/>
      </c>
      <c r="R27" s="293">
        <f>P27-N27</f>
        <v/>
      </c>
      <c r="S27" s="296">
        <f>IF(N27=0,"***",R27/N27)</f>
        <v/>
      </c>
      <c r="T27" s="297">
        <f>IF(F27=0,"***",M27/F27)</f>
        <v/>
      </c>
      <c r="U27" s="301">
        <f>IF(G27=0,"***",N27/G27)</f>
        <v/>
      </c>
      <c r="V27" s="301" t="n"/>
      <c r="W27" s="301">
        <f>IF(I27=0,"***",P27/I27)</f>
        <v/>
      </c>
      <c r="X27" s="299">
        <f>W27-V27</f>
        <v/>
      </c>
      <c r="Y27" s="300">
        <f>W27-U27</f>
        <v/>
      </c>
    </row>
    <row r="28">
      <c r="A28" s="49" t="n"/>
      <c r="B28" s="50" t="n"/>
      <c r="C28" s="73" t="n"/>
      <c r="D28" s="78" t="n"/>
      <c r="E28" s="77" t="inlineStr">
        <is>
          <t>機械</t>
        </is>
      </c>
      <c r="F28" s="291">
        <f>F21+F18+F15+F12+F9</f>
        <v/>
      </c>
      <c r="G28" s="295">
        <f>G21+G18+G15+G12+G9</f>
        <v/>
      </c>
      <c r="H28" s="295">
        <f>H21+H18+H15+H12+H9</f>
        <v/>
      </c>
      <c r="I28" s="295">
        <f>I21+I18+I15+I12+I9</f>
        <v/>
      </c>
      <c r="J28" s="293">
        <f>I28-H28</f>
        <v/>
      </c>
      <c r="K28" s="293">
        <f>I28-G28</f>
        <v/>
      </c>
      <c r="L28" s="294">
        <f>IF(G28=0,"***",K28/G28)</f>
        <v/>
      </c>
      <c r="M28" s="295">
        <f>M21+M18+M15+M12+M9</f>
        <v/>
      </c>
      <c r="N28" s="295">
        <f>N21+N18+N15+N12+N9</f>
        <v/>
      </c>
      <c r="O28" s="295">
        <f>O21+O18+O15+O12+O9</f>
        <v/>
      </c>
      <c r="P28" s="295">
        <f>P21+P18+P15+P12+P9</f>
        <v/>
      </c>
      <c r="Q28" s="293">
        <f>P28-O28</f>
        <v/>
      </c>
      <c r="R28" s="293">
        <f>P28-N28</f>
        <v/>
      </c>
      <c r="S28" s="296">
        <f>IF(N28=0,"***",R28/N28)</f>
        <v/>
      </c>
      <c r="T28" s="297">
        <f>IF(F28=0,"***",M28/F28)</f>
        <v/>
      </c>
      <c r="U28" s="301">
        <f>IF(G28=0,"***",N28/G28)</f>
        <v/>
      </c>
      <c r="V28" s="301">
        <f>IF(H28=0,"***",O28/H28)</f>
        <v/>
      </c>
      <c r="W28" s="301">
        <f>IF(I28=0,"***",P28/I28)</f>
        <v/>
      </c>
      <c r="X28" s="299">
        <f>W28-V28</f>
        <v/>
      </c>
      <c r="Y28" s="300">
        <f>W28-U28</f>
        <v/>
      </c>
    </row>
    <row r="29">
      <c r="A29" s="49" t="n"/>
      <c r="B29" s="50" t="n"/>
      <c r="C29" s="79" t="n"/>
      <c r="D29" s="80" t="inlineStr">
        <is>
          <t>自治体</t>
        </is>
      </c>
      <c r="E29" s="81" t="n"/>
      <c r="F29" s="291" t="n">
        <v>6820.064</v>
      </c>
      <c r="G29" s="292" t="n">
        <v>923.977</v>
      </c>
      <c r="H29" s="292" t="n">
        <v>6700</v>
      </c>
      <c r="I29" s="292" t="n">
        <v>1335.377</v>
      </c>
      <c r="J29" s="293">
        <f>I29-H29</f>
        <v/>
      </c>
      <c r="K29" s="293">
        <f>I29-G29</f>
        <v/>
      </c>
      <c r="L29" s="294">
        <f>IF(G29=0,"***",K29/G29)</f>
        <v/>
      </c>
      <c r="M29" s="295" t="n">
        <v>851.0580000000001</v>
      </c>
      <c r="N29" s="292" t="n">
        <v>88.964</v>
      </c>
      <c r="O29" s="292" t="n">
        <v>1050</v>
      </c>
      <c r="P29" s="292" t="n">
        <v>154.084</v>
      </c>
      <c r="Q29" s="293">
        <f>P29-O29</f>
        <v/>
      </c>
      <c r="R29" s="293">
        <f>P29-N29</f>
        <v/>
      </c>
      <c r="S29" s="296">
        <f>IF(N29=0,"***",R29/N29)</f>
        <v/>
      </c>
      <c r="T29" s="297">
        <f>IF(F29=0,"***",M29/F29)</f>
        <v/>
      </c>
      <c r="U29" s="301">
        <f>IF(G29=0,"***",N29/G29)</f>
        <v/>
      </c>
      <c r="V29" s="301">
        <f>IF(H29=0,"***",O29/H29)</f>
        <v/>
      </c>
      <c r="W29" s="301">
        <f>IF(I29=0,"***",P29/I29)</f>
        <v/>
      </c>
      <c r="X29" s="299">
        <f>W29-V29</f>
        <v/>
      </c>
      <c r="Y29" s="300">
        <f>W29-U29</f>
        <v/>
      </c>
    </row>
    <row r="30">
      <c r="A30" s="49" t="n"/>
      <c r="B30" s="50" t="n"/>
      <c r="C30" s="82" t="n"/>
      <c r="D30" s="18" t="inlineStr">
        <is>
          <t>高橋所長</t>
        </is>
      </c>
      <c r="E30" s="19" t="n"/>
      <c r="F30" s="260" t="n">
        <v>52912.36000000001</v>
      </c>
      <c r="G30" s="260" t="n">
        <v>50686.444</v>
      </c>
      <c r="H30" s="260" t="n">
        <v>53500</v>
      </c>
      <c r="I30" s="260" t="n">
        <v>53693.766</v>
      </c>
      <c r="J30" s="261">
        <f>I30-H30</f>
        <v/>
      </c>
      <c r="K30" s="261">
        <f>I30-G30</f>
        <v/>
      </c>
      <c r="L30" s="262">
        <f>IF(G30=0,"***",K30/G30)</f>
        <v/>
      </c>
      <c r="M30" s="260" t="n">
        <v>11717.636</v>
      </c>
      <c r="N30" s="260" t="n">
        <v>11954.714</v>
      </c>
      <c r="O30" s="260" t="n">
        <v>12400</v>
      </c>
      <c r="P30" s="260" t="n">
        <v>11988.135</v>
      </c>
      <c r="Q30" s="261">
        <f>P30-O30</f>
        <v/>
      </c>
      <c r="R30" s="261">
        <f>P30-N30</f>
        <v/>
      </c>
      <c r="S30" s="263">
        <f>IF(N30=0,"***",R30/N30)</f>
        <v/>
      </c>
      <c r="T30" s="264">
        <f>IF(F30=0,"***",M30/F30)</f>
        <v/>
      </c>
      <c r="U30" s="265">
        <f>IF(G30=0,"***",N30/G30)</f>
        <v/>
      </c>
      <c r="V30" s="265">
        <f>IF(H30=0,"***",O30/H30)</f>
        <v/>
      </c>
      <c r="W30" s="265">
        <f>IF(I30=0,"***",P30/I30)</f>
        <v/>
      </c>
      <c r="X30" s="265">
        <f>W30-V30</f>
        <v/>
      </c>
      <c r="Y30" s="266">
        <f>W30-U30</f>
        <v/>
      </c>
    </row>
    <row r="31">
      <c r="A31" s="27" t="n"/>
      <c r="B31" s="28" t="n"/>
      <c r="C31" s="83" t="n"/>
      <c r="D31" s="30" t="n"/>
      <c r="E31" s="31" t="inlineStr">
        <is>
          <t>包装資材</t>
        </is>
      </c>
      <c r="F31" s="267">
        <f>F30-F32</f>
        <v/>
      </c>
      <c r="G31" s="268">
        <f>G30-G32</f>
        <v/>
      </c>
      <c r="H31" s="268">
        <f>H30-H32</f>
        <v/>
      </c>
      <c r="I31" s="268">
        <f>I30-I32</f>
        <v/>
      </c>
      <c r="J31" s="269">
        <f>I31-H31</f>
        <v/>
      </c>
      <c r="K31" s="269">
        <f>I31-G31</f>
        <v/>
      </c>
      <c r="L31" s="270">
        <f>IF(G31=0,"***",K31/G31)</f>
        <v/>
      </c>
      <c r="M31" s="267">
        <f>M30-M32</f>
        <v/>
      </c>
      <c r="N31" s="268">
        <f>N30-N32</f>
        <v/>
      </c>
      <c r="O31" s="268">
        <f>O30-O32</f>
        <v/>
      </c>
      <c r="P31" s="268">
        <f>P30-P32</f>
        <v/>
      </c>
      <c r="Q31" s="269">
        <f>P31-O31</f>
        <v/>
      </c>
      <c r="R31" s="269">
        <f>P31-N31</f>
        <v/>
      </c>
      <c r="S31" s="271">
        <f>IF(N31=0,"***",R31/N31)</f>
        <v/>
      </c>
      <c r="T31" s="272">
        <f>IF(F31=0,"***",M31/F31)</f>
        <v/>
      </c>
      <c r="U31" s="273">
        <f>IF(G31=0,"***",N31/G31)</f>
        <v/>
      </c>
      <c r="V31" s="273">
        <f>IF(H31=0,"***",O31/H31)</f>
        <v/>
      </c>
      <c r="W31" s="273">
        <f>IF(I31=0,"***",P31/I31)</f>
        <v/>
      </c>
      <c r="X31" s="273">
        <f>W31-V31</f>
        <v/>
      </c>
      <c r="Y31" s="274">
        <f>W31-U31</f>
        <v/>
      </c>
    </row>
    <row r="32">
      <c r="A32" s="27" t="n"/>
      <c r="B32" s="28" t="n"/>
      <c r="C32" s="83" t="n"/>
      <c r="D32" s="30" t="n"/>
      <c r="E32" s="40" t="inlineStr">
        <is>
          <t>機械</t>
        </is>
      </c>
      <c r="F32" s="275" t="n">
        <v>1248</v>
      </c>
      <c r="G32" s="276" t="n">
        <v>408</v>
      </c>
      <c r="H32" s="276" t="n">
        <v>750</v>
      </c>
      <c r="I32" s="276" t="n">
        <v>315.6</v>
      </c>
      <c r="J32" s="278">
        <f>I32-H32</f>
        <v/>
      </c>
      <c r="K32" s="278">
        <f>I32-G32</f>
        <v/>
      </c>
      <c r="L32" s="279">
        <f>IF(G32=0,"***",K32/G32)</f>
        <v/>
      </c>
      <c r="M32" s="275" t="n">
        <v>259</v>
      </c>
      <c r="N32" s="276" t="n">
        <v>68</v>
      </c>
      <c r="O32" s="276" t="n">
        <v>125</v>
      </c>
      <c r="P32" s="276" t="n">
        <v>54.405</v>
      </c>
      <c r="Q32" s="278">
        <f>P32-O32</f>
        <v/>
      </c>
      <c r="R32" s="278">
        <f>P32-N32</f>
        <v/>
      </c>
      <c r="S32" s="280">
        <f>IF(N32=0,"***",R32/N32)</f>
        <v/>
      </c>
      <c r="T32" s="281">
        <f>IF(F32=0,"***",M32/F32)</f>
        <v/>
      </c>
      <c r="U32" s="282">
        <f>IF(G32=0,"***",N32/G32)</f>
        <v/>
      </c>
      <c r="V32" s="282">
        <f>IF(H32=0,"***",O32/H32)</f>
        <v/>
      </c>
      <c r="W32" s="282">
        <f>IF(I32=0,"***",P32/I32)</f>
        <v/>
      </c>
      <c r="X32" s="282">
        <f>W32-V32</f>
        <v/>
      </c>
      <c r="Y32" s="283">
        <f>W32-U32</f>
        <v/>
      </c>
    </row>
    <row r="33">
      <c r="A33" s="49" t="n"/>
      <c r="B33" s="50" t="n"/>
      <c r="C33" s="51" t="n"/>
      <c r="D33" s="52" t="inlineStr">
        <is>
          <t>東野</t>
        </is>
      </c>
      <c r="E33" s="53" t="n"/>
      <c r="F33" s="285" t="n">
        <v>60974.567</v>
      </c>
      <c r="G33" s="285" t="n">
        <v>64187.341</v>
      </c>
      <c r="H33" s="285" t="n">
        <v>68900</v>
      </c>
      <c r="I33" s="285" t="n">
        <v>79940.632</v>
      </c>
      <c r="J33" s="286">
        <f>I33-H33</f>
        <v/>
      </c>
      <c r="K33" s="286">
        <f>I33-G33</f>
        <v/>
      </c>
      <c r="L33" s="287">
        <f>IF(G33=0,"***",K33/G33)</f>
        <v/>
      </c>
      <c r="M33" s="285" t="n">
        <v>12698.944</v>
      </c>
      <c r="N33" s="285" t="n">
        <v>13492.323</v>
      </c>
      <c r="O33" s="285" t="n">
        <v>14150</v>
      </c>
      <c r="P33" s="285" t="n">
        <v>15336.829</v>
      </c>
      <c r="Q33" s="286">
        <f>P33-O33</f>
        <v/>
      </c>
      <c r="R33" s="286">
        <f>P33-N33</f>
        <v/>
      </c>
      <c r="S33" s="288">
        <f>IF(N33=0,"***",R33/N33)</f>
        <v/>
      </c>
      <c r="T33" s="272">
        <f>IF(F33=0,"***",M33/F33)</f>
        <v/>
      </c>
      <c r="U33" s="273">
        <f>IF(G33=0,"***",N33/G33)</f>
        <v/>
      </c>
      <c r="V33" s="273">
        <f>IF(H33=0,"***",O33/H33)</f>
        <v/>
      </c>
      <c r="W33" s="273">
        <f>IF(I33=0,"***",P33/I33)</f>
        <v/>
      </c>
      <c r="X33" s="273">
        <f>W33-V33</f>
        <v/>
      </c>
      <c r="Y33" s="274">
        <f>W33-U33</f>
        <v/>
      </c>
    </row>
    <row r="34">
      <c r="A34" s="27" t="n"/>
      <c r="B34" s="28" t="n"/>
      <c r="C34" s="83" t="n"/>
      <c r="D34" s="30" t="n"/>
      <c r="E34" s="31" t="inlineStr">
        <is>
          <t>包装資材</t>
        </is>
      </c>
      <c r="F34" s="267">
        <f>F33-F35</f>
        <v/>
      </c>
      <c r="G34" s="268">
        <f>G33-G35</f>
        <v/>
      </c>
      <c r="H34" s="268">
        <f>H33-H35</f>
        <v/>
      </c>
      <c r="I34" s="268">
        <f>I33-I35</f>
        <v/>
      </c>
      <c r="J34" s="269">
        <f>I34-H34</f>
        <v/>
      </c>
      <c r="K34" s="269">
        <f>I34-G34</f>
        <v/>
      </c>
      <c r="L34" s="270">
        <f>IF(G34=0,"***",K34/G34)</f>
        <v/>
      </c>
      <c r="M34" s="267">
        <f>M33-M35</f>
        <v/>
      </c>
      <c r="N34" s="268">
        <f>N33-N35</f>
        <v/>
      </c>
      <c r="O34" s="268">
        <f>O33-O35</f>
        <v/>
      </c>
      <c r="P34" s="268">
        <f>P33-P35</f>
        <v/>
      </c>
      <c r="Q34" s="269">
        <f>P34-O34</f>
        <v/>
      </c>
      <c r="R34" s="269">
        <f>P34-N34</f>
        <v/>
      </c>
      <c r="S34" s="271">
        <f>IF(N34=0,"***",R34/N34)</f>
        <v/>
      </c>
      <c r="T34" s="272">
        <f>IF(F34=0,"***",M34/F34)</f>
        <v/>
      </c>
      <c r="U34" s="273">
        <f>IF(G34=0,"***",N34/G34)</f>
        <v/>
      </c>
      <c r="V34" s="273">
        <f>IF(H34=0,"***",O34/H34)</f>
        <v/>
      </c>
      <c r="W34" s="273">
        <f>IF(I34=0,"***",P34/I34)</f>
        <v/>
      </c>
      <c r="X34" s="273">
        <f>W34-V34</f>
        <v/>
      </c>
      <c r="Y34" s="274">
        <f>W34-U34</f>
        <v/>
      </c>
    </row>
    <row r="35">
      <c r="A35" s="27" t="n"/>
      <c r="B35" s="28" t="n"/>
      <c r="C35" s="83" t="n"/>
      <c r="D35" s="30" t="n"/>
      <c r="E35" s="58" t="inlineStr">
        <is>
          <t>機械</t>
        </is>
      </c>
      <c r="F35" s="289" t="n">
        <v>453</v>
      </c>
      <c r="G35" s="277" t="n">
        <v>535</v>
      </c>
      <c r="H35" s="277" t="n">
        <v>3240</v>
      </c>
      <c r="I35" s="277" t="n">
        <v>4357.02</v>
      </c>
      <c r="J35" s="269">
        <f>I35-H35</f>
        <v/>
      </c>
      <c r="K35" s="269">
        <f>I35-G35</f>
        <v/>
      </c>
      <c r="L35" s="270">
        <f>IF(G35=0,"***",K35/G35)</f>
        <v/>
      </c>
      <c r="M35" s="289" t="n">
        <v>2</v>
      </c>
      <c r="N35" s="277" t="n">
        <v>192</v>
      </c>
      <c r="O35" s="277" t="n">
        <v>430</v>
      </c>
      <c r="P35" s="277" t="n">
        <v>579.957</v>
      </c>
      <c r="Q35" s="269">
        <f>P35-O35</f>
        <v/>
      </c>
      <c r="R35" s="269">
        <f>P35-N35</f>
        <v/>
      </c>
      <c r="S35" s="271">
        <f>IF(N35=0,"***",R35/N35)</f>
        <v/>
      </c>
      <c r="T35" s="272">
        <f>IF(F35=0,"***",M35/F35)</f>
        <v/>
      </c>
      <c r="U35" s="273">
        <f>IF(G35=0,"***",N35/G35)</f>
        <v/>
      </c>
      <c r="V35" s="273">
        <f>IF(H35=0,"***",O35/H35)</f>
        <v/>
      </c>
      <c r="W35" s="273">
        <f>IF(I35=0,"***",P35/I35)</f>
        <v/>
      </c>
      <c r="X35" s="273">
        <f>W35-V35</f>
        <v/>
      </c>
      <c r="Y35" s="274">
        <f>W35-U35</f>
        <v/>
      </c>
    </row>
    <row r="36">
      <c r="A36" s="49" t="n"/>
      <c r="B36" s="50" t="n"/>
      <c r="C36" s="51" t="n"/>
      <c r="D36" s="52" t="inlineStr">
        <is>
          <t>橋本課長</t>
        </is>
      </c>
      <c r="E36" s="53" t="n"/>
      <c r="F36" s="285" t="n">
        <v>43096.823</v>
      </c>
      <c r="G36" s="285" t="n">
        <v>38065.709</v>
      </c>
      <c r="H36" s="285" t="n">
        <v>40900</v>
      </c>
      <c r="I36" s="285" t="n">
        <v>46608.49</v>
      </c>
      <c r="J36" s="286">
        <f>I36-H36</f>
        <v/>
      </c>
      <c r="K36" s="286">
        <f>I36-G36</f>
        <v/>
      </c>
      <c r="L36" s="287">
        <f>IF(G36=0,"***",K36/G36)</f>
        <v/>
      </c>
      <c r="M36" s="285" t="n">
        <v>7660.638000000001</v>
      </c>
      <c r="N36" s="285" t="n">
        <v>7162.599000000001</v>
      </c>
      <c r="O36" s="285" t="n">
        <v>7750</v>
      </c>
      <c r="P36" s="285" t="n">
        <v>9976.315000000001</v>
      </c>
      <c r="Q36" s="286">
        <f>P36-O36</f>
        <v/>
      </c>
      <c r="R36" s="286">
        <f>P36-N36</f>
        <v/>
      </c>
      <c r="S36" s="288">
        <f>IF(N36=0,"***",R36/N36)</f>
        <v/>
      </c>
      <c r="T36" s="272">
        <f>IF(F36=0,"***",M36/F36)</f>
        <v/>
      </c>
      <c r="U36" s="273">
        <f>IF(G36=0,"***",N36/G36)</f>
        <v/>
      </c>
      <c r="V36" s="273">
        <f>IF(H36=0,"***",O36/H36)</f>
        <v/>
      </c>
      <c r="W36" s="273">
        <f>IF(I36=0,"***",P36/I36)</f>
        <v/>
      </c>
      <c r="X36" s="273">
        <f>W36-V36</f>
        <v/>
      </c>
      <c r="Y36" s="274">
        <f>W36-U36</f>
        <v/>
      </c>
    </row>
    <row r="37">
      <c r="A37" s="27" t="n"/>
      <c r="B37" s="28" t="n"/>
      <c r="C37" s="83" t="n"/>
      <c r="D37" s="30" t="n"/>
      <c r="E37" s="31" t="inlineStr">
        <is>
          <t>包装資材</t>
        </is>
      </c>
      <c r="F37" s="267">
        <f>F36-F38</f>
        <v/>
      </c>
      <c r="G37" s="268">
        <f>G36-G38</f>
        <v/>
      </c>
      <c r="H37" s="268">
        <f>H36-H38</f>
        <v/>
      </c>
      <c r="I37" s="268">
        <f>I36-I38</f>
        <v/>
      </c>
      <c r="J37" s="269">
        <f>I37-H37</f>
        <v/>
      </c>
      <c r="K37" s="269">
        <f>I37-G37</f>
        <v/>
      </c>
      <c r="L37" s="270">
        <f>IF(G37=0,"***",K37/G37)</f>
        <v/>
      </c>
      <c r="M37" s="267">
        <f>M36-M38</f>
        <v/>
      </c>
      <c r="N37" s="268">
        <f>N36-N38</f>
        <v/>
      </c>
      <c r="O37" s="268">
        <f>O36-O38</f>
        <v/>
      </c>
      <c r="P37" s="268">
        <f>P36-P38</f>
        <v/>
      </c>
      <c r="Q37" s="269">
        <f>P37-O37</f>
        <v/>
      </c>
      <c r="R37" s="269">
        <f>P37-N37</f>
        <v/>
      </c>
      <c r="S37" s="271">
        <f>IF(N37=0,"***",R37/N37)</f>
        <v/>
      </c>
      <c r="T37" s="272">
        <f>IF(F37=0,"***",M37/F37)</f>
        <v/>
      </c>
      <c r="U37" s="273">
        <f>IF(G37=0,"***",N37/G37)</f>
        <v/>
      </c>
      <c r="V37" s="273">
        <f>IF(H37=0,"***",O37/H37)</f>
        <v/>
      </c>
      <c r="W37" s="273">
        <f>IF(I37=0,"***",P37/I37)</f>
        <v/>
      </c>
      <c r="X37" s="273">
        <f>W37-V37</f>
        <v/>
      </c>
      <c r="Y37" s="274">
        <f>W37-U37</f>
        <v/>
      </c>
    </row>
    <row r="38">
      <c r="A38" s="27" t="n"/>
      <c r="B38" s="28" t="n"/>
      <c r="C38" s="83" t="n"/>
      <c r="D38" s="30" t="n"/>
      <c r="E38" s="58" t="inlineStr">
        <is>
          <t>機械</t>
        </is>
      </c>
      <c r="F38" s="289" t="n">
        <v>942</v>
      </c>
      <c r="G38" s="277" t="n">
        <v>1988</v>
      </c>
      <c r="H38" s="277" t="n">
        <v>750</v>
      </c>
      <c r="I38" s="277" t="n">
        <v>135</v>
      </c>
      <c r="J38" s="269">
        <f>I38-H38</f>
        <v/>
      </c>
      <c r="K38" s="269">
        <f>I38-G38</f>
        <v/>
      </c>
      <c r="L38" s="270">
        <f>IF(G38=0,"***",K38/G38)</f>
        <v/>
      </c>
      <c r="M38" s="289" t="n">
        <v>130</v>
      </c>
      <c r="N38" s="277" t="n">
        <v>204</v>
      </c>
      <c r="O38" s="277" t="n">
        <v>125</v>
      </c>
      <c r="P38" s="277" t="n">
        <v>17.96</v>
      </c>
      <c r="Q38" s="269">
        <f>P38-O38</f>
        <v/>
      </c>
      <c r="R38" s="269">
        <f>P38-N38</f>
        <v/>
      </c>
      <c r="S38" s="271">
        <f>IF(N38=0,"***",R38/N38)</f>
        <v/>
      </c>
      <c r="T38" s="272">
        <f>IF(F38=0,"***",M38/F38)</f>
        <v/>
      </c>
      <c r="U38" s="273">
        <f>IF(G38=0,"***",N38/G38)</f>
        <v/>
      </c>
      <c r="V38" s="273">
        <f>IF(H38=0,"***",O38/H38)</f>
        <v/>
      </c>
      <c r="W38" s="273">
        <f>IF(I38=0,"***",P38/I38)</f>
        <v/>
      </c>
      <c r="X38" s="273">
        <f>W38-V38</f>
        <v/>
      </c>
      <c r="Y38" s="274">
        <f>W38-U38</f>
        <v/>
      </c>
    </row>
    <row r="39">
      <c r="A39" s="49" t="n"/>
      <c r="B39" s="50" t="n"/>
      <c r="C39" s="51" t="n"/>
      <c r="D39" s="52" t="inlineStr">
        <is>
          <t>井上課長</t>
        </is>
      </c>
      <c r="E39" s="53" t="n"/>
      <c r="F39" s="285" t="n">
        <v>60586.115</v>
      </c>
      <c r="G39" s="285" t="n">
        <v>62559.764</v>
      </c>
      <c r="H39" s="285" t="n">
        <v>64000</v>
      </c>
      <c r="I39" s="285" t="n">
        <v>65153.326</v>
      </c>
      <c r="J39" s="286">
        <f>I39-H39</f>
        <v/>
      </c>
      <c r="K39" s="286">
        <f>I39-G39</f>
        <v/>
      </c>
      <c r="L39" s="287">
        <f>IF(G39=0,"***",K39/G39)</f>
        <v/>
      </c>
      <c r="M39" s="285" t="n">
        <v>11568.325</v>
      </c>
      <c r="N39" s="285" t="n">
        <v>12075.443</v>
      </c>
      <c r="O39" s="285" t="n">
        <v>12400</v>
      </c>
      <c r="P39" s="285" t="n">
        <v>13651.625</v>
      </c>
      <c r="Q39" s="286">
        <f>P39-O39</f>
        <v/>
      </c>
      <c r="R39" s="286">
        <f>P39-N39</f>
        <v/>
      </c>
      <c r="S39" s="288">
        <f>IF(N39=0,"***",R39/N39)</f>
        <v/>
      </c>
      <c r="T39" s="272">
        <f>IF(F39=0,"***",M39/F39)</f>
        <v/>
      </c>
      <c r="U39" s="273">
        <f>IF(G39=0,"***",N39/G39)</f>
        <v/>
      </c>
      <c r="V39" s="273">
        <f>IF(H39=0,"***",O39/H39)</f>
        <v/>
      </c>
      <c r="W39" s="273">
        <f>IF(I39=0,"***",P39/I39)</f>
        <v/>
      </c>
      <c r="X39" s="273">
        <f>W39-V39</f>
        <v/>
      </c>
      <c r="Y39" s="274">
        <f>W39-U39</f>
        <v/>
      </c>
    </row>
    <row r="40">
      <c r="A40" s="27" t="n"/>
      <c r="B40" s="28" t="n"/>
      <c r="C40" s="83" t="n"/>
      <c r="D40" s="30" t="n"/>
      <c r="E40" s="31" t="inlineStr">
        <is>
          <t>包装資材</t>
        </is>
      </c>
      <c r="F40" s="267">
        <f>F39-F41</f>
        <v/>
      </c>
      <c r="G40" s="268">
        <f>G39-G41</f>
        <v/>
      </c>
      <c r="H40" s="268">
        <f>H39-H41</f>
        <v/>
      </c>
      <c r="I40" s="268">
        <f>I39-I41</f>
        <v/>
      </c>
      <c r="J40" s="269">
        <f>I40-H40</f>
        <v/>
      </c>
      <c r="K40" s="269">
        <f>I40-G40</f>
        <v/>
      </c>
      <c r="L40" s="270">
        <f>IF(G40=0,"***",K40/G40)</f>
        <v/>
      </c>
      <c r="M40" s="267">
        <f>M39-M41</f>
        <v/>
      </c>
      <c r="N40" s="268">
        <f>N39-N41</f>
        <v/>
      </c>
      <c r="O40" s="268">
        <f>O39-O41</f>
        <v/>
      </c>
      <c r="P40" s="268">
        <f>P39-P41</f>
        <v/>
      </c>
      <c r="Q40" s="269">
        <f>P40-O40</f>
        <v/>
      </c>
      <c r="R40" s="269">
        <f>P40-N40</f>
        <v/>
      </c>
      <c r="S40" s="271">
        <f>IF(N40=0,"***",R40/N40)</f>
        <v/>
      </c>
      <c r="T40" s="272">
        <f>IF(F40=0,"***",M40/F40)</f>
        <v/>
      </c>
      <c r="U40" s="273">
        <f>IF(G40=0,"***",N40/G40)</f>
        <v/>
      </c>
      <c r="V40" s="273">
        <f>IF(H40=0,"***",O40/H40)</f>
        <v/>
      </c>
      <c r="W40" s="273">
        <f>IF(I40=0,"***",P40/I40)</f>
        <v/>
      </c>
      <c r="X40" s="273">
        <f>W40-V40</f>
        <v/>
      </c>
      <c r="Y40" s="274">
        <f>W40-U40</f>
        <v/>
      </c>
    </row>
    <row r="41">
      <c r="A41" s="27" t="n"/>
      <c r="B41" s="28" t="n"/>
      <c r="C41" s="83" t="n"/>
      <c r="D41" s="30" t="n"/>
      <c r="E41" s="58" t="inlineStr">
        <is>
          <t>機械</t>
        </is>
      </c>
      <c r="F41" s="289" t="n">
        <v>466</v>
      </c>
      <c r="G41" s="277" t="n">
        <v>981</v>
      </c>
      <c r="H41" s="277" t="n">
        <v>400</v>
      </c>
      <c r="I41" s="277" t="n">
        <v>1516.73</v>
      </c>
      <c r="J41" s="269">
        <f>I41-H41</f>
        <v/>
      </c>
      <c r="K41" s="269">
        <f>I41-G41</f>
        <v/>
      </c>
      <c r="L41" s="270">
        <f>IF(G41=0,"***",K41/G41)</f>
        <v/>
      </c>
      <c r="M41" s="289" t="n">
        <v>91</v>
      </c>
      <c r="N41" s="277" t="n">
        <v>116</v>
      </c>
      <c r="O41" s="277" t="n">
        <v>80</v>
      </c>
      <c r="P41" s="277" t="n">
        <v>240.3</v>
      </c>
      <c r="Q41" s="269">
        <f>P41-O41</f>
        <v/>
      </c>
      <c r="R41" s="269">
        <f>P41-N41</f>
        <v/>
      </c>
      <c r="S41" s="271">
        <f>IF(N41=0,"***",R41/N41)</f>
        <v/>
      </c>
      <c r="T41" s="272">
        <f>IF(F41=0,"***",M41/F41)</f>
        <v/>
      </c>
      <c r="U41" s="273">
        <f>IF(G41=0,"***",N41/G41)</f>
        <v/>
      </c>
      <c r="V41" s="273">
        <f>IF(H41=0,"***",O41/H41)</f>
        <v/>
      </c>
      <c r="W41" s="273">
        <f>IF(I41=0,"***",P41/I41)</f>
        <v/>
      </c>
      <c r="X41" s="273">
        <f>W41-V41</f>
        <v/>
      </c>
      <c r="Y41" s="274">
        <f>W41-U41</f>
        <v/>
      </c>
    </row>
    <row r="42">
      <c r="A42" s="49" t="n"/>
      <c r="B42" s="50" t="n"/>
      <c r="C42" s="51" t="n"/>
      <c r="D42" s="52" t="inlineStr">
        <is>
          <t>中国</t>
        </is>
      </c>
      <c r="E42" s="53" t="n"/>
      <c r="F42" s="284" t="n">
        <v>3244.418</v>
      </c>
      <c r="G42" s="285" t="n">
        <v>0</v>
      </c>
      <c r="H42" s="285" t="n">
        <v>0</v>
      </c>
      <c r="I42" s="285" t="n">
        <v>0</v>
      </c>
      <c r="J42" s="286">
        <f>I42-H42</f>
        <v/>
      </c>
      <c r="K42" s="286">
        <f>I42-G42</f>
        <v/>
      </c>
      <c r="L42" s="287">
        <f>IF(G42=0,"***",K42/G42)</f>
        <v/>
      </c>
      <c r="M42" s="284" t="n">
        <v>177.043</v>
      </c>
      <c r="N42" s="285" t="n">
        <v>0</v>
      </c>
      <c r="O42" s="285" t="n">
        <v>0</v>
      </c>
      <c r="P42" s="285" t="n">
        <v>0</v>
      </c>
      <c r="Q42" s="286">
        <f>P42-O42</f>
        <v/>
      </c>
      <c r="R42" s="286">
        <f>P42-N42</f>
        <v/>
      </c>
      <c r="S42" s="288">
        <f>IF(N42=0,"***",R42/N42)</f>
        <v/>
      </c>
      <c r="T42" s="272">
        <f>IF(F42=0,"***",M42/F42)</f>
        <v/>
      </c>
      <c r="U42" s="273">
        <f>IF(G42=0,"***",N42/G42)</f>
        <v/>
      </c>
      <c r="V42" s="273">
        <f>IF(H42=0,"***",O42/H42)</f>
        <v/>
      </c>
      <c r="W42" s="273">
        <f>IF(I42=0,"***",P42/I42)</f>
        <v/>
      </c>
      <c r="X42" s="273">
        <f>W42-V42</f>
        <v/>
      </c>
      <c r="Y42" s="274">
        <f>W42-U42</f>
        <v/>
      </c>
    </row>
    <row r="43">
      <c r="A43" s="27" t="n"/>
      <c r="B43" s="28" t="n"/>
      <c r="C43" s="83" t="n"/>
      <c r="D43" s="30" t="n"/>
      <c r="E43" s="31" t="inlineStr">
        <is>
          <t>包装資材</t>
        </is>
      </c>
      <c r="F43" s="267">
        <f>F42-F44</f>
        <v/>
      </c>
      <c r="G43" s="268">
        <f>G42-G44</f>
        <v/>
      </c>
      <c r="H43" s="268">
        <f>H42-H44</f>
        <v/>
      </c>
      <c r="I43" s="268">
        <f>I42-I44</f>
        <v/>
      </c>
      <c r="J43" s="269">
        <f>I43-H43</f>
        <v/>
      </c>
      <c r="K43" s="269">
        <f>I43-G43</f>
        <v/>
      </c>
      <c r="L43" s="270">
        <f>IF(G43=0,"***",K43/G43)</f>
        <v/>
      </c>
      <c r="M43" s="267">
        <f>M42-M44</f>
        <v/>
      </c>
      <c r="N43" s="268">
        <f>N42-N44</f>
        <v/>
      </c>
      <c r="O43" s="268">
        <f>O42-O44</f>
        <v/>
      </c>
      <c r="P43" s="268">
        <f>P42-P44</f>
        <v/>
      </c>
      <c r="Q43" s="269">
        <f>P43-O43</f>
        <v/>
      </c>
      <c r="R43" s="269">
        <f>P43-N43</f>
        <v/>
      </c>
      <c r="S43" s="271">
        <f>IF(N43=0,"***",R43/N43)</f>
        <v/>
      </c>
      <c r="T43" s="272">
        <f>IF(F43=0,"***",M43/F43)</f>
        <v/>
      </c>
      <c r="U43" s="273">
        <f>IF(G43=0,"***",N43/G43)</f>
        <v/>
      </c>
      <c r="V43" s="273">
        <f>IF(H43=0,"***",O43/H43)</f>
        <v/>
      </c>
      <c r="W43" s="273">
        <f>IF(I43=0,"***",P43/I43)</f>
        <v/>
      </c>
      <c r="X43" s="273">
        <f>W43-V43</f>
        <v/>
      </c>
      <c r="Y43" s="274">
        <f>W43-U43</f>
        <v/>
      </c>
    </row>
    <row r="44">
      <c r="A44" s="27" t="n"/>
      <c r="B44" s="28" t="n"/>
      <c r="C44" s="83" t="n"/>
      <c r="D44" s="30" t="n"/>
      <c r="E44" s="58" t="inlineStr">
        <is>
          <t>機械</t>
        </is>
      </c>
      <c r="F44" s="289" t="n">
        <v>0</v>
      </c>
      <c r="G44" s="277" t="n">
        <v>0</v>
      </c>
      <c r="H44" s="277" t="n">
        <v>0</v>
      </c>
      <c r="I44" s="277" t="n">
        <v>0</v>
      </c>
      <c r="J44" s="269">
        <f>I44-H44</f>
        <v/>
      </c>
      <c r="K44" s="269">
        <f>I44-G44</f>
        <v/>
      </c>
      <c r="L44" s="270">
        <f>IF(G44=0,"***",K44/G44)</f>
        <v/>
      </c>
      <c r="M44" s="289" t="n">
        <v>0</v>
      </c>
      <c r="N44" s="277" t="n">
        <v>0</v>
      </c>
      <c r="O44" s="277" t="n">
        <v>0</v>
      </c>
      <c r="P44" s="277" t="n">
        <v>0</v>
      </c>
      <c r="Q44" s="269">
        <f>P44-O44</f>
        <v/>
      </c>
      <c r="R44" s="269">
        <f>P44-N44</f>
        <v/>
      </c>
      <c r="S44" s="271">
        <f>IF(N44=0,"***",R44/N44)</f>
        <v/>
      </c>
      <c r="T44" s="272">
        <f>IF(F44=0,"***",M44/F44)</f>
        <v/>
      </c>
      <c r="U44" s="273">
        <f>IF(G44=0,"***",N44/G44)</f>
        <v/>
      </c>
      <c r="V44" s="273">
        <f>IF(H44=0,"***",O44/H44)</f>
        <v/>
      </c>
      <c r="W44" s="273">
        <f>IF(I44=0,"***",P44/I44)</f>
        <v/>
      </c>
      <c r="X44" s="273">
        <f>W44-V44</f>
        <v/>
      </c>
      <c r="Y44" s="274">
        <f>W44-U44</f>
        <v/>
      </c>
    </row>
    <row r="45">
      <c r="A45" s="27" t="n"/>
      <c r="B45" s="28" t="n"/>
      <c r="C45" s="83" t="n"/>
      <c r="D45" s="84" t="inlineStr">
        <is>
          <t>自治体</t>
        </is>
      </c>
      <c r="E45" s="85" t="n"/>
      <c r="F45" s="289" t="n">
        <v>0</v>
      </c>
      <c r="G45" s="277" t="n">
        <v>107.5</v>
      </c>
      <c r="H45" s="277" t="n">
        <v>100</v>
      </c>
      <c r="I45" s="277" t="n">
        <v>163.3</v>
      </c>
      <c r="J45" s="269">
        <f>I45-H45</f>
        <v/>
      </c>
      <c r="K45" s="269">
        <f>I45-G45</f>
        <v/>
      </c>
      <c r="L45" s="270">
        <f>IF(G45=0,"***",K45/G45)</f>
        <v/>
      </c>
      <c r="M45" s="289" t="n">
        <v>0</v>
      </c>
      <c r="N45" s="277" t="n">
        <v>3.6</v>
      </c>
      <c r="O45" s="277" t="n">
        <v>10</v>
      </c>
      <c r="P45" s="277" t="n">
        <v>5.35</v>
      </c>
      <c r="Q45" s="269">
        <f>P45-O45</f>
        <v/>
      </c>
      <c r="R45" s="269">
        <f>P45-N45</f>
        <v/>
      </c>
      <c r="S45" s="271">
        <f>IF(N45=0,"***",R45/N45)</f>
        <v/>
      </c>
      <c r="T45" s="272">
        <f>IF(F45=0,"***",M45/F45)</f>
        <v/>
      </c>
      <c r="U45" s="273">
        <f>IF(G45=0,"***",N45/G45)</f>
        <v/>
      </c>
      <c r="V45" s="273">
        <f>IF(H45=0,"***",O45/H45)</f>
        <v/>
      </c>
      <c r="W45" s="273">
        <f>IF(I45=0,"***",P45/I45)</f>
        <v/>
      </c>
      <c r="X45" s="273">
        <f>W45-V45</f>
        <v/>
      </c>
      <c r="Y45" s="274">
        <f>W45-U45</f>
        <v/>
      </c>
    </row>
    <row r="46">
      <c r="A46" s="27" t="n"/>
      <c r="B46" s="28" t="n"/>
      <c r="C46" s="83" t="n"/>
      <c r="D46" s="86" t="n"/>
      <c r="E46" s="31" t="inlineStr">
        <is>
          <t>包装資材</t>
        </is>
      </c>
      <c r="F46" s="289" t="n"/>
      <c r="G46" s="277" t="n"/>
      <c r="H46" s="277" t="n"/>
      <c r="I46" s="277" t="n"/>
      <c r="J46" s="269" t="n"/>
      <c r="K46" s="269" t="n"/>
      <c r="L46" s="270" t="n"/>
      <c r="M46" s="289" t="n"/>
      <c r="N46" s="277" t="n"/>
      <c r="O46" s="277" t="n"/>
      <c r="P46" s="277" t="n"/>
      <c r="Q46" s="269" t="n"/>
      <c r="R46" s="269" t="n"/>
      <c r="S46" s="271" t="n"/>
      <c r="T46" s="272" t="n"/>
      <c r="U46" s="273" t="n"/>
      <c r="V46" s="273" t="n"/>
      <c r="W46" s="273" t="n"/>
      <c r="X46" s="273" t="n"/>
      <c r="Y46" s="274" t="n"/>
    </row>
    <row r="47">
      <c r="A47" s="27" t="n"/>
      <c r="B47" s="28" t="n"/>
      <c r="C47" s="83" t="n"/>
      <c r="D47" s="86" t="n"/>
      <c r="E47" s="58" t="inlineStr">
        <is>
          <t>機械</t>
        </is>
      </c>
      <c r="F47" s="289" t="n">
        <v>0</v>
      </c>
      <c r="G47" s="277" t="n">
        <v>0</v>
      </c>
      <c r="H47" s="277" t="n">
        <v>100</v>
      </c>
      <c r="I47" s="277" t="n">
        <v>0</v>
      </c>
      <c r="J47" s="269" t="n"/>
      <c r="K47" s="269" t="n"/>
      <c r="L47" s="270" t="n"/>
      <c r="M47" s="289" t="n">
        <v>0</v>
      </c>
      <c r="N47" s="277" t="n">
        <v>0</v>
      </c>
      <c r="O47" s="277" t="n">
        <v>10</v>
      </c>
      <c r="P47" s="277" t="n">
        <v>0</v>
      </c>
      <c r="Q47" s="269" t="n"/>
      <c r="R47" s="269" t="n"/>
      <c r="S47" s="271" t="n"/>
      <c r="T47" s="272" t="n"/>
      <c r="U47" s="273" t="n"/>
      <c r="V47" s="273" t="n"/>
      <c r="W47" s="273" t="n"/>
      <c r="X47" s="273" t="n"/>
      <c r="Y47" s="274" t="n"/>
    </row>
    <row r="48">
      <c r="A48" s="49" t="n"/>
      <c r="B48" s="50" t="n"/>
      <c r="C48" s="51" t="n"/>
      <c r="D48" s="52" t="inlineStr">
        <is>
          <t>その他</t>
        </is>
      </c>
      <c r="E48" s="53" t="n"/>
      <c r="F48" s="284" t="n">
        <v>77</v>
      </c>
      <c r="G48" s="285" t="n">
        <v>129.8</v>
      </c>
      <c r="H48" s="285" t="n">
        <v>0</v>
      </c>
      <c r="I48" s="285" t="n">
        <v>0</v>
      </c>
      <c r="J48" s="286">
        <f>I48-H48</f>
        <v/>
      </c>
      <c r="K48" s="286">
        <f>I48-G48</f>
        <v/>
      </c>
      <c r="L48" s="287">
        <f>IF(G48=0,"***",K48/G48)</f>
        <v/>
      </c>
      <c r="M48" s="284" t="n">
        <v>17.245</v>
      </c>
      <c r="N48" s="285" t="n">
        <v>21.58</v>
      </c>
      <c r="O48" s="285" t="n">
        <v>0</v>
      </c>
      <c r="P48" s="285" t="n">
        <v>0</v>
      </c>
      <c r="Q48" s="286">
        <f>P48-O48</f>
        <v/>
      </c>
      <c r="R48" s="286">
        <f>P48-N48</f>
        <v/>
      </c>
      <c r="S48" s="288">
        <f>IF(N48=0,"***",R48/N48)</f>
        <v/>
      </c>
      <c r="T48" s="272">
        <f>IF(F48=0,"***",M48/F48)</f>
        <v/>
      </c>
      <c r="U48" s="273">
        <f>IF(G48=0,"***",N48/G48)</f>
        <v/>
      </c>
      <c r="V48" s="273">
        <f>IF(H48=0,"***",O48/H48)</f>
        <v/>
      </c>
      <c r="W48" s="273">
        <f>IF(I48=0,"***",P48/I48)</f>
        <v/>
      </c>
      <c r="X48" s="273">
        <f>W48-V48</f>
        <v/>
      </c>
      <c r="Y48" s="274">
        <f>W48-U48</f>
        <v/>
      </c>
    </row>
    <row r="49">
      <c r="A49" s="27" t="n"/>
      <c r="B49" s="28" t="n"/>
      <c r="C49" s="83" t="n"/>
      <c r="D49" s="30" t="n"/>
      <c r="E49" s="31" t="inlineStr">
        <is>
          <t>包装資材</t>
        </is>
      </c>
      <c r="F49" s="267">
        <f>F48-F50</f>
        <v/>
      </c>
      <c r="G49" s="268">
        <f>G48-G50</f>
        <v/>
      </c>
      <c r="H49" s="268">
        <f>H48-H50</f>
        <v/>
      </c>
      <c r="I49" s="268">
        <f>I48-I50</f>
        <v/>
      </c>
      <c r="J49" s="269">
        <f>I49-H49</f>
        <v/>
      </c>
      <c r="K49" s="269">
        <f>I49-G49</f>
        <v/>
      </c>
      <c r="L49" s="270">
        <f>IF(G49=0,"***",K49/G49)</f>
        <v/>
      </c>
      <c r="M49" s="267">
        <f>M48-M50</f>
        <v/>
      </c>
      <c r="N49" s="268">
        <f>N48-N50</f>
        <v/>
      </c>
      <c r="O49" s="268">
        <f>O48-O50</f>
        <v/>
      </c>
      <c r="P49" s="268">
        <f>P48-P50</f>
        <v/>
      </c>
      <c r="Q49" s="269">
        <f>P49-O49</f>
        <v/>
      </c>
      <c r="R49" s="269">
        <f>P49-N49</f>
        <v/>
      </c>
      <c r="S49" s="271">
        <f>IF(N49=0,"***",R49/N49)</f>
        <v/>
      </c>
      <c r="T49" s="272">
        <f>IF(F49=0,"***",M49/F49)</f>
        <v/>
      </c>
      <c r="U49" s="273">
        <f>IF(G49=0,"***",N49/G49)</f>
        <v/>
      </c>
      <c r="V49" s="273">
        <f>IF(H49=0,"***",O49/H49)</f>
        <v/>
      </c>
      <c r="W49" s="273">
        <f>IF(I49=0,"***",P49/I49)</f>
        <v/>
      </c>
      <c r="X49" s="273">
        <f>W49-V49</f>
        <v/>
      </c>
      <c r="Y49" s="274">
        <f>W49-U49</f>
        <v/>
      </c>
    </row>
    <row r="50">
      <c r="A50" s="27" t="n"/>
      <c r="B50" s="28" t="n"/>
      <c r="C50" s="83" t="n"/>
      <c r="D50" s="30" t="n"/>
      <c r="E50" s="58" t="inlineStr">
        <is>
          <t>機械</t>
        </is>
      </c>
      <c r="F50" s="289" t="n">
        <v>0</v>
      </c>
      <c r="G50" s="277" t="n">
        <v>0</v>
      </c>
      <c r="H50" s="277" t="n">
        <v>0</v>
      </c>
      <c r="I50" s="277" t="n">
        <v>0</v>
      </c>
      <c r="J50" s="269">
        <f>I50-H50</f>
        <v/>
      </c>
      <c r="K50" s="269">
        <f>I50-G50</f>
        <v/>
      </c>
      <c r="L50" s="270">
        <f>IF(G50=0,"***",K50/G50)</f>
        <v/>
      </c>
      <c r="M50" s="289" t="n">
        <v>0</v>
      </c>
      <c r="N50" s="277" t="n">
        <v>0</v>
      </c>
      <c r="O50" s="277" t="n">
        <v>0</v>
      </c>
      <c r="P50" s="277" t="n">
        <v>0</v>
      </c>
      <c r="Q50" s="269">
        <f>P50-O50</f>
        <v/>
      </c>
      <c r="R50" s="269">
        <f>P50-N50</f>
        <v/>
      </c>
      <c r="S50" s="271">
        <f>IF(N50=0,"***",R50/N50)</f>
        <v/>
      </c>
      <c r="T50" s="272">
        <f>IF(F50=0,"***",M50/F50)</f>
        <v/>
      </c>
      <c r="U50" s="273">
        <f>IF(G50=0,"***",N50/G50)</f>
        <v/>
      </c>
      <c r="V50" s="273">
        <f>IF(H50=0,"***",O50/H50)</f>
        <v/>
      </c>
      <c r="W50" s="273">
        <f>IF(I50=0,"***",P50/I50)</f>
        <v/>
      </c>
      <c r="X50" s="273">
        <f>W50-V50</f>
        <v/>
      </c>
      <c r="Y50" s="274">
        <f>W50-U50</f>
        <v/>
      </c>
    </row>
    <row r="51">
      <c r="A51" s="49" t="n"/>
      <c r="B51" s="50" t="n"/>
      <c r="C51" s="87" t="inlineStr">
        <is>
          <t>下関営業所</t>
        </is>
      </c>
      <c r="D51" s="62" t="n"/>
      <c r="E51" s="63" t="n"/>
      <c r="F51" s="302">
        <f>F48+F45+F42+F39+F36+F33+F30</f>
        <v/>
      </c>
      <c r="G51" s="303">
        <f>G48+G45+G42+G39+G36+G33+G30</f>
        <v/>
      </c>
      <c r="H51" s="303">
        <f>H48+H45+H42+H39+H36+H33+H30</f>
        <v/>
      </c>
      <c r="I51" s="303">
        <f>I48+I45+I42+I39+I36+I33+I30</f>
        <v/>
      </c>
      <c r="J51" s="293">
        <f>I51-H51</f>
        <v/>
      </c>
      <c r="K51" s="293">
        <f>I51-G51</f>
        <v/>
      </c>
      <c r="L51" s="294">
        <f>IF(G51=0,"***",K51/G51)</f>
        <v/>
      </c>
      <c r="M51" s="295">
        <f>M48+M45+M42+M39+M36+M33+M30</f>
        <v/>
      </c>
      <c r="N51" s="295">
        <f>N48+N45+N42+N39+N36+N33+N30</f>
        <v/>
      </c>
      <c r="O51" s="295">
        <f>O48+O45+O42+O39+O36+O33+O30</f>
        <v/>
      </c>
      <c r="P51" s="295">
        <f>P48+P45+P42+P39+P36+P33+P30</f>
        <v/>
      </c>
      <c r="Q51" s="293">
        <f>P51-O51</f>
        <v/>
      </c>
      <c r="R51" s="293">
        <f>P51-N51</f>
        <v/>
      </c>
      <c r="S51" s="296">
        <f>IF(N51=0,"***",R51/N51)</f>
        <v/>
      </c>
      <c r="T51" s="297">
        <f>IF(F51=0,"***",M51/F51)</f>
        <v/>
      </c>
      <c r="U51" s="298">
        <f>IF(G51=0,"***",N51/G51)</f>
        <v/>
      </c>
      <c r="V51" s="298">
        <f>IF(H51=0,"***",O51/H51)</f>
        <v/>
      </c>
      <c r="W51" s="298">
        <f>IF(I51=0,"***",P51/I51)</f>
        <v/>
      </c>
      <c r="X51" s="299">
        <f>W51-V51</f>
        <v/>
      </c>
      <c r="Y51" s="300">
        <f>W51-U51</f>
        <v/>
      </c>
    </row>
    <row r="52">
      <c r="A52" s="49" t="n"/>
      <c r="B52" s="50" t="n"/>
      <c r="C52" s="73" t="n"/>
      <c r="D52" s="74" t="inlineStr">
        <is>
          <t>営業</t>
        </is>
      </c>
      <c r="E52" s="63" t="n"/>
      <c r="F52" s="302">
        <f>F51-F55</f>
        <v/>
      </c>
      <c r="G52" s="303">
        <f>G51-G55</f>
        <v/>
      </c>
      <c r="H52" s="303">
        <f>H51-H55</f>
        <v/>
      </c>
      <c r="I52" s="303">
        <f>I51-I55</f>
        <v/>
      </c>
      <c r="J52" s="293">
        <f>I52-H52</f>
        <v/>
      </c>
      <c r="K52" s="293">
        <f>I52-G52</f>
        <v/>
      </c>
      <c r="L52" s="294">
        <f>IF(G52=0,"***",K52/G52)</f>
        <v/>
      </c>
      <c r="M52" s="295">
        <f>M51-M55</f>
        <v/>
      </c>
      <c r="N52" s="295">
        <f>N51-N55</f>
        <v/>
      </c>
      <c r="O52" s="295">
        <f>O51-O55</f>
        <v/>
      </c>
      <c r="P52" s="295">
        <f>P51-P55</f>
        <v/>
      </c>
      <c r="Q52" s="293">
        <f>P52-O52</f>
        <v/>
      </c>
      <c r="R52" s="293">
        <f>P52-N52</f>
        <v/>
      </c>
      <c r="S52" s="296">
        <f>IF(N52=0,"***",R52/N52)</f>
        <v/>
      </c>
      <c r="T52" s="297">
        <f>IF(F52=0,"***",M52/F52)</f>
        <v/>
      </c>
      <c r="U52" s="301">
        <f>IF(G52=0,"***",N52/G52)</f>
        <v/>
      </c>
      <c r="V52" s="301">
        <f>IF(H52=0,"***",O52/H52)</f>
        <v/>
      </c>
      <c r="W52" s="301">
        <f>IF(I52=0,"***",P52/I52)</f>
        <v/>
      </c>
      <c r="X52" s="299">
        <f>W52-V52</f>
        <v/>
      </c>
      <c r="Y52" s="300">
        <f>W52-U52</f>
        <v/>
      </c>
    </row>
    <row r="53">
      <c r="A53" s="49" t="n"/>
      <c r="B53" s="50" t="n"/>
      <c r="C53" s="73" t="n"/>
      <c r="D53" s="76" t="n"/>
      <c r="E53" s="77" t="inlineStr">
        <is>
          <t>包装資材</t>
        </is>
      </c>
      <c r="F53" s="302">
        <f>F52-F54</f>
        <v/>
      </c>
      <c r="G53" s="292">
        <f>G52-G54</f>
        <v/>
      </c>
      <c r="H53" s="292">
        <f>H52-H54</f>
        <v/>
      </c>
      <c r="I53" s="292">
        <f>I52-I54</f>
        <v/>
      </c>
      <c r="J53" s="293">
        <f>I53-H53</f>
        <v/>
      </c>
      <c r="K53" s="293">
        <f>I53-G53</f>
        <v/>
      </c>
      <c r="L53" s="294">
        <f>IF(G53=0,"***",K53/G53)</f>
        <v/>
      </c>
      <c r="M53" s="295">
        <f>M52-M54</f>
        <v/>
      </c>
      <c r="N53" s="292">
        <f>N52-N54</f>
        <v/>
      </c>
      <c r="O53" s="292">
        <f>O52-O54</f>
        <v/>
      </c>
      <c r="P53" s="292">
        <f>P52-P54</f>
        <v/>
      </c>
      <c r="Q53" s="293">
        <f>P53-O53</f>
        <v/>
      </c>
      <c r="R53" s="293">
        <f>P53-N53</f>
        <v/>
      </c>
      <c r="S53" s="296">
        <f>IF(N53=0,"***",R53/N53)</f>
        <v/>
      </c>
      <c r="T53" s="297">
        <f>IF(F53=0,"***",M53/F53)</f>
        <v/>
      </c>
      <c r="U53" s="301">
        <f>IF(G53=0,"***",N53/G53)</f>
        <v/>
      </c>
      <c r="V53" s="301">
        <f>IF(H53=0,"***",O53/H53)</f>
        <v/>
      </c>
      <c r="W53" s="301">
        <f>IF(I53=0,"***",P53/I53)</f>
        <v/>
      </c>
      <c r="X53" s="299">
        <f>W53-V53</f>
        <v/>
      </c>
      <c r="Y53" s="300">
        <f>W53-U53</f>
        <v/>
      </c>
    </row>
    <row r="54">
      <c r="A54" s="49" t="n"/>
      <c r="B54" s="50" t="n"/>
      <c r="C54" s="73" t="n"/>
      <c r="D54" s="78" t="n"/>
      <c r="E54" s="77" t="inlineStr">
        <is>
          <t>機械</t>
        </is>
      </c>
      <c r="F54" s="302">
        <f>F50+F41+F38+F35+F32</f>
        <v/>
      </c>
      <c r="G54" s="303">
        <f>G50+G41+G38+G35+G32</f>
        <v/>
      </c>
      <c r="H54" s="295">
        <f>H50+H41+H38+H35+H32</f>
        <v/>
      </c>
      <c r="I54" s="295">
        <f>I50+I41+I38+I35+I32</f>
        <v/>
      </c>
      <c r="J54" s="293">
        <f>I54-H54</f>
        <v/>
      </c>
      <c r="K54" s="293">
        <f>I54-G54</f>
        <v/>
      </c>
      <c r="L54" s="294">
        <f>IF(G54=0,"***",K54/G54)</f>
        <v/>
      </c>
      <c r="M54" s="295">
        <f>M44+M41+M38+M35+M32</f>
        <v/>
      </c>
      <c r="N54" s="295">
        <f>N44+N41+N38+N35+N32</f>
        <v/>
      </c>
      <c r="O54" s="295">
        <f>O44+O41+O38+O35+O32</f>
        <v/>
      </c>
      <c r="P54" s="295">
        <f>P50+P41+P38+P35+P32</f>
        <v/>
      </c>
      <c r="Q54" s="293">
        <f>P54-O54</f>
        <v/>
      </c>
      <c r="R54" s="293">
        <f>P54-N54</f>
        <v/>
      </c>
      <c r="S54" s="296">
        <f>IF(N54=0,"***",R54/N54)</f>
        <v/>
      </c>
      <c r="T54" s="297">
        <f>IF(F54=0,"***",M54/F54)</f>
        <v/>
      </c>
      <c r="U54" s="301">
        <f>IF(G54=0,"***",N54/G54)</f>
        <v/>
      </c>
      <c r="V54" s="301">
        <f>IF(H54=0,"***",O54/H54)</f>
        <v/>
      </c>
      <c r="W54" s="301">
        <f>IF(I54=0,"***",P54/I54)</f>
        <v/>
      </c>
      <c r="X54" s="299">
        <f>W54-V54</f>
        <v/>
      </c>
      <c r="Y54" s="300">
        <f>W54-U54</f>
        <v/>
      </c>
    </row>
    <row r="55">
      <c r="A55" s="49" t="n"/>
      <c r="B55" s="50" t="n"/>
      <c r="C55" s="90" t="n"/>
      <c r="D55" s="91" t="inlineStr">
        <is>
          <t>中国事業</t>
        </is>
      </c>
      <c r="E55" s="92" t="n"/>
      <c r="F55" s="304">
        <f>F42</f>
        <v/>
      </c>
      <c r="G55" s="305">
        <f>G42</f>
        <v/>
      </c>
      <c r="H55" s="305">
        <f>H42</f>
        <v/>
      </c>
      <c r="I55" s="305">
        <f>I42</f>
        <v/>
      </c>
      <c r="J55" s="306">
        <f>I55-H55</f>
        <v/>
      </c>
      <c r="K55" s="306">
        <f>I55-G55</f>
        <v/>
      </c>
      <c r="L55" s="307">
        <f>IF(G55=0,"***",K55/G55)</f>
        <v/>
      </c>
      <c r="M55" s="308">
        <f>M42</f>
        <v/>
      </c>
      <c r="N55" s="309">
        <f>N42</f>
        <v/>
      </c>
      <c r="O55" s="309">
        <f>O42</f>
        <v/>
      </c>
      <c r="P55" s="309">
        <f>P42</f>
        <v/>
      </c>
      <c r="Q55" s="306">
        <f>P55-O55</f>
        <v/>
      </c>
      <c r="R55" s="306">
        <f>P55-N55</f>
        <v/>
      </c>
      <c r="S55" s="310">
        <f>IF(N55=0,"***",R55/N55)</f>
        <v/>
      </c>
      <c r="T55" s="311">
        <f>IF(F55=0,"***",M55/F55)</f>
        <v/>
      </c>
      <c r="U55" s="312">
        <f>IF(G55=0,"***",N55/G55)</f>
        <v/>
      </c>
      <c r="V55" s="312">
        <f>IF(H55=0,"***",O55/H55)</f>
        <v/>
      </c>
      <c r="W55" s="312">
        <f>IF(I55=0,"***",P55/I55)</f>
        <v/>
      </c>
      <c r="X55" s="313">
        <f>W55-V55</f>
        <v/>
      </c>
      <c r="Y55" s="314">
        <f>W55-U55</f>
        <v/>
      </c>
    </row>
    <row r="56">
      <c r="A56" s="49" t="n"/>
      <c r="B56" s="50" t="n"/>
      <c r="C56" s="82" t="n"/>
      <c r="D56" s="18" t="inlineStr">
        <is>
          <t>飯塚主任</t>
        </is>
      </c>
      <c r="E56" s="103" t="n"/>
      <c r="F56" s="315" t="n">
        <v>47008.016</v>
      </c>
      <c r="G56" s="260" t="n">
        <v>48375.155</v>
      </c>
      <c r="H56" s="260" t="n">
        <v>52930</v>
      </c>
      <c r="I56" s="260" t="n">
        <v>57126.715</v>
      </c>
      <c r="J56" s="261">
        <f>I56-H56</f>
        <v/>
      </c>
      <c r="K56" s="261">
        <f>I56-G56</f>
        <v/>
      </c>
      <c r="L56" s="262">
        <f>IF(G56=0,"***",K56/G56)</f>
        <v/>
      </c>
      <c r="M56" s="315" t="n">
        <v>13372.313</v>
      </c>
      <c r="N56" s="260" t="n">
        <v>15229.947</v>
      </c>
      <c r="O56" s="260" t="n">
        <v>15880</v>
      </c>
      <c r="P56" s="260" t="n">
        <v>18603.034</v>
      </c>
      <c r="Q56" s="261">
        <f>P56-O56</f>
        <v/>
      </c>
      <c r="R56" s="261">
        <f>P56-N56</f>
        <v/>
      </c>
      <c r="S56" s="263">
        <f>IF(N56=0,"***",R56/N56)</f>
        <v/>
      </c>
      <c r="T56" s="264">
        <f>IF(F56=0,"***",M56/F56)</f>
        <v/>
      </c>
      <c r="U56" s="265">
        <f>IF(G56=0,"***",N56/G56)</f>
        <v/>
      </c>
      <c r="V56" s="265">
        <f>IF(H56=0,"***",O56/H56)</f>
        <v/>
      </c>
      <c r="W56" s="265">
        <f>IF(I56=0,"***",P56/I56)</f>
        <v/>
      </c>
      <c r="X56" s="265">
        <f>W56-V56</f>
        <v/>
      </c>
      <c r="Y56" s="266">
        <f>W56-U56</f>
        <v/>
      </c>
    </row>
    <row r="57">
      <c r="A57" s="27" t="n"/>
      <c r="B57" s="28" t="n"/>
      <c r="C57" s="83" t="n"/>
      <c r="D57" s="30" t="n"/>
      <c r="E57" s="105" t="inlineStr">
        <is>
          <t>包装資材</t>
        </is>
      </c>
      <c r="F57" s="267">
        <f>F56-F58</f>
        <v/>
      </c>
      <c r="G57" s="268">
        <f>G56-G58</f>
        <v/>
      </c>
      <c r="H57" s="268">
        <f>H56-H58</f>
        <v/>
      </c>
      <c r="I57" s="268">
        <f>I56-I58</f>
        <v/>
      </c>
      <c r="J57" s="269">
        <f>I57-H57</f>
        <v/>
      </c>
      <c r="K57" s="269">
        <f>I57-G57</f>
        <v/>
      </c>
      <c r="L57" s="270">
        <f>IF(G57=0,"***",K57/G57)</f>
        <v/>
      </c>
      <c r="M57" s="267">
        <f>M56-M58</f>
        <v/>
      </c>
      <c r="N57" s="268">
        <f>N56-N58</f>
        <v/>
      </c>
      <c r="O57" s="268">
        <f>O56-O58</f>
        <v/>
      </c>
      <c r="P57" s="268">
        <f>P56-P58</f>
        <v/>
      </c>
      <c r="Q57" s="269">
        <f>P57-O57</f>
        <v/>
      </c>
      <c r="R57" s="269">
        <f>P57-N57</f>
        <v/>
      </c>
      <c r="S57" s="271">
        <f>IF(N57=0,"***",R57/N57)</f>
        <v/>
      </c>
      <c r="T57" s="272">
        <f>IF(F57=0,"***",M57/F57)</f>
        <v/>
      </c>
      <c r="U57" s="273">
        <f>IF(G57=0,"***",N57/G57)</f>
        <v/>
      </c>
      <c r="V57" s="273">
        <f>IF(H57=0,"***",O57/H57)</f>
        <v/>
      </c>
      <c r="W57" s="273">
        <f>IF(I57=0,"***",P57/I57)</f>
        <v/>
      </c>
      <c r="X57" s="273">
        <f>W57-V57</f>
        <v/>
      </c>
      <c r="Y57" s="274">
        <f>W57-U57</f>
        <v/>
      </c>
    </row>
    <row r="58">
      <c r="A58" s="27" t="n"/>
      <c r="B58" s="28" t="n"/>
      <c r="C58" s="83" t="n"/>
      <c r="D58" s="30" t="n"/>
      <c r="E58" s="52" t="inlineStr">
        <is>
          <t>機械</t>
        </is>
      </c>
      <c r="F58" s="275" t="n">
        <v>3369</v>
      </c>
      <c r="G58" s="276" t="n">
        <v>465</v>
      </c>
      <c r="H58" s="276" t="n">
        <v>1000</v>
      </c>
      <c r="I58" s="276" t="n">
        <v>1380.9</v>
      </c>
      <c r="J58" s="278">
        <f>I58-H58</f>
        <v/>
      </c>
      <c r="K58" s="278">
        <f>I58-G58</f>
        <v/>
      </c>
      <c r="L58" s="279">
        <f>IF(G58=0,"***",K58/G58)</f>
        <v/>
      </c>
      <c r="M58" s="275" t="n">
        <v>710</v>
      </c>
      <c r="N58" s="276" t="n">
        <v>107</v>
      </c>
      <c r="O58" s="276" t="n">
        <v>250</v>
      </c>
      <c r="P58" s="276" t="n">
        <v>292.607</v>
      </c>
      <c r="Q58" s="278">
        <f>P58-O58</f>
        <v/>
      </c>
      <c r="R58" s="278">
        <f>P58-N58</f>
        <v/>
      </c>
      <c r="S58" s="280">
        <f>IF(N58=0,"***",R58/N58)</f>
        <v/>
      </c>
      <c r="T58" s="281">
        <f>IF(F58=0,"***",M58/F58)</f>
        <v/>
      </c>
      <c r="U58" s="282">
        <f>IF(G58=0,"***",N58/G58)</f>
        <v/>
      </c>
      <c r="V58" s="282">
        <f>IF(H58=0,"***",O58/H58)</f>
        <v/>
      </c>
      <c r="W58" s="282">
        <f>IF(I58=0,"***",P58/I58)</f>
        <v/>
      </c>
      <c r="X58" s="282">
        <f>W58-V58</f>
        <v/>
      </c>
      <c r="Y58" s="283">
        <f>W58-U58</f>
        <v/>
      </c>
    </row>
    <row r="59">
      <c r="A59" s="49" t="n"/>
      <c r="B59" s="50" t="n"/>
      <c r="C59" s="51" t="n"/>
      <c r="D59" s="52" t="inlineStr">
        <is>
          <t>前田課長代理</t>
        </is>
      </c>
      <c r="E59" s="106" t="n"/>
      <c r="F59" s="284" t="n">
        <v>45363.253</v>
      </c>
      <c r="G59" s="285" t="n">
        <v>44652.719</v>
      </c>
      <c r="H59" s="285" t="n">
        <v>49950</v>
      </c>
      <c r="I59" s="285" t="n">
        <v>65798.66200000001</v>
      </c>
      <c r="J59" s="286">
        <f>I59-H59</f>
        <v/>
      </c>
      <c r="K59" s="286">
        <f>I59-G59</f>
        <v/>
      </c>
      <c r="L59" s="287">
        <f>IF(G59=0,"***",K59/G59)</f>
        <v/>
      </c>
      <c r="M59" s="284" t="n">
        <v>9800.9944</v>
      </c>
      <c r="N59" s="285" t="n">
        <v>11187.1956</v>
      </c>
      <c r="O59" s="285" t="n">
        <v>11660</v>
      </c>
      <c r="P59" s="285" t="n">
        <v>14709.1601</v>
      </c>
      <c r="Q59" s="286">
        <f>P59-O59</f>
        <v/>
      </c>
      <c r="R59" s="286">
        <f>P59-N59</f>
        <v/>
      </c>
      <c r="S59" s="288">
        <f>IF(N59=0,"***",R59/N59)</f>
        <v/>
      </c>
      <c r="T59" s="272">
        <f>IF(F59=0,"***",M59/F59)</f>
        <v/>
      </c>
      <c r="U59" s="273">
        <f>IF(G59=0,"***",N59/G59)</f>
        <v/>
      </c>
      <c r="V59" s="273">
        <f>IF(H59=0,"***",O59/H59)</f>
        <v/>
      </c>
      <c r="W59" s="273">
        <f>IF(I59=0,"***",P59/I59)</f>
        <v/>
      </c>
      <c r="X59" s="273">
        <f>W59-V59</f>
        <v/>
      </c>
      <c r="Y59" s="274">
        <f>W59-U59</f>
        <v/>
      </c>
    </row>
    <row r="60">
      <c r="A60" s="27" t="n"/>
      <c r="B60" s="28" t="n"/>
      <c r="C60" s="83" t="n"/>
      <c r="D60" s="30" t="n"/>
      <c r="E60" s="105" t="inlineStr">
        <is>
          <t>包装資材</t>
        </is>
      </c>
      <c r="F60" s="267">
        <f>F59-F61</f>
        <v/>
      </c>
      <c r="G60" s="268">
        <f>G59-G61</f>
        <v/>
      </c>
      <c r="H60" s="268">
        <f>H59-H61</f>
        <v/>
      </c>
      <c r="I60" s="268">
        <f>I59-I61</f>
        <v/>
      </c>
      <c r="J60" s="269">
        <f>I60-H60</f>
        <v/>
      </c>
      <c r="K60" s="269">
        <f>I60-G60</f>
        <v/>
      </c>
      <c r="L60" s="270">
        <f>IF(G60=0,"***",K60/G60)</f>
        <v/>
      </c>
      <c r="M60" s="267">
        <f>M59-M61</f>
        <v/>
      </c>
      <c r="N60" s="268">
        <f>N59-N61</f>
        <v/>
      </c>
      <c r="O60" s="268">
        <f>O59-O61</f>
        <v/>
      </c>
      <c r="P60" s="268">
        <f>P59-P61</f>
        <v/>
      </c>
      <c r="Q60" s="269">
        <f>P60-O60</f>
        <v/>
      </c>
      <c r="R60" s="269">
        <f>P60-N60</f>
        <v/>
      </c>
      <c r="S60" s="271">
        <f>IF(N60=0,"***",R60/N60)</f>
        <v/>
      </c>
      <c r="T60" s="272">
        <f>IF(F60=0,"***",M60/F60)</f>
        <v/>
      </c>
      <c r="U60" s="273">
        <f>IF(G60=0,"***",N60/G60)</f>
        <v/>
      </c>
      <c r="V60" s="273">
        <f>IF(H60=0,"***",O60/H60)</f>
        <v/>
      </c>
      <c r="W60" s="273">
        <f>IF(I60=0,"***",P60/I60)</f>
        <v/>
      </c>
      <c r="X60" s="273">
        <f>W60-V60</f>
        <v/>
      </c>
      <c r="Y60" s="274">
        <f>W60-U60</f>
        <v/>
      </c>
    </row>
    <row r="61">
      <c r="A61" s="27" t="n"/>
      <c r="B61" s="28" t="n"/>
      <c r="C61" s="83" t="n"/>
      <c r="D61" s="30" t="n"/>
      <c r="E61" s="107" t="inlineStr">
        <is>
          <t>機械</t>
        </is>
      </c>
      <c r="F61" s="289" t="n">
        <v>1224</v>
      </c>
      <c r="G61" s="277" t="n">
        <v>1634</v>
      </c>
      <c r="H61" s="277" t="n">
        <v>1900</v>
      </c>
      <c r="I61" s="277" t="n">
        <v>3835.974</v>
      </c>
      <c r="J61" s="269">
        <f>I61-H61</f>
        <v/>
      </c>
      <c r="K61" s="269">
        <f>I61-G61</f>
        <v/>
      </c>
      <c r="L61" s="270">
        <f>IF(G61=0,"***",K61/G61)</f>
        <v/>
      </c>
      <c r="M61" s="289" t="n">
        <v>234</v>
      </c>
      <c r="N61" s="277" t="n">
        <v>324</v>
      </c>
      <c r="O61" s="277" t="n">
        <v>340</v>
      </c>
      <c r="P61" s="277" t="n">
        <v>851.548</v>
      </c>
      <c r="Q61" s="269">
        <f>P61-O61</f>
        <v/>
      </c>
      <c r="R61" s="269">
        <f>P61-N61</f>
        <v/>
      </c>
      <c r="S61" s="271">
        <f>IF(N61=0,"***",R61/N61)</f>
        <v/>
      </c>
      <c r="T61" s="272">
        <f>IF(F61=0,"***",M61/F61)</f>
        <v/>
      </c>
      <c r="U61" s="273">
        <f>IF(G61=0,"***",N61/G61)</f>
        <v/>
      </c>
      <c r="V61" s="273">
        <f>IF(H61=0,"***",O61/H61)</f>
        <v/>
      </c>
      <c r="W61" s="273">
        <f>IF(I61=0,"***",P61/I61)</f>
        <v/>
      </c>
      <c r="X61" s="273">
        <f>W61-V61</f>
        <v/>
      </c>
      <c r="Y61" s="274">
        <f>W61-U61</f>
        <v/>
      </c>
    </row>
    <row r="62">
      <c r="A62" s="27" t="n"/>
      <c r="B62" s="28" t="n"/>
      <c r="C62" s="83" t="n"/>
      <c r="D62" s="52" t="inlineStr">
        <is>
          <t>原田</t>
        </is>
      </c>
      <c r="E62" s="106" t="n"/>
      <c r="F62" s="289" t="n">
        <v>40748.649</v>
      </c>
      <c r="G62" s="277" t="n">
        <v>42048.463</v>
      </c>
      <c r="H62" s="277" t="n">
        <v>45960</v>
      </c>
      <c r="I62" s="277" t="n">
        <v>50137.305</v>
      </c>
      <c r="J62" s="269">
        <f>I62-H62</f>
        <v/>
      </c>
      <c r="K62" s="269">
        <f>I62-G62</f>
        <v/>
      </c>
      <c r="L62" s="270">
        <f>IF(G62=0,"***",K62/G62)</f>
        <v/>
      </c>
      <c r="M62" s="289" t="n">
        <v>9099.399000000001</v>
      </c>
      <c r="N62" s="277" t="n">
        <v>10053.679</v>
      </c>
      <c r="O62" s="277" t="n">
        <v>10630</v>
      </c>
      <c r="P62" s="277" t="n">
        <v>12890.218</v>
      </c>
      <c r="Q62" s="269">
        <f>P62-O62</f>
        <v/>
      </c>
      <c r="R62" s="269">
        <f>P62-N62</f>
        <v/>
      </c>
      <c r="S62" s="271">
        <f>IF(N62=0,"***",R62/N62)</f>
        <v/>
      </c>
      <c r="T62" s="272">
        <f>IF(F62=0,"***",M62/F62)</f>
        <v/>
      </c>
      <c r="U62" s="273">
        <f>IF(G62=0,"***",N62/G62)</f>
        <v/>
      </c>
      <c r="V62" s="273">
        <f>IF(H62=0,"***",O62/H62)</f>
        <v/>
      </c>
      <c r="W62" s="273">
        <f>IF(I62=0,"***",P62/I62)</f>
        <v/>
      </c>
      <c r="X62" s="273">
        <f>W62-V62</f>
        <v/>
      </c>
      <c r="Y62" s="274">
        <f>W62-U62</f>
        <v/>
      </c>
    </row>
    <row r="63">
      <c r="A63" s="27" t="n"/>
      <c r="B63" s="28" t="n"/>
      <c r="C63" s="83" t="n"/>
      <c r="D63" s="30" t="n"/>
      <c r="E63" s="105" t="inlineStr">
        <is>
          <t>包装資材</t>
        </is>
      </c>
      <c r="F63" s="316">
        <f>F62-F64</f>
        <v/>
      </c>
      <c r="G63" s="317">
        <f>G62-G64</f>
        <v/>
      </c>
      <c r="H63" s="317">
        <f>H62-H64</f>
        <v/>
      </c>
      <c r="I63" s="317">
        <f>I62-I64</f>
        <v/>
      </c>
      <c r="J63" s="269">
        <f>I63-H63</f>
        <v/>
      </c>
      <c r="K63" s="269">
        <f>I63-G63</f>
        <v/>
      </c>
      <c r="L63" s="270">
        <f>IF(G63=0,"***",K63/G63)</f>
        <v/>
      </c>
      <c r="M63" s="316">
        <f>M62-M64</f>
        <v/>
      </c>
      <c r="N63" s="317">
        <f>N62-N64</f>
        <v/>
      </c>
      <c r="O63" s="317">
        <f>O62-O64</f>
        <v/>
      </c>
      <c r="P63" s="317">
        <f>P62-P64</f>
        <v/>
      </c>
      <c r="Q63" s="269">
        <f>P63-O63</f>
        <v/>
      </c>
      <c r="R63" s="269">
        <f>P63-N63</f>
        <v/>
      </c>
      <c r="S63" s="271">
        <f>IF(N63=0,"***",R63/N63)</f>
        <v/>
      </c>
      <c r="T63" s="272">
        <f>IF(F63=0,"***",M63/F63)</f>
        <v/>
      </c>
      <c r="U63" s="273">
        <f>IF(G63=0,"***",N63/G63)</f>
        <v/>
      </c>
      <c r="V63" s="273">
        <f>IF(H63=0,"***",O63/H63)</f>
        <v/>
      </c>
      <c r="W63" s="273">
        <f>IF(I63=0,"***",P63/I63)</f>
        <v/>
      </c>
      <c r="X63" s="273">
        <f>W63-V63</f>
        <v/>
      </c>
      <c r="Y63" s="274">
        <f>W63-U63</f>
        <v/>
      </c>
    </row>
    <row r="64">
      <c r="A64" s="27" t="n"/>
      <c r="B64" s="28" t="n"/>
      <c r="C64" s="83" t="n"/>
      <c r="D64" s="30" t="n"/>
      <c r="E64" s="107" t="inlineStr">
        <is>
          <t>機械</t>
        </is>
      </c>
      <c r="F64" s="289" t="n">
        <v>97</v>
      </c>
      <c r="G64" s="277" t="n">
        <v>0</v>
      </c>
      <c r="H64" s="277" t="n">
        <v>500</v>
      </c>
      <c r="I64" s="277" t="n">
        <v>660.39</v>
      </c>
      <c r="J64" s="269">
        <f>I64-H64</f>
        <v/>
      </c>
      <c r="K64" s="269">
        <f>I64-G64</f>
        <v/>
      </c>
      <c r="L64" s="270">
        <f>IF(G64=0,"***",K64/G64)</f>
        <v/>
      </c>
      <c r="M64" s="289" t="n">
        <v>19</v>
      </c>
      <c r="N64" s="277" t="n">
        <v>0</v>
      </c>
      <c r="O64" s="277" t="n">
        <v>100</v>
      </c>
      <c r="P64" s="277" t="n">
        <v>139.75</v>
      </c>
      <c r="Q64" s="269">
        <f>P64-O64</f>
        <v/>
      </c>
      <c r="R64" s="269">
        <f>P64-N64</f>
        <v/>
      </c>
      <c r="S64" s="271">
        <f>IF(N64=0,"***",R64/N64)</f>
        <v/>
      </c>
      <c r="T64" s="272">
        <f>IF(F64=0,"***",M64/F64)</f>
        <v/>
      </c>
      <c r="U64" s="273">
        <f>IF(G64=0,"***",N64/G64)</f>
        <v/>
      </c>
      <c r="V64" s="273">
        <f>IF(H64=0,"***",O64/H64)</f>
        <v/>
      </c>
      <c r="W64" s="273">
        <f>IF(I64=0,"***",P64/I64)</f>
        <v/>
      </c>
      <c r="X64" s="273">
        <f>W64-V64</f>
        <v/>
      </c>
      <c r="Y64" s="274">
        <f>W64-U64</f>
        <v/>
      </c>
    </row>
    <row r="65">
      <c r="A65" s="49" t="n"/>
      <c r="B65" s="50" t="n"/>
      <c r="C65" s="51" t="n"/>
      <c r="D65" s="52" t="inlineStr">
        <is>
          <t>自治体</t>
        </is>
      </c>
      <c r="E65" s="106" t="n"/>
      <c r="F65" s="284" t="n">
        <v>22412.66</v>
      </c>
      <c r="G65" s="285" t="n">
        <v>28900.58</v>
      </c>
      <c r="H65" s="285" t="n">
        <v>0</v>
      </c>
      <c r="I65" s="285" t="n">
        <v>0</v>
      </c>
      <c r="J65" s="286">
        <f>I65-H65</f>
        <v/>
      </c>
      <c r="K65" s="286">
        <f>I65-G65</f>
        <v/>
      </c>
      <c r="L65" s="287">
        <f>IF(G65=0,"***",K65/G65)</f>
        <v/>
      </c>
      <c r="M65" s="284" t="n">
        <v>395.6</v>
      </c>
      <c r="N65" s="285" t="n">
        <v>505.27</v>
      </c>
      <c r="O65" s="285" t="n">
        <v>0</v>
      </c>
      <c r="P65" s="285" t="n">
        <v>0</v>
      </c>
      <c r="Q65" s="286">
        <f>P65-O65</f>
        <v/>
      </c>
      <c r="R65" s="286">
        <f>P65-N65</f>
        <v/>
      </c>
      <c r="S65" s="288">
        <f>IF(N65=0,"***",R65/N65)</f>
        <v/>
      </c>
      <c r="T65" s="272">
        <f>IF(F65=0,"***",M65/F65)</f>
        <v/>
      </c>
      <c r="U65" s="273">
        <f>IF(G65=0,"***",N65/G65)</f>
        <v/>
      </c>
      <c r="V65" s="273">
        <f>IF(H65=0,"***",O65/H65)</f>
        <v/>
      </c>
      <c r="W65" s="273">
        <f>IF(I65=0,"***",P65/I65)</f>
        <v/>
      </c>
      <c r="X65" s="273">
        <f>W65-V65</f>
        <v/>
      </c>
      <c r="Y65" s="274">
        <f>W65-U65</f>
        <v/>
      </c>
    </row>
    <row r="66">
      <c r="A66" s="27" t="n"/>
      <c r="B66" s="28" t="n"/>
      <c r="C66" s="83" t="n"/>
      <c r="D66" s="30" t="n"/>
      <c r="E66" s="105" t="inlineStr">
        <is>
          <t>包装資材</t>
        </is>
      </c>
      <c r="F66" s="267">
        <f>F65-F67</f>
        <v/>
      </c>
      <c r="G66" s="268">
        <f>G65-G67</f>
        <v/>
      </c>
      <c r="H66" s="268">
        <f>H65-H67</f>
        <v/>
      </c>
      <c r="I66" s="268">
        <f>I65-I67</f>
        <v/>
      </c>
      <c r="J66" s="269">
        <f>I66-H66</f>
        <v/>
      </c>
      <c r="K66" s="269">
        <f>I66-G66</f>
        <v/>
      </c>
      <c r="L66" s="270">
        <f>IF(G66=0,"***",K66/G66)</f>
        <v/>
      </c>
      <c r="M66" s="267">
        <f>M65-M67</f>
        <v/>
      </c>
      <c r="N66" s="268">
        <f>N65-N67</f>
        <v/>
      </c>
      <c r="O66" s="268">
        <f>O65-O67</f>
        <v/>
      </c>
      <c r="P66" s="268">
        <f>P65-P67</f>
        <v/>
      </c>
      <c r="Q66" s="269">
        <f>P66-O66</f>
        <v/>
      </c>
      <c r="R66" s="269">
        <f>P66-N66</f>
        <v/>
      </c>
      <c r="S66" s="271">
        <f>IF(N66=0,"***",R66/N66)</f>
        <v/>
      </c>
      <c r="T66" s="272">
        <f>IF(F66=0,"***",M66/F66)</f>
        <v/>
      </c>
      <c r="U66" s="273">
        <f>IF(G66=0,"***",N66/G66)</f>
        <v/>
      </c>
      <c r="V66" s="273">
        <f>IF(H66=0,"***",O66/H66)</f>
        <v/>
      </c>
      <c r="W66" s="273">
        <f>IF(I66=0,"***",P66/I66)</f>
        <v/>
      </c>
      <c r="X66" s="273">
        <f>W66-V66</f>
        <v/>
      </c>
      <c r="Y66" s="274">
        <f>W66-U66</f>
        <v/>
      </c>
    </row>
    <row r="67">
      <c r="A67" s="27" t="n"/>
      <c r="B67" s="28" t="n"/>
      <c r="C67" s="83" t="n"/>
      <c r="D67" s="30" t="n"/>
      <c r="E67" s="107" t="inlineStr">
        <is>
          <t>機械</t>
        </is>
      </c>
      <c r="F67" s="289" t="n">
        <v>0</v>
      </c>
      <c r="G67" s="277" t="n">
        <v>0</v>
      </c>
      <c r="H67" s="277" t="n">
        <v>0</v>
      </c>
      <c r="I67" s="277" t="n">
        <v>0</v>
      </c>
      <c r="J67" s="269">
        <f>I67-H67</f>
        <v/>
      </c>
      <c r="K67" s="269">
        <f>I67-G67</f>
        <v/>
      </c>
      <c r="L67" s="270">
        <f>IF(G67=0,"***",K67/G67)</f>
        <v/>
      </c>
      <c r="M67" s="289" t="n">
        <v>0</v>
      </c>
      <c r="N67" s="277" t="n">
        <v>0</v>
      </c>
      <c r="O67" s="277" t="n">
        <v>0</v>
      </c>
      <c r="P67" s="277" t="n">
        <v>0</v>
      </c>
      <c r="Q67" s="269">
        <f>P67-O67</f>
        <v/>
      </c>
      <c r="R67" s="269">
        <f>P67-N67</f>
        <v/>
      </c>
      <c r="S67" s="271">
        <f>IF(N67=0,"***",R67/N67)</f>
        <v/>
      </c>
      <c r="T67" s="272">
        <f>IF(F67=0,"***",M67/F67)</f>
        <v/>
      </c>
      <c r="U67" s="273">
        <f>IF(G67=0,"***",N67/G67)</f>
        <v/>
      </c>
      <c r="V67" s="273">
        <f>IF(H67=0,"***",O67/H67)</f>
        <v/>
      </c>
      <c r="W67" s="273">
        <f>IF(I67=0,"***",P67/I67)</f>
        <v/>
      </c>
      <c r="X67" s="273">
        <f>W67-V67</f>
        <v/>
      </c>
      <c r="Y67" s="274">
        <f>W67-U67</f>
        <v/>
      </c>
    </row>
    <row r="68">
      <c r="A68" s="49" t="n"/>
      <c r="B68" s="50" t="n"/>
      <c r="C68" s="51" t="n"/>
      <c r="D68" s="52" t="inlineStr">
        <is>
          <t>その他</t>
        </is>
      </c>
      <c r="E68" s="106" t="n"/>
      <c r="F68" s="284" t="n">
        <v>195.51</v>
      </c>
      <c r="G68" s="285" t="n">
        <v>51.75000000000001</v>
      </c>
      <c r="H68" s="285" t="n">
        <v>0</v>
      </c>
      <c r="I68" s="285" t="n">
        <v>27.71</v>
      </c>
      <c r="J68" s="286">
        <f>I68-H68</f>
        <v/>
      </c>
      <c r="K68" s="286">
        <f>I68-G68</f>
        <v/>
      </c>
      <c r="L68" s="287">
        <f>IF(G68=0,"***",K68/G68)</f>
        <v/>
      </c>
      <c r="M68" s="284" t="n">
        <v>54.012</v>
      </c>
      <c r="N68" s="285" t="n">
        <v>12.975</v>
      </c>
      <c r="O68" s="285" t="n">
        <v>0</v>
      </c>
      <c r="P68" s="285" t="n">
        <v>8.571</v>
      </c>
      <c r="Q68" s="286">
        <f>P68-O68</f>
        <v/>
      </c>
      <c r="R68" s="286">
        <f>P68-N68</f>
        <v/>
      </c>
      <c r="S68" s="288">
        <f>IF(N68=0,"***",R68/N68)</f>
        <v/>
      </c>
      <c r="T68" s="272">
        <f>IF(F68=0,"***",M68/F68)</f>
        <v/>
      </c>
      <c r="U68" s="273">
        <f>IF(G68=0,"***",N68/G68)</f>
        <v/>
      </c>
      <c r="V68" s="273">
        <f>IF(H68=0,"***",O68/H68)</f>
        <v/>
      </c>
      <c r="W68" s="273">
        <f>IF(I68=0,"***",P68/I68)</f>
        <v/>
      </c>
      <c r="X68" s="273">
        <f>W68-V68</f>
        <v/>
      </c>
      <c r="Y68" s="274">
        <f>W68-U68</f>
        <v/>
      </c>
    </row>
    <row r="69">
      <c r="A69" s="27" t="n"/>
      <c r="B69" s="28" t="n"/>
      <c r="C69" s="83" t="n"/>
      <c r="D69" s="30" t="n"/>
      <c r="E69" s="105" t="inlineStr">
        <is>
          <t>包装資材</t>
        </is>
      </c>
      <c r="F69" s="267">
        <f>F68-F70</f>
        <v/>
      </c>
      <c r="G69" s="268">
        <f>G68-G70</f>
        <v/>
      </c>
      <c r="H69" s="268">
        <f>H68-H70</f>
        <v/>
      </c>
      <c r="I69" s="268">
        <f>I68-I70</f>
        <v/>
      </c>
      <c r="J69" s="269">
        <f>I69-H69</f>
        <v/>
      </c>
      <c r="K69" s="269">
        <f>I69-G69</f>
        <v/>
      </c>
      <c r="L69" s="270">
        <f>IF(G69=0,"***",K69/G69)</f>
        <v/>
      </c>
      <c r="M69" s="267">
        <f>M68-M70</f>
        <v/>
      </c>
      <c r="N69" s="268">
        <f>N68-N70</f>
        <v/>
      </c>
      <c r="O69" s="268">
        <f>O68-O70</f>
        <v/>
      </c>
      <c r="P69" s="268">
        <f>P68-P70</f>
        <v/>
      </c>
      <c r="Q69" s="269">
        <f>P69-O69</f>
        <v/>
      </c>
      <c r="R69" s="269">
        <f>P69-N69</f>
        <v/>
      </c>
      <c r="S69" s="271">
        <f>IF(N69=0,"***",R69/N69)</f>
        <v/>
      </c>
      <c r="T69" s="272">
        <f>IF(F69=0,"***",M69/F69)</f>
        <v/>
      </c>
      <c r="U69" s="273">
        <f>IF(G69=0,"***",N69/G69)</f>
        <v/>
      </c>
      <c r="V69" s="273">
        <f>IF(H69=0,"***",O69/H69)</f>
        <v/>
      </c>
      <c r="W69" s="273">
        <f>IF(I69=0,"***",P69/I69)</f>
        <v/>
      </c>
      <c r="X69" s="273">
        <f>W69-V69</f>
        <v/>
      </c>
      <c r="Y69" s="274">
        <f>W69-U69</f>
        <v/>
      </c>
    </row>
    <row r="70">
      <c r="A70" s="27" t="n"/>
      <c r="B70" s="28" t="n"/>
      <c r="C70" s="83" t="n"/>
      <c r="D70" s="30" t="n"/>
      <c r="E70" s="107" t="inlineStr">
        <is>
          <t>機械</t>
        </is>
      </c>
      <c r="F70" s="289" t="n">
        <v>0</v>
      </c>
      <c r="G70" s="277" t="n">
        <v>21</v>
      </c>
      <c r="H70" s="277" t="n">
        <v>0</v>
      </c>
      <c r="I70" s="277" t="n">
        <v>8.5</v>
      </c>
      <c r="J70" s="269">
        <f>I70-H70</f>
        <v/>
      </c>
      <c r="K70" s="269">
        <f>I70-G70</f>
        <v/>
      </c>
      <c r="L70" s="270">
        <f>IF(G70=0,"***",K70/G70)</f>
        <v/>
      </c>
      <c r="M70" s="289" t="n">
        <v>0</v>
      </c>
      <c r="N70" s="277" t="n">
        <v>5</v>
      </c>
      <c r="O70" s="277" t="n">
        <v>0</v>
      </c>
      <c r="P70" s="277" t="n">
        <v>1.5</v>
      </c>
      <c r="Q70" s="269">
        <f>P70-O70</f>
        <v/>
      </c>
      <c r="R70" s="269">
        <f>P70-N70</f>
        <v/>
      </c>
      <c r="S70" s="271">
        <f>IF(N70=0,"***",R70/N70)</f>
        <v/>
      </c>
      <c r="T70" s="272">
        <f>IF(F70=0,"***",M70/F70)</f>
        <v/>
      </c>
      <c r="U70" s="273">
        <f>IF(G70=0,"***",N70/G70)</f>
        <v/>
      </c>
      <c r="V70" s="273">
        <f>IF(H70=0,"***",O70/H70)</f>
        <v/>
      </c>
      <c r="W70" s="273">
        <f>IF(I70=0,"***",P70/I70)</f>
        <v/>
      </c>
      <c r="X70" s="273">
        <f>W70-V70</f>
        <v/>
      </c>
      <c r="Y70" s="274">
        <f>W70-U70</f>
        <v/>
      </c>
    </row>
    <row r="71">
      <c r="A71" s="49" t="n"/>
      <c r="B71" s="50" t="n"/>
      <c r="C71" s="87" t="inlineStr">
        <is>
          <t>松江営業所</t>
        </is>
      </c>
      <c r="D71" s="62" t="n"/>
      <c r="E71" s="62" t="n"/>
      <c r="F71" s="302">
        <f>+F68+F65+F59+F56+F62</f>
        <v/>
      </c>
      <c r="G71" s="303">
        <f>+G68+G65+G59+G56+G62</f>
        <v/>
      </c>
      <c r="H71" s="303">
        <f>+H68+H65+H59+H56+H62</f>
        <v/>
      </c>
      <c r="I71" s="303">
        <f>+I68+I65+I59+I56+I62</f>
        <v/>
      </c>
      <c r="J71" s="293">
        <f>I71-H71</f>
        <v/>
      </c>
      <c r="K71" s="293">
        <f>I71-G71</f>
        <v/>
      </c>
      <c r="L71" s="294">
        <f>IF(G71=0,"***",K71/G71)</f>
        <v/>
      </c>
      <c r="M71" s="303">
        <f>+M68+M65+M59+M56+M62</f>
        <v/>
      </c>
      <c r="N71" s="303">
        <f>+N68+N65+N59+N56+N62</f>
        <v/>
      </c>
      <c r="O71" s="303">
        <f>+O68+O65+O59+O56+O62</f>
        <v/>
      </c>
      <c r="P71" s="303">
        <f>+P68+P65+P59+P56+P62</f>
        <v/>
      </c>
      <c r="Q71" s="293">
        <f>P71-O71</f>
        <v/>
      </c>
      <c r="R71" s="293">
        <f>P71-N71</f>
        <v/>
      </c>
      <c r="S71" s="296">
        <f>IF(N71=0,"***",R71/N71)</f>
        <v/>
      </c>
      <c r="T71" s="297">
        <f>IF(F71=0,"***",M71/F71)</f>
        <v/>
      </c>
      <c r="U71" s="298">
        <f>IF(G71=0,"***",N71/G71)</f>
        <v/>
      </c>
      <c r="V71" s="298">
        <f>IF(H71=0,"***",O71/H71)</f>
        <v/>
      </c>
      <c r="W71" s="298">
        <f>IF(I71=0,"***",P71/I71)</f>
        <v/>
      </c>
      <c r="X71" s="299">
        <f>W71-V71</f>
        <v/>
      </c>
      <c r="Y71" s="300">
        <f>W71-U71</f>
        <v/>
      </c>
    </row>
    <row r="72">
      <c r="A72" s="49" t="n"/>
      <c r="B72" s="50" t="n"/>
      <c r="C72" s="73" t="n"/>
      <c r="D72" s="74" t="inlineStr">
        <is>
          <t>営業</t>
        </is>
      </c>
      <c r="E72" s="62" t="n"/>
      <c r="F72" s="302">
        <f>F71-F75</f>
        <v/>
      </c>
      <c r="G72" s="303">
        <f>G71-G75</f>
        <v/>
      </c>
      <c r="H72" s="303">
        <f>H71-H75</f>
        <v/>
      </c>
      <c r="I72" s="303">
        <f>I71-I75</f>
        <v/>
      </c>
      <c r="J72" s="293">
        <f>I72-H72</f>
        <v/>
      </c>
      <c r="K72" s="293">
        <f>I72-G72</f>
        <v/>
      </c>
      <c r="L72" s="294">
        <f>IF(G72=0,"***",K72/G72)</f>
        <v/>
      </c>
      <c r="M72" s="303">
        <f>M71-M75</f>
        <v/>
      </c>
      <c r="N72" s="303">
        <f>N71-N75</f>
        <v/>
      </c>
      <c r="O72" s="303">
        <f>O71-O75</f>
        <v/>
      </c>
      <c r="P72" s="303">
        <f>P71-P75</f>
        <v/>
      </c>
      <c r="Q72" s="293">
        <f>P72-O72</f>
        <v/>
      </c>
      <c r="R72" s="293">
        <f>P72-N72</f>
        <v/>
      </c>
      <c r="S72" s="296">
        <f>IF(N72=0,"***",R72/N72)</f>
        <v/>
      </c>
      <c r="T72" s="297">
        <f>IF(F72=0,"***",M72/F72)</f>
        <v/>
      </c>
      <c r="U72" s="301">
        <f>IF(G72=0,"***",N72/G72)</f>
        <v/>
      </c>
      <c r="V72" s="301">
        <f>IF(H72=0,"***",O72/H72)</f>
        <v/>
      </c>
      <c r="W72" s="301">
        <f>IF(I72=0,"***",P72/I72)</f>
        <v/>
      </c>
      <c r="X72" s="299">
        <f>W72-V72</f>
        <v/>
      </c>
      <c r="Y72" s="300">
        <f>W72-U72</f>
        <v/>
      </c>
    </row>
    <row r="73">
      <c r="A73" s="49" t="n"/>
      <c r="B73" s="50" t="n"/>
      <c r="C73" s="73" t="n"/>
      <c r="D73" s="76" t="n"/>
      <c r="E73" s="80" t="inlineStr">
        <is>
          <t>包装資材</t>
        </is>
      </c>
      <c r="F73" s="291">
        <f>F72-F74</f>
        <v/>
      </c>
      <c r="G73" s="292">
        <f>G72-G74</f>
        <v/>
      </c>
      <c r="H73" s="292">
        <f>H72-H74</f>
        <v/>
      </c>
      <c r="I73" s="292">
        <f>I72-I74</f>
        <v/>
      </c>
      <c r="J73" s="293">
        <f>I73-H73</f>
        <v/>
      </c>
      <c r="K73" s="293">
        <f>I73-G73</f>
        <v/>
      </c>
      <c r="L73" s="294">
        <f>IF(G73=0,"***",K73/G73)</f>
        <v/>
      </c>
      <c r="M73" s="303">
        <f>M72-M74</f>
        <v/>
      </c>
      <c r="N73" s="292">
        <f>N72-N74</f>
        <v/>
      </c>
      <c r="O73" s="292">
        <f>O72-O74</f>
        <v/>
      </c>
      <c r="P73" s="292">
        <f>P72-P74</f>
        <v/>
      </c>
      <c r="Q73" s="293">
        <f>P73-O73</f>
        <v/>
      </c>
      <c r="R73" s="293">
        <f>P73-N73</f>
        <v/>
      </c>
      <c r="S73" s="296">
        <f>IF(N73=0,"***",R73/N73)</f>
        <v/>
      </c>
      <c r="T73" s="297">
        <f>IF(F73=0,"***",M73/F73)</f>
        <v/>
      </c>
      <c r="U73" s="301">
        <f>IF(G73=0,"***",N73/G73)</f>
        <v/>
      </c>
      <c r="V73" s="301">
        <f>IF(H73=0,"***",O73/H73)</f>
        <v/>
      </c>
      <c r="W73" s="301">
        <f>IF(I73=0,"***",P73/I73)</f>
        <v/>
      </c>
      <c r="X73" s="299">
        <f>W73-V73</f>
        <v/>
      </c>
      <c r="Y73" s="300">
        <f>W73-U73</f>
        <v/>
      </c>
    </row>
    <row r="74">
      <c r="A74" s="49" t="n"/>
      <c r="B74" s="50" t="n"/>
      <c r="C74" s="73" t="n"/>
      <c r="D74" s="78" t="n"/>
      <c r="E74" s="80" t="inlineStr">
        <is>
          <t>機械</t>
        </is>
      </c>
      <c r="F74" s="302">
        <f>F70+F61+F58+F64</f>
        <v/>
      </c>
      <c r="G74" s="303">
        <f>G70+G61+G58+G64</f>
        <v/>
      </c>
      <c r="H74" s="303">
        <f>H70+H61+H58+H64</f>
        <v/>
      </c>
      <c r="I74" s="303">
        <f>I70+I61+I58+I64</f>
        <v/>
      </c>
      <c r="J74" s="293">
        <f>I74-H74</f>
        <v/>
      </c>
      <c r="K74" s="293">
        <f>I74-G74</f>
        <v/>
      </c>
      <c r="L74" s="294">
        <f>IF(G74=0,"***",K74/G74)</f>
        <v/>
      </c>
      <c r="M74" s="303">
        <f>M70+M61+M58+M64</f>
        <v/>
      </c>
      <c r="N74" s="303">
        <f>N70+N61+N58+N64</f>
        <v/>
      </c>
      <c r="O74" s="303">
        <f>O70+O61+O58+O64</f>
        <v/>
      </c>
      <c r="P74" s="303">
        <f>P70+P61+P58+P64</f>
        <v/>
      </c>
      <c r="Q74" s="293">
        <f>P74-O74</f>
        <v/>
      </c>
      <c r="R74" s="293">
        <f>P74-N74</f>
        <v/>
      </c>
      <c r="S74" s="296">
        <f>IF(N74=0,"***",R74/N74)</f>
        <v/>
      </c>
      <c r="T74" s="297">
        <f>IF(F74=0,"***",M74/F74)</f>
        <v/>
      </c>
      <c r="U74" s="301">
        <f>IF(G74=0,"***",N74/G74)</f>
        <v/>
      </c>
      <c r="V74" s="301">
        <f>IF(H74=0,"***",O74/H74)</f>
        <v/>
      </c>
      <c r="W74" s="301">
        <f>IF(I74=0,"***",P74/I74)</f>
        <v/>
      </c>
      <c r="X74" s="299">
        <f>W74-V74</f>
        <v/>
      </c>
      <c r="Y74" s="300">
        <f>W74-U74</f>
        <v/>
      </c>
    </row>
    <row r="75">
      <c r="A75" s="49" t="n"/>
      <c r="B75" s="50" t="n"/>
      <c r="C75" s="90" t="n"/>
      <c r="D75" s="91" t="inlineStr">
        <is>
          <t>自治体</t>
        </is>
      </c>
      <c r="E75" s="109" t="n"/>
      <c r="F75" s="304" t="n">
        <v>22412.66</v>
      </c>
      <c r="G75" s="318" t="n">
        <v>28900.58</v>
      </c>
      <c r="H75" s="318" t="n">
        <v>0</v>
      </c>
      <c r="I75" s="318" t="n">
        <v>0</v>
      </c>
      <c r="J75" s="306">
        <f>I75-H75</f>
        <v/>
      </c>
      <c r="K75" s="306">
        <f>I75-G75</f>
        <v/>
      </c>
      <c r="L75" s="307">
        <f>IF(G75=0,"***",K75/G75)</f>
        <v/>
      </c>
      <c r="M75" s="318" t="n">
        <v>395.6</v>
      </c>
      <c r="N75" s="318" t="n">
        <v>505.27</v>
      </c>
      <c r="O75" s="318" t="n">
        <v>0</v>
      </c>
      <c r="P75" s="318" t="n">
        <v>0</v>
      </c>
      <c r="Q75" s="306">
        <f>P75-O75</f>
        <v/>
      </c>
      <c r="R75" s="306">
        <f>P75-N75</f>
        <v/>
      </c>
      <c r="S75" s="310">
        <f>IF(N75=0,"***",R75/N75)</f>
        <v/>
      </c>
      <c r="T75" s="311">
        <f>IF(F75=0,"***",M75/F75)</f>
        <v/>
      </c>
      <c r="U75" s="312">
        <f>IF(G75=0,"***",N75/G75)</f>
        <v/>
      </c>
      <c r="V75" s="312">
        <f>IF(H75=0,"***",O75/H75)</f>
        <v/>
      </c>
      <c r="W75" s="312">
        <f>IF(I75=0,"***",P75/I75)</f>
        <v/>
      </c>
      <c r="X75" s="313">
        <f>W75-V75</f>
        <v/>
      </c>
      <c r="Y75" s="314">
        <f>W75-U75</f>
        <v/>
      </c>
    </row>
    <row r="76">
      <c r="A76" s="49" t="n"/>
      <c r="B76" s="50" t="n"/>
      <c r="C76" s="82" t="n"/>
      <c r="D76" s="18" t="inlineStr">
        <is>
          <t>馬場部長（鳥栖）</t>
        </is>
      </c>
      <c r="E76" s="103" t="n"/>
      <c r="F76" s="259" t="n">
        <v>137443.101</v>
      </c>
      <c r="G76" s="260" t="n">
        <v>146890.634</v>
      </c>
      <c r="H76" s="260" t="n">
        <v>157800</v>
      </c>
      <c r="I76" s="260" t="n">
        <v>105240.219</v>
      </c>
      <c r="J76" s="261" t="n">
        <v>66</v>
      </c>
      <c r="K76" s="261">
        <f>I76-G76</f>
        <v/>
      </c>
      <c r="L76" s="262">
        <f>IF(G76=0,"***",K76/G76)</f>
        <v/>
      </c>
      <c r="M76" s="259" t="n">
        <v>18981.684</v>
      </c>
      <c r="N76" s="260" t="n">
        <v>21591.84</v>
      </c>
      <c r="O76" s="260" t="n">
        <v>22810</v>
      </c>
      <c r="P76" s="260" t="n">
        <v>22589.804</v>
      </c>
      <c r="Q76" s="261">
        <f>P76-O76</f>
        <v/>
      </c>
      <c r="R76" s="261">
        <f>P76-N76</f>
        <v/>
      </c>
      <c r="S76" s="263">
        <f>IF(N76=0,"***",R76/N76)</f>
        <v/>
      </c>
      <c r="T76" s="264">
        <f>IF(F76=0,"***",M76/F76)</f>
        <v/>
      </c>
      <c r="U76" s="265">
        <f>IF(G76=0,"***",N76/G76)</f>
        <v/>
      </c>
      <c r="V76" s="265">
        <f>IF(H76=0,"***",O76/H76)</f>
        <v/>
      </c>
      <c r="W76" s="265">
        <f>IF(I76=0,"***",P76/I76)</f>
        <v/>
      </c>
      <c r="X76" s="265">
        <f>W76-V76</f>
        <v/>
      </c>
      <c r="Y76" s="266">
        <f>W76-U76</f>
        <v/>
      </c>
    </row>
    <row r="77">
      <c r="A77" s="27" t="n"/>
      <c r="B77" s="28" t="n"/>
      <c r="C77" s="83" t="n"/>
      <c r="D77" s="30" t="n"/>
      <c r="E77" s="105" t="inlineStr">
        <is>
          <t>包装資材</t>
        </is>
      </c>
      <c r="F77" s="267">
        <f>F76-F78</f>
        <v/>
      </c>
      <c r="G77" s="268">
        <f>G76-G78</f>
        <v/>
      </c>
      <c r="H77" s="268">
        <f>H76-H78</f>
        <v/>
      </c>
      <c r="I77" s="268">
        <f>I76-I78</f>
        <v/>
      </c>
      <c r="J77" s="269">
        <f>I77-H77</f>
        <v/>
      </c>
      <c r="K77" s="269">
        <f>I77-G77</f>
        <v/>
      </c>
      <c r="L77" s="270">
        <f>IF(G77=0,"***",K77/G77)</f>
        <v/>
      </c>
      <c r="M77" s="267">
        <f>M76-M78</f>
        <v/>
      </c>
      <c r="N77" s="268">
        <f>N76-N78</f>
        <v/>
      </c>
      <c r="O77" s="268">
        <f>O76-O78</f>
        <v/>
      </c>
      <c r="P77" s="268">
        <f>P76-P78</f>
        <v/>
      </c>
      <c r="Q77" s="269">
        <f>P77-O77</f>
        <v/>
      </c>
      <c r="R77" s="269">
        <f>P77-N77</f>
        <v/>
      </c>
      <c r="S77" s="271">
        <f>IF(N77=0,"***",R77/N77)</f>
        <v/>
      </c>
      <c r="T77" s="272">
        <f>IF(F77=0,"***",M77/F77)</f>
        <v/>
      </c>
      <c r="U77" s="273">
        <f>IF(G77=0,"***",N77/G77)</f>
        <v/>
      </c>
      <c r="V77" s="273">
        <f>IF(H77=0,"***",O77/H77)</f>
        <v/>
      </c>
      <c r="W77" s="273">
        <f>IF(I77=0,"***",P77/I77)</f>
        <v/>
      </c>
      <c r="X77" s="273">
        <f>W77-V77</f>
        <v/>
      </c>
      <c r="Y77" s="274">
        <f>W77-U77</f>
        <v/>
      </c>
    </row>
    <row r="78">
      <c r="A78" s="27" t="n"/>
      <c r="B78" s="28" t="n"/>
      <c r="C78" s="83" t="n"/>
      <c r="D78" s="30" t="n"/>
      <c r="E78" s="52" t="inlineStr">
        <is>
          <t>機械</t>
        </is>
      </c>
      <c r="F78" s="275" t="n">
        <v>326</v>
      </c>
      <c r="G78" s="276" t="n">
        <v>366</v>
      </c>
      <c r="H78" s="276" t="n">
        <v>2500</v>
      </c>
      <c r="I78" s="276" t="n">
        <v>433.675</v>
      </c>
      <c r="J78" s="278">
        <f>I78-H78</f>
        <v/>
      </c>
      <c r="K78" s="278">
        <f>I78-G78</f>
        <v/>
      </c>
      <c r="L78" s="279">
        <f>IF(G78=0,"***",K78/G78)</f>
        <v/>
      </c>
      <c r="M78" s="275" t="n">
        <v>10</v>
      </c>
      <c r="N78" s="276" t="n">
        <v>12</v>
      </c>
      <c r="O78" s="276" t="n">
        <v>250</v>
      </c>
      <c r="P78" s="276" t="n">
        <v>42.145</v>
      </c>
      <c r="Q78" s="278">
        <f>P78-O78</f>
        <v/>
      </c>
      <c r="R78" s="278">
        <f>P78-N78</f>
        <v/>
      </c>
      <c r="S78" s="280">
        <f>IF(N78=0,"***",R78/N78)</f>
        <v/>
      </c>
      <c r="T78" s="281">
        <f>IF(F78=0,"***",M78/F78)</f>
        <v/>
      </c>
      <c r="U78" s="282">
        <f>IF(G78=0,"***",N78/G78)</f>
        <v/>
      </c>
      <c r="V78" s="282">
        <f>IF(H78=0,"***",O78/H78)</f>
        <v/>
      </c>
      <c r="W78" s="282">
        <f>IF(I78=0,"***",P78/I78)</f>
        <v/>
      </c>
      <c r="X78" s="282">
        <f>W78-V78</f>
        <v/>
      </c>
      <c r="Y78" s="283">
        <f>W78-U78</f>
        <v/>
      </c>
    </row>
    <row r="79">
      <c r="A79" s="27" t="n"/>
      <c r="B79" s="28" t="n"/>
      <c r="C79" s="83" t="n"/>
      <c r="D79" s="111" t="inlineStr">
        <is>
          <t>ペーパーハグ</t>
        </is>
      </c>
      <c r="E79" s="112" t="n"/>
      <c r="F79" s="275" t="n">
        <v>3.3</v>
      </c>
      <c r="G79" s="276" t="n">
        <v>5.8</v>
      </c>
      <c r="H79" s="276" t="n">
        <v>0</v>
      </c>
      <c r="I79" s="276" t="n">
        <v>0</v>
      </c>
      <c r="J79" s="278">
        <f>I79-H79</f>
        <v/>
      </c>
      <c r="K79" s="278">
        <f>I79-G79</f>
        <v/>
      </c>
      <c r="L79" s="279">
        <f>IF(G79=0,"***",K79/G79)</f>
        <v/>
      </c>
      <c r="M79" s="275" t="n">
        <v>0.53</v>
      </c>
      <c r="N79" s="276" t="n">
        <v>0.79</v>
      </c>
      <c r="O79" s="276" t="n">
        <v>0</v>
      </c>
      <c r="P79" s="276" t="n">
        <v>0</v>
      </c>
      <c r="Q79" s="278">
        <f>P79-O79</f>
        <v/>
      </c>
      <c r="R79" s="278">
        <f>P79-N79</f>
        <v/>
      </c>
      <c r="S79" s="280">
        <f>IF(N79=0,"***",R79/N79)</f>
        <v/>
      </c>
      <c r="T79" s="281">
        <f>IF(F79=0,"***",M79/F79)</f>
        <v/>
      </c>
      <c r="U79" s="282">
        <f>IF(G79=0,"***",N79/G79)</f>
        <v/>
      </c>
      <c r="V79" s="282">
        <f>IF(H79=0,"***",O79/H79)</f>
        <v/>
      </c>
      <c r="W79" s="282">
        <f>IF(I79=0,"***",P79/I79)</f>
        <v/>
      </c>
      <c r="X79" s="282">
        <f>W79-V79</f>
        <v/>
      </c>
      <c r="Y79" s="283">
        <f>W79-U79</f>
        <v/>
      </c>
    </row>
    <row r="80">
      <c r="A80" s="27" t="n"/>
      <c r="B80" s="28" t="n"/>
      <c r="C80" s="83" t="n"/>
      <c r="D80" s="111" t="n"/>
      <c r="E80" s="105" t="inlineStr">
        <is>
          <t>包装資材</t>
        </is>
      </c>
      <c r="F80" s="275" t="n"/>
      <c r="G80" s="276" t="n"/>
      <c r="H80" s="276" t="n"/>
      <c r="I80" s="276" t="n"/>
      <c r="J80" s="278" t="n"/>
      <c r="K80" s="278" t="n"/>
      <c r="L80" s="279" t="n"/>
      <c r="M80" s="275" t="n"/>
      <c r="N80" s="276" t="n"/>
      <c r="O80" s="276" t="n"/>
      <c r="P80" s="276" t="n"/>
      <c r="Q80" s="278" t="n"/>
      <c r="R80" s="278" t="n"/>
      <c r="S80" s="280" t="n"/>
      <c r="T80" s="281" t="n"/>
      <c r="U80" s="282" t="n"/>
      <c r="V80" s="282" t="n"/>
      <c r="W80" s="282" t="n"/>
      <c r="X80" s="282" t="n"/>
      <c r="Y80" s="283" t="n"/>
    </row>
    <row r="81">
      <c r="A81" s="27" t="n"/>
      <c r="B81" s="28" t="n"/>
      <c r="C81" s="83" t="n"/>
      <c r="D81" s="111" t="n"/>
      <c r="E81" s="52" t="inlineStr">
        <is>
          <t>機械</t>
        </is>
      </c>
      <c r="F81" s="275" t="n">
        <v>0</v>
      </c>
      <c r="G81" s="276" t="n">
        <v>0</v>
      </c>
      <c r="H81" s="276" t="n">
        <v>0</v>
      </c>
      <c r="I81" s="276" t="n">
        <v>0</v>
      </c>
      <c r="J81" s="278" t="n"/>
      <c r="K81" s="278" t="n"/>
      <c r="L81" s="279" t="n"/>
      <c r="M81" s="275" t="n">
        <v>0</v>
      </c>
      <c r="N81" s="276" t="n">
        <v>0</v>
      </c>
      <c r="O81" s="276" t="n">
        <v>0</v>
      </c>
      <c r="P81" s="276" t="n">
        <v>0</v>
      </c>
      <c r="Q81" s="278" t="n"/>
      <c r="R81" s="278" t="n"/>
      <c r="S81" s="280" t="n"/>
      <c r="T81" s="281" t="n"/>
      <c r="U81" s="282" t="n"/>
      <c r="V81" s="282" t="n"/>
      <c r="W81" s="282" t="n"/>
      <c r="X81" s="282" t="n"/>
      <c r="Y81" s="283" t="n"/>
    </row>
    <row r="82">
      <c r="A82" s="49" t="n"/>
      <c r="B82" s="50" t="n"/>
      <c r="C82" s="51" t="n"/>
      <c r="D82" s="52" t="inlineStr">
        <is>
          <t>角田</t>
        </is>
      </c>
      <c r="E82" s="106" t="n"/>
      <c r="F82" s="284" t="n">
        <v>26612.524</v>
      </c>
      <c r="G82" s="285" t="n">
        <v>29285.01</v>
      </c>
      <c r="H82" s="285" t="n">
        <v>31830</v>
      </c>
      <c r="I82" s="285" t="n">
        <v>30332.42200000001</v>
      </c>
      <c r="J82" s="286">
        <f>I82-H82</f>
        <v/>
      </c>
      <c r="K82" s="286">
        <f>I82-G82</f>
        <v/>
      </c>
      <c r="L82" s="287">
        <f>IF(G82=0,"***",K82/G82)</f>
        <v/>
      </c>
      <c r="M82" s="284" t="n">
        <v>4812.742</v>
      </c>
      <c r="N82" s="285" t="n">
        <v>5646.653</v>
      </c>
      <c r="O82" s="285" t="n">
        <v>6315</v>
      </c>
      <c r="P82" s="285" t="n">
        <v>5968.973</v>
      </c>
      <c r="Q82" s="286">
        <f>P82-O82</f>
        <v/>
      </c>
      <c r="R82" s="286">
        <f>P82-N82</f>
        <v/>
      </c>
      <c r="S82" s="288">
        <f>IF(N82=0,"***",R82/N82)</f>
        <v/>
      </c>
      <c r="T82" s="272">
        <f>IF(F82=0,"***",M82/F82)</f>
        <v/>
      </c>
      <c r="U82" s="273">
        <f>IF(G82=0,"***",N82/G82)</f>
        <v/>
      </c>
      <c r="V82" s="273">
        <f>IF(H82=0,"***",O82/H82)</f>
        <v/>
      </c>
      <c r="W82" s="273">
        <f>IF(I82=0,"***",P82/I82)</f>
        <v/>
      </c>
      <c r="X82" s="273">
        <f>W82-V82</f>
        <v/>
      </c>
      <c r="Y82" s="274">
        <f>W82-U82</f>
        <v/>
      </c>
    </row>
    <row r="83">
      <c r="A83" s="27" t="n"/>
      <c r="B83" s="28" t="n"/>
      <c r="C83" s="83" t="n"/>
      <c r="D83" s="30" t="n"/>
      <c r="E83" s="105" t="inlineStr">
        <is>
          <t>包装資材</t>
        </is>
      </c>
      <c r="F83" s="267">
        <f>F82-F84</f>
        <v/>
      </c>
      <c r="G83" s="268">
        <f>G82-G84</f>
        <v/>
      </c>
      <c r="H83" s="268">
        <f>H82-H84</f>
        <v/>
      </c>
      <c r="I83" s="268">
        <f>I82-I84</f>
        <v/>
      </c>
      <c r="J83" s="269">
        <f>I83-H83</f>
        <v/>
      </c>
      <c r="K83" s="269">
        <f>I83-G83</f>
        <v/>
      </c>
      <c r="L83" s="270">
        <f>IF(G83=0,"***",K83/G83)</f>
        <v/>
      </c>
      <c r="M83" s="267">
        <f>M82-M84</f>
        <v/>
      </c>
      <c r="N83" s="268">
        <f>N82-N84</f>
        <v/>
      </c>
      <c r="O83" s="268">
        <f>O82-O84</f>
        <v/>
      </c>
      <c r="P83" s="268">
        <f>P82-P84</f>
        <v/>
      </c>
      <c r="Q83" s="269">
        <f>P83-O83</f>
        <v/>
      </c>
      <c r="R83" s="269">
        <f>P83-N83</f>
        <v/>
      </c>
      <c r="S83" s="271">
        <f>IF(N83=0,"***",R83/N83)</f>
        <v/>
      </c>
      <c r="T83" s="272">
        <f>IF(F83=0,"***",M83/F83)</f>
        <v/>
      </c>
      <c r="U83" s="273">
        <f>IF(G83=0,"***",N83/G83)</f>
        <v/>
      </c>
      <c r="V83" s="273">
        <f>IF(H83=0,"***",O83/H83)</f>
        <v/>
      </c>
      <c r="W83" s="273">
        <f>IF(I83=0,"***",P83/I83)</f>
        <v/>
      </c>
      <c r="X83" s="273">
        <f>W83-V83</f>
        <v/>
      </c>
      <c r="Y83" s="274">
        <f>W83-U83</f>
        <v/>
      </c>
    </row>
    <row r="84">
      <c r="A84" s="27" t="n"/>
      <c r="B84" s="28" t="n"/>
      <c r="C84" s="83" t="n"/>
      <c r="D84" s="30" t="n"/>
      <c r="E84" s="107" t="inlineStr">
        <is>
          <t>機械</t>
        </is>
      </c>
      <c r="F84" s="289" t="n">
        <v>266</v>
      </c>
      <c r="G84" s="277" t="n">
        <v>44</v>
      </c>
      <c r="H84" s="277" t="n">
        <v>1250</v>
      </c>
      <c r="I84" s="277" t="n">
        <v>370.506</v>
      </c>
      <c r="J84" s="269">
        <f>I84-H84</f>
        <v/>
      </c>
      <c r="K84" s="269">
        <f>I84-G84</f>
        <v/>
      </c>
      <c r="L84" s="270">
        <f>IF(G84=0,"***",K84/G84)</f>
        <v/>
      </c>
      <c r="M84" s="289" t="n">
        <v>26</v>
      </c>
      <c r="N84" s="277" t="n">
        <v>12</v>
      </c>
      <c r="O84" s="277" t="n">
        <v>150</v>
      </c>
      <c r="P84" s="277" t="n">
        <v>11.896</v>
      </c>
      <c r="Q84" s="269">
        <f>P84-O84</f>
        <v/>
      </c>
      <c r="R84" s="269">
        <f>P84-N84</f>
        <v/>
      </c>
      <c r="S84" s="271">
        <f>IF(N84=0,"***",R84/N84)</f>
        <v/>
      </c>
      <c r="T84" s="272">
        <f>IF(F84=0,"***",M84/F84)</f>
        <v/>
      </c>
      <c r="U84" s="273">
        <f>IF(G84=0,"***",N84/G84)</f>
        <v/>
      </c>
      <c r="V84" s="273">
        <f>IF(H84=0,"***",O84/H84)</f>
        <v/>
      </c>
      <c r="W84" s="273">
        <f>IF(I84=0,"***",P84/I84)</f>
        <v/>
      </c>
      <c r="X84" s="273">
        <f>W84-V84</f>
        <v/>
      </c>
      <c r="Y84" s="274">
        <f>W84-U84</f>
        <v/>
      </c>
    </row>
    <row r="85">
      <c r="A85" s="27" t="n"/>
      <c r="B85" s="28" t="n"/>
      <c r="C85" s="83" t="n"/>
      <c r="D85" s="111" t="inlineStr">
        <is>
          <t>馬場部長（静岡）</t>
        </is>
      </c>
      <c r="E85" s="113" t="n"/>
      <c r="F85" s="289" t="n">
        <v>0</v>
      </c>
      <c r="G85" s="277" t="n">
        <v>0</v>
      </c>
      <c r="H85" s="277" t="n">
        <v>0</v>
      </c>
      <c r="I85" s="277" t="n">
        <v>68916.38800000001</v>
      </c>
      <c r="J85" s="269">
        <f>I85-H85</f>
        <v/>
      </c>
      <c r="K85" s="269">
        <f>I85-G85</f>
        <v/>
      </c>
      <c r="L85" s="270">
        <f>IF(G85=0,"***",K85/G85)</f>
        <v/>
      </c>
      <c r="M85" s="289" t="n">
        <v>0</v>
      </c>
      <c r="N85" s="277" t="n">
        <v>0</v>
      </c>
      <c r="O85" s="277" t="n">
        <v>0</v>
      </c>
      <c r="P85" s="277" t="n">
        <v>12854.797</v>
      </c>
      <c r="Q85" s="269">
        <f>P85-O85</f>
        <v/>
      </c>
      <c r="R85" s="269">
        <f>P85-N85</f>
        <v/>
      </c>
      <c r="S85" s="271">
        <f>IF(N85=0,"***",R85/N85)</f>
        <v/>
      </c>
      <c r="T85" s="272">
        <f>IF(F85=0,"***",M85/F85)</f>
        <v/>
      </c>
      <c r="U85" s="273">
        <f>IF(G85=0,"***",N85/G85)</f>
        <v/>
      </c>
      <c r="V85" s="273">
        <f>IF(H85=0,"***",O85/H85)</f>
        <v/>
      </c>
      <c r="W85" s="273">
        <f>IF(I85=0,"***",P85/I85)</f>
        <v/>
      </c>
      <c r="X85" s="273">
        <f>W85-V85</f>
        <v/>
      </c>
      <c r="Y85" s="274">
        <f>W85-U85</f>
        <v/>
      </c>
    </row>
    <row r="86">
      <c r="A86" s="27" t="n"/>
      <c r="B86" s="28" t="n"/>
      <c r="C86" s="83" t="n"/>
      <c r="D86" s="111" t="n"/>
      <c r="E86" s="105" t="inlineStr">
        <is>
          <t>包装資材</t>
        </is>
      </c>
      <c r="F86" s="289" t="n"/>
      <c r="G86" s="277" t="n"/>
      <c r="H86" s="277" t="n"/>
      <c r="I86" s="277" t="n"/>
      <c r="J86" s="269" t="n"/>
      <c r="K86" s="269" t="n"/>
      <c r="L86" s="270" t="n"/>
      <c r="M86" s="289" t="n"/>
      <c r="N86" s="277" t="n"/>
      <c r="O86" s="277" t="n"/>
      <c r="P86" s="277" t="n"/>
      <c r="Q86" s="269" t="n"/>
      <c r="R86" s="269" t="n"/>
      <c r="S86" s="271" t="n"/>
      <c r="T86" s="272" t="n"/>
      <c r="U86" s="273" t="n"/>
      <c r="V86" s="273" t="n"/>
      <c r="W86" s="273" t="n"/>
      <c r="X86" s="273" t="n"/>
      <c r="Y86" s="274" t="n"/>
    </row>
    <row r="87">
      <c r="A87" s="27" t="n"/>
      <c r="B87" s="28" t="n"/>
      <c r="C87" s="83" t="n"/>
      <c r="D87" s="111" t="n"/>
      <c r="E87" s="107" t="inlineStr">
        <is>
          <t>機械</t>
        </is>
      </c>
      <c r="F87" s="289" t="n">
        <v>0</v>
      </c>
      <c r="G87" s="277" t="n">
        <v>0</v>
      </c>
      <c r="H87" s="277" t="n">
        <v>0</v>
      </c>
      <c r="I87" s="277" t="n">
        <v>22</v>
      </c>
      <c r="J87" s="269" t="n"/>
      <c r="K87" s="269" t="n"/>
      <c r="L87" s="270" t="n"/>
      <c r="M87" s="289" t="n">
        <v>0</v>
      </c>
      <c r="N87" s="277" t="n">
        <v>0</v>
      </c>
      <c r="O87" s="277" t="n">
        <v>0</v>
      </c>
      <c r="P87" s="277" t="n">
        <v>2</v>
      </c>
      <c r="Q87" s="269" t="n"/>
      <c r="R87" s="269" t="n"/>
      <c r="S87" s="271" t="n"/>
      <c r="T87" s="272" t="n"/>
      <c r="U87" s="273" t="n"/>
      <c r="V87" s="273" t="n"/>
      <c r="W87" s="273" t="n"/>
      <c r="X87" s="273" t="n"/>
      <c r="Y87" s="274" t="n"/>
    </row>
    <row r="88">
      <c r="A88" s="49" t="n"/>
      <c r="B88" s="50" t="n"/>
      <c r="C88" s="51" t="n"/>
      <c r="D88" s="52" t="inlineStr">
        <is>
          <t>馬場所長（東京）</t>
        </is>
      </c>
      <c r="E88" s="106" t="n"/>
      <c r="F88" s="284" t="n">
        <v>778.0400000000002</v>
      </c>
      <c r="G88" s="285" t="n">
        <v>2165.448</v>
      </c>
      <c r="H88" s="285" t="n">
        <v>0</v>
      </c>
      <c r="I88" s="285" t="n">
        <v>547.675</v>
      </c>
      <c r="J88" s="286">
        <f>I88-H88</f>
        <v/>
      </c>
      <c r="K88" s="286">
        <f>I88-G88</f>
        <v/>
      </c>
      <c r="L88" s="287">
        <f>IF(G88=0,"***",K88/G88)</f>
        <v/>
      </c>
      <c r="M88" s="284" t="n">
        <v>269.496</v>
      </c>
      <c r="N88" s="285" t="n">
        <v>744.728</v>
      </c>
      <c r="O88" s="285" t="n">
        <v>0</v>
      </c>
      <c r="P88" s="285" t="n">
        <v>303.375</v>
      </c>
      <c r="Q88" s="286">
        <f>P88-O88</f>
        <v/>
      </c>
      <c r="R88" s="286">
        <f>P88-N88</f>
        <v/>
      </c>
      <c r="S88" s="288">
        <f>IF(N88=0,"***",R88/N88)</f>
        <v/>
      </c>
      <c r="T88" s="272">
        <f>IF(F88=0,"***",M88/F88)</f>
        <v/>
      </c>
      <c r="U88" s="273">
        <f>IF(G88=0,"***",N88/G88)</f>
        <v/>
      </c>
      <c r="V88" s="273">
        <f>IF(H88=0,"***",O88/H88)</f>
        <v/>
      </c>
      <c r="W88" s="273">
        <f>IF(I88=0,"***",P88/I88)</f>
        <v/>
      </c>
      <c r="X88" s="273">
        <f>W88-V88</f>
        <v/>
      </c>
      <c r="Y88" s="274">
        <f>W88-U88</f>
        <v/>
      </c>
    </row>
    <row r="89">
      <c r="A89" s="27" t="n"/>
      <c r="B89" s="28" t="n"/>
      <c r="C89" s="83" t="n"/>
      <c r="D89" s="30" t="n"/>
      <c r="E89" s="105" t="inlineStr">
        <is>
          <t>包装資材</t>
        </is>
      </c>
      <c r="F89" s="267">
        <f>F88-F90</f>
        <v/>
      </c>
      <c r="G89" s="268">
        <f>G88-G90</f>
        <v/>
      </c>
      <c r="H89" s="268">
        <f>H88-H90</f>
        <v/>
      </c>
      <c r="I89" s="268">
        <f>I88-I90</f>
        <v/>
      </c>
      <c r="J89" s="269">
        <f>I89-H89</f>
        <v/>
      </c>
      <c r="K89" s="269">
        <f>I89-G89</f>
        <v/>
      </c>
      <c r="L89" s="270">
        <f>IF(G89=0,"***",K89/G89)</f>
        <v/>
      </c>
      <c r="M89" s="267">
        <f>M88-M90</f>
        <v/>
      </c>
      <c r="N89" s="268">
        <f>N88-N90</f>
        <v/>
      </c>
      <c r="O89" s="268">
        <f>O88-O90</f>
        <v/>
      </c>
      <c r="P89" s="268">
        <f>P88-P90</f>
        <v/>
      </c>
      <c r="Q89" s="269">
        <f>P89-O89</f>
        <v/>
      </c>
      <c r="R89" s="269">
        <f>P89-N89</f>
        <v/>
      </c>
      <c r="S89" s="271">
        <f>IF(N89=0,"***",R89/N89)</f>
        <v/>
      </c>
      <c r="T89" s="272">
        <f>IF(F89=0,"***",M89/F89)</f>
        <v/>
      </c>
      <c r="U89" s="273">
        <f>IF(G89=0,"***",N89/G89)</f>
        <v/>
      </c>
      <c r="V89" s="273">
        <f>IF(H89=0,"***",O89/H89)</f>
        <v/>
      </c>
      <c r="W89" s="273">
        <f>IF(I89=0,"***",P89/I89)</f>
        <v/>
      </c>
      <c r="X89" s="273">
        <f>W89-V89</f>
        <v/>
      </c>
      <c r="Y89" s="274">
        <f>W89-U89</f>
        <v/>
      </c>
    </row>
    <row r="90">
      <c r="A90" s="27" t="n"/>
      <c r="B90" s="28" t="n"/>
      <c r="C90" s="83" t="n"/>
      <c r="D90" s="30" t="n"/>
      <c r="E90" s="107" t="inlineStr">
        <is>
          <t>機械</t>
        </is>
      </c>
      <c r="F90" s="289" t="n">
        <v>4</v>
      </c>
      <c r="G90" s="277" t="n">
        <v>0</v>
      </c>
      <c r="H90" s="277" t="n">
        <v>0</v>
      </c>
      <c r="I90" s="277" t="n">
        <v>0</v>
      </c>
      <c r="J90" s="269">
        <f>I90-H90</f>
        <v/>
      </c>
      <c r="K90" s="269">
        <f>I90-G90</f>
        <v/>
      </c>
      <c r="L90" s="270">
        <f>IF(G90=0,"***",K90/G90)</f>
        <v/>
      </c>
      <c r="M90" s="289" t="n">
        <v>0</v>
      </c>
      <c r="N90" s="277" t="n">
        <v>0</v>
      </c>
      <c r="O90" s="277" t="n">
        <v>0</v>
      </c>
      <c r="P90" s="277" t="n">
        <v>0</v>
      </c>
      <c r="Q90" s="269">
        <f>P90-O90</f>
        <v/>
      </c>
      <c r="R90" s="269">
        <f>P90-N90</f>
        <v/>
      </c>
      <c r="S90" s="271">
        <f>IF(N90=0,"***",R90/N90)</f>
        <v/>
      </c>
      <c r="T90" s="272">
        <f>IF(F90=0,"***",M90/F90)</f>
        <v/>
      </c>
      <c r="U90" s="273">
        <f>IF(G90=0,"***",N90/G90)</f>
        <v/>
      </c>
      <c r="V90" s="273">
        <f>IF(H90=0,"***",O90/H90)</f>
        <v/>
      </c>
      <c r="W90" s="273">
        <f>IF(I90=0,"***",P90/I90)</f>
        <v/>
      </c>
      <c r="X90" s="273">
        <f>W90-V90</f>
        <v/>
      </c>
      <c r="Y90" s="274">
        <f>W90-U90</f>
        <v/>
      </c>
    </row>
    <row r="91">
      <c r="A91" s="49" t="n"/>
      <c r="B91" s="50" t="n"/>
      <c r="C91" s="51" t="n"/>
      <c r="D91" s="52" t="inlineStr">
        <is>
          <t>馬場部長（東京）</t>
        </is>
      </c>
      <c r="E91" s="106" t="n"/>
      <c r="F91" s="284" t="n">
        <v>13231.87</v>
      </c>
      <c r="G91" s="285" t="n">
        <v>30710.611</v>
      </c>
      <c r="H91" s="285" t="n">
        <v>31390</v>
      </c>
      <c r="I91" s="285" t="n">
        <v>25465.172</v>
      </c>
      <c r="J91" s="286">
        <f>I91-H91</f>
        <v/>
      </c>
      <c r="K91" s="286">
        <f>I91-G91</f>
        <v/>
      </c>
      <c r="L91" s="287">
        <f>IF(G91=0,"***",K91/G91)</f>
        <v/>
      </c>
      <c r="M91" s="284" t="n">
        <v>1355.7605</v>
      </c>
      <c r="N91" s="285" t="n">
        <v>3827.782</v>
      </c>
      <c r="O91" s="285" t="n">
        <v>3925</v>
      </c>
      <c r="P91" s="285" t="n">
        <v>3184.4425</v>
      </c>
      <c r="Q91" s="286">
        <f>P91-O91</f>
        <v/>
      </c>
      <c r="R91" s="286">
        <f>P91-N91</f>
        <v/>
      </c>
      <c r="S91" s="288">
        <f>IF(N91=0,"***",R91/N91)</f>
        <v/>
      </c>
      <c r="T91" s="272">
        <f>IF(F91=0,"***",M91/F91)</f>
        <v/>
      </c>
      <c r="U91" s="273">
        <f>IF(G91=0,"***",N91/G91)</f>
        <v/>
      </c>
      <c r="V91" s="273">
        <f>IF(H91=0,"***",O91/H91)</f>
        <v/>
      </c>
      <c r="W91" s="273">
        <f>IF(I91=0,"***",P91/I91)</f>
        <v/>
      </c>
      <c r="X91" s="273">
        <f>W91-V91</f>
        <v/>
      </c>
      <c r="Y91" s="274">
        <f>W91-U91</f>
        <v/>
      </c>
    </row>
    <row r="92">
      <c r="A92" s="27" t="n"/>
      <c r="B92" s="28" t="n"/>
      <c r="C92" s="83" t="n"/>
      <c r="D92" s="30" t="n"/>
      <c r="E92" s="105" t="inlineStr">
        <is>
          <t>包装資材</t>
        </is>
      </c>
      <c r="F92" s="267">
        <f>F91-F93</f>
        <v/>
      </c>
      <c r="G92" s="268">
        <f>G91-G93</f>
        <v/>
      </c>
      <c r="H92" s="268">
        <f>H91-H93</f>
        <v/>
      </c>
      <c r="I92" s="268">
        <f>I91-I93</f>
        <v/>
      </c>
      <c r="J92" s="269">
        <f>I92-H92</f>
        <v/>
      </c>
      <c r="K92" s="269">
        <f>I92-G92</f>
        <v/>
      </c>
      <c r="L92" s="270">
        <f>IF(G92=0,"***",K92/G92)</f>
        <v/>
      </c>
      <c r="M92" s="267">
        <f>M91-M93</f>
        <v/>
      </c>
      <c r="N92" s="268">
        <f>N91-N93</f>
        <v/>
      </c>
      <c r="O92" s="268">
        <f>O91-O93</f>
        <v/>
      </c>
      <c r="P92" s="268">
        <f>P91-P93</f>
        <v/>
      </c>
      <c r="Q92" s="269">
        <f>P92-O92</f>
        <v/>
      </c>
      <c r="R92" s="269">
        <f>P92-N92</f>
        <v/>
      </c>
      <c r="S92" s="271">
        <f>IF(N92=0,"***",R92/N92)</f>
        <v/>
      </c>
      <c r="T92" s="272">
        <f>IF(F92=0,"***",M92/F92)</f>
        <v/>
      </c>
      <c r="U92" s="273">
        <f>IF(G92=0,"***",N92/G92)</f>
        <v/>
      </c>
      <c r="V92" s="273">
        <f>IF(H92=0,"***",O92/H92)</f>
        <v/>
      </c>
      <c r="W92" s="273">
        <f>IF(I92=0,"***",P92/I92)</f>
        <v/>
      </c>
      <c r="X92" s="273">
        <f>W92-V92</f>
        <v/>
      </c>
      <c r="Y92" s="274">
        <f>W92-U92</f>
        <v/>
      </c>
    </row>
    <row r="93">
      <c r="A93" s="27" t="n"/>
      <c r="B93" s="28" t="n"/>
      <c r="C93" s="83" t="n"/>
      <c r="D93" s="30" t="n"/>
      <c r="E93" s="107" t="inlineStr">
        <is>
          <t>機械</t>
        </is>
      </c>
      <c r="F93" s="289" t="n">
        <v>143</v>
      </c>
      <c r="G93" s="277" t="n">
        <v>202</v>
      </c>
      <c r="H93" s="277" t="n">
        <v>1250</v>
      </c>
      <c r="I93" s="277" t="n">
        <v>303.5</v>
      </c>
      <c r="J93" s="269">
        <f>I93-H93</f>
        <v/>
      </c>
      <c r="K93" s="269">
        <f>I93-G93</f>
        <v/>
      </c>
      <c r="L93" s="270">
        <f>IF(G93=0,"***",K93/G93)</f>
        <v/>
      </c>
      <c r="M93" s="289" t="n">
        <v>29</v>
      </c>
      <c r="N93" s="277" t="n">
        <v>85</v>
      </c>
      <c r="O93" s="277" t="n">
        <v>150</v>
      </c>
      <c r="P93" s="277" t="n">
        <v>60.87</v>
      </c>
      <c r="Q93" s="269">
        <f>P93-O93</f>
        <v/>
      </c>
      <c r="R93" s="269">
        <f>P93-N93</f>
        <v/>
      </c>
      <c r="S93" s="271">
        <f>IF(N93=0,"***",R93/N93)</f>
        <v/>
      </c>
      <c r="T93" s="272">
        <f>IF(F93=0,"***",M93/F93)</f>
        <v/>
      </c>
      <c r="U93" s="273">
        <f>IF(G93=0,"***",N93/G93)</f>
        <v/>
      </c>
      <c r="V93" s="273">
        <f>IF(H93=0,"***",O93/H93)</f>
        <v/>
      </c>
      <c r="W93" s="273">
        <f>IF(I93=0,"***",P93/I93)</f>
        <v/>
      </c>
      <c r="X93" s="273">
        <f>W93-V93</f>
        <v/>
      </c>
      <c r="Y93" s="274">
        <f>W93-U93</f>
        <v/>
      </c>
    </row>
    <row r="94">
      <c r="A94" s="49" t="n"/>
      <c r="B94" s="50" t="n"/>
      <c r="C94" s="216" t="n"/>
      <c r="D94" s="52" t="inlineStr">
        <is>
          <t>【参考】馬場部長合計</t>
        </is>
      </c>
      <c r="E94" s="217" t="n"/>
      <c r="F94" s="319">
        <f>F76+F85+F88+F91</f>
        <v/>
      </c>
      <c r="G94" s="320">
        <f>G76+G85+G88+G91</f>
        <v/>
      </c>
      <c r="H94" s="320">
        <f>H76+H85+H88+H91</f>
        <v/>
      </c>
      <c r="I94" s="320">
        <f>I76+I85+I88+I91</f>
        <v/>
      </c>
      <c r="J94" s="321">
        <f>I94-H94</f>
        <v/>
      </c>
      <c r="K94" s="321">
        <f>I94-G94</f>
        <v/>
      </c>
      <c r="L94" s="322">
        <f>IF(G94=0,"***",K94/G94)</f>
        <v/>
      </c>
      <c r="M94" s="319">
        <f>M76+M85+M88+M91</f>
        <v/>
      </c>
      <c r="N94" s="320">
        <f>N76+N85+N88+N91</f>
        <v/>
      </c>
      <c r="O94" s="320">
        <f>O76+O85+O88+O91</f>
        <v/>
      </c>
      <c r="P94" s="320">
        <f>P76+P85+P88+P91</f>
        <v/>
      </c>
      <c r="Q94" s="321">
        <f>P94-O94</f>
        <v/>
      </c>
      <c r="R94" s="321">
        <f>P94-N94</f>
        <v/>
      </c>
      <c r="S94" s="323">
        <f>IF(N94=0,"***",R94/N94)</f>
        <v/>
      </c>
      <c r="T94" s="324">
        <f>IF(F94=0,"***",M94/F94)</f>
        <v/>
      </c>
      <c r="U94" s="325">
        <f>IF(G94=0,"***",N94/G94)</f>
        <v/>
      </c>
      <c r="V94" s="325">
        <f>IF(H94=0,"***",O94/H94)</f>
        <v/>
      </c>
      <c r="W94" s="325">
        <f>IF(I94=0,"***",P94/I94)</f>
        <v/>
      </c>
      <c r="X94" s="325">
        <f>W94-V94</f>
        <v/>
      </c>
      <c r="Y94" s="326">
        <f>W94-U94</f>
        <v/>
      </c>
    </row>
    <row r="95">
      <c r="A95" s="27" t="n"/>
      <c r="B95" s="28" t="n"/>
      <c r="C95" s="83" t="n"/>
      <c r="D95" s="30" t="n"/>
      <c r="E95" s="105" t="inlineStr">
        <is>
          <t>包装資材</t>
        </is>
      </c>
      <c r="F95" s="267">
        <f>F94-F96</f>
        <v/>
      </c>
      <c r="G95" s="268">
        <f>G94-G96</f>
        <v/>
      </c>
      <c r="H95" s="268">
        <f>H94-H96</f>
        <v/>
      </c>
      <c r="I95" s="268">
        <f>I94-I96</f>
        <v/>
      </c>
      <c r="J95" s="269">
        <f>I95-H95</f>
        <v/>
      </c>
      <c r="K95" s="269">
        <f>I95-G95</f>
        <v/>
      </c>
      <c r="L95" s="270">
        <f>IF(G95=0,"***",K95/G95)</f>
        <v/>
      </c>
      <c r="M95" s="267">
        <f>M94-M96</f>
        <v/>
      </c>
      <c r="N95" s="268">
        <f>N94-N96</f>
        <v/>
      </c>
      <c r="O95" s="268">
        <f>O94-O96</f>
        <v/>
      </c>
      <c r="P95" s="268">
        <f>P94-P96</f>
        <v/>
      </c>
      <c r="Q95" s="269">
        <f>P95-O95</f>
        <v/>
      </c>
      <c r="R95" s="269">
        <f>P95-N95</f>
        <v/>
      </c>
      <c r="S95" s="271">
        <f>IF(N95=0,"***",R95/N95)</f>
        <v/>
      </c>
      <c r="T95" s="272">
        <f>IF(F95=0,"***",M95/F95)</f>
        <v/>
      </c>
      <c r="U95" s="273">
        <f>IF(G95=0,"***",N95/G95)</f>
        <v/>
      </c>
      <c r="V95" s="273">
        <f>IF(H95=0,"***",O95/H95)</f>
        <v/>
      </c>
      <c r="W95" s="273">
        <f>IF(I95=0,"***",P95/I95)</f>
        <v/>
      </c>
      <c r="X95" s="273">
        <f>W95-V95</f>
        <v/>
      </c>
      <c r="Y95" s="274">
        <f>W95-U95</f>
        <v/>
      </c>
    </row>
    <row r="96">
      <c r="A96" s="27" t="n"/>
      <c r="B96" s="28" t="n"/>
      <c r="C96" s="83" t="n"/>
      <c r="D96" s="30" t="n"/>
      <c r="E96" s="52" t="inlineStr">
        <is>
          <t>機械</t>
        </is>
      </c>
      <c r="F96" s="275">
        <f>F78+F87+F90+F93</f>
        <v/>
      </c>
      <c r="G96" s="276">
        <f>G78+G87+G90+G93</f>
        <v/>
      </c>
      <c r="H96" s="276">
        <f>H78+H87+H90+H93</f>
        <v/>
      </c>
      <c r="I96" s="276">
        <f>I78+I87+I90+I93</f>
        <v/>
      </c>
      <c r="J96" s="278">
        <f>I96-H96</f>
        <v/>
      </c>
      <c r="K96" s="278">
        <f>I96-G96</f>
        <v/>
      </c>
      <c r="L96" s="279">
        <f>IF(G96=0,"***",K96/G96)</f>
        <v/>
      </c>
      <c r="M96" s="275">
        <f>M78+M87+M90+M93</f>
        <v/>
      </c>
      <c r="N96" s="276">
        <f>N78+N87+N90+N93</f>
        <v/>
      </c>
      <c r="O96" s="276">
        <f>O78+O87+O90+O93</f>
        <v/>
      </c>
      <c r="P96" s="276">
        <f>P78+P87+P90+P93</f>
        <v/>
      </c>
      <c r="Q96" s="278">
        <f>P96-O96</f>
        <v/>
      </c>
      <c r="R96" s="278">
        <f>P96-N96</f>
        <v/>
      </c>
      <c r="S96" s="280">
        <f>IF(N96=0,"***",R96/N96)</f>
        <v/>
      </c>
      <c r="T96" s="281">
        <f>IF(F96=0,"***",M96/F96)</f>
        <v/>
      </c>
      <c r="U96" s="282">
        <f>IF(G96=0,"***",N96/G96)</f>
        <v/>
      </c>
      <c r="V96" s="282">
        <f>IF(H96=0,"***",O96/H96)</f>
        <v/>
      </c>
      <c r="W96" s="282">
        <f>IF(I96=0,"***",P96/I96)</f>
        <v/>
      </c>
      <c r="X96" s="282">
        <f>W96-V96</f>
        <v/>
      </c>
      <c r="Y96" s="283">
        <f>W96-U96</f>
        <v/>
      </c>
    </row>
    <row r="97">
      <c r="A97" s="49" t="n"/>
      <c r="B97" s="50" t="n"/>
      <c r="C97" s="87" t="inlineStr">
        <is>
          <t>広域営業部</t>
        </is>
      </c>
      <c r="D97" s="62" t="n"/>
      <c r="E97" s="62" t="n"/>
      <c r="F97" s="291">
        <f>+F91+F88+F85+F82+F79+F76</f>
        <v/>
      </c>
      <c r="G97" s="295">
        <f>+G91+G88+G85+G82+G79+G76</f>
        <v/>
      </c>
      <c r="H97" s="295">
        <f>+H91+H88+H85+H82+H79+H76</f>
        <v/>
      </c>
      <c r="I97" s="295">
        <f>+I91+I88+I85+I82+I79+I76</f>
        <v/>
      </c>
      <c r="J97" s="293">
        <f>I97-H97</f>
        <v/>
      </c>
      <c r="K97" s="293">
        <f>I97-G97</f>
        <v/>
      </c>
      <c r="L97" s="294">
        <f>IF(G97=0,"***",K97/G97)</f>
        <v/>
      </c>
      <c r="M97" s="303">
        <f>+M91+M88+M85+M82+M79+M76</f>
        <v/>
      </c>
      <c r="N97" s="303">
        <f>+N91+N88+N85+N82+N79+N76</f>
        <v/>
      </c>
      <c r="O97" s="303">
        <f>+O91+O88+O85+O82+O79+O76</f>
        <v/>
      </c>
      <c r="P97" s="303">
        <f>+P91+P88+P85+P82+P79+P76</f>
        <v/>
      </c>
      <c r="Q97" s="293">
        <f>P97-O97</f>
        <v/>
      </c>
      <c r="R97" s="293">
        <f>P97-N97</f>
        <v/>
      </c>
      <c r="S97" s="296">
        <f>IF(N97=0,"***",R97/N97)</f>
        <v/>
      </c>
      <c r="T97" s="297">
        <f>IF(F97=0,"***",M97/F97)</f>
        <v/>
      </c>
      <c r="U97" s="298">
        <f>IF(G97=0,"***",N97/G97)</f>
        <v/>
      </c>
      <c r="V97" s="298">
        <f>IF(H97=0,"***",O97/H97)</f>
        <v/>
      </c>
      <c r="W97" s="298">
        <f>IF(I97=0,"***",P97/I97)</f>
        <v/>
      </c>
      <c r="X97" s="299">
        <f>W97-V97</f>
        <v/>
      </c>
      <c r="Y97" s="300">
        <f>W97-U97</f>
        <v/>
      </c>
    </row>
    <row r="98">
      <c r="A98" s="49" t="n"/>
      <c r="B98" s="50" t="n"/>
      <c r="C98" s="73" t="n"/>
      <c r="D98" s="114" t="n"/>
      <c r="E98" s="80" t="inlineStr">
        <is>
          <t>包装資材</t>
        </is>
      </c>
      <c r="F98" s="291">
        <f>F97-F99</f>
        <v/>
      </c>
      <c r="G98" s="292">
        <f>G97-G99</f>
        <v/>
      </c>
      <c r="H98" s="292">
        <f>H97-H99</f>
        <v/>
      </c>
      <c r="I98" s="292">
        <f>I97-I99</f>
        <v/>
      </c>
      <c r="J98" s="293">
        <f>I98-H98</f>
        <v/>
      </c>
      <c r="K98" s="293">
        <f>I98-G98</f>
        <v/>
      </c>
      <c r="L98" s="294">
        <f>IF(G98=0,"***",K98/G98)</f>
        <v/>
      </c>
      <c r="M98" s="303">
        <f>M97-M99</f>
        <v/>
      </c>
      <c r="N98" s="292">
        <f>N97-N99</f>
        <v/>
      </c>
      <c r="O98" s="292">
        <f>O97-O99</f>
        <v/>
      </c>
      <c r="P98" s="292">
        <f>P97-P99</f>
        <v/>
      </c>
      <c r="Q98" s="293">
        <f>P98-O98</f>
        <v/>
      </c>
      <c r="R98" s="293">
        <f>P98-N98</f>
        <v/>
      </c>
      <c r="S98" s="296">
        <f>IF(N98=0,"***",R98/N98)</f>
        <v/>
      </c>
      <c r="T98" s="297">
        <f>IF(F98=0,"***",M98/F98)</f>
        <v/>
      </c>
      <c r="U98" s="301">
        <f>IF(G98=0,"***",N98/G98)</f>
        <v/>
      </c>
      <c r="V98" s="301">
        <f>IF(H98=0,"***",O98/H98)</f>
        <v/>
      </c>
      <c r="W98" s="301">
        <f>IF(I98=0,"***",P98/I98)</f>
        <v/>
      </c>
      <c r="X98" s="299">
        <f>W98-V98</f>
        <v/>
      </c>
      <c r="Y98" s="300">
        <f>W98-U98</f>
        <v/>
      </c>
    </row>
    <row r="99">
      <c r="A99" s="49" t="n"/>
      <c r="B99" s="50" t="n"/>
      <c r="C99" s="90" t="n"/>
      <c r="D99" s="115" t="n"/>
      <c r="E99" s="91" t="inlineStr">
        <is>
          <t>機械</t>
        </is>
      </c>
      <c r="F99" s="327">
        <f>+F93+F90+F84+F78</f>
        <v/>
      </c>
      <c r="G99" s="308">
        <f>+G93+G90+G84+G78</f>
        <v/>
      </c>
      <c r="H99" s="308">
        <f>+H93+H90+H84+H78</f>
        <v/>
      </c>
      <c r="I99" s="308">
        <f>+I93+I90+I84+I78</f>
        <v/>
      </c>
      <c r="J99" s="306">
        <f>I99-H99</f>
        <v/>
      </c>
      <c r="K99" s="306">
        <f>I99-G99</f>
        <v/>
      </c>
      <c r="L99" s="307">
        <f>IF(G99=0,"***",K99/G99)</f>
        <v/>
      </c>
      <c r="M99" s="318">
        <f>+M93+M90+M84+M78</f>
        <v/>
      </c>
      <c r="N99" s="308">
        <f>+N93+N90+N84+N78</f>
        <v/>
      </c>
      <c r="O99" s="308">
        <f>+O93+O90+O84+O78</f>
        <v/>
      </c>
      <c r="P99" s="308">
        <f>+P93+P90+P84+P78</f>
        <v/>
      </c>
      <c r="Q99" s="306">
        <f>P99-O99</f>
        <v/>
      </c>
      <c r="R99" s="306">
        <f>P99-N99</f>
        <v/>
      </c>
      <c r="S99" s="310">
        <f>IF(N99=0,"***",R99/N99)</f>
        <v/>
      </c>
      <c r="T99" s="311">
        <f>IF(F99=0,"***",M99/F99)</f>
        <v/>
      </c>
      <c r="U99" s="312">
        <f>IF(G99=0,"***",N99/G99)</f>
        <v/>
      </c>
      <c r="V99" s="312">
        <f>IF(H99=0,"***",O99/H99)</f>
        <v/>
      </c>
      <c r="W99" s="312">
        <f>IF(I99=0,"***",P99/I99)</f>
        <v/>
      </c>
      <c r="X99" s="313">
        <f>W99-V99</f>
        <v/>
      </c>
      <c r="Y99" s="314">
        <f>W99-U99</f>
        <v/>
      </c>
    </row>
    <row r="100">
      <c r="A100" s="49" t="n"/>
      <c r="B100" s="117" t="n"/>
      <c r="C100" s="17" t="n"/>
      <c r="D100" s="18" t="inlineStr">
        <is>
          <t>西岡</t>
        </is>
      </c>
      <c r="E100" s="103" t="n"/>
      <c r="F100" s="259" t="n">
        <v>12701.325</v>
      </c>
      <c r="G100" s="260" t="n">
        <v>11083.116</v>
      </c>
      <c r="H100" s="260" t="n">
        <v>11860</v>
      </c>
      <c r="I100" s="260" t="n">
        <v>14215.404</v>
      </c>
      <c r="J100" s="261">
        <f>I100-H100</f>
        <v/>
      </c>
      <c r="K100" s="261">
        <f>I100-G100</f>
        <v/>
      </c>
      <c r="L100" s="262">
        <f>IF(G100=0,"***",K100/G100)</f>
        <v/>
      </c>
      <c r="M100" s="259" t="n">
        <v>2499.712</v>
      </c>
      <c r="N100" s="260" t="n">
        <v>2343.213</v>
      </c>
      <c r="O100" s="260" t="n">
        <v>2620</v>
      </c>
      <c r="P100" s="260" t="n">
        <v>2943.303</v>
      </c>
      <c r="Q100" s="261">
        <f>P100-O100</f>
        <v/>
      </c>
      <c r="R100" s="261">
        <f>P100-N100</f>
        <v/>
      </c>
      <c r="S100" s="263">
        <f>IF(N100=0,"***",R100/N100)</f>
        <v/>
      </c>
      <c r="T100" s="264">
        <f>IF(F100=0,"***",M100/F100)</f>
        <v/>
      </c>
      <c r="U100" s="265">
        <f>IF(G100=0,"***",N100/G100)</f>
        <v/>
      </c>
      <c r="V100" s="265">
        <f>IF(H100=0,"***",O100/H100)</f>
        <v/>
      </c>
      <c r="W100" s="265">
        <f>IF(I100=0,"***",P100/I100)</f>
        <v/>
      </c>
      <c r="X100" s="265">
        <f>W100-V100</f>
        <v/>
      </c>
      <c r="Y100" s="266">
        <f>W100-U100</f>
        <v/>
      </c>
    </row>
    <row r="101">
      <c r="A101" s="27" t="n"/>
      <c r="B101" s="28" t="n"/>
      <c r="C101" s="29" t="n"/>
      <c r="D101" s="30" t="n"/>
      <c r="E101" s="228" t="inlineStr">
        <is>
          <t>包装資材</t>
        </is>
      </c>
      <c r="F101" s="290">
        <f>F100-F102</f>
        <v/>
      </c>
      <c r="G101" s="268">
        <f>G100-G102</f>
        <v/>
      </c>
      <c r="H101" s="268">
        <f>H100-H102</f>
        <v/>
      </c>
      <c r="I101" s="268">
        <f>I100-I102</f>
        <v/>
      </c>
      <c r="J101" s="269">
        <f>I101-H101</f>
        <v/>
      </c>
      <c r="K101" s="269">
        <f>I101-G101</f>
        <v/>
      </c>
      <c r="L101" s="270">
        <f>IF(G101=0,"***",K101/G101)</f>
        <v/>
      </c>
      <c r="M101" s="268">
        <f>M100-M102</f>
        <v/>
      </c>
      <c r="N101" s="268">
        <f>N100-N102</f>
        <v/>
      </c>
      <c r="O101" s="268">
        <f>O100-O102</f>
        <v/>
      </c>
      <c r="P101" s="268">
        <f>P100-P102</f>
        <v/>
      </c>
      <c r="Q101" s="269">
        <f>P101-O101</f>
        <v/>
      </c>
      <c r="R101" s="269">
        <f>P101-N101</f>
        <v/>
      </c>
      <c r="S101" s="271">
        <f>IF(N101=0,"***",R101/N101)</f>
        <v/>
      </c>
      <c r="T101" s="272">
        <f>IF(F101=0,"***",M101/F101)</f>
        <v/>
      </c>
      <c r="U101" s="273">
        <f>IF(G101=0,"***",N101/G101)</f>
        <v/>
      </c>
      <c r="V101" s="273">
        <f>IF(H101=0,"***",O101/H101)</f>
        <v/>
      </c>
      <c r="W101" s="273">
        <f>IF(I101=0,"***",P101/I101)</f>
        <v/>
      </c>
      <c r="X101" s="273">
        <f>W101-V101</f>
        <v/>
      </c>
      <c r="Y101" s="274">
        <f>W101-U101</f>
        <v/>
      </c>
    </row>
    <row r="102">
      <c r="A102" s="27" t="n"/>
      <c r="B102" s="28" t="n"/>
      <c r="C102" s="29" t="n"/>
      <c r="D102" s="30" t="n"/>
      <c r="E102" s="52" t="inlineStr">
        <is>
          <t>機械</t>
        </is>
      </c>
      <c r="F102" s="275" t="n">
        <v>601</v>
      </c>
      <c r="G102" s="276" t="n">
        <v>672</v>
      </c>
      <c r="H102" s="276" t="n">
        <v>1000</v>
      </c>
      <c r="I102" s="276" t="n">
        <v>2548.26</v>
      </c>
      <c r="J102" s="278">
        <f>I102-H102</f>
        <v/>
      </c>
      <c r="K102" s="278">
        <f>I102-G102</f>
        <v/>
      </c>
      <c r="L102" s="279">
        <f>IF(G102=0,"***",K102/G102)</f>
        <v/>
      </c>
      <c r="M102" s="275" t="n">
        <v>172</v>
      </c>
      <c r="N102" s="276" t="n">
        <v>229</v>
      </c>
      <c r="O102" s="276" t="n">
        <v>320</v>
      </c>
      <c r="P102" s="276" t="n">
        <v>482.515</v>
      </c>
      <c r="Q102" s="278">
        <f>P102-O102</f>
        <v/>
      </c>
      <c r="R102" s="278">
        <f>P102-N102</f>
        <v/>
      </c>
      <c r="S102" s="280">
        <f>IF(N102=0,"***",R102/N102)</f>
        <v/>
      </c>
      <c r="T102" s="281">
        <f>IF(F102=0,"***",M102/F102)</f>
        <v/>
      </c>
      <c r="U102" s="282">
        <f>IF(G102=0,"***",N102/G102)</f>
        <v/>
      </c>
      <c r="V102" s="282">
        <f>IF(H102=0,"***",O102/H102)</f>
        <v/>
      </c>
      <c r="W102" s="282">
        <f>IF(I102=0,"***",P102/I102)</f>
        <v/>
      </c>
      <c r="X102" s="282">
        <f>W102-V102</f>
        <v/>
      </c>
      <c r="Y102" s="283">
        <f>W102-U102</f>
        <v/>
      </c>
    </row>
    <row r="103">
      <c r="A103" s="49" t="n"/>
      <c r="B103" s="50" t="n"/>
      <c r="C103" s="51" t="n"/>
      <c r="D103" s="52" t="inlineStr">
        <is>
          <t>足立次長</t>
        </is>
      </c>
      <c r="E103" s="106" t="n"/>
      <c r="F103" s="284" t="n">
        <v>73092.29399999999</v>
      </c>
      <c r="G103" s="285" t="n">
        <v>139564.629</v>
      </c>
      <c r="H103" s="285" t="n">
        <v>84250</v>
      </c>
      <c r="I103" s="285" t="n">
        <v>64034.965</v>
      </c>
      <c r="J103" s="286">
        <f>I103-H103</f>
        <v/>
      </c>
      <c r="K103" s="286">
        <f>I103-G103</f>
        <v/>
      </c>
      <c r="L103" s="287">
        <f>IF(G103=0,"***",K103/G103)</f>
        <v/>
      </c>
      <c r="M103" s="284" t="n">
        <v>15137.176</v>
      </c>
      <c r="N103" s="285" t="n">
        <v>25577.933</v>
      </c>
      <c r="O103" s="285" t="n">
        <v>17340</v>
      </c>
      <c r="P103" s="285" t="n">
        <v>13052.054</v>
      </c>
      <c r="Q103" s="286">
        <f>P103-O103</f>
        <v/>
      </c>
      <c r="R103" s="286">
        <f>P103-N103</f>
        <v/>
      </c>
      <c r="S103" s="288">
        <f>IF(N103=0,"***",R103/N103)</f>
        <v/>
      </c>
      <c r="T103" s="272">
        <f>IF(F103=0,"***",M103/F103)</f>
        <v/>
      </c>
      <c r="U103" s="273">
        <f>IF(G103=0,"***",N103/G103)</f>
        <v/>
      </c>
      <c r="V103" s="273">
        <f>IF(H103=0,"***",O103/H103)</f>
        <v/>
      </c>
      <c r="W103" s="273">
        <f>IF(I103=0,"***",P103/I103)</f>
        <v/>
      </c>
      <c r="X103" s="273">
        <f>W103-V103</f>
        <v/>
      </c>
      <c r="Y103" s="274">
        <f>W103-U103</f>
        <v/>
      </c>
    </row>
    <row r="104">
      <c r="A104" s="27" t="n"/>
      <c r="B104" s="28" t="n"/>
      <c r="C104" s="29" t="n"/>
      <c r="D104" s="30" t="n"/>
      <c r="E104" s="105" t="inlineStr">
        <is>
          <t>包装資材</t>
        </is>
      </c>
      <c r="F104" s="267">
        <f>F103-F105</f>
        <v/>
      </c>
      <c r="G104" s="268">
        <f>G103-G105</f>
        <v/>
      </c>
      <c r="H104" s="268">
        <f>H103-H105</f>
        <v/>
      </c>
      <c r="I104" s="268">
        <f>I103-I105</f>
        <v/>
      </c>
      <c r="J104" s="269">
        <f>I104-H104</f>
        <v/>
      </c>
      <c r="K104" s="269">
        <f>I104-G104</f>
        <v/>
      </c>
      <c r="L104" s="270">
        <f>IF(G104=0,"***",K104/G104)</f>
        <v/>
      </c>
      <c r="M104" s="267">
        <f>M103-M105</f>
        <v/>
      </c>
      <c r="N104" s="268">
        <f>N103-N105</f>
        <v/>
      </c>
      <c r="O104" s="268">
        <f>O103-O105</f>
        <v/>
      </c>
      <c r="P104" s="268">
        <f>P103-P105</f>
        <v/>
      </c>
      <c r="Q104" s="269">
        <f>P104-O104</f>
        <v/>
      </c>
      <c r="R104" s="269">
        <f>P104-N104</f>
        <v/>
      </c>
      <c r="S104" s="271">
        <f>IF(N104=0,"***",R104/N104)</f>
        <v/>
      </c>
      <c r="T104" s="272">
        <f>IF(F104=0,"***",M104/F104)</f>
        <v/>
      </c>
      <c r="U104" s="273">
        <f>IF(G104=0,"***",N104/G104)</f>
        <v/>
      </c>
      <c r="V104" s="273">
        <f>IF(H104=0,"***",O104/H104)</f>
        <v/>
      </c>
      <c r="W104" s="273">
        <f>IF(I104=0,"***",P104/I104)</f>
        <v/>
      </c>
      <c r="X104" s="273">
        <f>W104-V104</f>
        <v/>
      </c>
      <c r="Y104" s="274">
        <f>W104-U104</f>
        <v/>
      </c>
    </row>
    <row r="105">
      <c r="A105" s="27" t="n"/>
      <c r="B105" s="28" t="n"/>
      <c r="C105" s="29" t="n"/>
      <c r="D105" s="30" t="n"/>
      <c r="E105" s="107" t="inlineStr">
        <is>
          <t>機械</t>
        </is>
      </c>
      <c r="F105" s="289" t="n">
        <v>28095</v>
      </c>
      <c r="G105" s="277" t="n">
        <v>85131</v>
      </c>
      <c r="H105" s="277" t="n">
        <v>25000</v>
      </c>
      <c r="I105" s="277" t="n">
        <v>5510.094999999999</v>
      </c>
      <c r="J105" s="269">
        <f>I105-H105</f>
        <v/>
      </c>
      <c r="K105" s="269">
        <f>I105-G105</f>
        <v/>
      </c>
      <c r="L105" s="270">
        <f>IF(G105=0,"***",K105/G105)</f>
        <v/>
      </c>
      <c r="M105" s="289" t="n">
        <v>5731</v>
      </c>
      <c r="N105" s="277" t="n">
        <v>14448</v>
      </c>
      <c r="O105" s="277" t="n">
        <v>5000</v>
      </c>
      <c r="P105" s="277" t="n">
        <v>911.421</v>
      </c>
      <c r="Q105" s="269">
        <f>P105-O105</f>
        <v/>
      </c>
      <c r="R105" s="269">
        <f>P105-N105</f>
        <v/>
      </c>
      <c r="S105" s="271">
        <f>IF(N105=0,"***",R105/N105)</f>
        <v/>
      </c>
      <c r="T105" s="272">
        <f>IF(F105=0,"***",M105/F105)</f>
        <v/>
      </c>
      <c r="U105" s="273">
        <f>IF(G105=0,"***",N105/G105)</f>
        <v/>
      </c>
      <c r="V105" s="273">
        <f>IF(H105=0,"***",O105/H105)</f>
        <v/>
      </c>
      <c r="W105" s="273">
        <f>IF(I105=0,"***",P105/I105)</f>
        <v/>
      </c>
      <c r="X105" s="273">
        <f>W105-V105</f>
        <v/>
      </c>
      <c r="Y105" s="274">
        <f>W105-U105</f>
        <v/>
      </c>
    </row>
    <row r="106">
      <c r="A106" s="49" t="n"/>
      <c r="B106" s="50" t="n"/>
      <c r="C106" s="51" t="n"/>
      <c r="D106" s="52" t="inlineStr">
        <is>
          <t>藤波課長</t>
        </is>
      </c>
      <c r="E106" s="106" t="n"/>
      <c r="F106" s="284" t="n">
        <v>35192.72100000001</v>
      </c>
      <c r="G106" s="285" t="n">
        <v>43260.65300000001</v>
      </c>
      <c r="H106" s="285" t="n">
        <v>59640</v>
      </c>
      <c r="I106" s="285" t="n">
        <v>64188.93</v>
      </c>
      <c r="J106" s="286">
        <f>I106-H106</f>
        <v/>
      </c>
      <c r="K106" s="286">
        <f>I106-G106</f>
        <v/>
      </c>
      <c r="L106" s="287">
        <f>IF(G106=0,"***",K106/G106)</f>
        <v/>
      </c>
      <c r="M106" s="284" t="n">
        <v>6053.036</v>
      </c>
      <c r="N106" s="285" t="n">
        <v>8764.833000000001</v>
      </c>
      <c r="O106" s="285" t="n">
        <v>13490</v>
      </c>
      <c r="P106" s="285" t="n">
        <v>13633.684</v>
      </c>
      <c r="Q106" s="286">
        <f>P106-O106</f>
        <v/>
      </c>
      <c r="R106" s="286">
        <f>P106-N106</f>
        <v/>
      </c>
      <c r="S106" s="288">
        <f>IF(N106=0,"***",R106/N106)</f>
        <v/>
      </c>
      <c r="T106" s="272">
        <f>IF(F106=0,"***",M106/F106)</f>
        <v/>
      </c>
      <c r="U106" s="273">
        <f>IF(G106=0,"***",N106/G106)</f>
        <v/>
      </c>
      <c r="V106" s="273">
        <f>IF(H106=0,"***",O106/H106)</f>
        <v/>
      </c>
      <c r="W106" s="273">
        <f>IF(I106=0,"***",P106/I106)</f>
        <v/>
      </c>
      <c r="X106" s="273">
        <f>W106-V106</f>
        <v/>
      </c>
      <c r="Y106" s="274">
        <f>W106-U106</f>
        <v/>
      </c>
    </row>
    <row r="107">
      <c r="A107" s="27" t="n"/>
      <c r="B107" s="28" t="n"/>
      <c r="C107" s="29" t="n"/>
      <c r="D107" s="30" t="n"/>
      <c r="E107" s="105" t="inlineStr">
        <is>
          <t>包装資材</t>
        </is>
      </c>
      <c r="F107" s="267">
        <f>F106-F108</f>
        <v/>
      </c>
      <c r="G107" s="268">
        <f>G106-G108</f>
        <v/>
      </c>
      <c r="H107" s="268">
        <f>H106-H108</f>
        <v/>
      </c>
      <c r="I107" s="268">
        <f>I106-I108</f>
        <v/>
      </c>
      <c r="J107" s="269">
        <f>I107-H107</f>
        <v/>
      </c>
      <c r="K107" s="269">
        <f>I107-G107</f>
        <v/>
      </c>
      <c r="L107" s="270">
        <f>IF(G107=0,"***",K107/G107)</f>
        <v/>
      </c>
      <c r="M107" s="267">
        <f>M106-M108</f>
        <v/>
      </c>
      <c r="N107" s="268">
        <f>N106-N108</f>
        <v/>
      </c>
      <c r="O107" s="268">
        <f>O106-O108</f>
        <v/>
      </c>
      <c r="P107" s="268">
        <f>P106-P108</f>
        <v/>
      </c>
      <c r="Q107" s="269">
        <f>P107-O107</f>
        <v/>
      </c>
      <c r="R107" s="269">
        <f>P107-N107</f>
        <v/>
      </c>
      <c r="S107" s="271">
        <f>IF(N107=0,"***",R107/N107)</f>
        <v/>
      </c>
      <c r="T107" s="272">
        <f>IF(F107=0,"***",M107/F107)</f>
        <v/>
      </c>
      <c r="U107" s="273">
        <f>IF(G107=0,"***",N107/G107)</f>
        <v/>
      </c>
      <c r="V107" s="273">
        <f>IF(H107=0,"***",O107/H107)</f>
        <v/>
      </c>
      <c r="W107" s="273">
        <f>IF(I107=0,"***",P107/I107)</f>
        <v/>
      </c>
      <c r="X107" s="273">
        <f>W107-V107</f>
        <v/>
      </c>
      <c r="Y107" s="274">
        <f>W107-U107</f>
        <v/>
      </c>
    </row>
    <row r="108">
      <c r="A108" s="27" t="n"/>
      <c r="B108" s="28" t="n"/>
      <c r="C108" s="29" t="n"/>
      <c r="D108" s="30" t="n"/>
      <c r="E108" s="107" t="inlineStr">
        <is>
          <t>機械</t>
        </is>
      </c>
      <c r="F108" s="289" t="n">
        <v>2154</v>
      </c>
      <c r="G108" s="277" t="n">
        <v>8206</v>
      </c>
      <c r="H108" s="277" t="n">
        <v>21500</v>
      </c>
      <c r="I108" s="277" t="n">
        <v>27680.26</v>
      </c>
      <c r="J108" s="269">
        <f>I108-H108</f>
        <v/>
      </c>
      <c r="K108" s="269">
        <f>I108-G108</f>
        <v/>
      </c>
      <c r="L108" s="270">
        <f>IF(G108=0,"***",K108/G108)</f>
        <v/>
      </c>
      <c r="M108" s="289" t="n">
        <v>824</v>
      </c>
      <c r="N108" s="277" t="n">
        <v>2710</v>
      </c>
      <c r="O108" s="277" t="n">
        <v>6410</v>
      </c>
      <c r="P108" s="277" t="n">
        <v>7685.669</v>
      </c>
      <c r="Q108" s="269">
        <f>P108-O108</f>
        <v/>
      </c>
      <c r="R108" s="269">
        <f>P108-N108</f>
        <v/>
      </c>
      <c r="S108" s="271">
        <f>IF(N108=0,"***",R108/N108)</f>
        <v/>
      </c>
      <c r="T108" s="272">
        <f>IF(F108=0,"***",M108/F108)</f>
        <v/>
      </c>
      <c r="U108" s="273">
        <f>IF(G108=0,"***",N108/G108)</f>
        <v/>
      </c>
      <c r="V108" s="273">
        <f>IF(H108=0,"***",O108/H108)</f>
        <v/>
      </c>
      <c r="W108" s="273">
        <f>IF(I108=0,"***",P108/I108)</f>
        <v/>
      </c>
      <c r="X108" s="273">
        <f>W108-V108</f>
        <v/>
      </c>
      <c r="Y108" s="274">
        <f>W108-U108</f>
        <v/>
      </c>
    </row>
    <row r="109">
      <c r="A109" s="49" t="n"/>
      <c r="B109" s="50" t="n"/>
      <c r="C109" s="51" t="n"/>
      <c r="D109" s="52" t="inlineStr">
        <is>
          <t>足立課長</t>
        </is>
      </c>
      <c r="E109" s="106" t="n"/>
      <c r="F109" s="284" t="n">
        <v>11613.707</v>
      </c>
      <c r="G109" s="285" t="n">
        <v>5699.036</v>
      </c>
      <c r="H109" s="285" t="n">
        <v>13800</v>
      </c>
      <c r="I109" s="285" t="n">
        <v>9037.527</v>
      </c>
      <c r="J109" s="286">
        <f>I109-H109</f>
        <v/>
      </c>
      <c r="K109" s="286">
        <f>I109-G109</f>
        <v/>
      </c>
      <c r="L109" s="287">
        <f>IF(G109=0,"***",K109/G109)</f>
        <v/>
      </c>
      <c r="M109" s="284" t="n">
        <v>2121.375</v>
      </c>
      <c r="N109" s="285" t="n">
        <v>1110.796</v>
      </c>
      <c r="O109" s="285" t="n">
        <v>2280</v>
      </c>
      <c r="P109" s="285" t="n">
        <v>1842.737</v>
      </c>
      <c r="Q109" s="286">
        <f>P109-O109</f>
        <v/>
      </c>
      <c r="R109" s="286">
        <f>P109-N109</f>
        <v/>
      </c>
      <c r="S109" s="288">
        <f>IF(N109=0,"***",R109/N109)</f>
        <v/>
      </c>
      <c r="T109" s="272">
        <f>IF(F109=0,"***",M109/F109)</f>
        <v/>
      </c>
      <c r="U109" s="273">
        <f>IF(G109=0,"***",N109/G109)</f>
        <v/>
      </c>
      <c r="V109" s="273">
        <f>IF(H109=0,"***",O109/H109)</f>
        <v/>
      </c>
      <c r="W109" s="273">
        <f>IF(I109=0,"***",P109/I109)</f>
        <v/>
      </c>
      <c r="X109" s="273">
        <f>W109-V109</f>
        <v/>
      </c>
      <c r="Y109" s="274">
        <f>W109-U109</f>
        <v/>
      </c>
    </row>
    <row r="110">
      <c r="A110" s="27" t="n"/>
      <c r="B110" s="28" t="n"/>
      <c r="C110" s="29" t="n"/>
      <c r="D110" s="30" t="n"/>
      <c r="E110" s="105" t="inlineStr">
        <is>
          <t>包装資材</t>
        </is>
      </c>
      <c r="F110" s="267">
        <f>F109-F111</f>
        <v/>
      </c>
      <c r="G110" s="268">
        <f>G109-G111</f>
        <v/>
      </c>
      <c r="H110" s="268">
        <f>H109-H111</f>
        <v/>
      </c>
      <c r="I110" s="268">
        <f>I109-I111</f>
        <v/>
      </c>
      <c r="J110" s="269">
        <f>I110-H110</f>
        <v/>
      </c>
      <c r="K110" s="269">
        <f>I110-G110</f>
        <v/>
      </c>
      <c r="L110" s="270">
        <f>IF(G110=0,"***",K110/G110)</f>
        <v/>
      </c>
      <c r="M110" s="267">
        <f>M109-M111</f>
        <v/>
      </c>
      <c r="N110" s="268">
        <f>N109-N111</f>
        <v/>
      </c>
      <c r="O110" s="268">
        <f>O109-O111</f>
        <v/>
      </c>
      <c r="P110" s="268">
        <f>P109-P111</f>
        <v/>
      </c>
      <c r="Q110" s="269">
        <f>P110-O110</f>
        <v/>
      </c>
      <c r="R110" s="269">
        <f>P110-N110</f>
        <v/>
      </c>
      <c r="S110" s="271">
        <f>IF(N110=0,"***",R110/N110)</f>
        <v/>
      </c>
      <c r="T110" s="272">
        <f>IF(F110=0,"***",M110/F110)</f>
        <v/>
      </c>
      <c r="U110" s="273">
        <f>IF(G110=0,"***",N110/G110)</f>
        <v/>
      </c>
      <c r="V110" s="273">
        <f>IF(H110=0,"***",O110/H110)</f>
        <v/>
      </c>
      <c r="W110" s="273">
        <f>IF(I110=0,"***",P110/I110)</f>
        <v/>
      </c>
      <c r="X110" s="273">
        <f>W110-V110</f>
        <v/>
      </c>
      <c r="Y110" s="274">
        <f>W110-U110</f>
        <v/>
      </c>
    </row>
    <row r="111">
      <c r="A111" s="27" t="n"/>
      <c r="B111" s="28" t="n"/>
      <c r="C111" s="29" t="n"/>
      <c r="D111" s="30" t="n"/>
      <c r="E111" s="107" t="inlineStr">
        <is>
          <t>機械</t>
        </is>
      </c>
      <c r="F111" s="289" t="n">
        <v>6810</v>
      </c>
      <c r="G111" s="277" t="n">
        <v>325</v>
      </c>
      <c r="H111" s="277" t="n">
        <v>3000</v>
      </c>
      <c r="I111" s="277" t="n">
        <v>1371.99</v>
      </c>
      <c r="J111" s="269">
        <f>I111-H111</f>
        <v/>
      </c>
      <c r="K111" s="269">
        <f>I111-G111</f>
        <v/>
      </c>
      <c r="L111" s="270">
        <f>IF(G111=0,"***",K111/G111)</f>
        <v/>
      </c>
      <c r="M111" s="289" t="n">
        <v>1306</v>
      </c>
      <c r="N111" s="277" t="n">
        <v>96</v>
      </c>
      <c r="O111" s="277" t="n">
        <v>750</v>
      </c>
      <c r="P111" s="277" t="n">
        <v>347.051</v>
      </c>
      <c r="Q111" s="269">
        <f>P111-O111</f>
        <v/>
      </c>
      <c r="R111" s="269">
        <f>P111-N111</f>
        <v/>
      </c>
      <c r="S111" s="271">
        <f>IF(N111=0,"***",R111/N111)</f>
        <v/>
      </c>
      <c r="T111" s="272">
        <f>IF(F111=0,"***",M111/F111)</f>
        <v/>
      </c>
      <c r="U111" s="273">
        <f>IF(G111=0,"***",N111/G111)</f>
        <v/>
      </c>
      <c r="V111" s="273">
        <f>IF(H111=0,"***",O111/H111)</f>
        <v/>
      </c>
      <c r="W111" s="273">
        <f>IF(I111=0,"***",P111/I111)</f>
        <v/>
      </c>
      <c r="X111" s="273">
        <f>W111-V111</f>
        <v/>
      </c>
      <c r="Y111" s="274">
        <f>W111-U111</f>
        <v/>
      </c>
    </row>
    <row r="112">
      <c r="A112" s="49" t="n"/>
      <c r="B112" s="50" t="n"/>
      <c r="C112" s="51" t="n"/>
      <c r="D112" s="52" t="inlineStr">
        <is>
          <t>川邊主任</t>
        </is>
      </c>
      <c r="E112" s="106" t="n"/>
      <c r="F112" s="284" t="n">
        <v>44386.368</v>
      </c>
      <c r="G112" s="285" t="n">
        <v>46769.26900000001</v>
      </c>
      <c r="H112" s="285" t="n">
        <v>49560</v>
      </c>
      <c r="I112" s="285" t="n">
        <v>58897.509</v>
      </c>
      <c r="J112" s="286">
        <f>I112-H112</f>
        <v/>
      </c>
      <c r="K112" s="286">
        <f>I112-G112</f>
        <v/>
      </c>
      <c r="L112" s="287">
        <f>IF(G112=0,"***",K112/G112)</f>
        <v/>
      </c>
      <c r="M112" s="284" t="n">
        <v>7590.19</v>
      </c>
      <c r="N112" s="285" t="n">
        <v>7925.138000000001</v>
      </c>
      <c r="O112" s="285" t="n">
        <v>9010</v>
      </c>
      <c r="P112" s="285" t="n">
        <v>9514.272999999999</v>
      </c>
      <c r="Q112" s="286">
        <f>P112-O112</f>
        <v/>
      </c>
      <c r="R112" s="286">
        <f>P112-N112</f>
        <v/>
      </c>
      <c r="S112" s="288">
        <f>IF(N112=0,"***",R112/N112)</f>
        <v/>
      </c>
      <c r="T112" s="272">
        <f>IF(F112=0,"***",M112/F112)</f>
        <v/>
      </c>
      <c r="U112" s="273">
        <f>IF(G112=0,"***",N112/G112)</f>
        <v/>
      </c>
      <c r="V112" s="273">
        <f>IF(H112=0,"***",O112/H112)</f>
        <v/>
      </c>
      <c r="W112" s="273">
        <f>IF(I112=0,"***",P112/I112)</f>
        <v/>
      </c>
      <c r="X112" s="273">
        <f>W112-V112</f>
        <v/>
      </c>
      <c r="Y112" s="274">
        <f>W112-U112</f>
        <v/>
      </c>
    </row>
    <row r="113">
      <c r="A113" s="27" t="n"/>
      <c r="B113" s="28" t="n"/>
      <c r="C113" s="29" t="n"/>
      <c r="D113" s="30" t="n"/>
      <c r="E113" s="105" t="inlineStr">
        <is>
          <t>包装資材</t>
        </is>
      </c>
      <c r="F113" s="267">
        <f>F112-F114</f>
        <v/>
      </c>
      <c r="G113" s="268">
        <f>G112-G114</f>
        <v/>
      </c>
      <c r="H113" s="268">
        <f>H112-H114</f>
        <v/>
      </c>
      <c r="I113" s="268">
        <f>I112-I114</f>
        <v/>
      </c>
      <c r="J113" s="269">
        <f>I113-H113</f>
        <v/>
      </c>
      <c r="K113" s="269">
        <f>I113-G113</f>
        <v/>
      </c>
      <c r="L113" s="270">
        <f>IF(G113=0,"***",K113/G113)</f>
        <v/>
      </c>
      <c r="M113" s="267">
        <f>M112-M114</f>
        <v/>
      </c>
      <c r="N113" s="268">
        <f>N112-N114</f>
        <v/>
      </c>
      <c r="O113" s="268">
        <f>O112-O114</f>
        <v/>
      </c>
      <c r="P113" s="268">
        <f>P112-P114</f>
        <v/>
      </c>
      <c r="Q113" s="269">
        <f>P113-O113</f>
        <v/>
      </c>
      <c r="R113" s="269">
        <f>P113-N113</f>
        <v/>
      </c>
      <c r="S113" s="271">
        <f>IF(N113=0,"***",R113/N113)</f>
        <v/>
      </c>
      <c r="T113" s="272">
        <f>IF(F113=0,"***",M113/F113)</f>
        <v/>
      </c>
      <c r="U113" s="273">
        <f>IF(G113=0,"***",N113/G113)</f>
        <v/>
      </c>
      <c r="V113" s="273">
        <f>IF(H113=0,"***",O113/H113)</f>
        <v/>
      </c>
      <c r="W113" s="273">
        <f>IF(I113=0,"***",P113/I113)</f>
        <v/>
      </c>
      <c r="X113" s="273">
        <f>W113-V113</f>
        <v/>
      </c>
      <c r="Y113" s="274">
        <f>W113-U113</f>
        <v/>
      </c>
    </row>
    <row r="114">
      <c r="A114" s="27" t="n"/>
      <c r="B114" s="28" t="n"/>
      <c r="C114" s="29" t="n"/>
      <c r="D114" s="30" t="n"/>
      <c r="E114" s="107" t="inlineStr">
        <is>
          <t>機械</t>
        </is>
      </c>
      <c r="F114" s="289" t="n">
        <v>3220</v>
      </c>
      <c r="G114" s="277" t="n">
        <v>3680</v>
      </c>
      <c r="H114" s="277" t="n">
        <v>3500</v>
      </c>
      <c r="I114" s="277" t="n">
        <v>5221.660000000001</v>
      </c>
      <c r="J114" s="269">
        <f>I114-H114</f>
        <v/>
      </c>
      <c r="K114" s="269">
        <f>I114-G114</f>
        <v/>
      </c>
      <c r="L114" s="270">
        <f>IF(G114=0,"***",K114/G114)</f>
        <v/>
      </c>
      <c r="M114" s="289" t="n">
        <v>741</v>
      </c>
      <c r="N114" s="277" t="n">
        <v>736</v>
      </c>
      <c r="O114" s="277" t="n">
        <v>900</v>
      </c>
      <c r="P114" s="277" t="n">
        <v>913.383</v>
      </c>
      <c r="Q114" s="269">
        <f>P114-O114</f>
        <v/>
      </c>
      <c r="R114" s="269">
        <f>P114-N114</f>
        <v/>
      </c>
      <c r="S114" s="271">
        <f>IF(N114=0,"***",R114/N114)</f>
        <v/>
      </c>
      <c r="T114" s="272">
        <f>IF(F114=0,"***",M114/F114)</f>
        <v/>
      </c>
      <c r="U114" s="273">
        <f>IF(G114=0,"***",N114/G114)</f>
        <v/>
      </c>
      <c r="V114" s="273">
        <f>IF(H114=0,"***",O114/H114)</f>
        <v/>
      </c>
      <c r="W114" s="273">
        <f>IF(I114=0,"***",P114/I114)</f>
        <v/>
      </c>
      <c r="X114" s="273">
        <f>W114-V114</f>
        <v/>
      </c>
      <c r="Y114" s="274">
        <f>W114-U114</f>
        <v/>
      </c>
    </row>
    <row r="115">
      <c r="A115" s="49" t="n"/>
      <c r="B115" s="50" t="n"/>
      <c r="C115" s="51" t="n"/>
      <c r="D115" s="52" t="inlineStr">
        <is>
          <t>白根主任</t>
        </is>
      </c>
      <c r="E115" s="106" t="n"/>
      <c r="F115" s="284" t="n">
        <v>58845.92</v>
      </c>
      <c r="G115" s="285" t="n">
        <v>50404.99200000001</v>
      </c>
      <c r="H115" s="285" t="n">
        <v>72700</v>
      </c>
      <c r="I115" s="285" t="n">
        <v>67903.803</v>
      </c>
      <c r="J115" s="286">
        <f>I115-H115</f>
        <v/>
      </c>
      <c r="K115" s="286">
        <f>I115-G115</f>
        <v/>
      </c>
      <c r="L115" s="287">
        <f>IF(G115=0,"***",K115/G115)</f>
        <v/>
      </c>
      <c r="M115" s="284" t="n">
        <v>10989.012</v>
      </c>
      <c r="N115" s="285" t="n">
        <v>10885.586</v>
      </c>
      <c r="O115" s="285" t="n">
        <v>13340</v>
      </c>
      <c r="P115" s="285" t="n">
        <v>13876.315</v>
      </c>
      <c r="Q115" s="286">
        <f>P115-O115</f>
        <v/>
      </c>
      <c r="R115" s="286">
        <f>P115-N115</f>
        <v/>
      </c>
      <c r="S115" s="288">
        <f>IF(N115=0,"***",R115/N115)</f>
        <v/>
      </c>
      <c r="T115" s="272">
        <f>IF(F115=0,"***",M115/F115)</f>
        <v/>
      </c>
      <c r="U115" s="273">
        <f>IF(G115=0,"***",N115/G115)</f>
        <v/>
      </c>
      <c r="V115" s="273">
        <f>IF(H115=0,"***",O115/H115)</f>
        <v/>
      </c>
      <c r="W115" s="273">
        <f>IF(I115=0,"***",P115/I115)</f>
        <v/>
      </c>
      <c r="X115" s="273">
        <f>W115-V115</f>
        <v/>
      </c>
      <c r="Y115" s="274">
        <f>W115-U115</f>
        <v/>
      </c>
    </row>
    <row r="116">
      <c r="A116" s="27" t="n"/>
      <c r="B116" s="28" t="n"/>
      <c r="C116" s="29" t="n"/>
      <c r="D116" s="30" t="n"/>
      <c r="E116" s="105" t="inlineStr">
        <is>
          <t>包装資材</t>
        </is>
      </c>
      <c r="F116" s="267">
        <f>F115-F117</f>
        <v/>
      </c>
      <c r="G116" s="268">
        <f>G115-G117</f>
        <v/>
      </c>
      <c r="H116" s="268">
        <f>H115-H117</f>
        <v/>
      </c>
      <c r="I116" s="268">
        <f>I115-I117</f>
        <v/>
      </c>
      <c r="J116" s="269">
        <f>I116-H116</f>
        <v/>
      </c>
      <c r="K116" s="269">
        <f>I116-G116</f>
        <v/>
      </c>
      <c r="L116" s="270">
        <f>IF(G116=0,"***",K116/G116)</f>
        <v/>
      </c>
      <c r="M116" s="267">
        <f>M115-M117</f>
        <v/>
      </c>
      <c r="N116" s="268">
        <f>N115-N117</f>
        <v/>
      </c>
      <c r="O116" s="268">
        <f>O115-O117</f>
        <v/>
      </c>
      <c r="P116" s="268">
        <f>P115-P117</f>
        <v/>
      </c>
      <c r="Q116" s="269">
        <f>P116-O116</f>
        <v/>
      </c>
      <c r="R116" s="269">
        <f>P116-N116</f>
        <v/>
      </c>
      <c r="S116" s="271">
        <f>IF(N116=0,"***",R116/N116)</f>
        <v/>
      </c>
      <c r="T116" s="272">
        <f>IF(F116=0,"***",M116/F116)</f>
        <v/>
      </c>
      <c r="U116" s="273">
        <f>IF(G116=0,"***",N116/G116)</f>
        <v/>
      </c>
      <c r="V116" s="273">
        <f>IF(H116=0,"***",O116/H116)</f>
        <v/>
      </c>
      <c r="W116" s="273">
        <f>IF(I116=0,"***",P116/I116)</f>
        <v/>
      </c>
      <c r="X116" s="273">
        <f>W116-V116</f>
        <v/>
      </c>
      <c r="Y116" s="274">
        <f>W116-U116</f>
        <v/>
      </c>
    </row>
    <row r="117">
      <c r="A117" s="27" t="n"/>
      <c r="B117" s="28" t="n"/>
      <c r="C117" s="29" t="n"/>
      <c r="D117" s="30" t="n"/>
      <c r="E117" s="107" t="inlineStr">
        <is>
          <t>機械</t>
        </is>
      </c>
      <c r="F117" s="289" t="n">
        <v>7821</v>
      </c>
      <c r="G117" s="277" t="n">
        <v>8866</v>
      </c>
      <c r="H117" s="277" t="n">
        <v>26500</v>
      </c>
      <c r="I117" s="277" t="n">
        <v>21198.08</v>
      </c>
      <c r="J117" s="269">
        <f>I117-H117</f>
        <v/>
      </c>
      <c r="K117" s="269">
        <f>I117-G117</f>
        <v/>
      </c>
      <c r="L117" s="270">
        <f>IF(G117=0,"***",K117/G117)</f>
        <v/>
      </c>
      <c r="M117" s="289" t="n">
        <v>1487</v>
      </c>
      <c r="N117" s="277" t="n">
        <v>2415</v>
      </c>
      <c r="O117" s="277" t="n">
        <v>3800</v>
      </c>
      <c r="P117" s="277" t="n">
        <v>3150.906</v>
      </c>
      <c r="Q117" s="269">
        <f>P117-O117</f>
        <v/>
      </c>
      <c r="R117" s="269">
        <f>P117-N117</f>
        <v/>
      </c>
      <c r="S117" s="271">
        <f>IF(N117=0,"***",R117/N117)</f>
        <v/>
      </c>
      <c r="T117" s="272">
        <f>IF(F117=0,"***",M117/F117)</f>
        <v/>
      </c>
      <c r="U117" s="273">
        <f>IF(G117=0,"***",N117/G117)</f>
        <v/>
      </c>
      <c r="V117" s="273">
        <f>IF(H117=0,"***",O117/H117)</f>
        <v/>
      </c>
      <c r="W117" s="273">
        <f>IF(I117=0,"***",P117/I117)</f>
        <v/>
      </c>
      <c r="X117" s="273">
        <f>W117-V117</f>
        <v/>
      </c>
      <c r="Y117" s="274">
        <f>W117-U117</f>
        <v/>
      </c>
    </row>
    <row r="118">
      <c r="A118" s="49" t="n"/>
      <c r="B118" s="50" t="n"/>
      <c r="C118" s="51" t="n"/>
      <c r="D118" s="52" t="inlineStr">
        <is>
          <t>海外</t>
        </is>
      </c>
      <c r="E118" s="106" t="n"/>
      <c r="F118" s="284" t="n">
        <v>5125.530999999999</v>
      </c>
      <c r="G118" s="285" t="n">
        <v>6259.334</v>
      </c>
      <c r="H118" s="285" t="n">
        <v>6010</v>
      </c>
      <c r="I118" s="285" t="n">
        <v>10559.95</v>
      </c>
      <c r="J118" s="286">
        <f>I118-H118</f>
        <v/>
      </c>
      <c r="K118" s="286">
        <f>I118-G118</f>
        <v/>
      </c>
      <c r="L118" s="287">
        <f>IF(G118=0,"***",K118/G118)</f>
        <v/>
      </c>
      <c r="M118" s="284" t="n">
        <v>983.866</v>
      </c>
      <c r="N118" s="285" t="n">
        <v>1079.476</v>
      </c>
      <c r="O118" s="285" t="n">
        <v>1210</v>
      </c>
      <c r="P118" s="285" t="n">
        <v>2021.839</v>
      </c>
      <c r="Q118" s="286">
        <f>P118-O118</f>
        <v/>
      </c>
      <c r="R118" s="286">
        <f>P118-N118</f>
        <v/>
      </c>
      <c r="S118" s="288">
        <f>IF(N118=0,"***",R118/N118)</f>
        <v/>
      </c>
      <c r="T118" s="272">
        <f>IF(F118=0,"***",M118/F118)</f>
        <v/>
      </c>
      <c r="U118" s="273">
        <f>IF(G118=0,"***",N118/G118)</f>
        <v/>
      </c>
      <c r="V118" s="273">
        <f>IF(H118=0,"***",O118/H118)</f>
        <v/>
      </c>
      <c r="W118" s="273">
        <f>IF(I118=0,"***",P118/I118)</f>
        <v/>
      </c>
      <c r="X118" s="273">
        <f>W118-V118</f>
        <v/>
      </c>
      <c r="Y118" s="274">
        <f>W118-U118</f>
        <v/>
      </c>
    </row>
    <row r="119">
      <c r="A119" s="27" t="n"/>
      <c r="B119" s="28" t="n"/>
      <c r="C119" s="29" t="n"/>
      <c r="D119" s="30" t="n"/>
      <c r="E119" s="105" t="inlineStr">
        <is>
          <t>包装資材</t>
        </is>
      </c>
      <c r="F119" s="267">
        <f>F118-F120</f>
        <v/>
      </c>
      <c r="G119" s="268">
        <f>G118-G120</f>
        <v/>
      </c>
      <c r="H119" s="268">
        <f>H118-H120</f>
        <v/>
      </c>
      <c r="I119" s="268">
        <f>I118-I120</f>
        <v/>
      </c>
      <c r="J119" s="269">
        <f>I119-H119</f>
        <v/>
      </c>
      <c r="K119" s="269">
        <f>I119-G119</f>
        <v/>
      </c>
      <c r="L119" s="270">
        <f>IF(G119=0,"***",K119/G119)</f>
        <v/>
      </c>
      <c r="M119" s="267">
        <f>M118-M120</f>
        <v/>
      </c>
      <c r="N119" s="268">
        <f>N118-N120</f>
        <v/>
      </c>
      <c r="O119" s="268">
        <f>O118-O120</f>
        <v/>
      </c>
      <c r="P119" s="268">
        <f>P118-P120</f>
        <v/>
      </c>
      <c r="Q119" s="269">
        <f>P119-O119</f>
        <v/>
      </c>
      <c r="R119" s="269">
        <f>P119-N119</f>
        <v/>
      </c>
      <c r="S119" s="271">
        <f>IF(N119=0,"***",R119/N119)</f>
        <v/>
      </c>
      <c r="T119" s="272">
        <f>IF(F119=0,"***",M119/F119)</f>
        <v/>
      </c>
      <c r="U119" s="273">
        <f>IF(G119=0,"***",N119/G119)</f>
        <v/>
      </c>
      <c r="V119" s="273">
        <f>IF(H119=0,"***",O119/H119)</f>
        <v/>
      </c>
      <c r="W119" s="273">
        <f>IF(I119=0,"***",P119/I119)</f>
        <v/>
      </c>
      <c r="X119" s="273">
        <f>W119-V119</f>
        <v/>
      </c>
      <c r="Y119" s="274">
        <f>W119-U119</f>
        <v/>
      </c>
    </row>
    <row r="120">
      <c r="A120" s="27" t="n"/>
      <c r="B120" s="28" t="n"/>
      <c r="C120" s="29" t="n"/>
      <c r="D120" s="30" t="n"/>
      <c r="E120" s="107" t="inlineStr">
        <is>
          <t>機械</t>
        </is>
      </c>
      <c r="F120" s="289" t="n">
        <v>2760</v>
      </c>
      <c r="G120" s="277" t="n">
        <v>1535</v>
      </c>
      <c r="H120" s="277" t="n">
        <v>2000</v>
      </c>
      <c r="I120" s="277" t="n">
        <v>2914.41</v>
      </c>
      <c r="J120" s="269">
        <f>I120-H120</f>
        <v/>
      </c>
      <c r="K120" s="269">
        <f>I120-G120</f>
        <v/>
      </c>
      <c r="L120" s="270">
        <f>IF(G120=0,"***",K120/G120)</f>
        <v/>
      </c>
      <c r="M120" s="289" t="n">
        <v>583</v>
      </c>
      <c r="N120" s="277" t="n">
        <v>326</v>
      </c>
      <c r="O120" s="277" t="n">
        <v>400</v>
      </c>
      <c r="P120" s="277" t="n">
        <v>779.4899999999999</v>
      </c>
      <c r="Q120" s="269">
        <f>P120-O120</f>
        <v/>
      </c>
      <c r="R120" s="269">
        <f>P120-N120</f>
        <v/>
      </c>
      <c r="S120" s="271">
        <f>IF(N120=0,"***",R120/N120)</f>
        <v/>
      </c>
      <c r="T120" s="272">
        <f>IF(F120=0,"***",M120/F120)</f>
        <v/>
      </c>
      <c r="U120" s="273">
        <f>IF(G120=0,"***",N120/G120)</f>
        <v/>
      </c>
      <c r="V120" s="273">
        <f>IF(H120=0,"***",O120/H120)</f>
        <v/>
      </c>
      <c r="W120" s="273">
        <f>IF(I120=0,"***",P120/I120)</f>
        <v/>
      </c>
      <c r="X120" s="273">
        <f>W120-V120</f>
        <v/>
      </c>
      <c r="Y120" s="274">
        <f>W120-U120</f>
        <v/>
      </c>
    </row>
    <row r="121">
      <c r="A121" s="49" t="n"/>
      <c r="B121" s="50" t="n"/>
      <c r="C121" s="51" t="n"/>
      <c r="D121" s="52" t="inlineStr">
        <is>
          <t>その他</t>
        </is>
      </c>
      <c r="E121" s="106" t="n"/>
      <c r="F121" s="284" t="n">
        <v>146.746</v>
      </c>
      <c r="G121" s="285" t="n">
        <v>151.977</v>
      </c>
      <c r="H121" s="285" t="n">
        <v>150</v>
      </c>
      <c r="I121" s="285" t="n">
        <v>157.288</v>
      </c>
      <c r="J121" s="286">
        <f>I121-H121</f>
        <v/>
      </c>
      <c r="K121" s="286">
        <f>I121-G121</f>
        <v/>
      </c>
      <c r="L121" s="287">
        <f>IF(G121=0,"***",K121/G121)</f>
        <v/>
      </c>
      <c r="M121" s="284" t="n">
        <v>30.438</v>
      </c>
      <c r="N121" s="285" t="n">
        <v>33.001</v>
      </c>
      <c r="O121" s="285" t="n">
        <v>50</v>
      </c>
      <c r="P121" s="285" t="n">
        <v>35.683</v>
      </c>
      <c r="Q121" s="286" t="n"/>
      <c r="R121" s="286">
        <f>P121-N121</f>
        <v/>
      </c>
      <c r="S121" s="288">
        <f>IF(N121=0,"***",R121/N121)</f>
        <v/>
      </c>
      <c r="T121" s="272">
        <f>IF(F121=0,"***",M121/F121)</f>
        <v/>
      </c>
      <c r="U121" s="273">
        <f>IF(G121=0,"***",N121/G121)</f>
        <v/>
      </c>
      <c r="V121" s="273">
        <f>IF(H121=0,"***",O121/H121)</f>
        <v/>
      </c>
      <c r="W121" s="273">
        <f>IF(I121=0,"***",P121/I121)</f>
        <v/>
      </c>
      <c r="X121" s="273">
        <f>W121-V121</f>
        <v/>
      </c>
      <c r="Y121" s="274">
        <f>W121-U121</f>
        <v/>
      </c>
    </row>
    <row r="122">
      <c r="A122" s="27" t="n"/>
      <c r="B122" s="28" t="n"/>
      <c r="C122" s="29" t="n"/>
      <c r="D122" s="30" t="n"/>
      <c r="E122" s="105" t="inlineStr">
        <is>
          <t>包装資材</t>
        </is>
      </c>
      <c r="F122" s="267">
        <f>F121-F123</f>
        <v/>
      </c>
      <c r="G122" s="268">
        <f>G121-G123</f>
        <v/>
      </c>
      <c r="H122" s="268">
        <f>H121-H123</f>
        <v/>
      </c>
      <c r="I122" s="268">
        <f>I121-I123</f>
        <v/>
      </c>
      <c r="J122" s="269">
        <f>I122-H122</f>
        <v/>
      </c>
      <c r="K122" s="269">
        <f>I122-G122</f>
        <v/>
      </c>
      <c r="L122" s="270">
        <f>IF(G122=0,"***",K122/G122)</f>
        <v/>
      </c>
      <c r="M122" s="267">
        <f>M121-M123</f>
        <v/>
      </c>
      <c r="N122" s="268">
        <f>N121-N123</f>
        <v/>
      </c>
      <c r="O122" s="268">
        <f>O121-O123</f>
        <v/>
      </c>
      <c r="P122" s="268">
        <f>P121-P123</f>
        <v/>
      </c>
      <c r="Q122" s="269">
        <f>P122-O122</f>
        <v/>
      </c>
      <c r="R122" s="269">
        <f>P122-N122</f>
        <v/>
      </c>
      <c r="S122" s="271">
        <f>IF(N122=0,"***",R122/N122)</f>
        <v/>
      </c>
      <c r="T122" s="272">
        <f>IF(F122=0,"***",M122/F122)</f>
        <v/>
      </c>
      <c r="U122" s="273">
        <f>IF(G122=0,"***",N122/G122)</f>
        <v/>
      </c>
      <c r="V122" s="273">
        <f>IF(H122=0,"***",O122/H122)</f>
        <v/>
      </c>
      <c r="W122" s="273">
        <f>IF(I122=0,"***",P122/I122)</f>
        <v/>
      </c>
      <c r="X122" s="273">
        <f>W122-V122</f>
        <v/>
      </c>
      <c r="Y122" s="274">
        <f>W122-U122</f>
        <v/>
      </c>
    </row>
    <row r="123">
      <c r="A123" s="27" t="n"/>
      <c r="B123" s="28" t="n"/>
      <c r="C123" s="29" t="n"/>
      <c r="D123" s="30" t="n"/>
      <c r="E123" s="107" t="inlineStr">
        <is>
          <t>機械</t>
        </is>
      </c>
      <c r="F123" s="289" t="n">
        <v>0</v>
      </c>
      <c r="G123" s="277" t="n">
        <v>0</v>
      </c>
      <c r="H123" s="277" t="n">
        <v>0</v>
      </c>
      <c r="I123" s="277" t="n">
        <v>0</v>
      </c>
      <c r="J123" s="269">
        <f>I123-H123</f>
        <v/>
      </c>
      <c r="K123" s="269">
        <f>I123-G123</f>
        <v/>
      </c>
      <c r="L123" s="270">
        <f>IF(G123=0,"***",K123/G123)</f>
        <v/>
      </c>
      <c r="M123" s="289" t="n">
        <v>0</v>
      </c>
      <c r="N123" s="277" t="n">
        <v>0</v>
      </c>
      <c r="O123" s="277" t="n">
        <v>0</v>
      </c>
      <c r="P123" s="277" t="n">
        <v>0</v>
      </c>
      <c r="Q123" s="269">
        <f>P123-O123</f>
        <v/>
      </c>
      <c r="R123" s="269">
        <f>P123-N123</f>
        <v/>
      </c>
      <c r="S123" s="271">
        <f>IF(N123=0,"***",R123/N123)</f>
        <v/>
      </c>
      <c r="T123" s="272">
        <f>IF(F123=0,"***",M123/F123)</f>
        <v/>
      </c>
      <c r="U123" s="273">
        <f>IF(G123=0,"***",N123/G123)</f>
        <v/>
      </c>
      <c r="V123" s="273">
        <f>IF(H123=0,"***",O123/H123)</f>
        <v/>
      </c>
      <c r="W123" s="273">
        <f>IF(I123=0,"***",P123/I123)</f>
        <v/>
      </c>
      <c r="X123" s="273">
        <f>W123-V123</f>
        <v/>
      </c>
      <c r="Y123" s="274">
        <f>W123-U123</f>
        <v/>
      </c>
    </row>
    <row r="124">
      <c r="A124" s="27" t="n"/>
      <c r="B124" s="28" t="n"/>
      <c r="C124" s="29" t="n"/>
      <c r="D124" s="52" t="inlineStr">
        <is>
          <t>自治体</t>
        </is>
      </c>
      <c r="E124" s="106" t="n"/>
      <c r="F124" s="284" t="n">
        <v>56.54</v>
      </c>
      <c r="G124" s="285" t="n">
        <v>87.14</v>
      </c>
      <c r="H124" s="285" t="n">
        <v>0</v>
      </c>
      <c r="I124" s="285" t="n">
        <v>238.104</v>
      </c>
      <c r="J124" s="286">
        <f>I124-H124</f>
        <v/>
      </c>
      <c r="K124" s="286">
        <f>I124-G124</f>
        <v/>
      </c>
      <c r="L124" s="287">
        <f>IF(G124=0,"***",K124/G124)</f>
        <v/>
      </c>
      <c r="M124" s="284" t="n">
        <v>1.751</v>
      </c>
      <c r="N124" s="285" t="n">
        <v>4.893</v>
      </c>
      <c r="O124" s="285" t="n">
        <v>0</v>
      </c>
      <c r="P124" s="285" t="n">
        <v>7.276</v>
      </c>
      <c r="Q124" s="286">
        <f>P124-O124</f>
        <v/>
      </c>
      <c r="R124" s="286">
        <f>P124-N124</f>
        <v/>
      </c>
      <c r="S124" s="288">
        <f>IF(N124=0,"***",R124/N124)</f>
        <v/>
      </c>
      <c r="T124" s="272">
        <f>IF(F124=0,"***",M124/F124)</f>
        <v/>
      </c>
      <c r="U124" s="273">
        <f>IF(G124=0,"***",N124/G124)</f>
        <v/>
      </c>
      <c r="V124" s="273">
        <f>IF(H124=0,"***",O124/H124)</f>
        <v/>
      </c>
      <c r="W124" s="273">
        <f>IF(I124=0,"***",P124/I124)</f>
        <v/>
      </c>
      <c r="X124" s="273">
        <f>W124-V124</f>
        <v/>
      </c>
      <c r="Y124" s="274">
        <f>W124-U124</f>
        <v/>
      </c>
    </row>
    <row r="125">
      <c r="A125" s="27" t="n"/>
      <c r="B125" s="28" t="n"/>
      <c r="C125" s="29" t="n"/>
      <c r="D125" s="30" t="n"/>
      <c r="E125" s="105" t="inlineStr">
        <is>
          <t>包装資材</t>
        </is>
      </c>
      <c r="F125" s="267">
        <f>F124-F126</f>
        <v/>
      </c>
      <c r="G125" s="268">
        <f>G124-G126</f>
        <v/>
      </c>
      <c r="H125" s="268">
        <f>H124-H126</f>
        <v/>
      </c>
      <c r="I125" s="268">
        <f>I124-I126</f>
        <v/>
      </c>
      <c r="J125" s="269">
        <f>I125-H125</f>
        <v/>
      </c>
      <c r="K125" s="269">
        <f>I125-G125</f>
        <v/>
      </c>
      <c r="L125" s="270">
        <f>IF(G125=0,"***",K125/G125)</f>
        <v/>
      </c>
      <c r="M125" s="267">
        <f>M124-M126</f>
        <v/>
      </c>
      <c r="N125" s="268">
        <f>N124-N126</f>
        <v/>
      </c>
      <c r="O125" s="268">
        <f>O124-O126</f>
        <v/>
      </c>
      <c r="P125" s="268">
        <f>P124-P126</f>
        <v/>
      </c>
      <c r="Q125" s="269">
        <f>P125-O125</f>
        <v/>
      </c>
      <c r="R125" s="269">
        <f>P125-N125</f>
        <v/>
      </c>
      <c r="S125" s="271">
        <f>IF(N125=0,"***",R125/N125)</f>
        <v/>
      </c>
      <c r="T125" s="272">
        <f>IF(F125=0,"***",M125/F125)</f>
        <v/>
      </c>
      <c r="U125" s="273">
        <f>IF(G125=0,"***",N125/G125)</f>
        <v/>
      </c>
      <c r="V125" s="273">
        <f>IF(H125=0,"***",O125/H125)</f>
        <v/>
      </c>
      <c r="W125" s="273">
        <f>IF(I125=0,"***",P125/I125)</f>
        <v/>
      </c>
      <c r="X125" s="273">
        <f>W125-V125</f>
        <v/>
      </c>
      <c r="Y125" s="274">
        <f>W125-U125</f>
        <v/>
      </c>
    </row>
    <row r="126">
      <c r="A126" s="27" t="n"/>
      <c r="B126" s="28" t="n"/>
      <c r="C126" s="29" t="n"/>
      <c r="D126" s="30" t="n"/>
      <c r="E126" s="107" t="inlineStr">
        <is>
          <t>機械</t>
        </is>
      </c>
      <c r="F126" s="289" t="n">
        <v>0</v>
      </c>
      <c r="G126" s="277" t="n">
        <v>0</v>
      </c>
      <c r="H126" s="277" t="n">
        <v>0</v>
      </c>
      <c r="I126" s="277" t="n">
        <v>0</v>
      </c>
      <c r="J126" s="269">
        <f>I126-H126</f>
        <v/>
      </c>
      <c r="K126" s="269">
        <f>I126-G126</f>
        <v/>
      </c>
      <c r="L126" s="270">
        <f>IF(G126=0,"***",K126/G126)</f>
        <v/>
      </c>
      <c r="M126" s="289" t="n">
        <v>0</v>
      </c>
      <c r="N126" s="277" t="n">
        <v>0</v>
      </c>
      <c r="O126" s="277" t="n">
        <v>0</v>
      </c>
      <c r="P126" s="277" t="n">
        <v>0</v>
      </c>
      <c r="Q126" s="269">
        <f>P126-O126</f>
        <v/>
      </c>
      <c r="R126" s="269">
        <f>P126-N126</f>
        <v/>
      </c>
      <c r="S126" s="271">
        <f>IF(N126=0,"***",R126/N126)</f>
        <v/>
      </c>
      <c r="T126" s="272">
        <f>IF(F126=0,"***",M126/F126)</f>
        <v/>
      </c>
      <c r="U126" s="273">
        <f>IF(G126=0,"***",N126/G126)</f>
        <v/>
      </c>
      <c r="V126" s="273">
        <f>IF(H126=0,"***",O126/H126)</f>
        <v/>
      </c>
      <c r="W126" s="273">
        <f>IF(I126=0,"***",P126/I126)</f>
        <v/>
      </c>
      <c r="X126" s="273">
        <f>W126-V126</f>
        <v/>
      </c>
      <c r="Y126" s="274">
        <f>W126-U126</f>
        <v/>
      </c>
    </row>
    <row r="127">
      <c r="A127" s="118" t="n"/>
      <c r="B127" s="50" t="n"/>
      <c r="C127" s="61" t="inlineStr">
        <is>
          <t>境港営業所</t>
        </is>
      </c>
      <c r="D127" s="62" t="n"/>
      <c r="E127" s="62" t="n"/>
      <c r="F127" s="302">
        <f>F124+F121+F118+F115+F112+F109+F106+F103+F100</f>
        <v/>
      </c>
      <c r="G127" s="303">
        <f>G124+G121+G118+G115+G112+G109+G106+G103+G100</f>
        <v/>
      </c>
      <c r="H127" s="303">
        <f>H124+H121+H118+H115+H112+H109+H106+H103+H100</f>
        <v/>
      </c>
      <c r="I127" s="303">
        <f>I124+I121+I118+I115+I112+I109+I106+I103+I100</f>
        <v/>
      </c>
      <c r="J127" s="293">
        <f>I127-H127</f>
        <v/>
      </c>
      <c r="K127" s="293">
        <f>I127-G127</f>
        <v/>
      </c>
      <c r="L127" s="294">
        <f>IF(G127=0,"***",K127/G127)</f>
        <v/>
      </c>
      <c r="M127" s="303">
        <f>M124+M121+M118+M115+M112+M109+M106+M103+M100</f>
        <v/>
      </c>
      <c r="N127" s="303">
        <f>N124+N121+N118+N115+N112+N109+N106+N103+N100</f>
        <v/>
      </c>
      <c r="O127" s="303">
        <f>O124+O121+O118+O115+O112+O109+O106+O103+O100</f>
        <v/>
      </c>
      <c r="P127" s="303">
        <f>P124+P121+P118+P115+P112+P109+P106+P103+P100</f>
        <v/>
      </c>
      <c r="Q127" s="293">
        <f>P127-O127</f>
        <v/>
      </c>
      <c r="R127" s="293">
        <f>P127-N127</f>
        <v/>
      </c>
      <c r="S127" s="296">
        <f>IF(N127=0,"***",R127/N127)</f>
        <v/>
      </c>
      <c r="T127" s="297">
        <f>IF(F127=0,"***",M127/F127)</f>
        <v/>
      </c>
      <c r="U127" s="298">
        <f>IF(G127=0,"***",N127/G127)</f>
        <v/>
      </c>
      <c r="V127" s="298">
        <f>IF(H127=0,"***",O127/H127)</f>
        <v/>
      </c>
      <c r="W127" s="298">
        <f>IF(I127=0,"***",P127/I127)</f>
        <v/>
      </c>
      <c r="X127" s="299">
        <f>W127-V127</f>
        <v/>
      </c>
      <c r="Y127" s="300">
        <f>W127-U127</f>
        <v/>
      </c>
    </row>
    <row r="128">
      <c r="A128" s="118" t="n"/>
      <c r="B128" s="50" t="n"/>
      <c r="C128" s="73" t="n"/>
      <c r="D128" s="74" t="inlineStr">
        <is>
          <t>営業</t>
        </is>
      </c>
      <c r="E128" s="62" t="n"/>
      <c r="F128" s="302">
        <f>F127-F131</f>
        <v/>
      </c>
      <c r="G128" s="303">
        <f>G127-G131</f>
        <v/>
      </c>
      <c r="H128" s="303">
        <f>H127-H131</f>
        <v/>
      </c>
      <c r="I128" s="303">
        <f>I127-I131</f>
        <v/>
      </c>
      <c r="J128" s="293">
        <f>I128-H128</f>
        <v/>
      </c>
      <c r="K128" s="293">
        <f>I128-G128</f>
        <v/>
      </c>
      <c r="L128" s="294">
        <f>IF(G128=0,"***",K128/G128)</f>
        <v/>
      </c>
      <c r="M128" s="303">
        <f>M127-M131</f>
        <v/>
      </c>
      <c r="N128" s="303">
        <f>N127-N131</f>
        <v/>
      </c>
      <c r="O128" s="303">
        <f>O127-O131</f>
        <v/>
      </c>
      <c r="P128" s="303">
        <f>P127-P131</f>
        <v/>
      </c>
      <c r="Q128" s="293">
        <f>P128-O128</f>
        <v/>
      </c>
      <c r="R128" s="293">
        <f>P128-N128</f>
        <v/>
      </c>
      <c r="S128" s="296">
        <f>IF(N128=0,"***",R128/N128)</f>
        <v/>
      </c>
      <c r="T128" s="297">
        <f>IF(F128=0,"***",M128/F128)</f>
        <v/>
      </c>
      <c r="U128" s="301">
        <f>IF(G128=0,"***",N128/G128)</f>
        <v/>
      </c>
      <c r="V128" s="301">
        <f>IF(H128=0,"***",O128/H128)</f>
        <v/>
      </c>
      <c r="W128" s="301">
        <f>IF(I128=0,"***",P128/I128)</f>
        <v/>
      </c>
      <c r="X128" s="299">
        <f>W128-V128</f>
        <v/>
      </c>
      <c r="Y128" s="300">
        <f>W128-U128</f>
        <v/>
      </c>
    </row>
    <row r="129">
      <c r="A129" s="118" t="n"/>
      <c r="B129" s="50" t="n"/>
      <c r="C129" s="73" t="n"/>
      <c r="D129" s="76" t="n"/>
      <c r="E129" s="80" t="inlineStr">
        <is>
          <t>包装資材</t>
        </is>
      </c>
      <c r="F129" s="302">
        <f>F128-F130</f>
        <v/>
      </c>
      <c r="G129" s="292">
        <f>G128-G130</f>
        <v/>
      </c>
      <c r="H129" s="292">
        <f>H128-H130</f>
        <v/>
      </c>
      <c r="I129" s="292">
        <f>I128-I130</f>
        <v/>
      </c>
      <c r="J129" s="293">
        <f>I129-H129</f>
        <v/>
      </c>
      <c r="K129" s="293">
        <f>I129-G129</f>
        <v/>
      </c>
      <c r="L129" s="294">
        <f>IF(G129=0,"***",K129/G129)</f>
        <v/>
      </c>
      <c r="M129" s="303">
        <f>M128-M130</f>
        <v/>
      </c>
      <c r="N129" s="292">
        <f>N128-N130</f>
        <v/>
      </c>
      <c r="O129" s="292">
        <f>O128-O130</f>
        <v/>
      </c>
      <c r="P129" s="292">
        <f>P128-P130</f>
        <v/>
      </c>
      <c r="Q129" s="293">
        <f>P129-O129</f>
        <v/>
      </c>
      <c r="R129" s="293">
        <f>P129-N129</f>
        <v/>
      </c>
      <c r="S129" s="296">
        <f>IF(N129=0,"***",R129/N129)</f>
        <v/>
      </c>
      <c r="T129" s="297">
        <f>IF(F129=0,"***",M129/F129)</f>
        <v/>
      </c>
      <c r="U129" s="301">
        <f>IF(G129=0,"***",N129/G129)</f>
        <v/>
      </c>
      <c r="V129" s="301">
        <f>IF(H129=0,"***",O129/H129)</f>
        <v/>
      </c>
      <c r="W129" s="301">
        <f>IF(I129=0,"***",P129/I129)</f>
        <v/>
      </c>
      <c r="X129" s="299">
        <f>W129-V129</f>
        <v/>
      </c>
      <c r="Y129" s="300">
        <f>W129-U129</f>
        <v/>
      </c>
    </row>
    <row r="130">
      <c r="A130" s="118" t="n"/>
      <c r="B130" s="50" t="n"/>
      <c r="C130" s="73" t="n"/>
      <c r="D130" s="78" t="n"/>
      <c r="E130" s="80" t="inlineStr">
        <is>
          <t>機械</t>
        </is>
      </c>
      <c r="F130" s="302">
        <f>F123+F117+F114+F111+F108+F105+F102</f>
        <v/>
      </c>
      <c r="G130" s="303">
        <f>G123+G117+G114+G111+G108+G105+G102</f>
        <v/>
      </c>
      <c r="H130" s="303">
        <f>H123+H117+H114+H111+H108+H105+H102</f>
        <v/>
      </c>
      <c r="I130" s="303">
        <f>I123+I117+I114+I111+I108+I105+I102</f>
        <v/>
      </c>
      <c r="J130" s="293">
        <f>I130-H130</f>
        <v/>
      </c>
      <c r="K130" s="293">
        <f>I130-G130</f>
        <v/>
      </c>
      <c r="L130" s="294">
        <f>IF(G130=0,"***",K130/G130)</f>
        <v/>
      </c>
      <c r="M130" s="303">
        <f>M123+M117+M114+M111+M108+M105+M102</f>
        <v/>
      </c>
      <c r="N130" s="303">
        <f>N123+N117+N114+N111+N108+N105+N102</f>
        <v/>
      </c>
      <c r="O130" s="303">
        <f>O123+O117+O114+O111+O108+O105+O102</f>
        <v/>
      </c>
      <c r="P130" s="303">
        <f>P123+P117+P114+P111+P108+P105+P102</f>
        <v/>
      </c>
      <c r="Q130" s="293">
        <f>P130-O130</f>
        <v/>
      </c>
      <c r="R130" s="293">
        <f>P130-N130</f>
        <v/>
      </c>
      <c r="S130" s="296">
        <f>IF(N130=0,"***",R130/N130)</f>
        <v/>
      </c>
      <c r="T130" s="297">
        <f>IF(F130=0,"***",M130/F130)</f>
        <v/>
      </c>
      <c r="U130" s="301">
        <f>IF(G130=0,"***",N130/G130)</f>
        <v/>
      </c>
      <c r="V130" s="301">
        <f>IF(H130=0,"***",O130/H130)</f>
        <v/>
      </c>
      <c r="W130" s="301">
        <f>IF(I130=0,"***",P130/I130)</f>
        <v/>
      </c>
      <c r="X130" s="299">
        <f>W130-V130</f>
        <v/>
      </c>
      <c r="Y130" s="300">
        <f>W130-U130</f>
        <v/>
      </c>
    </row>
    <row r="131">
      <c r="A131" s="118" t="n"/>
      <c r="B131" s="50" t="n"/>
      <c r="C131" s="79" t="n"/>
      <c r="D131" s="80" t="inlineStr">
        <is>
          <t>海外</t>
        </is>
      </c>
      <c r="E131" s="119" t="n"/>
      <c r="F131" s="328" t="n">
        <v>5125.530999999999</v>
      </c>
      <c r="G131" s="329" t="n">
        <v>6259.334</v>
      </c>
      <c r="H131" s="329" t="n">
        <v>6010</v>
      </c>
      <c r="I131" s="329" t="n">
        <v>10559.95</v>
      </c>
      <c r="J131" s="293">
        <f>I131-H131</f>
        <v/>
      </c>
      <c r="K131" s="293">
        <f>I131-G131</f>
        <v/>
      </c>
      <c r="L131" s="294">
        <f>IF(G131=0,"***",K131/G131)</f>
        <v/>
      </c>
      <c r="M131" s="303" t="n">
        <v>983.866</v>
      </c>
      <c r="N131" s="303" t="n">
        <v>1079.476</v>
      </c>
      <c r="O131" s="303" t="n">
        <v>1210</v>
      </c>
      <c r="P131" s="303" t="n">
        <v>2021.839</v>
      </c>
      <c r="Q131" s="293">
        <f>P131-O131</f>
        <v/>
      </c>
      <c r="R131" s="293">
        <f>P131-N131</f>
        <v/>
      </c>
      <c r="S131" s="296">
        <f>IF(N131=0,"***",R131/N131)</f>
        <v/>
      </c>
      <c r="T131" s="297">
        <f>IF(F131=0,"***",M131/F131)</f>
        <v/>
      </c>
      <c r="U131" s="301">
        <f>IF(G131=0,"***",N131/G131)</f>
        <v/>
      </c>
      <c r="V131" s="301">
        <f>IF(H131=0,"***",O131/H131)</f>
        <v/>
      </c>
      <c r="W131" s="301">
        <f>IF(I131=0,"***",P131/I131)</f>
        <v/>
      </c>
      <c r="X131" s="299">
        <f>W131-V131</f>
        <v/>
      </c>
      <c r="Y131" s="300">
        <f>W131-U131</f>
        <v/>
      </c>
    </row>
    <row r="132">
      <c r="A132" s="118" t="n"/>
      <c r="B132" s="122" t="inlineStr">
        <is>
          <t>営業部門</t>
        </is>
      </c>
      <c r="C132" s="123" t="n"/>
      <c r="D132" s="123" t="n"/>
      <c r="E132" s="123" t="n"/>
      <c r="F132" s="330">
        <f>F127++F97+F71+F51+F25</f>
        <v/>
      </c>
      <c r="G132" s="331">
        <f>G127++G97+G71+G51+G25</f>
        <v/>
      </c>
      <c r="H132" s="331">
        <f>H127++H97+H71+H51+H25</f>
        <v/>
      </c>
      <c r="I132" s="331">
        <f>I127++I97+I71+I51+I25</f>
        <v/>
      </c>
      <c r="J132" s="332">
        <f>I132-H132</f>
        <v/>
      </c>
      <c r="K132" s="332">
        <f>I132-G132</f>
        <v/>
      </c>
      <c r="L132" s="333">
        <f>IF(G132=0,"***",K132/G132)</f>
        <v/>
      </c>
      <c r="M132" s="331">
        <f>M127++M97+M71+M51+M25</f>
        <v/>
      </c>
      <c r="N132" s="331">
        <f>N127++N97+N71+N51+N25</f>
        <v/>
      </c>
      <c r="O132" s="331">
        <f>O127++O97+O71+O51+O25</f>
        <v/>
      </c>
      <c r="P132" s="331">
        <f>P127++P97+P71+P51+P25</f>
        <v/>
      </c>
      <c r="Q132" s="332">
        <f>P132-O132</f>
        <v/>
      </c>
      <c r="R132" s="332">
        <f>P132-N132</f>
        <v/>
      </c>
      <c r="S132" s="334">
        <f>IF(N132=0,"***",R132/N132)</f>
        <v/>
      </c>
      <c r="T132" s="335">
        <f>IF(F132=0,"***",M132/F132)</f>
        <v/>
      </c>
      <c r="U132" s="336">
        <f>IF(G132=0,"***",N132/G132)</f>
        <v/>
      </c>
      <c r="V132" s="336">
        <f>IF(H132=0,"***",O132/H132)</f>
        <v/>
      </c>
      <c r="W132" s="336">
        <f>IF(I132=0,"***",P132/I132)</f>
        <v/>
      </c>
      <c r="X132" s="336">
        <f>W132-V132</f>
        <v/>
      </c>
      <c r="Y132" s="333">
        <f>W132-U132</f>
        <v/>
      </c>
    </row>
    <row r="133">
      <c r="A133" s="118" t="n"/>
      <c r="B133" s="50" t="n"/>
      <c r="C133" s="123" t="n"/>
      <c r="D133" s="123" t="n"/>
      <c r="E133" s="131" t="inlineStr">
        <is>
          <t>機械以外</t>
        </is>
      </c>
      <c r="F133" s="330">
        <f>F132-F134</f>
        <v/>
      </c>
      <c r="G133" s="331">
        <f>G132-G134</f>
        <v/>
      </c>
      <c r="H133" s="331">
        <f>H132-H134</f>
        <v/>
      </c>
      <c r="I133" s="331">
        <f>I132-I134</f>
        <v/>
      </c>
      <c r="J133" s="332">
        <f>I133-H133</f>
        <v/>
      </c>
      <c r="K133" s="332">
        <f>I133-G133</f>
        <v/>
      </c>
      <c r="L133" s="333">
        <f>IF(G133=0,"***",K133/G133)</f>
        <v/>
      </c>
      <c r="M133" s="331">
        <f>M132-M134</f>
        <v/>
      </c>
      <c r="N133" s="331">
        <f>N132-N134</f>
        <v/>
      </c>
      <c r="O133" s="331">
        <f>O132-O134</f>
        <v/>
      </c>
      <c r="P133" s="331">
        <f>P132-P134</f>
        <v/>
      </c>
      <c r="Q133" s="332">
        <f>P133-O133</f>
        <v/>
      </c>
      <c r="R133" s="332">
        <f>P133-N133</f>
        <v/>
      </c>
      <c r="S133" s="334">
        <f>IF(N133=0,"***",R133/N133)</f>
        <v/>
      </c>
      <c r="T133" s="335">
        <f>IF(F133=0,"***",M133/F133)</f>
        <v/>
      </c>
      <c r="U133" s="336">
        <f>IF(G133=0,"***",N133/G133)</f>
        <v/>
      </c>
      <c r="V133" s="336">
        <f>IF(H133=0,"***",O133/H133)</f>
        <v/>
      </c>
      <c r="W133" s="336">
        <f>IF(I133=0,"***",P133/I133)</f>
        <v/>
      </c>
      <c r="X133" s="336">
        <f>W133-V133</f>
        <v/>
      </c>
      <c r="Y133" s="333">
        <f>W133-U133</f>
        <v/>
      </c>
    </row>
    <row r="134">
      <c r="A134" s="118" t="n"/>
      <c r="B134" s="50" t="n"/>
      <c r="C134" s="123" t="n"/>
      <c r="D134" s="123" t="n"/>
      <c r="E134" s="131" t="inlineStr">
        <is>
          <t>機械</t>
        </is>
      </c>
      <c r="F134" s="337">
        <f>F130+F99+F74+F54+F28</f>
        <v/>
      </c>
      <c r="G134" s="338">
        <f>G130+G99+G74+G54+G28</f>
        <v/>
      </c>
      <c r="H134" s="338">
        <f>H130+H99+H74+H54+H28</f>
        <v/>
      </c>
      <c r="I134" s="338">
        <f>I130+I99+I74+I54+I28</f>
        <v/>
      </c>
      <c r="J134" s="339">
        <f>I134-H134</f>
        <v/>
      </c>
      <c r="K134" s="339">
        <f>I134-G134</f>
        <v/>
      </c>
      <c r="L134" s="340">
        <f>IF(G134=0,"***",K134/G134)</f>
        <v/>
      </c>
      <c r="M134" s="338">
        <f>M130+M99+M74+M54+M28</f>
        <v/>
      </c>
      <c r="N134" s="338">
        <f>N130+N99+N74+N54+N28</f>
        <v/>
      </c>
      <c r="O134" s="338">
        <f>O130+O99+O74+O54+O28</f>
        <v/>
      </c>
      <c r="P134" s="338">
        <f>P130+P99+P74+P54+P28</f>
        <v/>
      </c>
      <c r="Q134" s="339">
        <f>P134-O134</f>
        <v/>
      </c>
      <c r="R134" s="339">
        <f>P134-N134</f>
        <v/>
      </c>
      <c r="S134" s="341">
        <f>IF(N134=0,"***",R134/N134)</f>
        <v/>
      </c>
      <c r="T134" s="342">
        <f>IF(F134=0,"***",M134/F134)</f>
        <v/>
      </c>
      <c r="U134" s="343">
        <f>IF(G134=0,"***",N134/G134)</f>
        <v/>
      </c>
      <c r="V134" s="343">
        <f>IF(H134=0,"***",O134/H134)</f>
        <v/>
      </c>
      <c r="W134" s="343">
        <f>IF(I134=0,"***",P134/I134)</f>
        <v/>
      </c>
      <c r="X134" s="343">
        <f>W134-V134</f>
        <v/>
      </c>
      <c r="Y134" s="344">
        <f>W134-U134</f>
        <v/>
      </c>
    </row>
    <row r="135">
      <c r="A135" s="49" t="n"/>
      <c r="B135" s="139" t="inlineStr">
        <is>
          <t>水産部</t>
        </is>
      </c>
      <c r="C135" s="140" t="n"/>
      <c r="D135" s="141" t="n"/>
      <c r="E135" s="142" t="n"/>
      <c r="F135" s="345" t="n">
        <v>164777.792</v>
      </c>
      <c r="G135" s="346" t="n">
        <v>175868.14</v>
      </c>
      <c r="H135" s="347" t="n">
        <v>192870</v>
      </c>
      <c r="I135" s="348" t="n">
        <v>234234.254</v>
      </c>
      <c r="J135" s="349">
        <f>I135-H135</f>
        <v/>
      </c>
      <c r="K135" s="349">
        <f>I135-G135</f>
        <v/>
      </c>
      <c r="L135" s="350">
        <f>IF(G135=0,"***",K135/G135)</f>
        <v/>
      </c>
      <c r="M135" s="345" t="n">
        <v>42656.163</v>
      </c>
      <c r="N135" s="346" t="n">
        <v>54715.26300000001</v>
      </c>
      <c r="O135" s="347" t="n">
        <v>58930</v>
      </c>
      <c r="P135" s="348" t="n">
        <v>69432.84300000001</v>
      </c>
      <c r="Q135" s="349">
        <f>P135-O135</f>
        <v/>
      </c>
      <c r="R135" s="349">
        <f>P135-N135</f>
        <v/>
      </c>
      <c r="S135" s="351">
        <f>IF(N135=0,"***",R135/N135)</f>
        <v/>
      </c>
      <c r="T135" s="352">
        <f>IF(F135=0,"***",M135/F135)</f>
        <v/>
      </c>
      <c r="U135" s="353">
        <f>IF(G135=0,"***",N135/G135)</f>
        <v/>
      </c>
      <c r="V135" s="353">
        <f>IF(H135=0,"***",O135/H135)</f>
        <v/>
      </c>
      <c r="W135" s="353">
        <f>IF(I135=0,"***",P135/I135)</f>
        <v/>
      </c>
      <c r="X135" s="353">
        <f>W135-V135</f>
        <v/>
      </c>
      <c r="Y135" s="354">
        <f>W135-U135</f>
        <v/>
      </c>
    </row>
    <row r="136">
      <c r="A136" s="49" t="n"/>
      <c r="B136" s="50" t="n"/>
      <c r="C136" s="123" t="n"/>
      <c r="D136" s="123" t="n"/>
      <c r="E136" s="152" t="inlineStr">
        <is>
          <t>包装資材</t>
        </is>
      </c>
      <c r="F136" s="355">
        <f>F135-F137-F138</f>
        <v/>
      </c>
      <c r="G136" s="356">
        <f>G135-G137-G138</f>
        <v/>
      </c>
      <c r="H136" s="357">
        <f>H135-H137-H138</f>
        <v/>
      </c>
      <c r="I136" s="357">
        <f>I135-I137-I138</f>
        <v/>
      </c>
      <c r="J136" s="332">
        <f>I136-H136</f>
        <v/>
      </c>
      <c r="K136" s="332">
        <f>I136-G136</f>
        <v/>
      </c>
      <c r="L136" s="358">
        <f>IF(G136=0,"***",K136/G136)</f>
        <v/>
      </c>
      <c r="M136" s="355">
        <f>M135-M137-M138</f>
        <v/>
      </c>
      <c r="N136" s="356">
        <f>N135-N137-N138</f>
        <v/>
      </c>
      <c r="O136" s="357">
        <f>O135-O137-O138</f>
        <v/>
      </c>
      <c r="P136" s="357">
        <f>P135-P137-P138</f>
        <v/>
      </c>
      <c r="Q136" s="332">
        <f>P136-O136</f>
        <v/>
      </c>
      <c r="R136" s="332">
        <f>P136-N136</f>
        <v/>
      </c>
      <c r="S136" s="334">
        <f>IF(N136=0,"***",R136/N136)</f>
        <v/>
      </c>
      <c r="T136" s="335">
        <f>IF(F136=0,"***",M136/F136)</f>
        <v/>
      </c>
      <c r="U136" s="336">
        <f>IF(G136=0,"***",N136/G136)</f>
        <v/>
      </c>
      <c r="V136" s="336">
        <f>IF(H136=0,"***",O136/H136)</f>
        <v/>
      </c>
      <c r="W136" s="336">
        <f>IF(I136=0,"***",P136/I136)</f>
        <v/>
      </c>
      <c r="X136" s="336">
        <f>W136-V136</f>
        <v/>
      </c>
      <c r="Y136" s="333">
        <f>W136-U136</f>
        <v/>
      </c>
    </row>
    <row r="137">
      <c r="A137" s="49" t="n"/>
      <c r="B137" s="50" t="n"/>
      <c r="C137" s="123" t="n"/>
      <c r="D137" s="123" t="n"/>
      <c r="E137" s="156" t="inlineStr">
        <is>
          <t>荷役</t>
        </is>
      </c>
      <c r="F137" s="359" t="n">
        <v>33029.636</v>
      </c>
      <c r="G137" s="360" t="n">
        <v>33115.654</v>
      </c>
      <c r="H137" s="361" t="n">
        <v>38450</v>
      </c>
      <c r="I137" s="361" t="n">
        <v>36433.045</v>
      </c>
      <c r="J137" s="332">
        <f>I137-H137</f>
        <v/>
      </c>
      <c r="K137" s="332">
        <f>I137-G137</f>
        <v/>
      </c>
      <c r="L137" s="358">
        <f>IF(G137=0,"***",K137/G137)</f>
        <v/>
      </c>
      <c r="M137" s="359" t="n">
        <v>19041.182</v>
      </c>
      <c r="N137" s="360" t="n">
        <v>20960.986</v>
      </c>
      <c r="O137" s="361" t="n">
        <v>22460</v>
      </c>
      <c r="P137" s="361" t="n">
        <v>21899.661</v>
      </c>
      <c r="Q137" s="332">
        <f>P137-O137</f>
        <v/>
      </c>
      <c r="R137" s="332">
        <f>P137-N137</f>
        <v/>
      </c>
      <c r="S137" s="334">
        <f>IF(N137=0,"***",R137/N137)</f>
        <v/>
      </c>
      <c r="T137" s="335">
        <f>IF(F137=0,"***",M137/F137)</f>
        <v/>
      </c>
      <c r="U137" s="336">
        <f>IF(G137=0,"***",N137/G137)</f>
        <v/>
      </c>
      <c r="V137" s="336">
        <f>IF(H137=0,"***",O137/H137)</f>
        <v/>
      </c>
      <c r="W137" s="336">
        <f>IF(I137=0,"***",P137/I137)</f>
        <v/>
      </c>
      <c r="X137" s="336">
        <f>W137-V137</f>
        <v/>
      </c>
      <c r="Y137" s="333">
        <f>W137-U137</f>
        <v/>
      </c>
    </row>
    <row r="138">
      <c r="A138" s="49" t="n"/>
      <c r="B138" s="160" t="n"/>
      <c r="C138" s="161" t="n"/>
      <c r="D138" s="161" t="n"/>
      <c r="E138" s="162" t="inlineStr">
        <is>
          <t>機械</t>
        </is>
      </c>
      <c r="F138" s="362" t="n">
        <v>2435.76</v>
      </c>
      <c r="G138" s="363" t="n">
        <v>700.53</v>
      </c>
      <c r="H138" s="363" t="n">
        <v>750</v>
      </c>
      <c r="I138" s="363" t="n">
        <v>1125.21</v>
      </c>
      <c r="J138" s="339">
        <f>I138-H138</f>
        <v/>
      </c>
      <c r="K138" s="339">
        <f>I138-G138</f>
        <v/>
      </c>
      <c r="L138" s="364">
        <f>IF(G138=0,"***",K138/G138)</f>
        <v/>
      </c>
      <c r="M138" s="362" t="n">
        <v>466.525</v>
      </c>
      <c r="N138" s="363" t="n">
        <v>127.15</v>
      </c>
      <c r="O138" s="363" t="n">
        <v>160</v>
      </c>
      <c r="P138" s="363" t="n">
        <v>235.85</v>
      </c>
      <c r="Q138" s="339">
        <f>P138-O138</f>
        <v/>
      </c>
      <c r="R138" s="339">
        <f>P138-N138</f>
        <v/>
      </c>
      <c r="S138" s="341">
        <f>IF(N138=0,"***",R138/N138)</f>
        <v/>
      </c>
      <c r="T138" s="365">
        <f>IF(F138=0,"***",M138/F138)</f>
        <v/>
      </c>
      <c r="U138" s="366">
        <f>IF(G138=0,"***",N138/G138)</f>
        <v/>
      </c>
      <c r="V138" s="366">
        <f>IF(H138=0,"***",O138/H138)</f>
        <v/>
      </c>
      <c r="W138" s="366">
        <f>IF(I138=0,"***",P138/I138)</f>
        <v/>
      </c>
      <c r="X138" s="366">
        <f>W138-V138</f>
        <v/>
      </c>
      <c r="Y138" s="340">
        <f>W138-U138</f>
        <v/>
      </c>
    </row>
    <row r="139">
      <c r="A139" s="168" t="inlineStr">
        <is>
          <t>合計</t>
        </is>
      </c>
      <c r="B139" s="169" t="n"/>
      <c r="C139" s="169" t="n"/>
      <c r="D139" s="169" t="n"/>
      <c r="E139" s="169" t="n"/>
      <c r="F139" s="367">
        <f>F135+F132</f>
        <v/>
      </c>
      <c r="G139" s="368">
        <f>G135+G132</f>
        <v/>
      </c>
      <c r="H139" s="368">
        <f>H135+H132</f>
        <v/>
      </c>
      <c r="I139" s="368">
        <f>I135+I132</f>
        <v/>
      </c>
      <c r="J139" s="369">
        <f>I139-H139</f>
        <v/>
      </c>
      <c r="K139" s="369">
        <f>I139-G139</f>
        <v/>
      </c>
      <c r="L139" s="370">
        <f>IF(G139=0,"***",K139/G139)</f>
        <v/>
      </c>
      <c r="M139" s="368">
        <f>M135+M132</f>
        <v/>
      </c>
      <c r="N139" s="368">
        <f>N135+N132</f>
        <v/>
      </c>
      <c r="O139" s="368">
        <f>O135+O132</f>
        <v/>
      </c>
      <c r="P139" s="368">
        <f>P135+P132</f>
        <v/>
      </c>
      <c r="Q139" s="369">
        <f>P139-O139</f>
        <v/>
      </c>
      <c r="R139" s="369">
        <f>P139-N139</f>
        <v/>
      </c>
      <c r="S139" s="371">
        <f>IF(N139=0,"***",R139/N139)</f>
        <v/>
      </c>
      <c r="T139" s="372">
        <f>IF(F139=0,"***",M139/F139)</f>
        <v/>
      </c>
      <c r="U139" s="373">
        <f>IF(G139=0,"***",N139/G139)</f>
        <v/>
      </c>
      <c r="V139" s="373">
        <f>IF(H139=0,"***",O139/H139)</f>
        <v/>
      </c>
      <c r="W139" s="373">
        <f>IF(I139=0,"***",P139/I139)</f>
        <v/>
      </c>
      <c r="X139" s="373">
        <f>W139-V139</f>
        <v/>
      </c>
      <c r="Y139" s="370">
        <f>W139-U139</f>
        <v/>
      </c>
    </row>
    <row r="140">
      <c r="A140" s="49" t="n"/>
      <c r="B140" s="169" t="n"/>
      <c r="C140" s="169" t="n"/>
      <c r="D140" s="169" t="n"/>
      <c r="E140" s="176" t="inlineStr">
        <is>
          <t>機械以外</t>
        </is>
      </c>
      <c r="F140" s="374">
        <f>F139-F141</f>
        <v/>
      </c>
      <c r="G140" s="375">
        <f>G139-G141</f>
        <v/>
      </c>
      <c r="H140" s="375">
        <f>H139-H141</f>
        <v/>
      </c>
      <c r="I140" s="375">
        <f>I139-I141</f>
        <v/>
      </c>
      <c r="J140" s="376">
        <f>I140-H140</f>
        <v/>
      </c>
      <c r="K140" s="376">
        <f>I140-G140</f>
        <v/>
      </c>
      <c r="L140" s="377">
        <f>IF(G140=0,"***",K140/G140)</f>
        <v/>
      </c>
      <c r="M140" s="374">
        <f>M139-M141</f>
        <v/>
      </c>
      <c r="N140" s="375">
        <f>N139-N141</f>
        <v/>
      </c>
      <c r="O140" s="375">
        <f>O139-O141</f>
        <v/>
      </c>
      <c r="P140" s="375">
        <f>P139-P141</f>
        <v/>
      </c>
      <c r="Q140" s="376">
        <f>P140-O140</f>
        <v/>
      </c>
      <c r="R140" s="376">
        <f>P140-N140</f>
        <v/>
      </c>
      <c r="S140" s="378">
        <f>IF(N140=0,"***",R140/N140)</f>
        <v/>
      </c>
      <c r="T140" s="379">
        <f>IF(F140=0,"***",M140/F140)</f>
        <v/>
      </c>
      <c r="U140" s="380">
        <f>IF(G140=0,"***",N140/G140)</f>
        <v/>
      </c>
      <c r="V140" s="380">
        <f>IF(H140=0,"***",O140/H140)</f>
        <v/>
      </c>
      <c r="W140" s="380">
        <f>IF(I140=0,"***",P140/I140)</f>
        <v/>
      </c>
      <c r="X140" s="380">
        <f>W140-V140</f>
        <v/>
      </c>
      <c r="Y140" s="377">
        <f>W140-U140</f>
        <v/>
      </c>
    </row>
    <row r="141">
      <c r="A141" s="183" t="n"/>
      <c r="B141" s="184" t="n"/>
      <c r="C141" s="184" t="n"/>
      <c r="D141" s="184" t="n"/>
      <c r="E141" s="185" t="inlineStr">
        <is>
          <t>機械</t>
        </is>
      </c>
      <c r="F141" s="381">
        <f>F138+F134</f>
        <v/>
      </c>
      <c r="G141" s="382">
        <f>G138+G134</f>
        <v/>
      </c>
      <c r="H141" s="382">
        <f>H138+H134</f>
        <v/>
      </c>
      <c r="I141" s="382">
        <f>I138+I134</f>
        <v/>
      </c>
      <c r="J141" s="383">
        <f>I141-H141</f>
        <v/>
      </c>
      <c r="K141" s="383">
        <f>I141-G141</f>
        <v/>
      </c>
      <c r="L141" s="384">
        <f>IF(G141=0,"***",K141/G141)</f>
        <v/>
      </c>
      <c r="M141" s="381">
        <f>M138+M134</f>
        <v/>
      </c>
      <c r="N141" s="382">
        <f>N138+N134</f>
        <v/>
      </c>
      <c r="O141" s="382">
        <f>O138+O134</f>
        <v/>
      </c>
      <c r="P141" s="382">
        <f>P138+P134</f>
        <v/>
      </c>
      <c r="Q141" s="383">
        <f>P141-O141</f>
        <v/>
      </c>
      <c r="R141" s="383">
        <f>P141-N141</f>
        <v/>
      </c>
      <c r="S141" s="385">
        <f>IF(N141=0,"***",R141/N141)</f>
        <v/>
      </c>
      <c r="T141" s="386">
        <f>IF(F141=0,"***",M141/F141)</f>
        <v/>
      </c>
      <c r="U141" s="387">
        <f>IF(G141=0,"***",N141/G141)</f>
        <v/>
      </c>
      <c r="V141" s="387">
        <f>IF(H141=0,"***",O141/H141)</f>
        <v/>
      </c>
      <c r="W141" s="387">
        <f>IF(I141=0,"***",P141/I141)</f>
        <v/>
      </c>
      <c r="X141" s="387">
        <f>W141-V141</f>
        <v/>
      </c>
      <c r="Y141" s="384">
        <f>W141-U141</f>
        <v/>
      </c>
    </row>
    <row r="142"/>
    <row r="143">
      <c r="A143" s="192" t="inlineStr">
        <is>
          <t>キョウワ（税抜）</t>
        </is>
      </c>
      <c r="B143" s="193" t="n"/>
      <c r="C143" s="193" t="n"/>
      <c r="D143" s="193" t="n"/>
      <c r="E143" s="193" t="n"/>
      <c r="F143" s="388" t="n">
        <v>10860</v>
      </c>
      <c r="G143" s="389" t="n">
        <v>11490</v>
      </c>
      <c r="H143" s="389" t="n">
        <v>10910</v>
      </c>
      <c r="I143" s="389" t="n">
        <v>12429</v>
      </c>
      <c r="J143" s="390">
        <f>I143-H143</f>
        <v/>
      </c>
      <c r="K143" s="390">
        <f>I143-G143</f>
        <v/>
      </c>
      <c r="L143" s="391">
        <f>IF(G143=0,"***",K143/G143)</f>
        <v/>
      </c>
      <c r="M143" s="388" t="n">
        <v>5230</v>
      </c>
      <c r="N143" s="389" t="n">
        <v>7240</v>
      </c>
      <c r="O143" s="389" t="n">
        <v>6080</v>
      </c>
      <c r="P143" s="389" t="n">
        <v>6975</v>
      </c>
      <c r="Q143" s="390">
        <f>P143-O143</f>
        <v/>
      </c>
      <c r="R143" s="390">
        <f>P143-N143</f>
        <v/>
      </c>
      <c r="S143" s="392">
        <f>IF(N143=0,"***",R143/N143)</f>
        <v/>
      </c>
      <c r="T143" s="393">
        <f>IF(F143=0,"***",M143/F143)</f>
        <v/>
      </c>
      <c r="U143" s="394">
        <f>IF(G143=0,"***",N143/G143)</f>
        <v/>
      </c>
      <c r="V143" s="394">
        <f>IF(H143=0,"***",O143/H143)</f>
        <v/>
      </c>
      <c r="W143" s="394">
        <f>IF(I143=0,"***",P143/I143)</f>
        <v/>
      </c>
      <c r="X143" s="394">
        <f>W143-V143</f>
        <v/>
      </c>
      <c r="Y143" s="391">
        <f>W143-U143</f>
        <v/>
      </c>
    </row>
  </sheetData>
  <mergeCells count="4">
    <mergeCell ref="F4:L4"/>
    <mergeCell ref="M4:S4"/>
    <mergeCell ref="A4:E6"/>
    <mergeCell ref="T4:Y4"/>
  </mergeCells>
  <pageMargins left="0.708333333333333" right="0.708333333333333" top="0.747916666666667" bottom="0.747916666666667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cocktail00014</dc:creator>
  <dc:language xmlns:dc="http://purl.org/dc/elements/1.1/">en-US</dc:language>
  <dcterms:created xmlns:dcterms="http://purl.org/dc/terms/" xmlns:xsi="http://www.w3.org/2001/XMLSchema-instance" xsi:type="dcterms:W3CDTF">2024-09-12T04:17:13Z</dcterms:created>
  <dcterms:modified xmlns:dcterms="http://purl.org/dc/terms/" xmlns:xsi="http://www.w3.org/2001/XMLSchema-instance" xsi:type="dcterms:W3CDTF">2026-09-05T01:08:59Z</dcterms:modified>
  <cp:lastModifiedBy>ma-takahashi</cp:lastModifiedBy>
  <cp:revision>0</cp:revision>
  <cp:lastPrinted>2026-02-16T05:50:22Z</cp:lastPrinted>
</cp:coreProperties>
</file>