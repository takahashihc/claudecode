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2" autoFilterDateGrouping="1"/>
  </bookViews>
  <sheets>
    <sheet xmlns:r="http://schemas.openxmlformats.org/officeDocument/2006/relationships" name="8月" sheetId="1" state="visible" r:id="rId1"/>
    <sheet xmlns:r="http://schemas.openxmlformats.org/officeDocument/2006/relationships" name="下期" sheetId="2" state="visible" r:id="rId2"/>
    <sheet xmlns:r="http://schemas.openxmlformats.org/officeDocument/2006/relationships" name="期初来累計" sheetId="3" state="visible" r:id="rId3"/>
    <sheet xmlns:r="http://schemas.openxmlformats.org/officeDocument/2006/relationships" name="BACKDATA7月" sheetId="4" state="visible" r:id="rId4"/>
    <sheet xmlns:r="http://schemas.openxmlformats.org/officeDocument/2006/relationships" name="BACKDATA6月" sheetId="5" state="visible" r:id="rId5"/>
    <sheet xmlns:r="http://schemas.openxmlformats.org/officeDocument/2006/relationships" name="BACKDATA5月" sheetId="6" state="visible" r:id="rId6"/>
    <sheet xmlns:r="http://schemas.openxmlformats.org/officeDocument/2006/relationships" name="BACKDATA4月" sheetId="7" state="visible" r:id="rId7"/>
    <sheet xmlns:r="http://schemas.openxmlformats.org/officeDocument/2006/relationships" name="BACKDATA上期" sheetId="8" state="visible" r:id="rId8"/>
  </sheets>
  <definedNames>
    <definedName name="_xlnm.Print_Area" localSheetId="6">'BACKDATA4月'!$D$1:$AC$50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_);[Red]\(#,##0\)"/>
    <numFmt numFmtId="165" formatCode="0.0%"/>
    <numFmt numFmtId="166" formatCode="#,##0_ ;[Red]\-#,##0\ "/>
  </numFmts>
  <fonts count="15">
    <font>
      <name val="游ゴシック"/>
      <charset val="128"/>
      <family val="2"/>
      <color theme="1"/>
      <sz val="11"/>
    </font>
    <font>
      <name val="BIZ UDPゴシック"/>
      <charset val="128"/>
      <family val="3"/>
      <color theme="1"/>
      <sz val="20"/>
    </font>
    <font>
      <name val="游ゴシック"/>
      <charset val="128"/>
      <family val="3"/>
      <color theme="1"/>
      <sz val="9"/>
    </font>
    <font>
      <name val="DejaVu Sans"/>
      <family val="2"/>
      <color theme="1"/>
      <sz val="9"/>
    </font>
    <font>
      <name val="游ゴシック"/>
      <charset val="128"/>
      <family val="3"/>
      <color theme="1"/>
      <sz val="8"/>
    </font>
    <font>
      <name val="DejaVu Sans"/>
      <family val="2"/>
      <color theme="1"/>
      <sz val="11"/>
    </font>
    <font>
      <name val="游ゴシック"/>
      <charset val="128"/>
      <family val="3"/>
      <color theme="4"/>
      <sz val="11"/>
    </font>
    <font>
      <name val="游ゴシック"/>
      <charset val="128"/>
      <family val="3"/>
      <sz val="11"/>
    </font>
    <font>
      <name val="游ゴシック"/>
      <charset val="128"/>
      <family val="2"/>
      <color theme="4"/>
      <sz val="11"/>
    </font>
    <font>
      <name val="Segoe UI Symbol"/>
      <charset val="1"/>
      <family val="2"/>
      <color theme="4"/>
      <sz val="11"/>
    </font>
    <font>
      <name val="DejaVu Sans"/>
      <family val="2"/>
      <color theme="4"/>
      <sz val="11"/>
    </font>
    <font>
      <name val="游ゴシック"/>
      <charset val="128"/>
      <family val="2"/>
      <color theme="1"/>
      <sz val="11"/>
    </font>
    <font>
      <name val="游ゴシック"/>
      <charset val="128"/>
      <family val="2"/>
      <sz val="6"/>
    </font>
    <font>
      <name val="游ゴシック"/>
      <charset val="128"/>
      <family val="3"/>
      <color theme="8" tint="-0.249977111117893"/>
      <sz val="11"/>
    </font>
    <font>
      <name val="游ゴシック"/>
      <charset val="128"/>
      <family val="2"/>
      <color rgb="FF0070C0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11" fillId="0" borderId="0" applyAlignment="1">
      <alignment vertical="center"/>
    </xf>
    <xf numFmtId="9" fontId="11" fillId="0" borderId="0" applyAlignment="1">
      <alignment vertical="center"/>
    </xf>
    <xf numFmtId="164" fontId="11" fillId="0" borderId="0" applyAlignment="1">
      <alignment vertical="center"/>
    </xf>
  </cellStyleXfs>
  <cellXfs count="50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0" fillId="2" borderId="9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164" fontId="6" fillId="0" borderId="11" applyAlignment="1" pivotButton="0" quotePrefix="0" xfId="2">
      <alignment vertical="center"/>
    </xf>
    <xf numFmtId="164" fontId="6" fillId="0" borderId="12" applyAlignment="1" pivotButton="0" quotePrefix="0" xfId="2">
      <alignment vertical="center"/>
    </xf>
    <xf numFmtId="164" fontId="7" fillId="0" borderId="12" applyAlignment="1" pivotButton="0" quotePrefix="0" xfId="2">
      <alignment vertical="center"/>
    </xf>
    <xf numFmtId="164" fontId="11" fillId="0" borderId="12" applyAlignment="1" pivotButton="0" quotePrefix="0" xfId="2">
      <alignment vertical="center"/>
    </xf>
    <xf numFmtId="165" fontId="11" fillId="0" borderId="13" applyAlignment="1" pivotButton="0" quotePrefix="0" xfId="1">
      <alignment horizontal="right" vertical="center"/>
    </xf>
    <xf numFmtId="164" fontId="8" fillId="0" borderId="14" applyAlignment="1" pivotButton="0" quotePrefix="0" xfId="2">
      <alignment vertical="center"/>
    </xf>
    <xf numFmtId="165" fontId="11" fillId="0" borderId="15" applyAlignment="1" pivotButton="0" quotePrefix="0" xfId="1">
      <alignment horizontal="right" vertical="center"/>
    </xf>
    <xf numFmtId="165" fontId="11" fillId="0" borderId="12" applyAlignment="1" pivotButton="0" quotePrefix="0" xfId="1">
      <alignment horizontal="right" vertical="center"/>
    </xf>
    <xf numFmtId="165" fontId="0" fillId="0" borderId="12" applyAlignment="1" pivotButton="0" quotePrefix="0" xfId="0">
      <alignment horizontal="right" vertical="center"/>
    </xf>
    <xf numFmtId="0" fontId="0" fillId="0" borderId="16" applyAlignment="1" pivotButton="0" quotePrefix="0" xfId="0">
      <alignment vertical="center"/>
    </xf>
    <xf numFmtId="0" fontId="5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164" fontId="11" fillId="0" borderId="19" applyAlignment="1" pivotButton="0" quotePrefix="0" xfId="2">
      <alignment vertical="center"/>
    </xf>
    <xf numFmtId="164" fontId="11" fillId="0" borderId="20" applyAlignment="1" pivotButton="0" quotePrefix="0" xfId="2">
      <alignment vertical="center"/>
    </xf>
    <xf numFmtId="164" fontId="7" fillId="0" borderId="20" applyAlignment="1" pivotButton="0" quotePrefix="0" xfId="2">
      <alignment vertical="center"/>
    </xf>
    <xf numFmtId="165" fontId="11" fillId="0" borderId="21" applyAlignment="1" pivotButton="0" quotePrefix="0" xfId="1">
      <alignment horizontal="right" vertical="center"/>
    </xf>
    <xf numFmtId="165" fontId="11" fillId="0" borderId="19" applyAlignment="1" pivotButton="0" quotePrefix="0" xfId="1">
      <alignment horizontal="right" vertical="center"/>
    </xf>
    <xf numFmtId="165" fontId="11" fillId="0" borderId="20" applyAlignment="1" pivotButton="0" quotePrefix="0" xfId="1">
      <alignment horizontal="right" vertical="center"/>
    </xf>
    <xf numFmtId="165" fontId="0" fillId="0" borderId="20" applyAlignment="1" pivotButton="0" quotePrefix="0" xfId="0">
      <alignment horizontal="right"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5" fillId="0" borderId="21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164" fontId="6" fillId="0" borderId="25" applyAlignment="1" pivotButton="0" quotePrefix="0" xfId="2">
      <alignment vertical="center"/>
    </xf>
    <xf numFmtId="164" fontId="6" fillId="0" borderId="26" applyAlignment="1" pivotButton="0" quotePrefix="0" xfId="2">
      <alignment vertical="center"/>
    </xf>
    <xf numFmtId="164" fontId="7" fillId="0" borderId="26" applyAlignment="1" pivotButton="0" quotePrefix="0" xfId="2">
      <alignment vertical="center"/>
    </xf>
    <xf numFmtId="164" fontId="11" fillId="0" borderId="26" applyAlignment="1" pivotButton="0" quotePrefix="0" xfId="2">
      <alignment vertical="center"/>
    </xf>
    <xf numFmtId="165" fontId="11" fillId="0" borderId="24" applyAlignment="1" pivotButton="0" quotePrefix="0" xfId="1">
      <alignment horizontal="right" vertical="center"/>
    </xf>
    <xf numFmtId="164" fontId="8" fillId="0" borderId="27" applyAlignment="1" pivotButton="0" quotePrefix="0" xfId="2">
      <alignment vertical="center"/>
    </xf>
    <xf numFmtId="164" fontId="8" fillId="0" borderId="26" applyAlignment="1" pivotButton="0" quotePrefix="0" xfId="2">
      <alignment vertical="center"/>
    </xf>
    <xf numFmtId="165" fontId="11" fillId="0" borderId="25" applyAlignment="1" pivotButton="0" quotePrefix="0" xfId="1">
      <alignment horizontal="right" vertical="center"/>
    </xf>
    <xf numFmtId="165" fontId="11" fillId="0" borderId="26" applyAlignment="1" pivotButton="0" quotePrefix="0" xfId="1">
      <alignment horizontal="right" vertical="center"/>
    </xf>
    <xf numFmtId="165" fontId="0" fillId="0" borderId="26" applyAlignment="1" pivotButton="0" quotePrefix="0" xfId="0">
      <alignment horizontal="right" vertical="center"/>
    </xf>
    <xf numFmtId="0" fontId="0" fillId="0" borderId="28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5" fillId="0" borderId="30" applyAlignment="1" pivotButton="0" quotePrefix="0" xfId="0">
      <alignment vertical="center"/>
    </xf>
    <xf numFmtId="0" fontId="0" fillId="0" borderId="31" applyAlignment="1" pivotButton="0" quotePrefix="0" xfId="0">
      <alignment vertical="center"/>
    </xf>
    <xf numFmtId="164" fontId="6" fillId="0" borderId="32" applyAlignment="1" pivotButton="0" quotePrefix="0" xfId="2">
      <alignment vertical="center"/>
    </xf>
    <xf numFmtId="164" fontId="6" fillId="0" borderId="7" applyAlignment="1" pivotButton="0" quotePrefix="0" xfId="2">
      <alignment vertical="center"/>
    </xf>
    <xf numFmtId="164" fontId="7" fillId="0" borderId="7" applyAlignment="1" pivotButton="0" quotePrefix="0" xfId="2">
      <alignment vertical="center"/>
    </xf>
    <xf numFmtId="164" fontId="11" fillId="0" borderId="7" applyAlignment="1" pivotButton="0" quotePrefix="0" xfId="2">
      <alignment vertical="center"/>
    </xf>
    <xf numFmtId="165" fontId="11" fillId="0" borderId="8" applyAlignment="1" pivotButton="0" quotePrefix="0" xfId="1">
      <alignment horizontal="right" vertical="center"/>
    </xf>
    <xf numFmtId="164" fontId="8" fillId="0" borderId="33" applyAlignment="1" pivotButton="0" quotePrefix="0" xfId="2">
      <alignment vertical="center"/>
    </xf>
    <xf numFmtId="164" fontId="8" fillId="0" borderId="7" applyAlignment="1" pivotButton="0" quotePrefix="0" xfId="2">
      <alignment vertical="center"/>
    </xf>
    <xf numFmtId="165" fontId="11" fillId="0" borderId="32" applyAlignment="1" pivotButton="0" quotePrefix="0" xfId="1">
      <alignment horizontal="right" vertical="center"/>
    </xf>
    <xf numFmtId="165" fontId="11" fillId="0" borderId="7" applyAlignment="1" pivotButton="0" quotePrefix="0" xfId="1">
      <alignment horizontal="right" vertical="center"/>
    </xf>
    <xf numFmtId="165" fontId="0" fillId="0" borderId="7" applyAlignment="1" pivotButton="0" quotePrefix="0" xfId="0">
      <alignment horizontal="right" vertical="center"/>
    </xf>
    <xf numFmtId="0" fontId="0" fillId="0" borderId="34" applyAlignment="1" pivotButton="0" quotePrefix="0" xfId="0">
      <alignment vertical="center"/>
    </xf>
    <xf numFmtId="0" fontId="5" fillId="0" borderId="3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164" fontId="8" fillId="0" borderId="11" applyAlignment="1" pivotButton="0" quotePrefix="0" xfId="2">
      <alignment vertical="center"/>
    </xf>
    <xf numFmtId="164" fontId="8" fillId="0" borderId="36" applyAlignment="1" pivotButton="0" quotePrefix="0" xfId="2">
      <alignment vertical="center"/>
    </xf>
    <xf numFmtId="164" fontId="7" fillId="0" borderId="36" applyAlignment="1" pivotButton="0" quotePrefix="0" xfId="2">
      <alignment vertical="center"/>
    </xf>
    <xf numFmtId="164" fontId="11" fillId="0" borderId="36" applyAlignment="1" pivotButton="0" quotePrefix="0" xfId="2">
      <alignment vertical="center"/>
    </xf>
    <xf numFmtId="165" fontId="11" fillId="0" borderId="37" applyAlignment="1" pivotButton="0" quotePrefix="0" xfId="1">
      <alignment horizontal="right" vertical="center"/>
    </xf>
    <xf numFmtId="165" fontId="11" fillId="0" borderId="11" applyAlignment="1" pivotButton="0" quotePrefix="0" xfId="1">
      <alignment horizontal="right" vertical="center"/>
    </xf>
    <xf numFmtId="165" fontId="11" fillId="0" borderId="36" applyAlignment="1" pivotButton="0" quotePrefix="0" xfId="1">
      <alignment horizontal="right" vertical="center"/>
    </xf>
    <xf numFmtId="165" fontId="0" fillId="0" borderId="36" applyAlignment="1" pivotButton="0" quotePrefix="0" xfId="0">
      <alignment horizontal="right" vertical="center"/>
    </xf>
    <xf numFmtId="0" fontId="0" fillId="0" borderId="38" applyAlignment="1" pivotButton="0" quotePrefix="0" xfId="0">
      <alignment vertical="center"/>
    </xf>
    <xf numFmtId="0" fontId="0" fillId="0" borderId="39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164" fontId="8" fillId="0" borderId="19" applyAlignment="1" pivotButton="0" quotePrefix="0" xfId="2">
      <alignment vertical="center"/>
    </xf>
    <xf numFmtId="164" fontId="8" fillId="0" borderId="20" applyAlignment="1" pivotButton="0" quotePrefix="0" xfId="2">
      <alignment vertical="center"/>
    </xf>
    <xf numFmtId="0" fontId="5" fillId="0" borderId="23" applyAlignment="1" pivotButton="0" quotePrefix="0" xfId="0">
      <alignment vertical="center"/>
    </xf>
    <xf numFmtId="164" fontId="8" fillId="0" borderId="25" applyAlignment="1" pivotButton="0" quotePrefix="0" xfId="2">
      <alignment vertical="center"/>
    </xf>
    <xf numFmtId="164" fontId="8" fillId="0" borderId="32" applyAlignment="1" pivotButton="0" quotePrefix="0" xfId="2">
      <alignment vertical="center"/>
    </xf>
    <xf numFmtId="164" fontId="6" fillId="0" borderId="19" applyAlignment="1" pivotButton="0" quotePrefix="0" xfId="2">
      <alignment vertical="center"/>
    </xf>
    <xf numFmtId="164" fontId="6" fillId="0" borderId="20" applyAlignment="1" pivotButton="0" quotePrefix="0" xfId="2">
      <alignment vertical="center"/>
    </xf>
    <xf numFmtId="0" fontId="7" fillId="0" borderId="20" applyAlignment="1" pivotButton="0" quotePrefix="0" xfId="0">
      <alignment vertical="center"/>
    </xf>
    <xf numFmtId="164" fontId="11" fillId="0" borderId="15" applyAlignment="1" pivotButton="0" quotePrefix="0" xfId="2">
      <alignment vertical="center"/>
    </xf>
    <xf numFmtId="164" fontId="11" fillId="0" borderId="11" applyAlignment="1" pivotButton="0" quotePrefix="0" xfId="2">
      <alignment vertical="center"/>
    </xf>
    <xf numFmtId="164" fontId="11" fillId="0" borderId="20" applyAlignment="1" pivotButton="0" quotePrefix="0" xfId="2">
      <alignment horizontal="right" vertical="center"/>
    </xf>
    <xf numFmtId="164" fontId="7" fillId="0" borderId="19" applyAlignment="1" pivotButton="0" quotePrefix="0" xfId="2">
      <alignment vertical="center"/>
    </xf>
    <xf numFmtId="165" fontId="7" fillId="0" borderId="21" applyAlignment="1" pivotButton="0" quotePrefix="0" xfId="1">
      <alignment horizontal="right" vertical="center"/>
    </xf>
    <xf numFmtId="0" fontId="0" fillId="0" borderId="40" applyAlignment="1" pivotButton="0" quotePrefix="0" xfId="0">
      <alignment vertical="center"/>
    </xf>
    <xf numFmtId="0" fontId="0" fillId="0" borderId="41" applyAlignment="1" pivotButton="0" quotePrefix="0" xfId="0">
      <alignment vertical="center"/>
    </xf>
    <xf numFmtId="164" fontId="7" fillId="0" borderId="32" applyAlignment="1" pivotButton="0" quotePrefix="0" xfId="2">
      <alignment vertical="center"/>
    </xf>
    <xf numFmtId="165" fontId="7" fillId="0" borderId="8" applyAlignment="1" pivotButton="0" quotePrefix="0" xfId="1">
      <alignment horizontal="right" vertical="center"/>
    </xf>
    <xf numFmtId="164" fontId="11" fillId="0" borderId="7" applyAlignment="1" pivotButton="0" quotePrefix="0" xfId="2">
      <alignment horizontal="right" vertical="center"/>
    </xf>
    <xf numFmtId="164" fontId="6" fillId="0" borderId="15" applyAlignment="1" pivotButton="0" quotePrefix="0" xfId="2">
      <alignment vertical="center"/>
    </xf>
    <xf numFmtId="164" fontId="8" fillId="0" borderId="12" applyAlignment="1" pivotButton="0" quotePrefix="0" xfId="2">
      <alignment vertical="center"/>
    </xf>
    <xf numFmtId="164" fontId="11" fillId="0" borderId="42" applyAlignment="1" pivotButton="0" quotePrefix="0" xfId="2">
      <alignment vertical="center"/>
    </xf>
    <xf numFmtId="164" fontId="8" fillId="0" borderId="42" applyAlignment="1" pivotButton="0" quotePrefix="0" xfId="2">
      <alignment vertical="center"/>
    </xf>
    <xf numFmtId="0" fontId="5" fillId="0" borderId="43" applyAlignment="1" pivotButton="0" quotePrefix="0" xfId="0">
      <alignment vertical="center"/>
    </xf>
    <xf numFmtId="164" fontId="11" fillId="0" borderId="33" applyAlignment="1" pivotButton="0" quotePrefix="0" xfId="2">
      <alignment vertical="center"/>
    </xf>
    <xf numFmtId="164" fontId="9" fillId="0" borderId="7" applyAlignment="1" pivotButton="0" quotePrefix="0" xfId="2">
      <alignment vertical="center"/>
    </xf>
    <xf numFmtId="164" fontId="11" fillId="0" borderId="12" applyAlignment="1" pivotButton="0" quotePrefix="0" xfId="2">
      <alignment vertical="center" shrinkToFit="1"/>
    </xf>
    <xf numFmtId="164" fontId="11" fillId="0" borderId="12" applyAlignment="1" pivotButton="0" quotePrefix="0" xfId="2">
      <alignment horizontal="right" vertical="center"/>
    </xf>
    <xf numFmtId="165" fontId="11" fillId="0" borderId="16" applyAlignment="1" pivotButton="0" quotePrefix="0" xfId="1">
      <alignment vertical="center"/>
    </xf>
    <xf numFmtId="165" fontId="11" fillId="0" borderId="22" applyAlignment="1" pivotButton="0" quotePrefix="0" xfId="1">
      <alignment vertical="center"/>
    </xf>
    <xf numFmtId="165" fontId="11" fillId="0" borderId="43" applyAlignment="1" pivotButton="0" quotePrefix="0" xfId="1">
      <alignment horizontal="right" vertical="center"/>
    </xf>
    <xf numFmtId="0" fontId="5" fillId="0" borderId="8" applyAlignment="1" pivotButton="0" quotePrefix="0" xfId="0">
      <alignment vertical="center"/>
    </xf>
    <xf numFmtId="164" fontId="11" fillId="0" borderId="32" applyAlignment="1" pivotButton="0" quotePrefix="0" xfId="2">
      <alignment vertical="center"/>
    </xf>
    <xf numFmtId="165" fontId="11" fillId="0" borderId="30" applyAlignment="1" pivotButton="0" quotePrefix="0" xfId="1">
      <alignment horizontal="right" vertical="center"/>
    </xf>
    <xf numFmtId="165" fontId="11" fillId="0" borderId="34" applyAlignment="1" pivotButton="0" quotePrefix="0" xfId="1">
      <alignment vertical="center"/>
    </xf>
    <xf numFmtId="165" fontId="7" fillId="0" borderId="15" applyAlignment="1" pivotButton="0" quotePrefix="0" xfId="1">
      <alignment horizontal="right" vertical="center"/>
    </xf>
    <xf numFmtId="165" fontId="7" fillId="0" borderId="12" applyAlignment="1" pivotButton="0" quotePrefix="0" xfId="1">
      <alignment horizontal="right" vertical="center"/>
    </xf>
    <xf numFmtId="165" fontId="7" fillId="0" borderId="13" applyAlignment="1" pivotButton="0" quotePrefix="0" xfId="1">
      <alignment horizontal="right" vertical="center"/>
    </xf>
    <xf numFmtId="164" fontId="7" fillId="0" borderId="11" applyAlignment="1" pivotButton="0" quotePrefix="0" xfId="2">
      <alignment vertical="center"/>
    </xf>
    <xf numFmtId="165" fontId="7" fillId="0" borderId="11" applyAlignment="1" pivotButton="0" quotePrefix="0" xfId="1">
      <alignment horizontal="right" vertical="center"/>
    </xf>
    <xf numFmtId="165" fontId="7" fillId="0" borderId="36" applyAlignment="1" pivotButton="0" quotePrefix="0" xfId="1">
      <alignment horizontal="right" vertical="center"/>
    </xf>
    <xf numFmtId="165" fontId="7" fillId="0" borderId="37" applyAlignment="1" pivotButton="0" quotePrefix="0" xfId="1">
      <alignment horizontal="right" vertical="center"/>
    </xf>
    <xf numFmtId="165" fontId="11" fillId="0" borderId="44" applyAlignment="1" pivotButton="0" quotePrefix="0" xfId="1">
      <alignment vertical="center"/>
    </xf>
    <xf numFmtId="164" fontId="6" fillId="0" borderId="36" applyAlignment="1" pivotButton="0" quotePrefix="0" xfId="2">
      <alignment vertical="center"/>
    </xf>
    <xf numFmtId="0" fontId="0" fillId="0" borderId="45" applyAlignment="1" pivotButton="0" quotePrefix="0" xfId="0">
      <alignment vertical="center"/>
    </xf>
    <xf numFmtId="0" fontId="5" fillId="2" borderId="9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2" borderId="6" applyAlignment="1" pivotButton="0" quotePrefix="0" xfId="0">
      <alignment vertical="center"/>
    </xf>
    <xf numFmtId="164" fontId="0" fillId="2" borderId="15" applyAlignment="1" pivotButton="0" quotePrefix="0" xfId="0">
      <alignment vertical="center" shrinkToFit="1"/>
    </xf>
    <xf numFmtId="164" fontId="0" fillId="2" borderId="12" applyAlignment="1" pivotButton="0" quotePrefix="0" xfId="0">
      <alignment vertical="center" shrinkToFit="1"/>
    </xf>
    <xf numFmtId="164" fontId="0" fillId="2" borderId="12" applyAlignment="1" pivotButton="0" quotePrefix="0" xfId="0">
      <alignment vertical="center"/>
    </xf>
    <xf numFmtId="164" fontId="11" fillId="2" borderId="12" applyAlignment="1" pivotButton="0" quotePrefix="0" xfId="2">
      <alignment vertical="center"/>
    </xf>
    <xf numFmtId="165" fontId="11" fillId="2" borderId="46" applyAlignment="1" pivotButton="0" quotePrefix="0" xfId="1">
      <alignment horizontal="right" vertical="center"/>
    </xf>
    <xf numFmtId="164" fontId="11" fillId="2" borderId="15" applyAlignment="1" pivotButton="0" quotePrefix="0" xfId="2">
      <alignment vertical="center"/>
    </xf>
    <xf numFmtId="165" fontId="11" fillId="2" borderId="15" applyAlignment="1" pivotButton="0" quotePrefix="0" xfId="1">
      <alignment horizontal="right" vertical="center"/>
    </xf>
    <xf numFmtId="165" fontId="11" fillId="2" borderId="12" applyAlignment="1" pivotButton="0" quotePrefix="0" xfId="1">
      <alignment horizontal="right" vertical="center"/>
    </xf>
    <xf numFmtId="165" fontId="11" fillId="2" borderId="13" applyAlignment="1" pivotButton="0" quotePrefix="0" xfId="1">
      <alignment horizontal="right" vertical="center"/>
    </xf>
    <xf numFmtId="165" fontId="11" fillId="2" borderId="14" applyAlignment="1" pivotButton="0" quotePrefix="0" xfId="1">
      <alignment vertical="center"/>
    </xf>
    <xf numFmtId="0" fontId="5" fillId="2" borderId="21" applyAlignment="1" pivotButton="0" quotePrefix="0" xfId="0">
      <alignment vertical="center"/>
    </xf>
    <xf numFmtId="164" fontId="0" fillId="2" borderId="19" applyAlignment="1" pivotButton="0" quotePrefix="0" xfId="0">
      <alignment vertical="center" shrinkToFit="1"/>
    </xf>
    <xf numFmtId="164" fontId="0" fillId="2" borderId="20" applyAlignment="1" pivotButton="0" quotePrefix="0" xfId="0">
      <alignment vertical="center" shrinkToFit="1"/>
    </xf>
    <xf numFmtId="164" fontId="0" fillId="2" borderId="20" applyAlignment="1" pivotButton="0" quotePrefix="0" xfId="0">
      <alignment vertical="center"/>
    </xf>
    <xf numFmtId="164" fontId="11" fillId="2" borderId="20" applyAlignment="1" pivotButton="0" quotePrefix="0" xfId="2">
      <alignment vertical="center"/>
    </xf>
    <xf numFmtId="165" fontId="11" fillId="2" borderId="43" applyAlignment="1" pivotButton="0" quotePrefix="0" xfId="1">
      <alignment horizontal="right" vertical="center"/>
    </xf>
    <xf numFmtId="164" fontId="11" fillId="2" borderId="19" applyAlignment="1" pivotButton="0" quotePrefix="0" xfId="2">
      <alignment vertical="center"/>
    </xf>
    <xf numFmtId="165" fontId="11" fillId="2" borderId="19" applyAlignment="1" pivotButton="0" quotePrefix="0" xfId="1">
      <alignment horizontal="right" vertical="center"/>
    </xf>
    <xf numFmtId="165" fontId="11" fillId="2" borderId="20" applyAlignment="1" pivotButton="0" quotePrefix="0" xfId="1">
      <alignment horizontal="right" vertical="center"/>
    </xf>
    <xf numFmtId="165" fontId="11" fillId="2" borderId="21" applyAlignment="1" pivotButton="0" quotePrefix="0" xfId="1">
      <alignment horizontal="right" vertical="center"/>
    </xf>
    <xf numFmtId="165" fontId="11" fillId="2" borderId="42" applyAlignment="1" pivotButton="0" quotePrefix="0" xfId="1">
      <alignment vertical="center"/>
    </xf>
    <xf numFmtId="0" fontId="0" fillId="2" borderId="47" applyAlignment="1" pivotButton="0" quotePrefix="0" xfId="0">
      <alignment vertical="center"/>
    </xf>
    <xf numFmtId="164" fontId="0" fillId="2" borderId="25" applyAlignment="1" pivotButton="0" quotePrefix="0" xfId="0">
      <alignment vertical="center"/>
    </xf>
    <xf numFmtId="164" fontId="0" fillId="2" borderId="26" applyAlignment="1" pivotButton="0" quotePrefix="0" xfId="0">
      <alignment vertical="center"/>
    </xf>
    <xf numFmtId="164" fontId="11" fillId="2" borderId="26" applyAlignment="1" pivotButton="0" quotePrefix="0" xfId="2">
      <alignment vertical="center"/>
    </xf>
    <xf numFmtId="165" fontId="11" fillId="2" borderId="17" applyAlignment="1" pivotButton="0" quotePrefix="0" xfId="1">
      <alignment horizontal="right" vertical="center"/>
    </xf>
    <xf numFmtId="164" fontId="11" fillId="2" borderId="25" applyAlignment="1" pivotButton="0" quotePrefix="0" xfId="2">
      <alignment vertical="center"/>
    </xf>
    <xf numFmtId="165" fontId="11" fillId="2" borderId="25" applyAlignment="1" pivotButton="0" quotePrefix="0" xfId="1">
      <alignment horizontal="right" vertical="center"/>
    </xf>
    <xf numFmtId="165" fontId="11" fillId="2" borderId="26" applyAlignment="1" pivotButton="0" quotePrefix="0" xfId="1">
      <alignment horizontal="right" vertical="center"/>
    </xf>
    <xf numFmtId="165" fontId="11" fillId="2" borderId="24" applyAlignment="1" pivotButton="0" quotePrefix="0" xfId="1">
      <alignment horizontal="right" vertical="center"/>
    </xf>
    <xf numFmtId="165" fontId="11" fillId="2" borderId="27" applyAlignment="1" pivotButton="0" quotePrefix="0" xfId="1">
      <alignment vertical="center"/>
    </xf>
    <xf numFmtId="164" fontId="0" fillId="2" borderId="19" applyAlignment="1" pivotButton="0" quotePrefix="0" xfId="0">
      <alignment vertical="center"/>
    </xf>
    <xf numFmtId="0" fontId="0" fillId="2" borderId="29" applyAlignment="1" pivotButton="0" quotePrefix="0" xfId="0">
      <alignment vertical="center"/>
    </xf>
    <xf numFmtId="0" fontId="0" fillId="2" borderId="45" applyAlignment="1" pivotButton="0" quotePrefix="0" xfId="0">
      <alignment vertical="center"/>
    </xf>
    <xf numFmtId="0" fontId="0" fillId="2" borderId="48" applyAlignment="1" pivotButton="0" quotePrefix="0" xfId="0">
      <alignment vertical="center"/>
    </xf>
    <xf numFmtId="0" fontId="5" fillId="2" borderId="8" applyAlignment="1" pivotButton="0" quotePrefix="0" xfId="0">
      <alignment vertical="center"/>
    </xf>
    <xf numFmtId="164" fontId="0" fillId="2" borderId="32" applyAlignment="1" pivotButton="0" quotePrefix="0" xfId="0">
      <alignment vertical="center"/>
    </xf>
    <xf numFmtId="164" fontId="0" fillId="2" borderId="7" applyAlignment="1" pivotButton="0" quotePrefix="0" xfId="0">
      <alignment vertical="center"/>
    </xf>
    <xf numFmtId="164" fontId="11" fillId="2" borderId="7" applyAlignment="1" pivotButton="0" quotePrefix="0" xfId="2">
      <alignment vertical="center"/>
    </xf>
    <xf numFmtId="165" fontId="11" fillId="2" borderId="30" applyAlignment="1" pivotButton="0" quotePrefix="0" xfId="1">
      <alignment horizontal="right" vertical="center"/>
    </xf>
    <xf numFmtId="164" fontId="11" fillId="2" borderId="32" applyAlignment="1" pivotButton="0" quotePrefix="0" xfId="2">
      <alignment vertical="center"/>
    </xf>
    <xf numFmtId="165" fontId="11" fillId="2" borderId="32" applyAlignment="1" pivotButton="0" quotePrefix="0" xfId="1">
      <alignment horizontal="right" vertical="center"/>
    </xf>
    <xf numFmtId="165" fontId="11" fillId="2" borderId="7" applyAlignment="1" pivotButton="0" quotePrefix="0" xfId="1">
      <alignment horizontal="right" vertical="center"/>
    </xf>
    <xf numFmtId="165" fontId="11" fillId="2" borderId="8" applyAlignment="1" pivotButton="0" quotePrefix="0" xfId="1">
      <alignment horizontal="right" vertical="center"/>
    </xf>
    <xf numFmtId="165" fontId="11" fillId="2" borderId="33" applyAlignment="1" pivotButton="0" quotePrefix="0" xfId="1">
      <alignment vertical="center"/>
    </xf>
    <xf numFmtId="0" fontId="5" fillId="0" borderId="32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164" fontId="11" fillId="0" borderId="2" applyAlignment="1" pivotButton="0" quotePrefix="0" xfId="2">
      <alignment vertical="center"/>
    </xf>
    <xf numFmtId="164" fontId="11" fillId="0" borderId="3" applyAlignment="1" pivotButton="0" quotePrefix="0" xfId="2">
      <alignment vertical="center"/>
    </xf>
    <xf numFmtId="165" fontId="11" fillId="0" borderId="49" applyAlignment="1" pivotButton="0" quotePrefix="0" xfId="1">
      <alignment horizontal="right" vertical="center"/>
    </xf>
    <xf numFmtId="165" fontId="11" fillId="0" borderId="2" applyAlignment="1" pivotButton="0" quotePrefix="0" xfId="1">
      <alignment horizontal="right" vertical="center"/>
    </xf>
    <xf numFmtId="165" fontId="11" fillId="0" borderId="3" applyAlignment="1" pivotButton="0" quotePrefix="0" xfId="1">
      <alignment horizontal="right" vertical="center"/>
    </xf>
    <xf numFmtId="165" fontId="11" fillId="0" borderId="50" applyAlignment="1" pivotButton="0" quotePrefix="0" xfId="1">
      <alignment vertical="center"/>
    </xf>
    <xf numFmtId="0" fontId="10" fillId="0" borderId="9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5" fillId="0" borderId="16" applyAlignment="1" pivotButton="0" quotePrefix="0" xfId="0">
      <alignment vertical="center"/>
    </xf>
    <xf numFmtId="0" fontId="8" fillId="0" borderId="23" applyAlignment="1" pivotButton="0" quotePrefix="0" xfId="0">
      <alignment vertical="center"/>
    </xf>
    <xf numFmtId="0" fontId="10" fillId="0" borderId="24" applyAlignment="1" pivotButton="0" quotePrefix="0" xfId="0">
      <alignment vertical="center"/>
    </xf>
    <xf numFmtId="0" fontId="0" fillId="0" borderId="51" applyAlignment="1" pivotButton="0" quotePrefix="0" xfId="0">
      <alignment vertical="center"/>
    </xf>
    <xf numFmtId="0" fontId="10" fillId="0" borderId="30" applyAlignment="1" pivotButton="0" quotePrefix="0" xfId="0">
      <alignment vertical="center"/>
    </xf>
    <xf numFmtId="0" fontId="6" fillId="0" borderId="31" applyAlignment="1" pivotButton="0" quotePrefix="0" xfId="0">
      <alignment vertical="center"/>
    </xf>
    <xf numFmtId="0" fontId="6" fillId="0" borderId="36" applyAlignment="1" pivotButton="0" quotePrefix="0" xfId="0">
      <alignment vertical="center"/>
    </xf>
    <xf numFmtId="0" fontId="10" fillId="0" borderId="23" applyAlignment="1" pivotButton="0" quotePrefix="0" xfId="0">
      <alignment vertical="center"/>
    </xf>
    <xf numFmtId="0" fontId="6" fillId="0" borderId="18" applyAlignment="1" pivotButton="0" quotePrefix="0" xfId="0">
      <alignment vertical="center"/>
    </xf>
    <xf numFmtId="0" fontId="10" fillId="0" borderId="3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0" fillId="0" borderId="17" applyAlignment="1" pivotButton="0" quotePrefix="0" xfId="0">
      <alignment vertical="center"/>
    </xf>
    <xf numFmtId="0" fontId="5" fillId="0" borderId="22" applyAlignment="1" pivotButton="0" quotePrefix="0" xfId="0">
      <alignment vertical="center"/>
    </xf>
    <xf numFmtId="0" fontId="10" fillId="0" borderId="21" applyAlignment="1" pivotButton="0" quotePrefix="0" xfId="0">
      <alignment vertical="center"/>
    </xf>
    <xf numFmtId="0" fontId="6" fillId="0" borderId="52" applyAlignment="1" pivotButton="0" quotePrefix="0" xfId="0">
      <alignment vertical="center"/>
    </xf>
    <xf numFmtId="0" fontId="0" fillId="0" borderId="53" applyAlignment="1" pivotButton="0" quotePrefix="0" xfId="0">
      <alignment vertical="center"/>
    </xf>
    <xf numFmtId="0" fontId="0" fillId="0" borderId="54" applyAlignment="1" pivotButton="0" quotePrefix="0" xfId="0">
      <alignment vertical="center"/>
    </xf>
    <xf numFmtId="0" fontId="10" fillId="0" borderId="8" applyAlignment="1" pivotButton="0" quotePrefix="0" xfId="0">
      <alignment vertical="center"/>
    </xf>
    <xf numFmtId="0" fontId="10" fillId="0" borderId="43" applyAlignment="1" pivotButton="0" quotePrefix="0" xfId="0">
      <alignment vertical="center"/>
    </xf>
    <xf numFmtId="0" fontId="8" fillId="0" borderId="18" applyAlignment="1" pivotButton="0" quotePrefix="0" xfId="0">
      <alignment vertical="center"/>
    </xf>
    <xf numFmtId="164" fontId="11" fillId="0" borderId="47" applyAlignment="1" pivotButton="0" quotePrefix="0" xfId="2">
      <alignment vertical="center"/>
    </xf>
    <xf numFmtId="164" fontId="11" fillId="0" borderId="39" applyAlignment="1" pivotButton="0" quotePrefix="0" xfId="2">
      <alignment vertical="center"/>
    </xf>
    <xf numFmtId="164" fontId="7" fillId="0" borderId="39" applyAlignment="1" pivotButton="0" quotePrefix="0" xfId="2">
      <alignment vertical="center"/>
    </xf>
    <xf numFmtId="164" fontId="11" fillId="0" borderId="36" applyAlignment="1" pivotButton="0" quotePrefix="0" xfId="2">
      <alignment horizontal="right" vertical="center"/>
    </xf>
    <xf numFmtId="164" fontId="11" fillId="0" borderId="40" applyAlignment="1" pivotButton="0" quotePrefix="0" xfId="2">
      <alignment vertical="center"/>
    </xf>
    <xf numFmtId="0" fontId="6" fillId="0" borderId="55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2" borderId="9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7" fillId="0" borderId="47" applyAlignment="1" pivotButton="0" quotePrefix="0" xfId="0">
      <alignment vertical="center"/>
    </xf>
    <xf numFmtId="0" fontId="7" fillId="0" borderId="29" applyAlignment="1" pivotButton="0" quotePrefix="0" xfId="0">
      <alignment vertical="center"/>
    </xf>
    <xf numFmtId="0" fontId="7" fillId="0" borderId="45" applyAlignment="1" pivotButton="0" quotePrefix="0" xfId="0">
      <alignment vertical="center"/>
    </xf>
    <xf numFmtId="0" fontId="7" fillId="0" borderId="48" applyAlignment="1" pivotButton="0" quotePrefix="0" xfId="0">
      <alignment vertical="center"/>
    </xf>
    <xf numFmtId="164" fontId="0" fillId="2" borderId="15" applyAlignment="1" pivotButton="0" quotePrefix="0" xfId="0">
      <alignment vertical="center"/>
    </xf>
    <xf numFmtId="165" fontId="5" fillId="2" borderId="14" applyAlignment="1" pivotButton="0" quotePrefix="0" xfId="1">
      <alignment vertical="center"/>
    </xf>
    <xf numFmtId="0" fontId="5" fillId="2" borderId="24" applyAlignment="1" pivotButton="0" quotePrefix="0" xfId="0">
      <alignment vertical="center"/>
    </xf>
    <xf numFmtId="0" fontId="5" fillId="2" borderId="43" applyAlignment="1" pivotButton="0" quotePrefix="0" xfId="0">
      <alignment vertical="center"/>
    </xf>
    <xf numFmtId="0" fontId="5" fillId="2" borderId="30" applyAlignment="1" pivotButton="0" quotePrefix="0" xfId="0">
      <alignment vertical="center"/>
    </xf>
    <xf numFmtId="0" fontId="5" fillId="0" borderId="56" applyAlignment="1" pivotButton="0" quotePrefix="0" xfId="0">
      <alignment vertical="center"/>
    </xf>
    <xf numFmtId="0" fontId="0" fillId="0" borderId="57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6" fontId="2" fillId="0" borderId="5" applyAlignment="1" pivotButton="0" quotePrefix="0" xfId="0">
      <alignment vertical="center"/>
    </xf>
    <xf numFmtId="166" fontId="3" fillId="0" borderId="7" applyAlignment="1" pivotButton="0" quotePrefix="0" xfId="0">
      <alignment horizontal="center" vertical="center" wrapText="1"/>
    </xf>
    <xf numFmtId="166" fontId="11" fillId="0" borderId="12" applyAlignment="1" pivotButton="0" quotePrefix="0" xfId="2">
      <alignment vertical="center"/>
    </xf>
    <xf numFmtId="166" fontId="11" fillId="0" borderId="20" applyAlignment="1" pivotButton="0" quotePrefix="0" xfId="2">
      <alignment vertical="center"/>
    </xf>
    <xf numFmtId="166" fontId="11" fillId="0" borderId="26" applyAlignment="1" pivotButton="0" quotePrefix="0" xfId="2">
      <alignment vertical="center"/>
    </xf>
    <xf numFmtId="166" fontId="11" fillId="0" borderId="7" applyAlignment="1" pivotButton="0" quotePrefix="0" xfId="2">
      <alignment vertical="center"/>
    </xf>
    <xf numFmtId="166" fontId="11" fillId="0" borderId="36" applyAlignment="1" pivotButton="0" quotePrefix="0" xfId="2">
      <alignment vertical="center"/>
    </xf>
    <xf numFmtId="166" fontId="11" fillId="0" borderId="20" applyAlignment="1" pivotButton="0" quotePrefix="0" xfId="2">
      <alignment horizontal="right" vertical="center"/>
    </xf>
    <xf numFmtId="166" fontId="11" fillId="0" borderId="7" applyAlignment="1" pivotButton="0" quotePrefix="0" xfId="2">
      <alignment horizontal="right" vertical="center"/>
    </xf>
    <xf numFmtId="166" fontId="11" fillId="0" borderId="12" applyAlignment="1" pivotButton="0" quotePrefix="0" xfId="2">
      <alignment horizontal="right" vertical="center"/>
    </xf>
    <xf numFmtId="166" fontId="11" fillId="2" borderId="12" applyAlignment="1" pivotButton="0" quotePrefix="0" xfId="2">
      <alignment vertical="center"/>
    </xf>
    <xf numFmtId="166" fontId="11" fillId="2" borderId="20" applyAlignment="1" pivotButton="0" quotePrefix="0" xfId="2">
      <alignment vertical="center"/>
    </xf>
    <xf numFmtId="166" fontId="11" fillId="2" borderId="26" applyAlignment="1" pivotButton="0" quotePrefix="0" xfId="2">
      <alignment vertical="center"/>
    </xf>
    <xf numFmtId="166" fontId="11" fillId="2" borderId="7" applyAlignment="1" pivotButton="0" quotePrefix="0" xfId="2">
      <alignment vertical="center"/>
    </xf>
    <xf numFmtId="166" fontId="11" fillId="0" borderId="3" applyAlignment="1" pivotButton="0" quotePrefix="0" xfId="2">
      <alignment vertical="center"/>
    </xf>
    <xf numFmtId="166" fontId="7" fillId="0" borderId="20" applyAlignment="1" pivotButton="0" quotePrefix="0" xfId="2">
      <alignment horizontal="right" vertical="center"/>
    </xf>
    <xf numFmtId="166" fontId="7" fillId="0" borderId="7" applyAlignment="1" pivotButton="0" quotePrefix="0" xfId="2">
      <alignment horizontal="right" vertical="center"/>
    </xf>
    <xf numFmtId="166" fontId="6" fillId="0" borderId="11" applyAlignment="1" pivotButton="0" quotePrefix="0" xfId="2">
      <alignment vertical="center"/>
    </xf>
    <xf numFmtId="166" fontId="6" fillId="0" borderId="12" applyAlignment="1" pivotButton="0" quotePrefix="0" xfId="2">
      <alignment vertical="center"/>
    </xf>
    <xf numFmtId="166" fontId="7" fillId="0" borderId="12" applyAlignment="1" pivotButton="0" quotePrefix="0" xfId="2">
      <alignment vertical="center"/>
    </xf>
    <xf numFmtId="166" fontId="11" fillId="0" borderId="19" applyAlignment="1" pivotButton="0" quotePrefix="0" xfId="2">
      <alignment vertical="center"/>
    </xf>
    <xf numFmtId="166" fontId="7" fillId="0" borderId="20" applyAlignment="1" pivotButton="0" quotePrefix="0" xfId="2">
      <alignment vertical="center"/>
    </xf>
    <xf numFmtId="166" fontId="6" fillId="0" borderId="25" applyAlignment="1" pivotButton="0" quotePrefix="0" xfId="2">
      <alignment vertical="center"/>
    </xf>
    <xf numFmtId="166" fontId="6" fillId="0" borderId="26" applyAlignment="1" pivotButton="0" quotePrefix="0" xfId="2">
      <alignment vertical="center"/>
    </xf>
    <xf numFmtId="166" fontId="7" fillId="0" borderId="26" applyAlignment="1" pivotButton="0" quotePrefix="0" xfId="2">
      <alignment vertical="center"/>
    </xf>
    <xf numFmtId="166" fontId="6" fillId="0" borderId="32" applyAlignment="1" pivotButton="0" quotePrefix="0" xfId="2">
      <alignment vertical="center"/>
    </xf>
    <xf numFmtId="166" fontId="6" fillId="0" borderId="7" applyAlignment="1" pivotButton="0" quotePrefix="0" xfId="2">
      <alignment vertical="center"/>
    </xf>
    <xf numFmtId="166" fontId="7" fillId="0" borderId="7" applyAlignment="1" pivotButton="0" quotePrefix="0" xfId="2">
      <alignment vertical="center"/>
    </xf>
    <xf numFmtId="166" fontId="8" fillId="0" borderId="11" applyAlignment="1" pivotButton="0" quotePrefix="0" xfId="2">
      <alignment vertical="center"/>
    </xf>
    <xf numFmtId="166" fontId="8" fillId="0" borderId="36" applyAlignment="1" pivotButton="0" quotePrefix="0" xfId="2">
      <alignment vertical="center"/>
    </xf>
    <xf numFmtId="166" fontId="7" fillId="0" borderId="36" applyAlignment="1" pivotButton="0" quotePrefix="0" xfId="2">
      <alignment vertical="center"/>
    </xf>
    <xf numFmtId="166" fontId="8" fillId="0" borderId="19" applyAlignment="1" pivotButton="0" quotePrefix="0" xfId="2">
      <alignment vertical="center"/>
    </xf>
    <xf numFmtId="166" fontId="8" fillId="0" borderId="20" applyAlignment="1" pivotButton="0" quotePrefix="0" xfId="2">
      <alignment vertical="center"/>
    </xf>
    <xf numFmtId="166" fontId="8" fillId="0" borderId="25" applyAlignment="1" pivotButton="0" quotePrefix="0" xfId="2">
      <alignment vertical="center"/>
    </xf>
    <xf numFmtId="166" fontId="8" fillId="0" borderId="26" applyAlignment="1" pivotButton="0" quotePrefix="0" xfId="2">
      <alignment vertical="center"/>
    </xf>
    <xf numFmtId="166" fontId="8" fillId="0" borderId="32" applyAlignment="1" pivotButton="0" quotePrefix="0" xfId="2">
      <alignment vertical="center"/>
    </xf>
    <xf numFmtId="166" fontId="8" fillId="0" borderId="7" applyAlignment="1" pivotButton="0" quotePrefix="0" xfId="2">
      <alignment vertical="center"/>
    </xf>
    <xf numFmtId="166" fontId="6" fillId="0" borderId="19" applyAlignment="1" pivotButton="0" quotePrefix="0" xfId="2">
      <alignment vertical="center"/>
    </xf>
    <xf numFmtId="166" fontId="6" fillId="0" borderId="20" applyAlignment="1" pivotButton="0" quotePrefix="0" xfId="2">
      <alignment vertical="center"/>
    </xf>
    <xf numFmtId="166" fontId="7" fillId="0" borderId="20" applyAlignment="1" pivotButton="0" quotePrefix="0" xfId="0">
      <alignment vertical="center"/>
    </xf>
    <xf numFmtId="166" fontId="7" fillId="0" borderId="19" applyAlignment="1" pivotButton="0" quotePrefix="0" xfId="2">
      <alignment vertical="center"/>
    </xf>
    <xf numFmtId="166" fontId="7" fillId="0" borderId="32" applyAlignment="1" pivotButton="0" quotePrefix="0" xfId="2">
      <alignment vertical="center"/>
    </xf>
    <xf numFmtId="166" fontId="6" fillId="0" borderId="15" applyAlignment="1" pivotButton="0" quotePrefix="0" xfId="2">
      <alignment vertical="center"/>
    </xf>
    <xf numFmtId="166" fontId="11" fillId="0" borderId="12" applyAlignment="1" pivotButton="0" quotePrefix="0" xfId="2">
      <alignment vertical="center" shrinkToFit="1"/>
    </xf>
    <xf numFmtId="166" fontId="11" fillId="0" borderId="32" applyAlignment="1" pivotButton="0" quotePrefix="0" xfId="2">
      <alignment vertical="center"/>
    </xf>
    <xf numFmtId="166" fontId="7" fillId="0" borderId="11" applyAlignment="1" pivotButton="0" quotePrefix="0" xfId="2">
      <alignment vertical="center"/>
    </xf>
    <xf numFmtId="166" fontId="6" fillId="0" borderId="36" applyAlignment="1" pivotButton="0" quotePrefix="0" xfId="2">
      <alignment vertical="center"/>
    </xf>
    <xf numFmtId="166" fontId="0" fillId="2" borderId="15" applyAlignment="1" pivotButton="0" quotePrefix="0" xfId="0">
      <alignment vertical="center" shrinkToFit="1"/>
    </xf>
    <xf numFmtId="166" fontId="0" fillId="2" borderId="12" applyAlignment="1" pivotButton="0" quotePrefix="0" xfId="0">
      <alignment vertical="center" shrinkToFit="1"/>
    </xf>
    <xf numFmtId="166" fontId="0" fillId="2" borderId="12" applyAlignment="1" pivotButton="0" quotePrefix="0" xfId="0">
      <alignment vertical="center"/>
    </xf>
    <xf numFmtId="166" fontId="0" fillId="2" borderId="19" applyAlignment="1" pivotButton="0" quotePrefix="0" xfId="0">
      <alignment vertical="center" shrinkToFit="1"/>
    </xf>
    <xf numFmtId="166" fontId="0" fillId="2" borderId="20" applyAlignment="1" pivotButton="0" quotePrefix="0" xfId="0">
      <alignment vertical="center" shrinkToFit="1"/>
    </xf>
    <xf numFmtId="166" fontId="0" fillId="2" borderId="20" applyAlignment="1" pivotButton="0" quotePrefix="0" xfId="0">
      <alignment vertical="center"/>
    </xf>
    <xf numFmtId="166" fontId="0" fillId="2" borderId="25" applyAlignment="1" pivotButton="0" quotePrefix="0" xfId="0">
      <alignment vertical="center"/>
    </xf>
    <xf numFmtId="166" fontId="0" fillId="2" borderId="26" applyAlignment="1" pivotButton="0" quotePrefix="0" xfId="0">
      <alignment vertical="center"/>
    </xf>
    <xf numFmtId="166" fontId="0" fillId="2" borderId="19" applyAlignment="1" pivotButton="0" quotePrefix="0" xfId="0">
      <alignment vertical="center"/>
    </xf>
    <xf numFmtId="166" fontId="0" fillId="2" borderId="32" applyAlignment="1" pivotButton="0" quotePrefix="0" xfId="0">
      <alignment vertical="center"/>
    </xf>
    <xf numFmtId="166" fontId="0" fillId="2" borderId="7" applyAlignment="1" pivotButton="0" quotePrefix="0" xfId="0">
      <alignment vertical="center"/>
    </xf>
    <xf numFmtId="166" fontId="13" fillId="0" borderId="11" applyAlignment="1" pivotButton="0" quotePrefix="0" xfId="2">
      <alignment vertical="center"/>
    </xf>
    <xf numFmtId="166" fontId="13" fillId="0" borderId="20" applyAlignment="1" pivotButton="0" quotePrefix="0" xfId="2">
      <alignment vertical="center"/>
    </xf>
    <xf numFmtId="166" fontId="13" fillId="0" borderId="15" applyAlignment="1" pivotButton="0" quotePrefix="0" xfId="2">
      <alignment vertical="center"/>
    </xf>
    <xf numFmtId="166" fontId="13" fillId="0" borderId="12" applyAlignment="1" pivotButton="0" quotePrefix="0" xfId="2">
      <alignment vertical="center"/>
    </xf>
    <xf numFmtId="166" fontId="14" fillId="0" borderId="2" applyAlignment="1" pivotButton="0" quotePrefix="0" xfId="2">
      <alignment vertical="center"/>
    </xf>
    <xf numFmtId="166" fontId="14" fillId="0" borderId="3" applyAlignment="1" pivotButton="0" quotePrefix="0" xfId="2">
      <alignment vertical="center"/>
    </xf>
    <xf numFmtId="0" fontId="2" fillId="0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29" pivotButton="0" quotePrefix="0" xfId="0"/>
    <xf numFmtId="0" fontId="0" fillId="0" borderId="45" pivotButton="0" quotePrefix="0" xfId="0"/>
    <xf numFmtId="0" fontId="0" fillId="0" borderId="58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59" pivotButton="0" quotePrefix="0" xfId="0"/>
    <xf numFmtId="0" fontId="2" fillId="0" borderId="4" applyAlignment="1" pivotButton="0" quotePrefix="0" xfId="0">
      <alignment horizontal="center" vertical="center" wrapText="1"/>
    </xf>
    <xf numFmtId="0" fontId="0" fillId="0" borderId="54" pivotButton="0" quotePrefix="0" xfId="0"/>
    <xf numFmtId="0" fontId="4" fillId="0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0" fillId="0" borderId="60" pivotButton="0" quotePrefix="0" xfId="0"/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166" fontId="2" fillId="0" borderId="4" applyAlignment="1" pivotButton="0" quotePrefix="0" xfId="0">
      <alignment horizontal="center" vertical="center" wrapText="1"/>
    </xf>
    <xf numFmtId="166" fontId="3" fillId="0" borderId="2" applyAlignment="1" pivotButton="0" quotePrefix="0" xfId="0">
      <alignment horizontal="center" vertical="center" wrapText="1"/>
    </xf>
    <xf numFmtId="166" fontId="3" fillId="0" borderId="3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center"/>
    </xf>
    <xf numFmtId="166" fontId="2" fillId="0" borderId="5" applyAlignment="1" pivotButton="0" quotePrefix="0" xfId="0">
      <alignment vertical="center"/>
    </xf>
    <xf numFmtId="166" fontId="3" fillId="0" borderId="7" applyAlignment="1" pivotButton="0" quotePrefix="0" xfId="0">
      <alignment horizontal="center" vertical="center" wrapText="1"/>
    </xf>
    <xf numFmtId="164" fontId="6" fillId="0" borderId="11" applyAlignment="1" pivotButton="0" quotePrefix="0" xfId="2">
      <alignment vertical="center"/>
    </xf>
    <xf numFmtId="164" fontId="6" fillId="0" borderId="12" applyAlignment="1" pivotButton="0" quotePrefix="0" xfId="2">
      <alignment vertical="center"/>
    </xf>
    <xf numFmtId="164" fontId="7" fillId="0" borderId="12" applyAlignment="1" pivotButton="0" quotePrefix="0" xfId="2">
      <alignment vertical="center"/>
    </xf>
    <xf numFmtId="166" fontId="11" fillId="0" borderId="12" applyAlignment="1" pivotButton="0" quotePrefix="0" xfId="2">
      <alignment vertical="center"/>
    </xf>
    <xf numFmtId="165" fontId="11" fillId="0" borderId="13" applyAlignment="1" pivotButton="0" quotePrefix="0" xfId="1">
      <alignment horizontal="right" vertical="center"/>
    </xf>
    <xf numFmtId="164" fontId="8" fillId="0" borderId="14" applyAlignment="1" pivotButton="0" quotePrefix="0" xfId="2">
      <alignment vertical="center"/>
    </xf>
    <xf numFmtId="165" fontId="11" fillId="0" borderId="15" applyAlignment="1" pivotButton="0" quotePrefix="0" xfId="1">
      <alignment horizontal="right" vertical="center"/>
    </xf>
    <xf numFmtId="165" fontId="11" fillId="0" borderId="12" applyAlignment="1" pivotButton="0" quotePrefix="0" xfId="1">
      <alignment horizontal="right" vertical="center"/>
    </xf>
    <xf numFmtId="165" fontId="0" fillId="0" borderId="12" applyAlignment="1" pivotButton="0" quotePrefix="0" xfId="0">
      <alignment horizontal="right" vertical="center"/>
    </xf>
    <xf numFmtId="164" fontId="11" fillId="0" borderId="19" applyAlignment="1" pivotButton="0" quotePrefix="0" xfId="2">
      <alignment vertical="center"/>
    </xf>
    <xf numFmtId="164" fontId="11" fillId="0" borderId="20" applyAlignment="1" pivotButton="0" quotePrefix="0" xfId="2">
      <alignment vertical="center"/>
    </xf>
    <xf numFmtId="164" fontId="7" fillId="0" borderId="20" applyAlignment="1" pivotButton="0" quotePrefix="0" xfId="2">
      <alignment vertical="center"/>
    </xf>
    <xf numFmtId="166" fontId="11" fillId="0" borderId="20" applyAlignment="1" pivotButton="0" quotePrefix="0" xfId="2">
      <alignment vertical="center"/>
    </xf>
    <xf numFmtId="165" fontId="11" fillId="0" borderId="21" applyAlignment="1" pivotButton="0" quotePrefix="0" xfId="1">
      <alignment horizontal="right" vertical="center"/>
    </xf>
    <xf numFmtId="165" fontId="11" fillId="0" borderId="19" applyAlignment="1" pivotButton="0" quotePrefix="0" xfId="1">
      <alignment horizontal="right" vertical="center"/>
    </xf>
    <xf numFmtId="165" fontId="11" fillId="0" borderId="20" applyAlignment="1" pivotButton="0" quotePrefix="0" xfId="1">
      <alignment horizontal="right" vertical="center"/>
    </xf>
    <xf numFmtId="165" fontId="0" fillId="0" borderId="20" applyAlignment="1" pivotButton="0" quotePrefix="0" xfId="0">
      <alignment horizontal="right" vertical="center"/>
    </xf>
    <xf numFmtId="164" fontId="6" fillId="0" borderId="25" applyAlignment="1" pivotButton="0" quotePrefix="0" xfId="2">
      <alignment vertical="center"/>
    </xf>
    <xf numFmtId="164" fontId="6" fillId="0" borderId="26" applyAlignment="1" pivotButton="0" quotePrefix="0" xfId="2">
      <alignment vertical="center"/>
    </xf>
    <xf numFmtId="164" fontId="7" fillId="0" borderId="26" applyAlignment="1" pivotButton="0" quotePrefix="0" xfId="2">
      <alignment vertical="center"/>
    </xf>
    <xf numFmtId="166" fontId="11" fillId="0" borderId="26" applyAlignment="1" pivotButton="0" quotePrefix="0" xfId="2">
      <alignment vertical="center"/>
    </xf>
    <xf numFmtId="165" fontId="11" fillId="0" borderId="24" applyAlignment="1" pivotButton="0" quotePrefix="0" xfId="1">
      <alignment horizontal="right" vertical="center"/>
    </xf>
    <xf numFmtId="164" fontId="8" fillId="0" borderId="27" applyAlignment="1" pivotButton="0" quotePrefix="0" xfId="2">
      <alignment vertical="center"/>
    </xf>
    <xf numFmtId="164" fontId="8" fillId="0" borderId="26" applyAlignment="1" pivotButton="0" quotePrefix="0" xfId="2">
      <alignment vertical="center"/>
    </xf>
    <xf numFmtId="165" fontId="11" fillId="0" borderId="25" applyAlignment="1" pivotButton="0" quotePrefix="0" xfId="1">
      <alignment horizontal="right" vertical="center"/>
    </xf>
    <xf numFmtId="165" fontId="11" fillId="0" borderId="26" applyAlignment="1" pivotButton="0" quotePrefix="0" xfId="1">
      <alignment horizontal="right" vertical="center"/>
    </xf>
    <xf numFmtId="165" fontId="0" fillId="0" borderId="26" applyAlignment="1" pivotButton="0" quotePrefix="0" xfId="0">
      <alignment horizontal="right" vertical="center"/>
    </xf>
    <xf numFmtId="164" fontId="6" fillId="0" borderId="32" applyAlignment="1" pivotButton="0" quotePrefix="0" xfId="2">
      <alignment vertical="center"/>
    </xf>
    <xf numFmtId="164" fontId="6" fillId="0" borderId="7" applyAlignment="1" pivotButton="0" quotePrefix="0" xfId="2">
      <alignment vertical="center"/>
    </xf>
    <xf numFmtId="164" fontId="7" fillId="0" borderId="7" applyAlignment="1" pivotButton="0" quotePrefix="0" xfId="2">
      <alignment vertical="center"/>
    </xf>
    <xf numFmtId="166" fontId="11" fillId="0" borderId="7" applyAlignment="1" pivotButton="0" quotePrefix="0" xfId="2">
      <alignment vertical="center"/>
    </xf>
    <xf numFmtId="165" fontId="11" fillId="0" borderId="8" applyAlignment="1" pivotButton="0" quotePrefix="0" xfId="1">
      <alignment horizontal="right" vertical="center"/>
    </xf>
    <xf numFmtId="164" fontId="8" fillId="0" borderId="33" applyAlignment="1" pivotButton="0" quotePrefix="0" xfId="2">
      <alignment vertical="center"/>
    </xf>
    <xf numFmtId="164" fontId="8" fillId="0" borderId="7" applyAlignment="1" pivotButton="0" quotePrefix="0" xfId="2">
      <alignment vertical="center"/>
    </xf>
    <xf numFmtId="165" fontId="11" fillId="0" borderId="32" applyAlignment="1" pivotButton="0" quotePrefix="0" xfId="1">
      <alignment horizontal="right" vertical="center"/>
    </xf>
    <xf numFmtId="165" fontId="11" fillId="0" borderId="7" applyAlignment="1" pivotButton="0" quotePrefix="0" xfId="1">
      <alignment horizontal="right" vertical="center"/>
    </xf>
    <xf numFmtId="165" fontId="0" fillId="0" borderId="7" applyAlignment="1" pivotButton="0" quotePrefix="0" xfId="0">
      <alignment horizontal="right" vertical="center"/>
    </xf>
    <xf numFmtId="164" fontId="8" fillId="0" borderId="11" applyAlignment="1" pivotButton="0" quotePrefix="0" xfId="2">
      <alignment vertical="center"/>
    </xf>
    <xf numFmtId="164" fontId="8" fillId="0" borderId="36" applyAlignment="1" pivotButton="0" quotePrefix="0" xfId="2">
      <alignment vertical="center"/>
    </xf>
    <xf numFmtId="164" fontId="7" fillId="0" borderId="36" applyAlignment="1" pivotButton="0" quotePrefix="0" xfId="2">
      <alignment vertical="center"/>
    </xf>
    <xf numFmtId="166" fontId="11" fillId="0" borderId="36" applyAlignment="1" pivotButton="0" quotePrefix="0" xfId="2">
      <alignment vertical="center"/>
    </xf>
    <xf numFmtId="165" fontId="11" fillId="0" borderId="37" applyAlignment="1" pivotButton="0" quotePrefix="0" xfId="1">
      <alignment horizontal="right" vertical="center"/>
    </xf>
    <xf numFmtId="165" fontId="11" fillId="0" borderId="11" applyAlignment="1" pivotButton="0" quotePrefix="0" xfId="1">
      <alignment horizontal="right" vertical="center"/>
    </xf>
    <xf numFmtId="165" fontId="11" fillId="0" borderId="36" applyAlignment="1" pivotButton="0" quotePrefix="0" xfId="1">
      <alignment horizontal="right" vertical="center"/>
    </xf>
    <xf numFmtId="165" fontId="0" fillId="0" borderId="36" applyAlignment="1" pivotButton="0" quotePrefix="0" xfId="0">
      <alignment horizontal="right" vertical="center"/>
    </xf>
    <xf numFmtId="164" fontId="8" fillId="0" borderId="19" applyAlignment="1" pivotButton="0" quotePrefix="0" xfId="2">
      <alignment vertical="center"/>
    </xf>
    <xf numFmtId="164" fontId="8" fillId="0" borderId="20" applyAlignment="1" pivotButton="0" quotePrefix="0" xfId="2">
      <alignment vertical="center"/>
    </xf>
    <xf numFmtId="164" fontId="8" fillId="0" borderId="25" applyAlignment="1" pivotButton="0" quotePrefix="0" xfId="2">
      <alignment vertical="center"/>
    </xf>
    <xf numFmtId="164" fontId="8" fillId="0" borderId="32" applyAlignment="1" pivotButton="0" quotePrefix="0" xfId="2">
      <alignment vertical="center"/>
    </xf>
    <xf numFmtId="164" fontId="6" fillId="0" borderId="19" applyAlignment="1" pivotButton="0" quotePrefix="0" xfId="2">
      <alignment vertical="center"/>
    </xf>
    <xf numFmtId="164" fontId="6" fillId="0" borderId="20" applyAlignment="1" pivotButton="0" quotePrefix="0" xfId="2">
      <alignment vertical="center"/>
    </xf>
    <xf numFmtId="164" fontId="11" fillId="0" borderId="15" applyAlignment="1" pivotButton="0" quotePrefix="0" xfId="2">
      <alignment vertical="center"/>
    </xf>
    <xf numFmtId="164" fontId="11" fillId="0" borderId="12" applyAlignment="1" pivotButton="0" quotePrefix="0" xfId="2">
      <alignment vertical="center"/>
    </xf>
    <xf numFmtId="164" fontId="11" fillId="0" borderId="11" applyAlignment="1" pivotButton="0" quotePrefix="0" xfId="2">
      <alignment vertical="center"/>
    </xf>
    <xf numFmtId="166" fontId="11" fillId="0" borderId="20" applyAlignment="1" pivotButton="0" quotePrefix="0" xfId="2">
      <alignment horizontal="right" vertical="center"/>
    </xf>
    <xf numFmtId="164" fontId="7" fillId="0" borderId="19" applyAlignment="1" pivotButton="0" quotePrefix="0" xfId="2">
      <alignment vertical="center"/>
    </xf>
    <xf numFmtId="166" fontId="7" fillId="0" borderId="20" applyAlignment="1" pivotButton="0" quotePrefix="0" xfId="2">
      <alignment horizontal="right" vertical="center"/>
    </xf>
    <xf numFmtId="165" fontId="7" fillId="0" borderId="21" applyAlignment="1" pivotButton="0" quotePrefix="0" xfId="1">
      <alignment horizontal="right" vertical="center"/>
    </xf>
    <xf numFmtId="164" fontId="7" fillId="0" borderId="32" applyAlignment="1" pivotButton="0" quotePrefix="0" xfId="2">
      <alignment vertical="center"/>
    </xf>
    <xf numFmtId="166" fontId="7" fillId="0" borderId="7" applyAlignment="1" pivotButton="0" quotePrefix="0" xfId="2">
      <alignment horizontal="right" vertical="center"/>
    </xf>
    <xf numFmtId="165" fontId="7" fillId="0" borderId="8" applyAlignment="1" pivotButton="0" quotePrefix="0" xfId="1">
      <alignment horizontal="right" vertical="center"/>
    </xf>
    <xf numFmtId="166" fontId="11" fillId="0" borderId="7" applyAlignment="1" pivotButton="0" quotePrefix="0" xfId="2">
      <alignment horizontal="right" vertical="center"/>
    </xf>
    <xf numFmtId="164" fontId="6" fillId="0" borderId="15" applyAlignment="1" pivotButton="0" quotePrefix="0" xfId="2">
      <alignment vertical="center"/>
    </xf>
    <xf numFmtId="164" fontId="8" fillId="0" borderId="12" applyAlignment="1" pivotButton="0" quotePrefix="0" xfId="2">
      <alignment vertical="center"/>
    </xf>
    <xf numFmtId="164" fontId="11" fillId="0" borderId="42" applyAlignment="1" pivotButton="0" quotePrefix="0" xfId="2">
      <alignment vertical="center"/>
    </xf>
    <xf numFmtId="164" fontId="8" fillId="0" borderId="42" applyAlignment="1" pivotButton="0" quotePrefix="0" xfId="2">
      <alignment vertical="center"/>
    </xf>
    <xf numFmtId="164" fontId="11" fillId="0" borderId="33" applyAlignment="1" pivotButton="0" quotePrefix="0" xfId="2">
      <alignment vertical="center"/>
    </xf>
    <xf numFmtId="164" fontId="9" fillId="0" borderId="7" applyAlignment="1" pivotButton="0" quotePrefix="0" xfId="2">
      <alignment vertical="center"/>
    </xf>
    <xf numFmtId="164" fontId="11" fillId="0" borderId="12" applyAlignment="1" pivotButton="0" quotePrefix="0" xfId="2">
      <alignment vertical="center" shrinkToFit="1"/>
    </xf>
    <xf numFmtId="166" fontId="11" fillId="0" borderId="12" applyAlignment="1" pivotButton="0" quotePrefix="0" xfId="2">
      <alignment horizontal="right" vertical="center"/>
    </xf>
    <xf numFmtId="165" fontId="11" fillId="0" borderId="16" applyAlignment="1" pivotButton="0" quotePrefix="0" xfId="1">
      <alignment vertical="center"/>
    </xf>
    <xf numFmtId="165" fontId="11" fillId="0" borderId="22" applyAlignment="1" pivotButton="0" quotePrefix="0" xfId="1">
      <alignment vertical="center"/>
    </xf>
    <xf numFmtId="165" fontId="11" fillId="0" borderId="43" applyAlignment="1" pivotButton="0" quotePrefix="0" xfId="1">
      <alignment horizontal="right" vertical="center"/>
    </xf>
    <xf numFmtId="164" fontId="11" fillId="0" borderId="32" applyAlignment="1" pivotButton="0" quotePrefix="0" xfId="2">
      <alignment vertical="center"/>
    </xf>
    <xf numFmtId="164" fontId="11" fillId="0" borderId="7" applyAlignment="1" pivotButton="0" quotePrefix="0" xfId="2">
      <alignment vertical="center"/>
    </xf>
    <xf numFmtId="165" fontId="11" fillId="0" borderId="30" applyAlignment="1" pivotButton="0" quotePrefix="0" xfId="1">
      <alignment horizontal="right" vertical="center"/>
    </xf>
    <xf numFmtId="165" fontId="11" fillId="0" borderId="34" applyAlignment="1" pivotButton="0" quotePrefix="0" xfId="1">
      <alignment vertical="center"/>
    </xf>
    <xf numFmtId="165" fontId="7" fillId="0" borderId="15" applyAlignment="1" pivotButton="0" quotePrefix="0" xfId="1">
      <alignment horizontal="right" vertical="center"/>
    </xf>
    <xf numFmtId="165" fontId="7" fillId="0" borderId="12" applyAlignment="1" pivotButton="0" quotePrefix="0" xfId="1">
      <alignment horizontal="right" vertical="center"/>
    </xf>
    <xf numFmtId="165" fontId="7" fillId="0" borderId="13" applyAlignment="1" pivotButton="0" quotePrefix="0" xfId="1">
      <alignment horizontal="right" vertical="center"/>
    </xf>
    <xf numFmtId="164" fontId="7" fillId="0" borderId="11" applyAlignment="1" pivotButton="0" quotePrefix="0" xfId="2">
      <alignment vertical="center"/>
    </xf>
    <xf numFmtId="165" fontId="7" fillId="0" borderId="11" applyAlignment="1" pivotButton="0" quotePrefix="0" xfId="1">
      <alignment horizontal="right" vertical="center"/>
    </xf>
    <xf numFmtId="165" fontId="7" fillId="0" borderId="36" applyAlignment="1" pivotButton="0" quotePrefix="0" xfId="1">
      <alignment horizontal="right" vertical="center"/>
    </xf>
    <xf numFmtId="165" fontId="7" fillId="0" borderId="37" applyAlignment="1" pivotButton="0" quotePrefix="0" xfId="1">
      <alignment horizontal="right" vertical="center"/>
    </xf>
    <xf numFmtId="165" fontId="11" fillId="0" borderId="44" applyAlignment="1" pivotButton="0" quotePrefix="0" xfId="1">
      <alignment vertical="center"/>
    </xf>
    <xf numFmtId="164" fontId="6" fillId="0" borderId="36" applyAlignment="1" pivotButton="0" quotePrefix="0" xfId="2">
      <alignment vertical="center"/>
    </xf>
    <xf numFmtId="164" fontId="0" fillId="2" borderId="15" applyAlignment="1" pivotButton="0" quotePrefix="0" xfId="0">
      <alignment vertical="center" shrinkToFit="1"/>
    </xf>
    <xf numFmtId="164" fontId="0" fillId="2" borderId="12" applyAlignment="1" pivotButton="0" quotePrefix="0" xfId="0">
      <alignment vertical="center" shrinkToFit="1"/>
    </xf>
    <xf numFmtId="164" fontId="0" fillId="2" borderId="12" applyAlignment="1" pivotButton="0" quotePrefix="0" xfId="0">
      <alignment vertical="center"/>
    </xf>
    <xf numFmtId="166" fontId="11" fillId="2" borderId="12" applyAlignment="1" pivotButton="0" quotePrefix="0" xfId="2">
      <alignment vertical="center"/>
    </xf>
    <xf numFmtId="165" fontId="11" fillId="2" borderId="46" applyAlignment="1" pivotButton="0" quotePrefix="0" xfId="1">
      <alignment horizontal="right" vertical="center"/>
    </xf>
    <xf numFmtId="164" fontId="11" fillId="2" borderId="15" applyAlignment="1" pivotButton="0" quotePrefix="0" xfId="2">
      <alignment vertical="center"/>
    </xf>
    <xf numFmtId="165" fontId="11" fillId="2" borderId="15" applyAlignment="1" pivotButton="0" quotePrefix="0" xfId="1">
      <alignment horizontal="right" vertical="center"/>
    </xf>
    <xf numFmtId="165" fontId="11" fillId="2" borderId="12" applyAlignment="1" pivotButton="0" quotePrefix="0" xfId="1">
      <alignment horizontal="right" vertical="center"/>
    </xf>
    <xf numFmtId="165" fontId="11" fillId="2" borderId="13" applyAlignment="1" pivotButton="0" quotePrefix="0" xfId="1">
      <alignment horizontal="right" vertical="center"/>
    </xf>
    <xf numFmtId="165" fontId="11" fillId="2" borderId="14" applyAlignment="1" pivotButton="0" quotePrefix="0" xfId="1">
      <alignment vertical="center"/>
    </xf>
    <xf numFmtId="164" fontId="0" fillId="2" borderId="19" applyAlignment="1" pivotButton="0" quotePrefix="0" xfId="0">
      <alignment vertical="center" shrinkToFit="1"/>
    </xf>
    <xf numFmtId="164" fontId="0" fillId="2" borderId="20" applyAlignment="1" pivotButton="0" quotePrefix="0" xfId="0">
      <alignment vertical="center" shrinkToFit="1"/>
    </xf>
    <xf numFmtId="164" fontId="0" fillId="2" borderId="20" applyAlignment="1" pivotButton="0" quotePrefix="0" xfId="0">
      <alignment vertical="center"/>
    </xf>
    <xf numFmtId="166" fontId="11" fillId="2" borderId="20" applyAlignment="1" pivotButton="0" quotePrefix="0" xfId="2">
      <alignment vertical="center"/>
    </xf>
    <xf numFmtId="165" fontId="11" fillId="2" borderId="43" applyAlignment="1" pivotButton="0" quotePrefix="0" xfId="1">
      <alignment horizontal="right" vertical="center"/>
    </xf>
    <xf numFmtId="164" fontId="11" fillId="2" borderId="19" applyAlignment="1" pivotButton="0" quotePrefix="0" xfId="2">
      <alignment vertical="center"/>
    </xf>
    <xf numFmtId="165" fontId="11" fillId="2" borderId="19" applyAlignment="1" pivotButton="0" quotePrefix="0" xfId="1">
      <alignment horizontal="right" vertical="center"/>
    </xf>
    <xf numFmtId="165" fontId="11" fillId="2" borderId="20" applyAlignment="1" pivotButton="0" quotePrefix="0" xfId="1">
      <alignment horizontal="right" vertical="center"/>
    </xf>
    <xf numFmtId="165" fontId="11" fillId="2" borderId="21" applyAlignment="1" pivotButton="0" quotePrefix="0" xfId="1">
      <alignment horizontal="right" vertical="center"/>
    </xf>
    <xf numFmtId="165" fontId="11" fillId="2" borderId="42" applyAlignment="1" pivotButton="0" quotePrefix="0" xfId="1">
      <alignment vertical="center"/>
    </xf>
    <xf numFmtId="164" fontId="0" fillId="2" borderId="25" applyAlignment="1" pivotButton="0" quotePrefix="0" xfId="0">
      <alignment vertical="center"/>
    </xf>
    <xf numFmtId="164" fontId="0" fillId="2" borderId="26" applyAlignment="1" pivotButton="0" quotePrefix="0" xfId="0">
      <alignment vertical="center"/>
    </xf>
    <xf numFmtId="166" fontId="11" fillId="2" borderId="26" applyAlignment="1" pivotButton="0" quotePrefix="0" xfId="2">
      <alignment vertical="center"/>
    </xf>
    <xf numFmtId="165" fontId="11" fillId="2" borderId="17" applyAlignment="1" pivotButton="0" quotePrefix="0" xfId="1">
      <alignment horizontal="right" vertical="center"/>
    </xf>
    <xf numFmtId="164" fontId="11" fillId="2" borderId="25" applyAlignment="1" pivotButton="0" quotePrefix="0" xfId="2">
      <alignment vertical="center"/>
    </xf>
    <xf numFmtId="165" fontId="11" fillId="2" borderId="25" applyAlignment="1" pivotButton="0" quotePrefix="0" xfId="1">
      <alignment horizontal="right" vertical="center"/>
    </xf>
    <xf numFmtId="165" fontId="11" fillId="2" borderId="26" applyAlignment="1" pivotButton="0" quotePrefix="0" xfId="1">
      <alignment horizontal="right" vertical="center"/>
    </xf>
    <xf numFmtId="165" fontId="11" fillId="2" borderId="24" applyAlignment="1" pivotButton="0" quotePrefix="0" xfId="1">
      <alignment horizontal="right" vertical="center"/>
    </xf>
    <xf numFmtId="165" fontId="11" fillId="2" borderId="27" applyAlignment="1" pivotButton="0" quotePrefix="0" xfId="1">
      <alignment vertical="center"/>
    </xf>
    <xf numFmtId="164" fontId="0" fillId="2" borderId="19" applyAlignment="1" pivotButton="0" quotePrefix="0" xfId="0">
      <alignment vertical="center"/>
    </xf>
    <xf numFmtId="164" fontId="0" fillId="2" borderId="32" applyAlignment="1" pivotButton="0" quotePrefix="0" xfId="0">
      <alignment vertical="center"/>
    </xf>
    <xf numFmtId="164" fontId="0" fillId="2" borderId="7" applyAlignment="1" pivotButton="0" quotePrefix="0" xfId="0">
      <alignment vertical="center"/>
    </xf>
    <xf numFmtId="166" fontId="11" fillId="2" borderId="7" applyAlignment="1" pivotButton="0" quotePrefix="0" xfId="2">
      <alignment vertical="center"/>
    </xf>
    <xf numFmtId="165" fontId="11" fillId="2" borderId="30" applyAlignment="1" pivotButton="0" quotePrefix="0" xfId="1">
      <alignment horizontal="right" vertical="center"/>
    </xf>
    <xf numFmtId="164" fontId="11" fillId="2" borderId="32" applyAlignment="1" pivotButton="0" quotePrefix="0" xfId="2">
      <alignment vertical="center"/>
    </xf>
    <xf numFmtId="165" fontId="11" fillId="2" borderId="32" applyAlignment="1" pivotButton="0" quotePrefix="0" xfId="1">
      <alignment horizontal="right" vertical="center"/>
    </xf>
    <xf numFmtId="165" fontId="11" fillId="2" borderId="7" applyAlignment="1" pivotButton="0" quotePrefix="0" xfId="1">
      <alignment horizontal="right" vertical="center"/>
    </xf>
    <xf numFmtId="165" fontId="11" fillId="2" borderId="8" applyAlignment="1" pivotButton="0" quotePrefix="0" xfId="1">
      <alignment horizontal="right" vertical="center"/>
    </xf>
    <xf numFmtId="165" fontId="11" fillId="2" borderId="33" applyAlignment="1" pivotButton="0" quotePrefix="0" xfId="1">
      <alignment vertical="center"/>
    </xf>
    <xf numFmtId="164" fontId="11" fillId="0" borderId="2" applyAlignment="1" pivotButton="0" quotePrefix="0" xfId="2">
      <alignment vertical="center"/>
    </xf>
    <xf numFmtId="164" fontId="11" fillId="0" borderId="3" applyAlignment="1" pivotButton="0" quotePrefix="0" xfId="2">
      <alignment vertical="center"/>
    </xf>
    <xf numFmtId="166" fontId="11" fillId="0" borderId="3" applyAlignment="1" pivotButton="0" quotePrefix="0" xfId="2">
      <alignment vertical="center"/>
    </xf>
    <xf numFmtId="165" fontId="11" fillId="0" borderId="49" applyAlignment="1" pivotButton="0" quotePrefix="0" xfId="1">
      <alignment horizontal="right" vertical="center"/>
    </xf>
    <xf numFmtId="165" fontId="11" fillId="0" borderId="2" applyAlignment="1" pivotButton="0" quotePrefix="0" xfId="1">
      <alignment horizontal="right" vertical="center"/>
    </xf>
    <xf numFmtId="165" fontId="11" fillId="0" borderId="3" applyAlignment="1" pivotButton="0" quotePrefix="0" xfId="1">
      <alignment horizontal="right" vertical="center"/>
    </xf>
    <xf numFmtId="165" fontId="11" fillId="0" borderId="50" applyAlignment="1" pivotButton="0" quotePrefix="0" xfId="1">
      <alignment vertical="center"/>
    </xf>
    <xf numFmtId="166" fontId="3" fillId="0" borderId="2" applyAlignment="1" pivotButton="0" quotePrefix="0" xfId="0">
      <alignment horizontal="center" vertical="center" wrapText="1"/>
    </xf>
    <xf numFmtId="166" fontId="3" fillId="0" borderId="3" applyAlignment="1" pivotButton="0" quotePrefix="0" xfId="0">
      <alignment horizontal="center" vertical="center" wrapText="1"/>
    </xf>
    <xf numFmtId="166" fontId="2" fillId="0" borderId="4" applyAlignment="1" pivotButton="0" quotePrefix="0" xfId="0">
      <alignment horizontal="center" vertical="center" wrapText="1"/>
    </xf>
    <xf numFmtId="166" fontId="6" fillId="0" borderId="11" applyAlignment="1" pivotButton="0" quotePrefix="0" xfId="2">
      <alignment vertical="center"/>
    </xf>
    <xf numFmtId="166" fontId="6" fillId="0" borderId="12" applyAlignment="1" pivotButton="0" quotePrefix="0" xfId="2">
      <alignment vertical="center"/>
    </xf>
    <xf numFmtId="166" fontId="7" fillId="0" borderId="12" applyAlignment="1" pivotButton="0" quotePrefix="0" xfId="2">
      <alignment vertical="center"/>
    </xf>
    <xf numFmtId="166" fontId="11" fillId="0" borderId="19" applyAlignment="1" pivotButton="0" quotePrefix="0" xfId="2">
      <alignment vertical="center"/>
    </xf>
    <xf numFmtId="166" fontId="7" fillId="0" borderId="20" applyAlignment="1" pivotButton="0" quotePrefix="0" xfId="2">
      <alignment vertical="center"/>
    </xf>
    <xf numFmtId="166" fontId="6" fillId="0" borderId="25" applyAlignment="1" pivotButton="0" quotePrefix="0" xfId="2">
      <alignment vertical="center"/>
    </xf>
    <xf numFmtId="166" fontId="6" fillId="0" borderId="26" applyAlignment="1" pivotButton="0" quotePrefix="0" xfId="2">
      <alignment vertical="center"/>
    </xf>
    <xf numFmtId="166" fontId="7" fillId="0" borderId="26" applyAlignment="1" pivotButton="0" quotePrefix="0" xfId="2">
      <alignment vertical="center"/>
    </xf>
    <xf numFmtId="166" fontId="6" fillId="0" borderId="32" applyAlignment="1" pivotButton="0" quotePrefix="0" xfId="2">
      <alignment vertical="center"/>
    </xf>
    <xf numFmtId="166" fontId="6" fillId="0" borderId="7" applyAlignment="1" pivotButton="0" quotePrefix="0" xfId="2">
      <alignment vertical="center"/>
    </xf>
    <xf numFmtId="166" fontId="7" fillId="0" borderId="7" applyAlignment="1" pivotButton="0" quotePrefix="0" xfId="2">
      <alignment vertical="center"/>
    </xf>
    <xf numFmtId="166" fontId="8" fillId="0" borderId="11" applyAlignment="1" pivotButton="0" quotePrefix="0" xfId="2">
      <alignment vertical="center"/>
    </xf>
    <xf numFmtId="166" fontId="8" fillId="0" borderId="36" applyAlignment="1" pivotButton="0" quotePrefix="0" xfId="2">
      <alignment vertical="center"/>
    </xf>
    <xf numFmtId="166" fontId="7" fillId="0" borderId="36" applyAlignment="1" pivotButton="0" quotePrefix="0" xfId="2">
      <alignment vertical="center"/>
    </xf>
    <xf numFmtId="166" fontId="8" fillId="0" borderId="19" applyAlignment="1" pivotButton="0" quotePrefix="0" xfId="2">
      <alignment vertical="center"/>
    </xf>
    <xf numFmtId="166" fontId="8" fillId="0" borderId="20" applyAlignment="1" pivotButton="0" quotePrefix="0" xfId="2">
      <alignment vertical="center"/>
    </xf>
    <xf numFmtId="166" fontId="8" fillId="0" borderId="25" applyAlignment="1" pivotButton="0" quotePrefix="0" xfId="2">
      <alignment vertical="center"/>
    </xf>
    <xf numFmtId="166" fontId="8" fillId="0" borderId="26" applyAlignment="1" pivotButton="0" quotePrefix="0" xfId="2">
      <alignment vertical="center"/>
    </xf>
    <xf numFmtId="166" fontId="8" fillId="0" borderId="32" applyAlignment="1" pivotButton="0" quotePrefix="0" xfId="2">
      <alignment vertical="center"/>
    </xf>
    <xf numFmtId="166" fontId="8" fillId="0" borderId="7" applyAlignment="1" pivotButton="0" quotePrefix="0" xfId="2">
      <alignment vertical="center"/>
    </xf>
    <xf numFmtId="166" fontId="6" fillId="0" borderId="19" applyAlignment="1" pivotButton="0" quotePrefix="0" xfId="2">
      <alignment vertical="center"/>
    </xf>
    <xf numFmtId="166" fontId="6" fillId="0" borderId="20" applyAlignment="1" pivotButton="0" quotePrefix="0" xfId="2">
      <alignment vertical="center"/>
    </xf>
    <xf numFmtId="166" fontId="7" fillId="0" borderId="20" applyAlignment="1" pivotButton="0" quotePrefix="0" xfId="0">
      <alignment vertical="center"/>
    </xf>
    <xf numFmtId="166" fontId="13" fillId="0" borderId="15" applyAlignment="1" pivotButton="0" quotePrefix="0" xfId="2">
      <alignment vertical="center"/>
    </xf>
    <xf numFmtId="166" fontId="13" fillId="0" borderId="12" applyAlignment="1" pivotButton="0" quotePrefix="0" xfId="2">
      <alignment vertical="center"/>
    </xf>
    <xf numFmtId="166" fontId="7" fillId="0" borderId="11" applyAlignment="1" pivotButton="0" quotePrefix="0" xfId="2">
      <alignment vertical="center"/>
    </xf>
    <xf numFmtId="166" fontId="13" fillId="0" borderId="11" applyAlignment="1" pivotButton="0" quotePrefix="0" xfId="2">
      <alignment vertical="center"/>
    </xf>
    <xf numFmtId="166" fontId="13" fillId="0" borderId="20" applyAlignment="1" pivotButton="0" quotePrefix="0" xfId="2">
      <alignment vertical="center"/>
    </xf>
    <xf numFmtId="166" fontId="7" fillId="0" borderId="19" applyAlignment="1" pivotButton="0" quotePrefix="0" xfId="2">
      <alignment vertical="center"/>
    </xf>
    <xf numFmtId="166" fontId="7" fillId="0" borderId="32" applyAlignment="1" pivotButton="0" quotePrefix="0" xfId="2">
      <alignment vertical="center"/>
    </xf>
    <xf numFmtId="166" fontId="6" fillId="0" borderId="15" applyAlignment="1" pivotButton="0" quotePrefix="0" xfId="2">
      <alignment vertical="center"/>
    </xf>
    <xf numFmtId="166" fontId="11" fillId="0" borderId="12" applyAlignment="1" pivotButton="0" quotePrefix="0" xfId="2">
      <alignment vertical="center" shrinkToFit="1"/>
    </xf>
    <xf numFmtId="166" fontId="11" fillId="0" borderId="32" applyAlignment="1" pivotButton="0" quotePrefix="0" xfId="2">
      <alignment vertical="center"/>
    </xf>
    <xf numFmtId="166" fontId="6" fillId="0" borderId="36" applyAlignment="1" pivotButton="0" quotePrefix="0" xfId="2">
      <alignment vertical="center"/>
    </xf>
    <xf numFmtId="166" fontId="0" fillId="2" borderId="15" applyAlignment="1" pivotButton="0" quotePrefix="0" xfId="0">
      <alignment vertical="center" shrinkToFit="1"/>
    </xf>
    <xf numFmtId="166" fontId="0" fillId="2" borderId="12" applyAlignment="1" pivotButton="0" quotePrefix="0" xfId="0">
      <alignment vertical="center" shrinkToFit="1"/>
    </xf>
    <xf numFmtId="166" fontId="0" fillId="2" borderId="12" applyAlignment="1" pivotButton="0" quotePrefix="0" xfId="0">
      <alignment vertical="center"/>
    </xf>
    <xf numFmtId="166" fontId="0" fillId="2" borderId="19" applyAlignment="1" pivotButton="0" quotePrefix="0" xfId="0">
      <alignment vertical="center" shrinkToFit="1"/>
    </xf>
    <xf numFmtId="166" fontId="0" fillId="2" borderId="20" applyAlignment="1" pivotButton="0" quotePrefix="0" xfId="0">
      <alignment vertical="center" shrinkToFit="1"/>
    </xf>
    <xf numFmtId="166" fontId="0" fillId="2" borderId="20" applyAlignment="1" pivotButton="0" quotePrefix="0" xfId="0">
      <alignment vertical="center"/>
    </xf>
    <xf numFmtId="166" fontId="0" fillId="2" borderId="25" applyAlignment="1" pivotButton="0" quotePrefix="0" xfId="0">
      <alignment vertical="center"/>
    </xf>
    <xf numFmtId="166" fontId="0" fillId="2" borderId="26" applyAlignment="1" pivotButton="0" quotePrefix="0" xfId="0">
      <alignment vertical="center"/>
    </xf>
    <xf numFmtId="166" fontId="0" fillId="2" borderId="19" applyAlignment="1" pivotButton="0" quotePrefix="0" xfId="0">
      <alignment vertical="center"/>
    </xf>
    <xf numFmtId="166" fontId="0" fillId="2" borderId="32" applyAlignment="1" pivotButton="0" quotePrefix="0" xfId="0">
      <alignment vertical="center"/>
    </xf>
    <xf numFmtId="166" fontId="0" fillId="2" borderId="7" applyAlignment="1" pivotButton="0" quotePrefix="0" xfId="0">
      <alignment vertical="center"/>
    </xf>
    <xf numFmtId="166" fontId="14" fillId="0" borderId="2" applyAlignment="1" pivotButton="0" quotePrefix="0" xfId="2">
      <alignment vertical="center"/>
    </xf>
    <xf numFmtId="166" fontId="14" fillId="0" borderId="3" applyAlignment="1" pivotButton="0" quotePrefix="0" xfId="2">
      <alignment vertical="center"/>
    </xf>
    <xf numFmtId="164" fontId="11" fillId="0" borderId="26" applyAlignment="1" pivotButton="0" quotePrefix="0" xfId="2">
      <alignment vertical="center"/>
    </xf>
    <xf numFmtId="164" fontId="11" fillId="0" borderId="36" applyAlignment="1" pivotButton="0" quotePrefix="0" xfId="2">
      <alignment vertical="center"/>
    </xf>
    <xf numFmtId="164" fontId="11" fillId="0" borderId="20" applyAlignment="1" pivotButton="0" quotePrefix="0" xfId="2">
      <alignment horizontal="right" vertical="center"/>
    </xf>
    <xf numFmtId="164" fontId="11" fillId="0" borderId="7" applyAlignment="1" pivotButton="0" quotePrefix="0" xfId="2">
      <alignment horizontal="right" vertical="center"/>
    </xf>
    <xf numFmtId="164" fontId="11" fillId="0" borderId="12" applyAlignment="1" pivotButton="0" quotePrefix="0" xfId="2">
      <alignment horizontal="right" vertical="center"/>
    </xf>
    <xf numFmtId="164" fontId="11" fillId="0" borderId="47" applyAlignment="1" pivotButton="0" quotePrefix="0" xfId="2">
      <alignment vertical="center"/>
    </xf>
    <xf numFmtId="164" fontId="11" fillId="0" borderId="39" applyAlignment="1" pivotButton="0" quotePrefix="0" xfId="2">
      <alignment vertical="center"/>
    </xf>
    <xf numFmtId="164" fontId="7" fillId="0" borderId="39" applyAlignment="1" pivotButton="0" quotePrefix="0" xfId="2">
      <alignment vertical="center"/>
    </xf>
    <xf numFmtId="164" fontId="11" fillId="0" borderId="36" applyAlignment="1" pivotButton="0" quotePrefix="0" xfId="2">
      <alignment horizontal="right" vertical="center"/>
    </xf>
    <xf numFmtId="164" fontId="11" fillId="0" borderId="40" applyAlignment="1" pivotButton="0" quotePrefix="0" xfId="2">
      <alignment vertical="center"/>
    </xf>
    <xf numFmtId="164" fontId="0" fillId="2" borderId="15" applyAlignment="1" pivotButton="0" quotePrefix="0" xfId="0">
      <alignment vertical="center"/>
    </xf>
    <xf numFmtId="164" fontId="11" fillId="2" borderId="12" applyAlignment="1" pivotButton="0" quotePrefix="0" xfId="2">
      <alignment vertical="center"/>
    </xf>
    <xf numFmtId="165" fontId="5" fillId="2" borderId="14" applyAlignment="1" pivotButton="0" quotePrefix="0" xfId="1">
      <alignment vertical="center"/>
    </xf>
    <xf numFmtId="164" fontId="11" fillId="2" borderId="20" applyAlignment="1" pivotButton="0" quotePrefix="0" xfId="2">
      <alignment vertical="center"/>
    </xf>
    <xf numFmtId="164" fontId="11" fillId="2" borderId="26" applyAlignment="1" pivotButton="0" quotePrefix="0" xfId="2">
      <alignment vertical="center"/>
    </xf>
    <xf numFmtId="164" fontId="11" fillId="2" borderId="7" applyAlignment="1" pivotButton="0" quotePrefix="0" xfId="2">
      <alignment vertical="center"/>
    </xf>
  </cellXfs>
  <cellStyles count="3">
    <cellStyle name="標準" xfId="0" builtinId="0"/>
    <cellStyle name="パーセント" xfId="1" builtinId="5"/>
    <cellStyle name="Excel Built-in Comma [0]" xfId="2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50"/>
  <sheetViews>
    <sheetView workbookViewId="0">
      <selection activeCell="S3" sqref="S3:S4"/>
    </sheetView>
  </sheetViews>
  <sheetFormatPr baseColWidth="8" defaultColWidth="8.5" defaultRowHeight="18.75"/>
  <cols>
    <col width="2.375" customWidth="1" style="1" min="4" max="4"/>
    <col width="2.875" customWidth="1" style="1" min="5" max="5"/>
    <col width="3.125" customWidth="1" style="1" min="6" max="7"/>
    <col width="16" customWidth="1" style="1" min="8" max="8"/>
    <col width="8.5" customWidth="1" style="302" min="13" max="14"/>
    <col width="8.5" customWidth="1" style="302" min="20" max="21"/>
    <col width="60.5" customWidth="1" style="1" min="29" max="29"/>
  </cols>
  <sheetData>
    <row r="1" ht="23.25" customHeight="1" s="1">
      <c r="D1" s="2" t="inlineStr">
        <is>
          <t>1．単月</t>
        </is>
      </c>
    </row>
    <row r="2"/>
    <row r="3" ht="18.75" customHeight="1" s="1">
      <c r="D3" s="284" t="n"/>
      <c r="E3" s="285" t="n"/>
      <c r="F3" s="285" t="n"/>
      <c r="G3" s="285" t="n"/>
      <c r="H3" s="286" t="n"/>
      <c r="I3" s="282" t="inlineStr">
        <is>
          <t>2024年8月売上実績</t>
        </is>
      </c>
      <c r="J3" s="290" t="inlineStr">
        <is>
          <t>2025年8月売上実績</t>
        </is>
      </c>
      <c r="K3" s="292" t="inlineStr">
        <is>
          <t>2026年8月売上計画</t>
        </is>
      </c>
      <c r="L3" s="292" t="inlineStr">
        <is>
          <t>2026年8月売上実績</t>
        </is>
      </c>
      <c r="M3" s="303" t="n"/>
      <c r="N3" s="303" t="n"/>
      <c r="O3" s="4" t="n"/>
      <c r="P3" s="282" t="inlineStr">
        <is>
          <t>2024年8月粗利益実績</t>
        </is>
      </c>
      <c r="Q3" s="290" t="inlineStr">
        <is>
          <t>2025年8月粗利益実績</t>
        </is>
      </c>
      <c r="R3" s="292" t="inlineStr">
        <is>
          <t>2026年8月粗利益計画</t>
        </is>
      </c>
      <c r="S3" s="292" t="inlineStr">
        <is>
          <t>2026年8月粗利益実績</t>
        </is>
      </c>
      <c r="T3" s="303" t="n"/>
      <c r="U3" s="303" t="n"/>
      <c r="V3" s="4" t="n"/>
      <c r="W3" s="297" t="inlineStr">
        <is>
          <t>2024年8月粗利益率実績</t>
        </is>
      </c>
      <c r="X3" s="298" t="inlineStr">
        <is>
          <t>2025年8月粗利益率実績</t>
        </is>
      </c>
      <c r="Y3" s="294" t="inlineStr">
        <is>
          <t>2026年8月粗利益率計画</t>
        </is>
      </c>
      <c r="Z3" s="294" t="inlineStr">
        <is>
          <t>2026年8月粗利益率実績</t>
        </is>
      </c>
      <c r="AA3" s="5" t="n"/>
      <c r="AB3" s="5" t="n"/>
      <c r="AC3" s="295" t="inlineStr">
        <is>
          <t>作成根拠</t>
        </is>
      </c>
    </row>
    <row r="4">
      <c r="D4" s="287" t="n"/>
      <c r="E4" s="288" t="n"/>
      <c r="F4" s="288" t="n"/>
      <c r="G4" s="288" t="n"/>
      <c r="H4" s="289" t="n"/>
      <c r="I4" s="283" t="n"/>
      <c r="J4" s="291" t="n"/>
      <c r="K4" s="293" t="n"/>
      <c r="L4" s="293" t="n"/>
      <c r="M4" s="304" t="inlineStr">
        <is>
          <t>計画比</t>
        </is>
      </c>
      <c r="N4" s="304" t="inlineStr">
        <is>
          <t>前期比</t>
        </is>
      </c>
      <c r="O4" s="7" t="inlineStr">
        <is>
          <t>年率</t>
        </is>
      </c>
      <c r="P4" s="283" t="n"/>
      <c r="Q4" s="291" t="n"/>
      <c r="R4" s="293" t="n"/>
      <c r="S4" s="293" t="n"/>
      <c r="T4" s="304" t="inlineStr">
        <is>
          <t>計画比</t>
        </is>
      </c>
      <c r="U4" s="304" t="inlineStr">
        <is>
          <t>前期比</t>
        </is>
      </c>
      <c r="V4" s="7" t="inlineStr">
        <is>
          <t>年率</t>
        </is>
      </c>
      <c r="W4" s="283" t="n"/>
      <c r="X4" s="291" t="n"/>
      <c r="Y4" s="293" t="n"/>
      <c r="Z4" s="293" t="n"/>
      <c r="AA4" s="6" t="inlineStr">
        <is>
          <t>計画比</t>
        </is>
      </c>
      <c r="AB4" s="6" t="inlineStr">
        <is>
          <t>前期比</t>
        </is>
      </c>
      <c r="AC4" s="296" t="n"/>
    </row>
    <row r="5">
      <c r="D5" s="8" t="n"/>
      <c r="E5" s="9" t="n"/>
      <c r="F5" s="10" t="inlineStr">
        <is>
          <t>石見営業所</t>
        </is>
      </c>
      <c r="H5" s="11" t="n"/>
      <c r="I5" s="305" t="n">
        <v>72108.62800000001</v>
      </c>
      <c r="J5" s="306" t="n">
        <v>66987.523</v>
      </c>
      <c r="K5" s="307" t="n">
        <v>73080</v>
      </c>
      <c r="L5" s="306" t="n">
        <v>64244.212</v>
      </c>
      <c r="M5" s="308">
        <f>L5-K5</f>
        <v/>
      </c>
      <c r="N5" s="308">
        <f>L5-J5</f>
        <v/>
      </c>
      <c r="O5" s="309">
        <f>IF(J5=0,"***",N5/J5)</f>
        <v/>
      </c>
      <c r="P5" s="310" t="n">
        <v>18018.94319999999</v>
      </c>
      <c r="Q5" s="310" t="n">
        <v>18750.251</v>
      </c>
      <c r="R5" s="310" t="n">
        <v>19360</v>
      </c>
      <c r="S5" s="310" t="n">
        <v>19039.774</v>
      </c>
      <c r="T5" s="308">
        <f>S5-R5</f>
        <v/>
      </c>
      <c r="U5" s="308">
        <f>S5-Q5</f>
        <v/>
      </c>
      <c r="V5" s="309">
        <f>IF(Q5=0,"***",U5/Q5)</f>
        <v/>
      </c>
      <c r="W5" s="311">
        <f>IF(I5=0,"***",P5/I5)</f>
        <v/>
      </c>
      <c r="X5" s="312">
        <f>IF(J5=0,"***",Q5/J5)</f>
        <v/>
      </c>
      <c r="Y5" s="312">
        <f>IF(K5=0,"***",R5/K5)</f>
        <v/>
      </c>
      <c r="Z5" s="312">
        <f>IF(L5=0,"***",S5/L5)</f>
        <v/>
      </c>
      <c r="AA5" s="313">
        <f>IF(Y5="***","***",Z5-X5)</f>
        <v/>
      </c>
      <c r="AB5" s="312">
        <f>IF(Z5="***","***",Z5-X5)</f>
        <v/>
      </c>
      <c r="AC5" s="21" t="n"/>
    </row>
    <row r="6">
      <c r="D6" s="8" t="n"/>
      <c r="E6" s="9" t="n"/>
      <c r="F6" s="9" t="n"/>
      <c r="G6" s="22" t="inlineStr">
        <is>
          <t>営業</t>
        </is>
      </c>
      <c r="H6" s="23" t="n"/>
      <c r="I6" s="314">
        <f>I5-I9</f>
        <v/>
      </c>
      <c r="J6" s="315">
        <f>J5-J9</f>
        <v/>
      </c>
      <c r="K6" s="316">
        <f>K5-K9</f>
        <v/>
      </c>
      <c r="L6" s="315">
        <f>L5-L9</f>
        <v/>
      </c>
      <c r="M6" s="317">
        <f>L6-K6</f>
        <v/>
      </c>
      <c r="N6" s="317">
        <f>L6-J6</f>
        <v/>
      </c>
      <c r="O6" s="318">
        <f>IF(J6=0,"***",N6/J6)</f>
        <v/>
      </c>
      <c r="P6" s="314">
        <f>P5-P9</f>
        <v/>
      </c>
      <c r="Q6" s="315">
        <f>Q5-Q9</f>
        <v/>
      </c>
      <c r="R6" s="316">
        <f>R5-R9</f>
        <v/>
      </c>
      <c r="S6" s="315">
        <f>S5-S9</f>
        <v/>
      </c>
      <c r="T6" s="317">
        <f>S6-R6</f>
        <v/>
      </c>
      <c r="U6" s="317">
        <f>S6-Q6</f>
        <v/>
      </c>
      <c r="V6" s="318">
        <f>IF(Q6=0,"***",U6/Q6)</f>
        <v/>
      </c>
      <c r="W6" s="319">
        <f>IF(I6=0,"***",P6/I6)</f>
        <v/>
      </c>
      <c r="X6" s="320">
        <f>IF(J6=0,"***",Q6/J6)</f>
        <v/>
      </c>
      <c r="Y6" s="320">
        <f>IF(K6=0,"***",R6/K6)</f>
        <v/>
      </c>
      <c r="Z6" s="320">
        <f>IF(L6=0,"***",S6/L6)</f>
        <v/>
      </c>
      <c r="AA6" s="321">
        <f>IF(Y6="***","***",Z6-X6)</f>
        <v/>
      </c>
      <c r="AB6" s="320">
        <f>IF(Z6="***","***",Z6-X6)</f>
        <v/>
      </c>
      <c r="AC6" s="31" t="n"/>
    </row>
    <row r="7">
      <c r="D7" s="8" t="n"/>
      <c r="E7" s="9" t="n"/>
      <c r="F7" s="9" t="n"/>
      <c r="G7" s="32" t="n"/>
      <c r="H7" s="33" t="inlineStr">
        <is>
          <t>包装資材</t>
        </is>
      </c>
      <c r="I7" s="314">
        <f>I6-I8</f>
        <v/>
      </c>
      <c r="J7" s="315">
        <f>J6-J8</f>
        <v/>
      </c>
      <c r="K7" s="316">
        <f>K6-K8</f>
        <v/>
      </c>
      <c r="L7" s="315">
        <f>L6-L8</f>
        <v/>
      </c>
      <c r="M7" s="317">
        <f>L7-K7</f>
        <v/>
      </c>
      <c r="N7" s="317">
        <f>L7-J7</f>
        <v/>
      </c>
      <c r="O7" s="318">
        <f>IF(J7=0,"***",N7/J7)</f>
        <v/>
      </c>
      <c r="P7" s="314">
        <f>P6-P8</f>
        <v/>
      </c>
      <c r="Q7" s="315">
        <f>Q6-Q8</f>
        <v/>
      </c>
      <c r="R7" s="316">
        <f>R6-R8</f>
        <v/>
      </c>
      <c r="S7" s="315">
        <f>S6-S8</f>
        <v/>
      </c>
      <c r="T7" s="317">
        <f>S7-R7</f>
        <v/>
      </c>
      <c r="U7" s="317">
        <f>S7-Q7</f>
        <v/>
      </c>
      <c r="V7" s="318">
        <f>IF(Q7=0,"***",U7/Q7)</f>
        <v/>
      </c>
      <c r="W7" s="319">
        <f>IF(I7=0,"***",P7/I7)</f>
        <v/>
      </c>
      <c r="X7" s="320">
        <f>IF(J7=0,"***",Q7/J7)</f>
        <v/>
      </c>
      <c r="Y7" s="320">
        <f>IF(K7=0,"***",R7/K7)</f>
        <v/>
      </c>
      <c r="Z7" s="320">
        <f>IF(L7=0,"***",S7/L7)</f>
        <v/>
      </c>
      <c r="AA7" s="321">
        <f>IF(Y7="***","***",Z7-X7)</f>
        <v/>
      </c>
      <c r="AB7" s="320">
        <f>IF(Z7="***","***",Z7-X7)</f>
        <v/>
      </c>
      <c r="AC7" s="31" t="n"/>
    </row>
    <row r="8">
      <c r="D8" s="8" t="n"/>
      <c r="E8" s="9" t="n"/>
      <c r="F8" s="9" t="n"/>
      <c r="G8" s="32" t="n"/>
      <c r="H8" s="34" t="inlineStr">
        <is>
          <t>機械</t>
        </is>
      </c>
      <c r="I8" s="322" t="n">
        <v>7509.518</v>
      </c>
      <c r="J8" s="323" t="n">
        <v>1265.522</v>
      </c>
      <c r="K8" s="324" t="n">
        <v>4000</v>
      </c>
      <c r="L8" s="323" t="n">
        <v>975.121</v>
      </c>
      <c r="M8" s="325">
        <f>L8-K8</f>
        <v/>
      </c>
      <c r="N8" s="325">
        <f>L8-J8</f>
        <v/>
      </c>
      <c r="O8" s="326">
        <f>IF(J8=0,"***",N8/J8)</f>
        <v/>
      </c>
      <c r="P8" s="327" t="n">
        <v>1071.83</v>
      </c>
      <c r="Q8" s="328" t="n">
        <v>327.011</v>
      </c>
      <c r="R8" s="324" t="n">
        <v>640</v>
      </c>
      <c r="S8" s="328" t="n">
        <v>236.88</v>
      </c>
      <c r="T8" s="325">
        <f>S8-R8</f>
        <v/>
      </c>
      <c r="U8" s="325">
        <f>S8-Q8</f>
        <v/>
      </c>
      <c r="V8" s="326">
        <f>IF(Q8=0,"***",U8/Q8)</f>
        <v/>
      </c>
      <c r="W8" s="329">
        <f>IF(I8=0,"***",P8/I8)</f>
        <v/>
      </c>
      <c r="X8" s="330">
        <f>IF(J8=0,"***",Q8/J8)</f>
        <v/>
      </c>
      <c r="Y8" s="330">
        <f>IF(K8=0,"***",R8/K8)</f>
        <v/>
      </c>
      <c r="Z8" s="330">
        <f>IF(L8=0,"***",S8/L8)</f>
        <v/>
      </c>
      <c r="AA8" s="331">
        <f>IF(Y8="***","***",Z8-X8)</f>
        <v/>
      </c>
      <c r="AB8" s="330">
        <f>IF(Z8="***","***",Z8-X8)</f>
        <v/>
      </c>
      <c r="AC8" s="45" t="n"/>
    </row>
    <row r="9">
      <c r="D9" s="8" t="n"/>
      <c r="E9" s="9" t="n"/>
      <c r="F9" s="46" t="n"/>
      <c r="G9" s="47" t="inlineStr">
        <is>
          <t>自治体</t>
        </is>
      </c>
      <c r="H9" s="48" t="n"/>
      <c r="I9" s="332" t="n">
        <v>4126.3</v>
      </c>
      <c r="J9" s="333" t="n">
        <v>0</v>
      </c>
      <c r="K9" s="334" t="n">
        <v>1340</v>
      </c>
      <c r="L9" s="333" t="n">
        <v>698</v>
      </c>
      <c r="M9" s="335">
        <f>L9-K9</f>
        <v/>
      </c>
      <c r="N9" s="335">
        <f>L9-J9</f>
        <v/>
      </c>
      <c r="O9" s="336">
        <f>IF(J9=0,"***",N9/J9)</f>
        <v/>
      </c>
      <c r="P9" s="337" t="n">
        <v>267.6</v>
      </c>
      <c r="Q9" s="338" t="n">
        <v>0</v>
      </c>
      <c r="R9" s="334" t="n">
        <v>210</v>
      </c>
      <c r="S9" s="338" t="n">
        <v>77.7</v>
      </c>
      <c r="T9" s="335">
        <f>S9-R9</f>
        <v/>
      </c>
      <c r="U9" s="335">
        <f>S9-Q9</f>
        <v/>
      </c>
      <c r="V9" s="336">
        <f>IF(Q9=0,"***",U9/Q9)</f>
        <v/>
      </c>
      <c r="W9" s="339">
        <f>IF(I9=0,"***",P9/I9)</f>
        <v/>
      </c>
      <c r="X9" s="340">
        <f>IF(J9=0,"***",Q9/J9)</f>
        <v/>
      </c>
      <c r="Y9" s="340">
        <f>IF(K9=0,"***",R9/K9)</f>
        <v/>
      </c>
      <c r="Z9" s="340">
        <f>IF(L9=0,"***",S9/L9)</f>
        <v/>
      </c>
      <c r="AA9" s="341">
        <f>IF(Y9="***","***",Z9-X9)</f>
        <v/>
      </c>
      <c r="AB9" s="340">
        <f>IF(Z9="***","***",Z9-X9)</f>
        <v/>
      </c>
      <c r="AC9" s="59" t="n"/>
    </row>
    <row r="10">
      <c r="D10" s="8" t="n"/>
      <c r="E10" s="9" t="n"/>
      <c r="F10" s="60" t="inlineStr">
        <is>
          <t>下関営業所</t>
        </is>
      </c>
      <c r="G10" s="5" t="n"/>
      <c r="H10" s="61" t="n"/>
      <c r="I10" s="342" t="n">
        <v>42251.729</v>
      </c>
      <c r="J10" s="343" t="n">
        <v>39285.588</v>
      </c>
      <c r="K10" s="344" t="n">
        <v>43700</v>
      </c>
      <c r="L10" s="343" t="n">
        <v>44275.119</v>
      </c>
      <c r="M10" s="345">
        <f>L10-K10</f>
        <v/>
      </c>
      <c r="N10" s="345">
        <f>L10-J10</f>
        <v/>
      </c>
      <c r="O10" s="346">
        <f>IF(J10=0,"***",N10/J10)</f>
        <v/>
      </c>
      <c r="P10" s="342" t="n">
        <v>8457.076000000001</v>
      </c>
      <c r="Q10" s="343" t="n">
        <v>8267.92</v>
      </c>
      <c r="R10" s="344" t="n">
        <v>9100</v>
      </c>
      <c r="S10" s="343" t="n">
        <v>9189.129000000001</v>
      </c>
      <c r="T10" s="345">
        <f>S10-R10</f>
        <v/>
      </c>
      <c r="U10" s="345">
        <f>S10-Q10</f>
        <v/>
      </c>
      <c r="V10" s="346">
        <f>IF(Q10=0,"***",U10/Q10)</f>
        <v/>
      </c>
      <c r="W10" s="347">
        <f>IF(I10=0,"***",P10/I10)</f>
        <v/>
      </c>
      <c r="X10" s="348">
        <f>IF(J10=0,"***",Q10/J10)</f>
        <v/>
      </c>
      <c r="Y10" s="348">
        <f>IF(K10=0,"***",R10/K10)</f>
        <v/>
      </c>
      <c r="Z10" s="348">
        <f>IF(L10=0,"***",S10/L10)</f>
        <v/>
      </c>
      <c r="AA10" s="349">
        <f>IF(Y10="***","***",Z10-X10)</f>
        <v/>
      </c>
      <c r="AB10" s="348">
        <f>IF(Z10="***","***",Z10-X10)</f>
        <v/>
      </c>
      <c r="AC10" s="70" t="n"/>
    </row>
    <row r="11">
      <c r="D11" s="8" t="n"/>
      <c r="E11" s="9" t="n"/>
      <c r="F11" s="9" t="n"/>
      <c r="G11" s="22" t="inlineStr">
        <is>
          <t>営業</t>
        </is>
      </c>
      <c r="H11" s="23" t="n"/>
      <c r="I11" s="314">
        <f>I10-I15-I14</f>
        <v/>
      </c>
      <c r="J11" s="315">
        <f>J10-J15-J14</f>
        <v/>
      </c>
      <c r="K11" s="316">
        <f>K10-K15-K14</f>
        <v/>
      </c>
      <c r="L11" s="315">
        <f>L10-L15-L14</f>
        <v/>
      </c>
      <c r="M11" s="317">
        <f>L11-K11</f>
        <v/>
      </c>
      <c r="N11" s="317">
        <f>L11-J11</f>
        <v/>
      </c>
      <c r="O11" s="318">
        <f>IF(J11=0,"***",N11/J11)</f>
        <v/>
      </c>
      <c r="P11" s="314">
        <f>P10-P15-P14</f>
        <v/>
      </c>
      <c r="Q11" s="315">
        <f>Q10-Q15-Q14</f>
        <v/>
      </c>
      <c r="R11" s="316">
        <f>R10-R15-R14</f>
        <v/>
      </c>
      <c r="S11" s="315">
        <f>S10-S15-S14</f>
        <v/>
      </c>
      <c r="T11" s="317">
        <f>S11-R11</f>
        <v/>
      </c>
      <c r="U11" s="317">
        <f>S11-Q11</f>
        <v/>
      </c>
      <c r="V11" s="318">
        <f>IF(Q11=0,"***",U11/Q11)</f>
        <v/>
      </c>
      <c r="W11" s="319">
        <f>IF(I11=0,"***",P11/I11)</f>
        <v/>
      </c>
      <c r="X11" s="320">
        <f>IF(J11=0,"***",Q11/J11)</f>
        <v/>
      </c>
      <c r="Y11" s="320">
        <f>IF(K11=0,"***",R11/K11)</f>
        <v/>
      </c>
      <c r="Z11" s="320">
        <f>IF(L11=0,"***",S11/L11)</f>
        <v/>
      </c>
      <c r="AA11" s="321">
        <f>IF(Y11="***","***",Z11-X11)</f>
        <v/>
      </c>
      <c r="AB11" s="320">
        <f>IF(Z11="***","***",Z11-X11)</f>
        <v/>
      </c>
      <c r="AC11" s="31" t="n"/>
    </row>
    <row r="12">
      <c r="D12" s="8" t="n"/>
      <c r="E12" s="9" t="n"/>
      <c r="F12" s="9" t="n"/>
      <c r="G12" s="71" t="n"/>
      <c r="H12" s="33" t="inlineStr">
        <is>
          <t>包装資材</t>
        </is>
      </c>
      <c r="I12" s="314">
        <f>I11-I13</f>
        <v/>
      </c>
      <c r="J12" s="315">
        <f>J11-J13</f>
        <v/>
      </c>
      <c r="K12" s="316">
        <f>K11-K13</f>
        <v/>
      </c>
      <c r="L12" s="315">
        <f>L11-L13</f>
        <v/>
      </c>
      <c r="M12" s="317">
        <f>L12-K12</f>
        <v/>
      </c>
      <c r="N12" s="317">
        <f>L12-J12</f>
        <v/>
      </c>
      <c r="O12" s="318">
        <f>IF(J12=0,"***",N12/J12)</f>
        <v/>
      </c>
      <c r="P12" s="314">
        <f>P11-P13</f>
        <v/>
      </c>
      <c r="Q12" s="315">
        <f>Q11-Q13</f>
        <v/>
      </c>
      <c r="R12" s="316">
        <f>R11-R13</f>
        <v/>
      </c>
      <c r="S12" s="315">
        <f>S11-S13</f>
        <v/>
      </c>
      <c r="T12" s="317">
        <f>S12-R12</f>
        <v/>
      </c>
      <c r="U12" s="317">
        <f>S12-Q12</f>
        <v/>
      </c>
      <c r="V12" s="318">
        <f>IF(Q12=0,"***",U12/Q12)</f>
        <v/>
      </c>
      <c r="W12" s="319">
        <f>IF(I12=0,"***",P12/I12)</f>
        <v/>
      </c>
      <c r="X12" s="320">
        <f>IF(J12=0,"***",Q12/J12)</f>
        <v/>
      </c>
      <c r="Y12" s="320">
        <f>IF(K12=0,"***",R12/K12)</f>
        <v/>
      </c>
      <c r="Z12" s="320">
        <f>IF(L12=0,"***",S12/L12)</f>
        <v/>
      </c>
      <c r="AA12" s="321">
        <f>IF(Y12="***","***",Z12-X12)</f>
        <v/>
      </c>
      <c r="AB12" s="320">
        <f>IF(Z12="***","***",Z12-X12)</f>
        <v/>
      </c>
      <c r="AC12" s="31" t="n"/>
    </row>
    <row r="13">
      <c r="D13" s="8" t="n"/>
      <c r="E13" s="9" t="n"/>
      <c r="F13" s="9" t="n"/>
      <c r="G13" s="72" t="n"/>
      <c r="H13" s="34" t="inlineStr">
        <is>
          <t>機械</t>
        </is>
      </c>
      <c r="I13" s="350" t="n">
        <v>173</v>
      </c>
      <c r="J13" s="351" t="n">
        <v>184</v>
      </c>
      <c r="K13" s="316" t="n">
        <v>300</v>
      </c>
      <c r="L13" s="351" t="n">
        <v>602.41</v>
      </c>
      <c r="M13" s="317">
        <f>L13-K13</f>
        <v/>
      </c>
      <c r="N13" s="317">
        <f>L13-J13</f>
        <v/>
      </c>
      <c r="O13" s="318">
        <f>IF(J13=0,"***",N13/J13)</f>
        <v/>
      </c>
      <c r="P13" s="350" t="n">
        <v>28</v>
      </c>
      <c r="Q13" s="351" t="n">
        <v>27</v>
      </c>
      <c r="R13" s="316" t="n">
        <v>50</v>
      </c>
      <c r="S13" s="351" t="n">
        <v>110.4</v>
      </c>
      <c r="T13" s="317">
        <f>S13-R13</f>
        <v/>
      </c>
      <c r="U13" s="317">
        <f>S13-Q13</f>
        <v/>
      </c>
      <c r="V13" s="318">
        <f>IF(Q13=0,"***",U13/Q13)</f>
        <v/>
      </c>
      <c r="W13" s="319">
        <f>IF(I13=0,"***",P13/I13)</f>
        <v/>
      </c>
      <c r="X13" s="320">
        <f>IF(J13=0,"***",Q13/J13)</f>
        <v/>
      </c>
      <c r="Y13" s="320">
        <f>IF(K13=0,"***",R13/K13)</f>
        <v/>
      </c>
      <c r="Z13" s="320">
        <f>IF(L13=0,"***",S13/L13)</f>
        <v/>
      </c>
      <c r="AA13" s="321">
        <f>IF(Y13="***","***",Z13-X13)</f>
        <v/>
      </c>
      <c r="AB13" s="320">
        <f>IF(Z13="***","***",Z13-X13)</f>
        <v/>
      </c>
      <c r="AC13" s="31" t="n"/>
    </row>
    <row r="14">
      <c r="D14" s="8" t="n"/>
      <c r="E14" s="9" t="n"/>
      <c r="F14" s="9" t="n"/>
      <c r="G14" s="75" t="inlineStr">
        <is>
          <t>自治体</t>
        </is>
      </c>
      <c r="H14" s="23" t="n"/>
      <c r="I14" s="352" t="n">
        <v>0</v>
      </c>
      <c r="J14" s="328" t="n">
        <v>0</v>
      </c>
      <c r="K14" s="324" t="n">
        <v>0</v>
      </c>
      <c r="L14" s="328" t="n">
        <v>69.09999999999999</v>
      </c>
      <c r="M14" s="325">
        <f>L14-K14</f>
        <v/>
      </c>
      <c r="N14" s="325">
        <f>L14-J14</f>
        <v/>
      </c>
      <c r="O14" s="326">
        <f>IF(J14=0,"***",N14/J14)</f>
        <v/>
      </c>
      <c r="P14" s="352" t="n">
        <v>0</v>
      </c>
      <c r="Q14" s="328" t="n">
        <v>0</v>
      </c>
      <c r="R14" s="324" t="n">
        <v>0</v>
      </c>
      <c r="S14" s="328" t="n">
        <v>2.2</v>
      </c>
      <c r="T14" s="325">
        <f>S14-R14</f>
        <v/>
      </c>
      <c r="U14" s="325">
        <f>S14-Q14</f>
        <v/>
      </c>
      <c r="V14" s="326">
        <f>IF(Q14=0,"***",U14/Q14)</f>
        <v/>
      </c>
      <c r="W14" s="329">
        <f>IF(I14=0,"***",P14/I14)</f>
        <v/>
      </c>
      <c r="X14" s="330">
        <f>IF(J14=0,"***",Q14/J14)</f>
        <v/>
      </c>
      <c r="Y14" s="330">
        <f>IF(K14=0,"***",R14/K14)</f>
        <v/>
      </c>
      <c r="Z14" s="330">
        <f>IF(L14=0,"***",S14/L14)</f>
        <v/>
      </c>
      <c r="AA14" s="331" t="n"/>
      <c r="AB14" s="330" t="n"/>
      <c r="AC14" s="45" t="n"/>
    </row>
    <row r="15">
      <c r="D15" s="8" t="n"/>
      <c r="E15" s="9" t="n"/>
      <c r="F15" s="46" t="n"/>
      <c r="G15" s="47" t="inlineStr">
        <is>
          <t>海外</t>
        </is>
      </c>
      <c r="H15" s="48" t="n"/>
      <c r="I15" s="353" t="n">
        <v>0</v>
      </c>
      <c r="J15" s="338" t="n">
        <v>0</v>
      </c>
      <c r="K15" s="334" t="n">
        <v>0</v>
      </c>
      <c r="L15" s="338" t="n">
        <v>0</v>
      </c>
      <c r="M15" s="335">
        <f>L15-K15</f>
        <v/>
      </c>
      <c r="N15" s="335">
        <f>L15-J15</f>
        <v/>
      </c>
      <c r="O15" s="336">
        <f>IF(J15=0,"***",N15/J15)</f>
        <v/>
      </c>
      <c r="P15" s="353" t="n">
        <v>0</v>
      </c>
      <c r="Q15" s="338" t="n">
        <v>0</v>
      </c>
      <c r="R15" s="334" t="n">
        <v>0</v>
      </c>
      <c r="S15" s="338" t="n">
        <v>0</v>
      </c>
      <c r="T15" s="335">
        <f>S15-R15</f>
        <v/>
      </c>
      <c r="U15" s="335">
        <f>S15-Q15</f>
        <v/>
      </c>
      <c r="V15" s="336">
        <f>IF(Q15=0,"***",U15/Q15)</f>
        <v/>
      </c>
      <c r="W15" s="339">
        <f>IF(I15=0,"***",P15/I15)</f>
        <v/>
      </c>
      <c r="X15" s="340">
        <f>IF(J15=0,"***",Q15/J15)</f>
        <v/>
      </c>
      <c r="Y15" s="340">
        <f>IF(K15=0,"***",R15/K15)</f>
        <v/>
      </c>
      <c r="Z15" s="340">
        <f>IF(L15=0,"***",S15/L15)</f>
        <v/>
      </c>
      <c r="AA15" s="341">
        <f>IF(Y15="***","***",Z15-X15)</f>
        <v/>
      </c>
      <c r="AB15" s="340">
        <f>IF(Z15="***","***",Z15-X15)</f>
        <v/>
      </c>
      <c r="AC15" s="59" t="n"/>
    </row>
    <row r="16">
      <c r="D16" s="8" t="n"/>
      <c r="E16" s="9" t="n"/>
      <c r="F16" s="60" t="inlineStr">
        <is>
          <t>松江営業所</t>
        </is>
      </c>
      <c r="G16" s="5" t="n"/>
      <c r="H16" s="61" t="n"/>
      <c r="I16" s="305" t="n">
        <v>29878.207</v>
      </c>
      <c r="J16" s="306" t="n">
        <v>32089.888</v>
      </c>
      <c r="K16" s="307" t="n">
        <v>30970</v>
      </c>
      <c r="L16" s="306" t="n">
        <v>33113.79</v>
      </c>
      <c r="M16" s="308">
        <f>L16-K16</f>
        <v/>
      </c>
      <c r="N16" s="308">
        <f>L16-J16</f>
        <v/>
      </c>
      <c r="O16" s="309">
        <f>IF(J16=0,"***",N16/J16)</f>
        <v/>
      </c>
      <c r="P16" s="305" t="n">
        <v>7280.477999999999</v>
      </c>
      <c r="Q16" s="306" t="n">
        <v>7302.819000000001</v>
      </c>
      <c r="R16" s="307" t="n">
        <v>8030</v>
      </c>
      <c r="S16" s="306" t="n">
        <v>9530.098</v>
      </c>
      <c r="T16" s="308">
        <f>S16-R16</f>
        <v/>
      </c>
      <c r="U16" s="308">
        <f>S16-Q16</f>
        <v/>
      </c>
      <c r="V16" s="309">
        <f>IF(Q16=0,"***",U16/Q16)</f>
        <v/>
      </c>
      <c r="W16" s="311">
        <f>IF(I16=0,"***",P16/I16)</f>
        <v/>
      </c>
      <c r="X16" s="312">
        <f>IF(J16=0,"***",Q16/J16)</f>
        <v/>
      </c>
      <c r="Y16" s="312">
        <f>IF(K16=0,"***",R16/K16)</f>
        <v/>
      </c>
      <c r="Z16" s="312">
        <f>IF(L16=0,"***",S16/L16)</f>
        <v/>
      </c>
      <c r="AA16" s="312">
        <f>IF(Y16="***","***",Z16-X16)</f>
        <v/>
      </c>
      <c r="AB16" s="312">
        <f>IF(Z16="***","***",Z16-X16)</f>
        <v/>
      </c>
      <c r="AC16" s="21" t="n"/>
    </row>
    <row r="17">
      <c r="D17" s="8" t="n"/>
      <c r="E17" s="9" t="n"/>
      <c r="F17" s="9" t="n"/>
      <c r="G17" s="22" t="inlineStr">
        <is>
          <t>営業</t>
        </is>
      </c>
      <c r="H17" s="23" t="n"/>
      <c r="I17" s="314">
        <f>I16-I20</f>
        <v/>
      </c>
      <c r="J17" s="315">
        <f>J16-J20</f>
        <v/>
      </c>
      <c r="K17" s="316">
        <f>K16-K20</f>
        <v/>
      </c>
      <c r="L17" s="315">
        <f>L16-L20</f>
        <v/>
      </c>
      <c r="M17" s="317">
        <f>L17-K17</f>
        <v/>
      </c>
      <c r="N17" s="317">
        <f>L17-J17</f>
        <v/>
      </c>
      <c r="O17" s="318">
        <f>IF(J17=0,"***",N17/J17)</f>
        <v/>
      </c>
      <c r="P17" s="314">
        <f>P16-P20</f>
        <v/>
      </c>
      <c r="Q17" s="315">
        <f>Q16-Q20</f>
        <v/>
      </c>
      <c r="R17" s="316">
        <f>R16-R20</f>
        <v/>
      </c>
      <c r="S17" s="315">
        <f>S16-S20</f>
        <v/>
      </c>
      <c r="T17" s="317">
        <f>S17-R17</f>
        <v/>
      </c>
      <c r="U17" s="317">
        <f>S17-Q17</f>
        <v/>
      </c>
      <c r="V17" s="318">
        <f>IF(Q17=0,"***",U17/Q17)</f>
        <v/>
      </c>
      <c r="W17" s="319">
        <f>IF(I17=0,"***",P17/I17)</f>
        <v/>
      </c>
      <c r="X17" s="320">
        <f>IF(J17=0,"***",Q17/J17)</f>
        <v/>
      </c>
      <c r="Y17" s="320">
        <f>IF(K17=0,"***",R17/K17)</f>
        <v/>
      </c>
      <c r="Z17" s="320">
        <f>IF(L17=0,"***",S17/L17)</f>
        <v/>
      </c>
      <c r="AA17" s="320">
        <f>IF(Y17="***","***",Z17-X17)</f>
        <v/>
      </c>
      <c r="AB17" s="320">
        <f>IF(Z17="***","***",Z17-X17)</f>
        <v/>
      </c>
      <c r="AC17" s="31" t="n"/>
    </row>
    <row r="18">
      <c r="D18" s="8" t="n"/>
      <c r="E18" s="9" t="n"/>
      <c r="F18" s="9" t="n"/>
      <c r="G18" s="32" t="n"/>
      <c r="H18" s="33" t="inlineStr">
        <is>
          <t>包装資材</t>
        </is>
      </c>
      <c r="I18" s="314">
        <f>I17-I19</f>
        <v/>
      </c>
      <c r="J18" s="315">
        <f>J17-J19</f>
        <v/>
      </c>
      <c r="K18" s="316">
        <f>K17-K19</f>
        <v/>
      </c>
      <c r="L18" s="315">
        <f>L17-L19</f>
        <v/>
      </c>
      <c r="M18" s="317">
        <f>L18-K18</f>
        <v/>
      </c>
      <c r="N18" s="317">
        <f>L18-J18</f>
        <v/>
      </c>
      <c r="O18" s="318">
        <f>IF(J18=0,"***",N18/J18)</f>
        <v/>
      </c>
      <c r="P18" s="314">
        <f>P17-P19</f>
        <v/>
      </c>
      <c r="Q18" s="315">
        <f>Q17-Q19</f>
        <v/>
      </c>
      <c r="R18" s="316">
        <f>R17-R19</f>
        <v/>
      </c>
      <c r="S18" s="315">
        <f>S17-S19</f>
        <v/>
      </c>
      <c r="T18" s="317">
        <f>S18-R18</f>
        <v/>
      </c>
      <c r="U18" s="317">
        <f>S18-Q18</f>
        <v/>
      </c>
      <c r="V18" s="318">
        <f>IF(Q18=0,"***",U18/Q18)</f>
        <v/>
      </c>
      <c r="W18" s="319">
        <f>IF(I18=0,"***",P18/I18)</f>
        <v/>
      </c>
      <c r="X18" s="320">
        <f>IF(J18=0,"***",Q18/J18)</f>
        <v/>
      </c>
      <c r="Y18" s="320">
        <f>IF(K18=0,"***",R18/K18)</f>
        <v/>
      </c>
      <c r="Z18" s="320">
        <f>IF(L18=0,"***",S18/L18)</f>
        <v/>
      </c>
      <c r="AA18" s="320">
        <f>IF(Y18="***","***",Z18-X18)</f>
        <v/>
      </c>
      <c r="AB18" s="320">
        <f>IF(Z18="***","***",Z18-X18)</f>
        <v/>
      </c>
      <c r="AC18" s="31" t="n"/>
    </row>
    <row r="19">
      <c r="D19" s="8" t="n"/>
      <c r="E19" s="9" t="n"/>
      <c r="F19" s="9" t="n"/>
      <c r="G19" s="32" t="n"/>
      <c r="H19" s="34" t="inlineStr">
        <is>
          <t>機械</t>
        </is>
      </c>
      <c r="I19" s="354" t="n">
        <v>300</v>
      </c>
      <c r="J19" s="355" t="n">
        <v>219</v>
      </c>
      <c r="K19" s="80" t="n">
        <v>500</v>
      </c>
      <c r="L19" s="355" t="n">
        <v>1451.84</v>
      </c>
      <c r="M19" s="317">
        <f>L19-K19</f>
        <v/>
      </c>
      <c r="N19" s="317">
        <f>L19-J19</f>
        <v/>
      </c>
      <c r="O19" s="318">
        <f>IF(J19=0,"***",N19/J19)</f>
        <v/>
      </c>
      <c r="P19" s="354" t="n">
        <v>60</v>
      </c>
      <c r="Q19" s="355" t="n">
        <v>77</v>
      </c>
      <c r="R19" s="80" t="n">
        <v>120</v>
      </c>
      <c r="S19" s="355" t="n">
        <v>299.935</v>
      </c>
      <c r="T19" s="317">
        <f>S19-R19</f>
        <v/>
      </c>
      <c r="U19" s="317">
        <f>S19-Q19</f>
        <v/>
      </c>
      <c r="V19" s="318">
        <f>IF(Q19=0,"***",U19/Q19)</f>
        <v/>
      </c>
      <c r="W19" s="319">
        <f>IF(I19=0,"***",P19/I19)</f>
        <v/>
      </c>
      <c r="X19" s="320">
        <f>IF(J19=0,"***",Q19/J19)</f>
        <v/>
      </c>
      <c r="Y19" s="320">
        <f>IF(K19=0,"***",R19/K19)</f>
        <v/>
      </c>
      <c r="Z19" s="320">
        <f>IF(L19=0,"***",S19/L19)</f>
        <v/>
      </c>
      <c r="AA19" s="320">
        <f>IF(Y19="***","***",Z19-X19)</f>
        <v/>
      </c>
      <c r="AB19" s="320">
        <f>IF(Z19="***","***",Z19-X19)</f>
        <v/>
      </c>
      <c r="AC19" s="31" t="n"/>
    </row>
    <row r="20">
      <c r="D20" s="8" t="n"/>
      <c r="E20" s="9" t="n"/>
      <c r="F20" s="46" t="n"/>
      <c r="G20" s="47" t="inlineStr">
        <is>
          <t>自治体</t>
        </is>
      </c>
      <c r="H20" s="48" t="n"/>
      <c r="I20" s="332" t="n">
        <v>0</v>
      </c>
      <c r="J20" s="333" t="n">
        <v>6139.904</v>
      </c>
      <c r="K20" s="334" t="n">
        <v>0</v>
      </c>
      <c r="L20" s="333" t="n">
        <v>0</v>
      </c>
      <c r="M20" s="335">
        <f>L20-K20</f>
        <v/>
      </c>
      <c r="N20" s="335">
        <f>L20-J20</f>
        <v/>
      </c>
      <c r="O20" s="336">
        <f>IF(J20=0,"***",N20/J20)</f>
        <v/>
      </c>
      <c r="P20" s="332" t="n">
        <v>0</v>
      </c>
      <c r="Q20" s="333" t="n">
        <v>115.904</v>
      </c>
      <c r="R20" s="334" t="n">
        <v>0</v>
      </c>
      <c r="S20" s="333" t="n">
        <v>0</v>
      </c>
      <c r="T20" s="335">
        <f>S20-R20</f>
        <v/>
      </c>
      <c r="U20" s="335">
        <f>S20-Q20</f>
        <v/>
      </c>
      <c r="V20" s="336">
        <f>IF(Q20=0,"***",U20/Q20)</f>
        <v/>
      </c>
      <c r="W20" s="339">
        <f>IF(I20=0,"***",P20/I20)</f>
        <v/>
      </c>
      <c r="X20" s="340">
        <f>IF(J20=0,"***",Q20/J20)</f>
        <v/>
      </c>
      <c r="Y20" s="340">
        <f>IF(K20=0,"***",R20/K20)</f>
        <v/>
      </c>
      <c r="Z20" s="340">
        <f>IF(L20=0,"***",S20/L20)</f>
        <v/>
      </c>
      <c r="AA20" s="340">
        <f>IF(Y20="***","***",Z20-X20)</f>
        <v/>
      </c>
      <c r="AB20" s="340">
        <f>IF(Z20="***","***",Z20-X20)</f>
        <v/>
      </c>
      <c r="AC20" s="59" t="n"/>
    </row>
    <row r="21">
      <c r="D21" s="8" t="n"/>
      <c r="E21" s="9" t="n"/>
      <c r="F21" s="60" t="inlineStr">
        <is>
          <t>広域営業部</t>
        </is>
      </c>
      <c r="G21" s="5" t="n"/>
      <c r="H21" s="61" t="n"/>
      <c r="I21" s="356" t="n">
        <v>38098.848</v>
      </c>
      <c r="J21" s="357" t="n">
        <v>40343.715</v>
      </c>
      <c r="K21" s="307" t="n">
        <v>44990</v>
      </c>
      <c r="L21" s="357" t="n">
        <v>49723.074</v>
      </c>
      <c r="M21" s="308">
        <f>L21-K21</f>
        <v/>
      </c>
      <c r="N21" s="308">
        <f>L21-J21</f>
        <v/>
      </c>
      <c r="O21" s="309">
        <f>IF(J21=0,"***",N21/J21)</f>
        <v/>
      </c>
      <c r="P21" s="356" t="n">
        <v>5188.214999999999</v>
      </c>
      <c r="Q21" s="357" t="n">
        <v>6090.347999999999</v>
      </c>
      <c r="R21" s="307" t="n">
        <v>6810</v>
      </c>
      <c r="S21" s="357" t="n">
        <v>9152.914500000001</v>
      </c>
      <c r="T21" s="308">
        <f>S21-R21</f>
        <v/>
      </c>
      <c r="U21" s="308">
        <f>S21-Q21</f>
        <v/>
      </c>
      <c r="V21" s="309">
        <f>IF(Q21=0,"***",U21/Q21)</f>
        <v/>
      </c>
      <c r="W21" s="319">
        <f>IF(I21=0,"***",P21/I21)</f>
        <v/>
      </c>
      <c r="X21" s="320">
        <f>IF(J21=0,"***",Q21/J21)</f>
        <v/>
      </c>
      <c r="Y21" s="320">
        <f>IF(K21=0,"***",R21/K21)</f>
        <v/>
      </c>
      <c r="Z21" s="320">
        <f>IF(L21=0,"***",S21/L21)</f>
        <v/>
      </c>
      <c r="AA21" s="320">
        <f>IF(Y21="***","***",Z21-X21)</f>
        <v/>
      </c>
      <c r="AB21" s="320">
        <f>IF(Z21="***","***",Z21-X21)</f>
        <v/>
      </c>
      <c r="AC21" s="21" t="n"/>
    </row>
    <row r="22">
      <c r="D22" s="8" t="n"/>
      <c r="E22" s="9" t="n"/>
      <c r="F22" s="9" t="n"/>
      <c r="H22" s="33" t="inlineStr">
        <is>
          <t>包装資材</t>
        </is>
      </c>
      <c r="I22" s="358">
        <f>I21-I23</f>
        <v/>
      </c>
      <c r="J22" s="315">
        <f>J21-J23</f>
        <v/>
      </c>
      <c r="K22" s="316">
        <f>K21-K23</f>
        <v/>
      </c>
      <c r="L22" s="315">
        <f>L21-L23</f>
        <v/>
      </c>
      <c r="M22" s="359">
        <f>L22-K22</f>
        <v/>
      </c>
      <c r="N22" s="359">
        <f>L22-J22</f>
        <v/>
      </c>
      <c r="O22" s="318">
        <f>IF(J22=0,"***",N22/J22)</f>
        <v/>
      </c>
      <c r="P22" s="314">
        <f>P21-P23</f>
        <v/>
      </c>
      <c r="Q22" s="315">
        <f>Q21-Q23</f>
        <v/>
      </c>
      <c r="R22" s="316">
        <f>R21-R23</f>
        <v/>
      </c>
      <c r="S22" s="315">
        <f>S21-S23</f>
        <v/>
      </c>
      <c r="T22" s="359">
        <f>S22-R22</f>
        <v/>
      </c>
      <c r="U22" s="359">
        <f>S22-Q22</f>
        <v/>
      </c>
      <c r="V22" s="318">
        <f>IF(Q22=0,"***",U22/Q22)</f>
        <v/>
      </c>
      <c r="W22" s="319">
        <f>IF(I22=0,"***",P22/I22)</f>
        <v/>
      </c>
      <c r="X22" s="320">
        <f>IF(J22=0,"***",Q22/J22)</f>
        <v/>
      </c>
      <c r="Y22" s="320">
        <f>IF(K22=0,"***",R22/K22)</f>
        <v/>
      </c>
      <c r="Z22" s="320">
        <f>IF(L22=0,"***",S22/L22)</f>
        <v/>
      </c>
      <c r="AA22" s="320">
        <f>IF(Y22="***","***",Z22-X22)</f>
        <v/>
      </c>
      <c r="AB22" s="320">
        <f>IF(Z22="***","***",Z22-X22)</f>
        <v/>
      </c>
      <c r="AC22" s="31" t="n"/>
    </row>
    <row r="23">
      <c r="D23" s="8" t="n"/>
      <c r="E23" s="9" t="n"/>
      <c r="F23" s="9" t="n"/>
      <c r="H23" s="34" t="inlineStr">
        <is>
          <t>機械</t>
        </is>
      </c>
      <c r="I23" s="358" t="n">
        <v>207</v>
      </c>
      <c r="J23" s="315" t="n">
        <v>70</v>
      </c>
      <c r="K23" s="316" t="n">
        <v>1000</v>
      </c>
      <c r="L23" s="315" t="n">
        <v>363.0549999999999</v>
      </c>
      <c r="M23" s="359">
        <f>L23-K23</f>
        <v/>
      </c>
      <c r="N23" s="359">
        <f>L23-J23</f>
        <v/>
      </c>
      <c r="O23" s="318">
        <f>IF(J23=0,"***",N23/J23)</f>
        <v/>
      </c>
      <c r="P23" s="314" t="n">
        <v>22</v>
      </c>
      <c r="Q23" s="315" t="n">
        <v>6</v>
      </c>
      <c r="R23" s="316" t="n">
        <v>110</v>
      </c>
      <c r="S23" s="315" t="n">
        <v>40.345</v>
      </c>
      <c r="T23" s="359">
        <f>S23-R23</f>
        <v/>
      </c>
      <c r="U23" s="359">
        <f>S23-Q23</f>
        <v/>
      </c>
      <c r="V23" s="318">
        <f>IF(Q23=0,"***",U23/Q23)</f>
        <v/>
      </c>
      <c r="W23" s="319">
        <f>IF(I23=0,"***",P23/I23)</f>
        <v/>
      </c>
      <c r="X23" s="320">
        <f>IF(J23=0,"***",Q23/J23)</f>
        <v/>
      </c>
      <c r="Y23" s="320">
        <f>IF(K23=0,"***",R23/K23)</f>
        <v/>
      </c>
      <c r="Z23" s="320">
        <f>IF(L23=0,"***",S23/L23)</f>
        <v/>
      </c>
      <c r="AA23" s="320">
        <f>IF(Y23="***","***",Z23-X23)</f>
        <v/>
      </c>
      <c r="AB23" s="320">
        <f>IF(Z23="***","***",Z23-X23)</f>
        <v/>
      </c>
      <c r="AC23" s="31" t="n"/>
    </row>
    <row r="24">
      <c r="D24" s="8" t="n"/>
      <c r="E24" s="9" t="n"/>
      <c r="F24" s="9" t="n"/>
      <c r="G24" s="22" t="inlineStr">
        <is>
          <t>リンガーハット</t>
        </is>
      </c>
      <c r="H24" s="23" t="n"/>
      <c r="I24" s="354" t="n">
        <v>28967.532</v>
      </c>
      <c r="J24" s="355" t="n">
        <v>29499.674</v>
      </c>
      <c r="K24" s="316" t="n">
        <v>29366.6385</v>
      </c>
      <c r="L24" s="355" t="n">
        <v>37090.624</v>
      </c>
      <c r="M24" s="359">
        <f>L24-K24</f>
        <v/>
      </c>
      <c r="N24" s="359">
        <f>L24-J24</f>
        <v/>
      </c>
      <c r="O24" s="318">
        <f>IF(J24=0,"***",N24/J24)</f>
        <v/>
      </c>
      <c r="P24" s="350" t="n">
        <v>3790.54</v>
      </c>
      <c r="Q24" s="351" t="n">
        <v>4379.267999999999</v>
      </c>
      <c r="R24" s="316" t="n">
        <v>4232.085999999999</v>
      </c>
      <c r="S24" s="351" t="n">
        <v>7289.537</v>
      </c>
      <c r="T24" s="359">
        <f>S24-R24</f>
        <v/>
      </c>
      <c r="U24" s="359">
        <f>S24-Q24</f>
        <v/>
      </c>
      <c r="V24" s="318">
        <f>IF(Q24=0,"***",U24/Q24)</f>
        <v/>
      </c>
      <c r="W24" s="319">
        <f>IF(I24=0,"***",P24/I24)</f>
        <v/>
      </c>
      <c r="X24" s="320">
        <f>IF(J24=0,"***",Q24/J24)</f>
        <v/>
      </c>
      <c r="Y24" s="320">
        <f>IF(K24=0,"***",R24/K24)</f>
        <v/>
      </c>
      <c r="Z24" s="320">
        <f>IF(L24=0,"***",S24/L24)</f>
        <v/>
      </c>
      <c r="AA24" s="320">
        <f>IF(Y24="***","***",Z24-X24)</f>
        <v/>
      </c>
      <c r="AB24" s="320">
        <f>IF(Z24="***","***",Z24-X24)</f>
        <v/>
      </c>
      <c r="AC24" s="31" t="n"/>
    </row>
    <row r="25">
      <c r="D25" s="8" t="n"/>
      <c r="E25" s="9" t="n"/>
      <c r="F25" s="9" t="n"/>
      <c r="G25" s="32" t="n"/>
      <c r="H25" s="33" t="inlineStr">
        <is>
          <t>包装資材</t>
        </is>
      </c>
      <c r="I25" s="314">
        <f>I24-I26</f>
        <v/>
      </c>
      <c r="J25" s="315">
        <f>J24-J26</f>
        <v/>
      </c>
      <c r="K25" s="316">
        <f>K24-K26</f>
        <v/>
      </c>
      <c r="L25" s="315">
        <f>L24-L26</f>
        <v/>
      </c>
      <c r="M25" s="359">
        <f>L25-K25</f>
        <v/>
      </c>
      <c r="N25" s="359">
        <f>L25-J25</f>
        <v/>
      </c>
      <c r="O25" s="318">
        <f>IF(J25=0,"***",N25/J25)</f>
        <v/>
      </c>
      <c r="P25" s="314">
        <f>P24-P26</f>
        <v/>
      </c>
      <c r="Q25" s="315">
        <f>Q24-Q26</f>
        <v/>
      </c>
      <c r="R25" s="316">
        <f>R24-R26</f>
        <v/>
      </c>
      <c r="S25" s="315">
        <f>S24-S26</f>
        <v/>
      </c>
      <c r="T25" s="359">
        <f>S25-R25</f>
        <v/>
      </c>
      <c r="U25" s="359">
        <f>S25-Q25</f>
        <v/>
      </c>
      <c r="V25" s="318">
        <f>IF(Q25=0,"***",U25/Q25)</f>
        <v/>
      </c>
      <c r="W25" s="319">
        <f>IF(I25=0,"***",P25/I25)</f>
        <v/>
      </c>
      <c r="X25" s="320">
        <f>IF(J25=0,"***",Q25/J25)</f>
        <v/>
      </c>
      <c r="Y25" s="320">
        <f>IF(K25=0,"***",R25/K25)</f>
        <v/>
      </c>
      <c r="Z25" s="320">
        <f>IF(L25=0,"***",S25/L25)</f>
        <v/>
      </c>
      <c r="AA25" s="320">
        <f>IF(Y25="***","***",Z25-X25)</f>
        <v/>
      </c>
      <c r="AB25" s="320">
        <f>IF(Z25="***","***",Z25-X25)</f>
        <v/>
      </c>
      <c r="AC25" s="31" t="n"/>
    </row>
    <row r="26">
      <c r="D26" s="8" t="n"/>
      <c r="E26" s="9" t="n"/>
      <c r="F26" s="9" t="n"/>
      <c r="G26" s="32" t="n"/>
      <c r="H26" s="34" t="inlineStr">
        <is>
          <t>機械</t>
        </is>
      </c>
      <c r="I26" s="354" t="n">
        <v>83</v>
      </c>
      <c r="J26" s="355" t="n">
        <v>23</v>
      </c>
      <c r="K26" s="316" t="n">
        <v>38</v>
      </c>
      <c r="L26" s="355" t="n">
        <v>286.455</v>
      </c>
      <c r="M26" s="359">
        <f>L26-K26</f>
        <v/>
      </c>
      <c r="N26" s="359">
        <f>L26-J26</f>
        <v/>
      </c>
      <c r="O26" s="318">
        <f>IF(J26=0,"***",N26/J26)</f>
        <v/>
      </c>
      <c r="P26" s="354" t="n">
        <v>1</v>
      </c>
      <c r="Q26" s="355" t="n">
        <v>0</v>
      </c>
      <c r="R26" s="316" t="n">
        <v>0.25</v>
      </c>
      <c r="S26" s="355" t="n">
        <v>25.625</v>
      </c>
      <c r="T26" s="359">
        <f>S26-R26</f>
        <v/>
      </c>
      <c r="U26" s="359">
        <f>S26-Q26</f>
        <v/>
      </c>
      <c r="V26" s="318">
        <f>IF(Q26=0,"***",U26/Q26)</f>
        <v/>
      </c>
      <c r="W26" s="319">
        <f>IF(I26=0,"***",P26/I26)</f>
        <v/>
      </c>
      <c r="X26" s="320">
        <f>IF(J26=0,"***",Q26/J26)</f>
        <v/>
      </c>
      <c r="Y26" s="320">
        <f>IF(K26=0,"***",R26/K26)</f>
        <v/>
      </c>
      <c r="Z26" s="320">
        <f>IF(L26=0,"***",S26/L26)</f>
        <v/>
      </c>
      <c r="AA26" s="320">
        <f>IF(Y26="***","***",Z26-X26)</f>
        <v/>
      </c>
      <c r="AB26" s="320">
        <f>IF(Z26="***","***",Z26-X26)</f>
        <v/>
      </c>
      <c r="AC26" s="31" t="n"/>
    </row>
    <row r="27">
      <c r="D27" s="8" t="n"/>
      <c r="E27" s="9" t="n"/>
      <c r="F27" s="9" t="n"/>
      <c r="G27" s="22" t="inlineStr">
        <is>
          <t>リンガーハット以外</t>
        </is>
      </c>
      <c r="H27" s="23" t="n"/>
      <c r="I27" s="360">
        <f>I21-I24</f>
        <v/>
      </c>
      <c r="J27" s="316">
        <f>J21-J24</f>
        <v/>
      </c>
      <c r="K27" s="316">
        <f>K21-K24</f>
        <v/>
      </c>
      <c r="L27" s="316">
        <f>L21-L24</f>
        <v/>
      </c>
      <c r="M27" s="361">
        <f>L27-K27</f>
        <v/>
      </c>
      <c r="N27" s="361">
        <f>L27-J27</f>
        <v/>
      </c>
      <c r="O27" s="362">
        <f>IF(J27=0,"***",N27/J27)</f>
        <v/>
      </c>
      <c r="P27" s="360">
        <f>P21-P24</f>
        <v/>
      </c>
      <c r="Q27" s="316">
        <f>Q21-Q24</f>
        <v/>
      </c>
      <c r="R27" s="316">
        <f>R21-R24</f>
        <v/>
      </c>
      <c r="S27" s="316">
        <f>S21-S24</f>
        <v/>
      </c>
      <c r="T27" s="359">
        <f>S27-R27</f>
        <v/>
      </c>
      <c r="U27" s="359">
        <f>S27-Q27</f>
        <v/>
      </c>
      <c r="V27" s="318">
        <f>IF(Q27=0,"***",U27/Q27)</f>
        <v/>
      </c>
      <c r="W27" s="319">
        <f>IF(I27=0,"***",P27/I27)</f>
        <v/>
      </c>
      <c r="X27" s="320">
        <f>IF(J27=0,"***",Q27/J27)</f>
        <v/>
      </c>
      <c r="Y27" s="320">
        <f>IF(K27=0,"***",R27/K27)</f>
        <v/>
      </c>
      <c r="Z27" s="320">
        <f>IF(L27=0,"***",S27/L27)</f>
        <v/>
      </c>
      <c r="AA27" s="320">
        <f>IF(Y27="***","***",Z27-X27)</f>
        <v/>
      </c>
      <c r="AB27" s="320">
        <f>IF(Z27="***","***",Z27-X27)</f>
        <v/>
      </c>
      <c r="AC27" s="31" t="n"/>
    </row>
    <row r="28">
      <c r="D28" s="8" t="n"/>
      <c r="E28" s="9" t="n"/>
      <c r="F28" s="9" t="n"/>
      <c r="G28" s="32" t="n"/>
      <c r="H28" s="33" t="inlineStr">
        <is>
          <t>包装資材</t>
        </is>
      </c>
      <c r="I28" s="360">
        <f>I27-I29</f>
        <v/>
      </c>
      <c r="J28" s="316">
        <f>J27-J29</f>
        <v/>
      </c>
      <c r="K28" s="316">
        <f>K27-K29</f>
        <v/>
      </c>
      <c r="L28" s="316">
        <f>L27-L29</f>
        <v/>
      </c>
      <c r="M28" s="361">
        <f>L28-K28</f>
        <v/>
      </c>
      <c r="N28" s="361">
        <f>L28-J28</f>
        <v/>
      </c>
      <c r="O28" s="362">
        <f>IF(J28=0,"***",N28/J28)</f>
        <v/>
      </c>
      <c r="P28" s="360">
        <f>P27-P29</f>
        <v/>
      </c>
      <c r="Q28" s="316">
        <f>Q27-Q29</f>
        <v/>
      </c>
      <c r="R28" s="316">
        <f>R27-R29</f>
        <v/>
      </c>
      <c r="S28" s="316">
        <f>S27-S29</f>
        <v/>
      </c>
      <c r="T28" s="359">
        <f>S28-R28</f>
        <v/>
      </c>
      <c r="U28" s="359">
        <f>S28-Q28</f>
        <v/>
      </c>
      <c r="V28" s="318">
        <f>IF(Q28=0,"***",U28/Q28)</f>
        <v/>
      </c>
      <c r="W28" s="319">
        <f>IF(I28=0,"***",P28/I28)</f>
        <v/>
      </c>
      <c r="X28" s="320">
        <f>IF(J28=0,"***",Q28/J28)</f>
        <v/>
      </c>
      <c r="Y28" s="320">
        <f>IF(K28=0,"***",R28/K28)</f>
        <v/>
      </c>
      <c r="Z28" s="320">
        <f>IF(L28=0,"***",S28/L28)</f>
        <v/>
      </c>
      <c r="AA28" s="320">
        <f>IF(Y28="***","***",Z28-X28)</f>
        <v/>
      </c>
      <c r="AB28" s="320">
        <f>IF(Z28="***","***",Z28-X28)</f>
        <v/>
      </c>
      <c r="AC28" s="31" t="n"/>
    </row>
    <row r="29">
      <c r="D29" s="8" t="n"/>
      <c r="E29" s="9" t="n"/>
      <c r="F29" s="86" t="n"/>
      <c r="G29" s="87" t="n"/>
      <c r="H29" s="33" t="inlineStr">
        <is>
          <t>機械</t>
        </is>
      </c>
      <c r="I29" s="363">
        <f>I23-I26</f>
        <v/>
      </c>
      <c r="J29" s="334">
        <f>J23-J26</f>
        <v/>
      </c>
      <c r="K29" s="334">
        <f>K23-K26</f>
        <v/>
      </c>
      <c r="L29" s="334">
        <f>L23-L26</f>
        <v/>
      </c>
      <c r="M29" s="364">
        <f>L29-K29</f>
        <v/>
      </c>
      <c r="N29" s="364">
        <f>L29-J29</f>
        <v/>
      </c>
      <c r="O29" s="365">
        <f>IF(J29=0,"***",N29/J29)</f>
        <v/>
      </c>
      <c r="P29" s="363">
        <f>P23-P26</f>
        <v/>
      </c>
      <c r="Q29" s="334">
        <f>Q23-Q26</f>
        <v/>
      </c>
      <c r="R29" s="334">
        <f>R23-R26</f>
        <v/>
      </c>
      <c r="S29" s="334">
        <f>S23-S26</f>
        <v/>
      </c>
      <c r="T29" s="366">
        <f>S29-R29</f>
        <v/>
      </c>
      <c r="U29" s="366">
        <f>S29-Q29</f>
        <v/>
      </c>
      <c r="V29" s="336">
        <f>IF(Q29=0,"***",U29/Q29)</f>
        <v/>
      </c>
      <c r="W29" s="339">
        <f>IF(I29=0,"***",P29/I29)</f>
        <v/>
      </c>
      <c r="X29" s="340">
        <f>IF(J29=0,"***",Q29/J29)</f>
        <v/>
      </c>
      <c r="Y29" s="340">
        <f>IF(K29=0,"***",R29/K29)</f>
        <v/>
      </c>
      <c r="Z29" s="340">
        <f>IF(L29=0,"***",S29/L29)</f>
        <v/>
      </c>
      <c r="AA29" s="340">
        <f>IF(Y29="***","***",Z29-X29)</f>
        <v/>
      </c>
      <c r="AB29" s="340">
        <f>IF(Z29="***","***",Z29-X29)</f>
        <v/>
      </c>
      <c r="AC29" s="59" t="n"/>
    </row>
    <row r="30">
      <c r="D30" s="8" t="n"/>
      <c r="E30" s="9" t="n"/>
      <c r="F30" s="60" t="inlineStr">
        <is>
          <t>境港営業所</t>
        </is>
      </c>
      <c r="G30" s="5" t="n"/>
      <c r="H30" s="61" t="n"/>
      <c r="I30" s="367" t="n">
        <v>45152.173</v>
      </c>
      <c r="J30" s="306" t="n">
        <v>122048.545</v>
      </c>
      <c r="K30" s="307" t="n">
        <v>47810</v>
      </c>
      <c r="L30" s="306" t="n">
        <v>41885.331</v>
      </c>
      <c r="M30" s="308">
        <f>L30-K30</f>
        <v/>
      </c>
      <c r="N30" s="308">
        <f>L30-J30</f>
        <v/>
      </c>
      <c r="O30" s="309">
        <f>IF(J30=0,"***",N30/J30)</f>
        <v/>
      </c>
      <c r="P30" s="310" t="n">
        <v>9612.031000000001</v>
      </c>
      <c r="Q30" s="368" t="n">
        <v>21532.958</v>
      </c>
      <c r="R30" s="307" t="n">
        <v>9410</v>
      </c>
      <c r="S30" s="368" t="n">
        <v>8386.043999999998</v>
      </c>
      <c r="T30" s="308">
        <f>S30-R30</f>
        <v/>
      </c>
      <c r="U30" s="308">
        <f>S30-Q30</f>
        <v/>
      </c>
      <c r="V30" s="309">
        <f>IF(Q30=0,"***",U30/Q30)</f>
        <v/>
      </c>
      <c r="W30" s="311">
        <f>IF(I30=0,"***",P30/I30)</f>
        <v/>
      </c>
      <c r="X30" s="312">
        <f>IF(J30=0,"***",Q30/J30)</f>
        <v/>
      </c>
      <c r="Y30" s="312">
        <f>IF(K30=0,"***",R30/K30)</f>
        <v/>
      </c>
      <c r="Z30" s="312">
        <f>IF(L30=0,"***",S30/L30)</f>
        <v/>
      </c>
      <c r="AA30" s="313">
        <f>IF(Y30="***","***",Z30-X30)</f>
        <v/>
      </c>
      <c r="AB30" s="312">
        <f>IF(Z30="***","***",Z30-X30)</f>
        <v/>
      </c>
      <c r="AC30" s="21" t="n"/>
    </row>
    <row r="31">
      <c r="D31" s="8" t="n"/>
      <c r="E31" s="9" t="n"/>
      <c r="F31" s="9" t="n"/>
      <c r="G31" s="22" t="inlineStr">
        <is>
          <t>営業</t>
        </is>
      </c>
      <c r="H31" s="23" t="n"/>
      <c r="I31" s="314">
        <f>I30-I35-I34</f>
        <v/>
      </c>
      <c r="J31" s="315">
        <f>J30-J35-J34</f>
        <v/>
      </c>
      <c r="K31" s="316">
        <f>K30-K35-K34</f>
        <v/>
      </c>
      <c r="L31" s="315">
        <f>L30-L35-L34</f>
        <v/>
      </c>
      <c r="M31" s="317">
        <f>L31-K31</f>
        <v/>
      </c>
      <c r="N31" s="317">
        <f>L31-J31</f>
        <v/>
      </c>
      <c r="O31" s="318">
        <f>IF(J31=0,"***",N31/J31)</f>
        <v/>
      </c>
      <c r="P31" s="369">
        <f>P30-P35-P34</f>
        <v/>
      </c>
      <c r="Q31" s="315">
        <f>Q30-Q35-Q34</f>
        <v/>
      </c>
      <c r="R31" s="316">
        <f>R30-R35-R34</f>
        <v/>
      </c>
      <c r="S31" s="315">
        <f>S30-S35-S34</f>
        <v/>
      </c>
      <c r="T31" s="317">
        <f>S31-R31</f>
        <v/>
      </c>
      <c r="U31" s="317">
        <f>S31-Q31</f>
        <v/>
      </c>
      <c r="V31" s="318">
        <f>IF(Q31=0,"***",U31/Q31)</f>
        <v/>
      </c>
      <c r="W31" s="319">
        <f>IF(I31=0,"***",P31/I31)</f>
        <v/>
      </c>
      <c r="X31" s="320">
        <f>IF(J31=0,"***",Q31/J31)</f>
        <v/>
      </c>
      <c r="Y31" s="320">
        <f>IF(K31=0,"***",R31/K31)</f>
        <v/>
      </c>
      <c r="Z31" s="320">
        <f>IF(L31=0,"***",S31/L31)</f>
        <v/>
      </c>
      <c r="AA31" s="321">
        <f>IF(Y31="***","***",Z31-X31)</f>
        <v/>
      </c>
      <c r="AB31" s="320">
        <f>IF(Z31="***","***",Z31-X31)</f>
        <v/>
      </c>
      <c r="AC31" s="31" t="n"/>
    </row>
    <row r="32">
      <c r="D32" s="8" t="n"/>
      <c r="E32" s="9" t="n"/>
      <c r="F32" s="9" t="n"/>
      <c r="G32" s="32" t="n"/>
      <c r="H32" s="33" t="inlineStr">
        <is>
          <t>包装資材</t>
        </is>
      </c>
      <c r="I32" s="314">
        <f>I31-I33</f>
        <v/>
      </c>
      <c r="J32" s="315">
        <f>J31-J33</f>
        <v/>
      </c>
      <c r="K32" s="316">
        <f>K31-K33</f>
        <v/>
      </c>
      <c r="L32" s="315">
        <f>L31-L33</f>
        <v/>
      </c>
      <c r="M32" s="317">
        <f>L32-K32</f>
        <v/>
      </c>
      <c r="N32" s="317">
        <f>L32-J32</f>
        <v/>
      </c>
      <c r="O32" s="318">
        <f>IF(J32=0,"***",N32/J32)</f>
        <v/>
      </c>
      <c r="P32" s="369">
        <f>P31-P33</f>
        <v/>
      </c>
      <c r="Q32" s="315">
        <f>Q31-Q33</f>
        <v/>
      </c>
      <c r="R32" s="316">
        <f>R31-R33</f>
        <v/>
      </c>
      <c r="S32" s="315">
        <f>S31-S33</f>
        <v/>
      </c>
      <c r="T32" s="317">
        <f>S32-R32</f>
        <v/>
      </c>
      <c r="U32" s="317">
        <f>S32-Q32</f>
        <v/>
      </c>
      <c r="V32" s="318">
        <f>IF(Q32=0,"***",U32/Q32)</f>
        <v/>
      </c>
      <c r="W32" s="319">
        <f>IF(I32=0,"***",P32/I32)</f>
        <v/>
      </c>
      <c r="X32" s="320">
        <f>IF(J32=0,"***",Q32/J32)</f>
        <v/>
      </c>
      <c r="Y32" s="320">
        <f>IF(K32=0,"***",R32/K32)</f>
        <v/>
      </c>
      <c r="Z32" s="320">
        <f>IF(L32=0,"***",S32/L32)</f>
        <v/>
      </c>
      <c r="AA32" s="321">
        <f>IF(Y32="***","***",Z32-X32)</f>
        <v/>
      </c>
      <c r="AB32" s="320">
        <f>IF(Z32="***","***",Z32-X32)</f>
        <v/>
      </c>
      <c r="AC32" s="31" t="n"/>
    </row>
    <row r="33">
      <c r="D33" s="8" t="n"/>
      <c r="E33" s="9" t="n"/>
      <c r="F33" s="9" t="n"/>
      <c r="G33" s="32" t="n"/>
      <c r="H33" s="34" t="inlineStr">
        <is>
          <t>機械</t>
        </is>
      </c>
      <c r="I33" s="354" t="n">
        <v>1318</v>
      </c>
      <c r="J33" s="355" t="n">
        <v>85679</v>
      </c>
      <c r="K33" s="316" t="n">
        <v>8500</v>
      </c>
      <c r="L33" s="355" t="n">
        <v>4649.009999999999</v>
      </c>
      <c r="M33" s="317">
        <f>L33-K33</f>
        <v/>
      </c>
      <c r="N33" s="317">
        <f>L33-J33</f>
        <v/>
      </c>
      <c r="O33" s="318">
        <f>IF(J33=0,"***",N33/J33)</f>
        <v/>
      </c>
      <c r="P33" s="370" t="n">
        <v>391</v>
      </c>
      <c r="Q33" s="351" t="n">
        <v>14899</v>
      </c>
      <c r="R33" s="316" t="n">
        <v>1880</v>
      </c>
      <c r="S33" s="351" t="n">
        <v>1001.375</v>
      </c>
      <c r="T33" s="317">
        <f>S33-R33</f>
        <v/>
      </c>
      <c r="U33" s="317">
        <f>S33-Q33</f>
        <v/>
      </c>
      <c r="V33" s="318">
        <f>IF(Q33=0,"***",U33/Q33)</f>
        <v/>
      </c>
      <c r="W33" s="319">
        <f>IF(I33=0,"***",P33/I33)</f>
        <v/>
      </c>
      <c r="X33" s="320">
        <f>IF(J33=0,"***",Q33/J33)</f>
        <v/>
      </c>
      <c r="Y33" s="320">
        <f>IF(K33=0,"***",R33/K33)</f>
        <v/>
      </c>
      <c r="Z33" s="320">
        <f>IF(L33=0,"***",S33/L33)</f>
        <v/>
      </c>
      <c r="AA33" s="321">
        <f>IF(Y33="***","***",Z33-X33)</f>
        <v/>
      </c>
      <c r="AB33" s="320">
        <f>IF(Z33="***","***",Z33-X33)</f>
        <v/>
      </c>
      <c r="AC33" s="31" t="n"/>
    </row>
    <row r="34">
      <c r="D34" s="8" t="n"/>
      <c r="E34" s="9" t="n"/>
      <c r="F34" s="9" t="n"/>
      <c r="G34" s="95" t="inlineStr">
        <is>
          <t>自治体</t>
        </is>
      </c>
      <c r="H34" s="23" t="n"/>
      <c r="I34" s="322" t="n">
        <v>0</v>
      </c>
      <c r="J34" s="323" t="n">
        <v>0</v>
      </c>
      <c r="K34" s="324" t="n">
        <v>0</v>
      </c>
      <c r="L34" s="323" t="n">
        <v>156</v>
      </c>
      <c r="M34" s="325">
        <f>L34-K34</f>
        <v/>
      </c>
      <c r="N34" s="325">
        <f>L34-J34</f>
        <v/>
      </c>
      <c r="O34" s="326">
        <f>IF(J34=0,"***",N34/J34)</f>
        <v/>
      </c>
      <c r="P34" s="327" t="n">
        <v>0</v>
      </c>
      <c r="Q34" s="328" t="n">
        <v>0</v>
      </c>
      <c r="R34" s="324" t="n">
        <v>0</v>
      </c>
      <c r="S34" s="328" t="n">
        <v>4.8</v>
      </c>
      <c r="T34" s="325">
        <f>S34-R34</f>
        <v/>
      </c>
      <c r="U34" s="325">
        <f>S34-Q34</f>
        <v/>
      </c>
      <c r="V34" s="326">
        <f>IF(Q34=0,"***",U34/Q34)</f>
        <v/>
      </c>
      <c r="W34" s="329">
        <f>IF(I34=0,"***",P34/I34)</f>
        <v/>
      </c>
      <c r="X34" s="330">
        <f>IF(J34=0,"***",Q34/J34)</f>
        <v/>
      </c>
      <c r="Y34" s="330">
        <f>IF(K34=0,"***",R34/K34)</f>
        <v/>
      </c>
      <c r="Z34" s="330">
        <f>IF(L34=0,"***",S34/L34)</f>
        <v/>
      </c>
      <c r="AA34" s="331">
        <f>IF(Y34="***","***",Z34-X34)</f>
        <v/>
      </c>
      <c r="AB34" s="330">
        <f>IF(Z34="***","***",Z34-X34)</f>
        <v/>
      </c>
      <c r="AC34" s="45" t="n"/>
    </row>
    <row r="35">
      <c r="D35" s="8" t="n"/>
      <c r="E35" s="9" t="n"/>
      <c r="F35" s="9" t="n"/>
      <c r="G35" s="22" t="inlineStr">
        <is>
          <t>海外</t>
        </is>
      </c>
      <c r="H35" s="23" t="n"/>
      <c r="I35" s="332" t="n">
        <v>232.15</v>
      </c>
      <c r="J35" s="333" t="n">
        <v>21.15</v>
      </c>
      <c r="K35" s="334" t="n">
        <v>530</v>
      </c>
      <c r="L35" s="333" t="n">
        <v>314.45</v>
      </c>
      <c r="M35" s="335">
        <f>L35-K35</f>
        <v/>
      </c>
      <c r="N35" s="335">
        <f>L35-J35</f>
        <v/>
      </c>
      <c r="O35" s="336">
        <f>IF(J35=0,"***",N35/J35)</f>
        <v/>
      </c>
      <c r="P35" s="371" t="n">
        <v>73.45</v>
      </c>
      <c r="Q35" s="338" t="n">
        <v>5.8</v>
      </c>
      <c r="R35" s="334" t="n">
        <v>100</v>
      </c>
      <c r="S35" s="372" t="n">
        <v>59.63</v>
      </c>
      <c r="T35" s="335">
        <f>S35-R35</f>
        <v/>
      </c>
      <c r="U35" s="335">
        <f>S35-Q35</f>
        <v/>
      </c>
      <c r="V35" s="336">
        <f>IF(Q35=0,"***",U35/Q35)</f>
        <v/>
      </c>
      <c r="W35" s="339">
        <f>IF(I35=0,"***",P35/I35)</f>
        <v/>
      </c>
      <c r="X35" s="340">
        <f>IF(J35=0,"***",Q35/J35)</f>
        <v/>
      </c>
      <c r="Y35" s="340">
        <f>IF(K35=0,"***",R35/K35)</f>
        <v/>
      </c>
      <c r="Z35" s="340">
        <f>IF(L35=0,"***",S35/L35)</f>
        <v/>
      </c>
      <c r="AA35" s="341">
        <f>IF(Y35="***","***",Z35-X35)</f>
        <v/>
      </c>
      <c r="AB35" s="340">
        <f>IF(Z35="***","***",Z35-X35)</f>
        <v/>
      </c>
      <c r="AC35" s="59" t="n"/>
    </row>
    <row r="36">
      <c r="D36" s="8" t="n"/>
      <c r="E36" s="10" t="inlineStr">
        <is>
          <t>営業部門合計</t>
        </is>
      </c>
      <c r="F36" s="5" t="n"/>
      <c r="G36" s="5" t="n"/>
      <c r="H36" s="61" t="n"/>
      <c r="I36" s="373">
        <f>I30+I21+I16+I10+I5</f>
        <v/>
      </c>
      <c r="J36" s="373">
        <f>J30+J21+J16+J10+J5</f>
        <v/>
      </c>
      <c r="K36" s="307">
        <f>K30+K21+K16+K10+K5</f>
        <v/>
      </c>
      <c r="L36" s="357">
        <f>L30+L21+L16+L10+L5</f>
        <v/>
      </c>
      <c r="M36" s="359">
        <f>L36-K36</f>
        <v/>
      </c>
      <c r="N36" s="359">
        <f>L36-J36</f>
        <v/>
      </c>
      <c r="O36" s="318">
        <f>IF(J36=0,"***",N36/J36)</f>
        <v/>
      </c>
      <c r="P36" s="356">
        <f>P30+P21+P16+P10+P5</f>
        <v/>
      </c>
      <c r="Q36" s="357">
        <f>Q30+Q21+Q16+Q10+Q5</f>
        <v/>
      </c>
      <c r="R36" s="307">
        <f>R30+R21+R16+R10+R5</f>
        <v/>
      </c>
      <c r="S36" s="357">
        <f>S30+S21+S16+S10+S5</f>
        <v/>
      </c>
      <c r="T36" s="374">
        <f>S36-R36</f>
        <v/>
      </c>
      <c r="U36" s="374">
        <f>S36-Q36</f>
        <v/>
      </c>
      <c r="V36" s="309">
        <f>IF(Q36=0,"***",U36/Q36)</f>
        <v/>
      </c>
      <c r="W36" s="311">
        <f>IF(I36=0,"***",P36/I36)</f>
        <v/>
      </c>
      <c r="X36" s="312">
        <f>IF(J36=0,"***",Q36/J36)</f>
        <v/>
      </c>
      <c r="Y36" s="312">
        <f>IF(K36=0,"***",R36/K36)</f>
        <v/>
      </c>
      <c r="Z36" s="312">
        <f>IF(L36=0,"***",S36/L36)</f>
        <v/>
      </c>
      <c r="AA36" s="312">
        <f>IF(Y36="***","***",Z36-X36)</f>
        <v/>
      </c>
      <c r="AB36" s="312">
        <f>IF(Z36="***","***",Z36-X36)</f>
        <v/>
      </c>
      <c r="AC36" s="375" t="n"/>
    </row>
    <row r="37">
      <c r="D37" s="8" t="n"/>
      <c r="E37" s="9" t="n"/>
      <c r="H37" s="33" t="inlineStr">
        <is>
          <t>機械以外</t>
        </is>
      </c>
      <c r="I37" s="315">
        <f>I36-I38-I39-I40</f>
        <v/>
      </c>
      <c r="J37" s="315">
        <f>J36-J38-J39-J40</f>
        <v/>
      </c>
      <c r="K37" s="316">
        <f>K36-K38-K39-K40</f>
        <v/>
      </c>
      <c r="L37" s="315">
        <f>L36-L38-L39-L40</f>
        <v/>
      </c>
      <c r="M37" s="359">
        <f>L37-K37</f>
        <v/>
      </c>
      <c r="N37" s="359">
        <f>L37-J37</f>
        <v/>
      </c>
      <c r="O37" s="318">
        <f>IF(J37=0,"***",N37/J37)</f>
        <v/>
      </c>
      <c r="P37" s="314">
        <f>P36-P38-P39-P40</f>
        <v/>
      </c>
      <c r="Q37" s="315">
        <f>Q36-Q38-Q39-Q40</f>
        <v/>
      </c>
      <c r="R37" s="316">
        <f>R36-R38-R39-R40</f>
        <v/>
      </c>
      <c r="S37" s="315">
        <f>S36-S38-S39-S40</f>
        <v/>
      </c>
      <c r="T37" s="359">
        <f>S37-R37</f>
        <v/>
      </c>
      <c r="U37" s="359">
        <f>S37-Q37</f>
        <v/>
      </c>
      <c r="V37" s="318">
        <f>IF(Q37=0,"***",U37/Q37)</f>
        <v/>
      </c>
      <c r="W37" s="319">
        <f>IF(I37=0,"***",P37/I37)</f>
        <v/>
      </c>
      <c r="X37" s="320">
        <f>IF(J37=0,"***",Q37/J37)</f>
        <v/>
      </c>
      <c r="Y37" s="320">
        <f>IF(K37=0,"***",R37/K37)</f>
        <v/>
      </c>
      <c r="Z37" s="320">
        <f>IF(L37=0,"***",S37/L37)</f>
        <v/>
      </c>
      <c r="AA37" s="320">
        <f>IF(Y37="***","***",Z37-X37)</f>
        <v/>
      </c>
      <c r="AB37" s="320">
        <f>IF(Z37="***","***",Z37-X37)</f>
        <v/>
      </c>
      <c r="AC37" s="376" t="n"/>
    </row>
    <row r="38">
      <c r="D38" s="8" t="n"/>
      <c r="E38" s="9" t="n"/>
      <c r="H38" s="34" t="inlineStr">
        <is>
          <t>機械</t>
        </is>
      </c>
      <c r="I38" s="314">
        <f>I33+I23+I19+I13+I8</f>
        <v/>
      </c>
      <c r="J38" s="315">
        <f>J33+J23+J19+J13+J8</f>
        <v/>
      </c>
      <c r="K38" s="316">
        <f>K33+K23+K19+K13+K8</f>
        <v/>
      </c>
      <c r="L38" s="315">
        <f>L33+L23+L19+L13+L8</f>
        <v/>
      </c>
      <c r="M38" s="359">
        <f>L38-K38</f>
        <v/>
      </c>
      <c r="N38" s="359">
        <f>L38-J38</f>
        <v/>
      </c>
      <c r="O38" s="318">
        <f>IF(J38=0,"***",N38/J38)</f>
        <v/>
      </c>
      <c r="P38" s="314">
        <f>P33+P23+P19+P13+P8</f>
        <v/>
      </c>
      <c r="Q38" s="315">
        <f>Q33+Q23+Q19+Q13+Q8</f>
        <v/>
      </c>
      <c r="R38" s="316">
        <f>R33+R23+R19+R13+R8</f>
        <v/>
      </c>
      <c r="S38" s="315">
        <f>S33+S23+S19+S13+S8</f>
        <v/>
      </c>
      <c r="T38" s="359">
        <f>S38-R38</f>
        <v/>
      </c>
      <c r="U38" s="359">
        <f>S38-Q38</f>
        <v/>
      </c>
      <c r="V38" s="318">
        <f>IF(Q38=0,"***",U38/Q38)</f>
        <v/>
      </c>
      <c r="W38" s="319">
        <f>IF(I38=0,"***",P38/I38)</f>
        <v/>
      </c>
      <c r="X38" s="320">
        <f>IF(J38=0,"***",Q38/J38)</f>
        <v/>
      </c>
      <c r="Y38" s="320">
        <f>IF(K38=0,"***",R38/K38)</f>
        <v/>
      </c>
      <c r="Z38" s="320">
        <f>IF(L38=0,"***",S38/L38)</f>
        <v/>
      </c>
      <c r="AA38" s="320">
        <f>IF(Y38="***","***",Z38-X38)</f>
        <v/>
      </c>
      <c r="AB38" s="320">
        <f>IF(Z38="***","***",Z38-X38)</f>
        <v/>
      </c>
      <c r="AC38" s="376" t="n"/>
    </row>
    <row r="39">
      <c r="D39" s="8" t="n"/>
      <c r="E39" s="9" t="n"/>
      <c r="H39" s="33" t="inlineStr">
        <is>
          <t>自治体</t>
        </is>
      </c>
      <c r="I39" s="314">
        <f>I34+I20+I14+I9</f>
        <v/>
      </c>
      <c r="J39" s="315">
        <f>J34+J20+J14+J9</f>
        <v/>
      </c>
      <c r="K39" s="316">
        <f>K34+K20+K14+K9</f>
        <v/>
      </c>
      <c r="L39" s="315">
        <f>L34+L20+L14+L9</f>
        <v/>
      </c>
      <c r="M39" s="359">
        <f>L39-K39</f>
        <v/>
      </c>
      <c r="N39" s="359">
        <f>L39-J39</f>
        <v/>
      </c>
      <c r="O39" s="318">
        <f>IF(J39=0,"***",N39/J39)</f>
        <v/>
      </c>
      <c r="P39" s="314">
        <f>P34+P20+P14+P9</f>
        <v/>
      </c>
      <c r="Q39" s="315">
        <f>Q34+Q20+Q14+Q9</f>
        <v/>
      </c>
      <c r="R39" s="316">
        <f>R34+R20+R14+R9</f>
        <v/>
      </c>
      <c r="S39" s="315">
        <f>S34+S20+S14+S9</f>
        <v/>
      </c>
      <c r="T39" s="359">
        <f>S39-R39</f>
        <v/>
      </c>
      <c r="U39" s="359">
        <f>S39-Q39</f>
        <v/>
      </c>
      <c r="V39" s="318">
        <f>IF(Q39=0,"***",U39/Q39)</f>
        <v/>
      </c>
      <c r="W39" s="319">
        <f>IF(I39=0,"***",P39/I39)</f>
        <v/>
      </c>
      <c r="X39" s="320">
        <f>IF(J39=0,"***",Q39/J39)</f>
        <v/>
      </c>
      <c r="Y39" s="320">
        <f>IF(K39=0,"***",R39/K39)</f>
        <v/>
      </c>
      <c r="Z39" s="320">
        <f>IF(L39=0,"***",S39/L39)</f>
        <v/>
      </c>
      <c r="AA39" s="320">
        <f>IF(Y39="***","***",Z39-X39)</f>
        <v/>
      </c>
      <c r="AB39" s="377">
        <f>IF(Z39="***","***",Z39-X39)</f>
        <v/>
      </c>
      <c r="AC39" s="376" t="n"/>
    </row>
    <row r="40">
      <c r="D40" s="8" t="n"/>
      <c r="E40" s="9" t="n"/>
      <c r="H40" s="103" t="inlineStr">
        <is>
          <t>海外</t>
        </is>
      </c>
      <c r="I40" s="378">
        <f>I35+I15</f>
        <v/>
      </c>
      <c r="J40" s="379">
        <f>J35+J15</f>
        <v/>
      </c>
      <c r="K40" s="334">
        <f>K35+K15</f>
        <v/>
      </c>
      <c r="L40" s="379">
        <f>L35+L15</f>
        <v/>
      </c>
      <c r="M40" s="366">
        <f>L40-K40</f>
        <v/>
      </c>
      <c r="N40" s="366">
        <f>L40-J40</f>
        <v/>
      </c>
      <c r="O40" s="336">
        <f>IF(J40=0,"***",N40/J40)</f>
        <v/>
      </c>
      <c r="P40" s="378">
        <f>P35+P15</f>
        <v/>
      </c>
      <c r="Q40" s="379">
        <f>Q35+Q15</f>
        <v/>
      </c>
      <c r="R40" s="334">
        <f>R35+R15</f>
        <v/>
      </c>
      <c r="S40" s="379">
        <f>S35+S15</f>
        <v/>
      </c>
      <c r="T40" s="366">
        <f>S40-R40</f>
        <v/>
      </c>
      <c r="U40" s="366">
        <f>S40-Q40</f>
        <v/>
      </c>
      <c r="V40" s="336">
        <f>IF(Q40=0,"***",U40/Q40)</f>
        <v/>
      </c>
      <c r="W40" s="339">
        <f>IF(I40=0,"***",P40/I40)</f>
        <v/>
      </c>
      <c r="X40" s="340">
        <f>IF(J40=0,"***",Q40/J40)</f>
        <v/>
      </c>
      <c r="Y40" s="340">
        <f>IF(K40=0,"***",R40/K40)</f>
        <v/>
      </c>
      <c r="Z40" s="340">
        <f>IF(L40=0,"***",S40/L40)</f>
        <v/>
      </c>
      <c r="AA40" s="340">
        <f>IF(Y40="***","***",Z40-X40)</f>
        <v/>
      </c>
      <c r="AB40" s="380">
        <f>IF(Z40="***","***",Z40-X40)</f>
        <v/>
      </c>
      <c r="AC40" s="381" t="n"/>
    </row>
    <row r="41">
      <c r="D41" s="8" t="n"/>
      <c r="E41" s="60" t="inlineStr">
        <is>
          <t>水産部</t>
        </is>
      </c>
      <c r="F41" s="5" t="n"/>
      <c r="G41" s="5" t="n"/>
      <c r="H41" s="5" t="n"/>
      <c r="I41" s="367" t="n">
        <v>27052.538</v>
      </c>
      <c r="J41" s="306" t="n">
        <v>26566.747</v>
      </c>
      <c r="K41" s="307" t="n">
        <v>28670</v>
      </c>
      <c r="L41" s="306" t="n">
        <v>32703.688</v>
      </c>
      <c r="M41" s="308">
        <f>L41-K41</f>
        <v/>
      </c>
      <c r="N41" s="308">
        <f>L41-J41</f>
        <v/>
      </c>
      <c r="O41" s="309">
        <f>IF(J41=0,"***",N41/J41)</f>
        <v/>
      </c>
      <c r="P41" s="367" t="n">
        <v>8027.116</v>
      </c>
      <c r="Q41" s="306" t="n">
        <v>7803.715</v>
      </c>
      <c r="R41" s="307" t="n">
        <v>8170</v>
      </c>
      <c r="S41" s="306" t="n">
        <v>8776.157000000001</v>
      </c>
      <c r="T41" s="308">
        <f>S41-R41</f>
        <v/>
      </c>
      <c r="U41" s="308">
        <f>S41-Q41</f>
        <v/>
      </c>
      <c r="V41" s="309">
        <f>IF(Q41=0,"***",U41/Q41)</f>
        <v/>
      </c>
      <c r="W41" s="382">
        <f>IF(I41=0,"***",P41/I41)</f>
        <v/>
      </c>
      <c r="X41" s="383">
        <f>IF(J41=0,"***",Q41/J41)</f>
        <v/>
      </c>
      <c r="Y41" s="383">
        <f>IF(K41=0,"***",R41/K41)</f>
        <v/>
      </c>
      <c r="Z41" s="383">
        <f>IF(L41=0,"***",S41/L41)</f>
        <v/>
      </c>
      <c r="AA41" s="383">
        <f>IF(Y41="***","***",Z41-X41)</f>
        <v/>
      </c>
      <c r="AB41" s="384">
        <f>IF(Z41="***","***",Z41-X41)</f>
        <v/>
      </c>
      <c r="AC41" s="21" t="n"/>
    </row>
    <row r="42">
      <c r="D42" s="8" t="n"/>
      <c r="E42" s="9" t="n"/>
      <c r="H42" s="33" t="inlineStr">
        <is>
          <t>包装資材</t>
        </is>
      </c>
      <c r="I42" s="385">
        <f>I41-I43-I44</f>
        <v/>
      </c>
      <c r="J42" s="344">
        <f>J41-J43-J44</f>
        <v/>
      </c>
      <c r="K42" s="344">
        <f>K41-K43-K44</f>
        <v/>
      </c>
      <c r="L42" s="344">
        <f>L41-L43-L44</f>
        <v/>
      </c>
      <c r="M42" s="345">
        <f>L42-K42</f>
        <v/>
      </c>
      <c r="N42" s="345">
        <f>L42-J42</f>
        <v/>
      </c>
      <c r="O42" s="346">
        <f>IF(J42=0,"***",N42/J42)</f>
        <v/>
      </c>
      <c r="P42" s="385">
        <f>P41-P43-P44</f>
        <v/>
      </c>
      <c r="Q42" s="344">
        <f>Q41-Q43-Q44</f>
        <v/>
      </c>
      <c r="R42" s="344">
        <f>R41-R43-R44</f>
        <v/>
      </c>
      <c r="S42" s="344">
        <f>S41-S43-S44</f>
        <v/>
      </c>
      <c r="T42" s="345">
        <f>S42-R42</f>
        <v/>
      </c>
      <c r="U42" s="345">
        <f>S42-Q42</f>
        <v/>
      </c>
      <c r="V42" s="346">
        <f>IF(Q42=0,"***",U42/Q42)</f>
        <v/>
      </c>
      <c r="W42" s="386">
        <f>IF(I42=0,"***",P42/I42)</f>
        <v/>
      </c>
      <c r="X42" s="387">
        <f>IF(J42=0,"***",Q42/J42)</f>
        <v/>
      </c>
      <c r="Y42" s="387">
        <f>IF(K42=0,"***",R42/K42)</f>
        <v/>
      </c>
      <c r="Z42" s="387">
        <f>IF(L42=0,"***",S42/L42)</f>
        <v/>
      </c>
      <c r="AA42" s="387">
        <f>IF(Y42="***","***",Z42-X42)</f>
        <v/>
      </c>
      <c r="AB42" s="388">
        <f>IF(Z42="***","***",Z42-X42)</f>
        <v/>
      </c>
      <c r="AC42" s="389" t="n"/>
    </row>
    <row r="43">
      <c r="D43" s="8" t="n"/>
      <c r="E43" s="9" t="n"/>
      <c r="H43" s="34" t="inlineStr">
        <is>
          <t>荷役</t>
        </is>
      </c>
      <c r="I43" s="305" t="n">
        <v>6750.28</v>
      </c>
      <c r="J43" s="390" t="n">
        <v>3372.415</v>
      </c>
      <c r="K43" s="390" t="n">
        <v>3840</v>
      </c>
      <c r="L43" s="390" t="n">
        <v>3402.158</v>
      </c>
      <c r="M43" s="345">
        <f>L43-K43</f>
        <v/>
      </c>
      <c r="N43" s="345">
        <f>L43-J43</f>
        <v/>
      </c>
      <c r="O43" s="346">
        <f>IF(J43=0,"***",N43/J43)</f>
        <v/>
      </c>
      <c r="P43" s="305" t="n">
        <v>4107.718000000001</v>
      </c>
      <c r="Q43" s="390" t="n">
        <v>2118.043</v>
      </c>
      <c r="R43" s="390" t="n">
        <v>2380</v>
      </c>
      <c r="S43" s="390" t="n">
        <v>2241.816</v>
      </c>
      <c r="T43" s="345">
        <f>S43-R43</f>
        <v/>
      </c>
      <c r="U43" s="345">
        <f>S43-Q43</f>
        <v/>
      </c>
      <c r="V43" s="346">
        <f>IF(Q43=0,"***",U43/Q43)</f>
        <v/>
      </c>
      <c r="W43" s="386">
        <f>IF(I43=0,"***",P43/I43)</f>
        <v/>
      </c>
      <c r="X43" s="387">
        <f>IF(J43=0,"***",Q43/J43)</f>
        <v/>
      </c>
      <c r="Y43" s="387">
        <f>IF(K43=0,"***",R43/K43)</f>
        <v/>
      </c>
      <c r="Z43" s="387">
        <f>IF(L43=0,"***",S43/L43)</f>
        <v/>
      </c>
      <c r="AA43" s="387" t="n"/>
      <c r="AB43" s="388" t="n"/>
      <c r="AC43" s="389" t="n"/>
    </row>
    <row r="44">
      <c r="D44" s="8" t="n"/>
      <c r="E44" s="46" t="n"/>
      <c r="F44" s="116" t="n"/>
      <c r="G44" s="116" t="n"/>
      <c r="H44" s="103" t="inlineStr">
        <is>
          <t>機械</t>
        </is>
      </c>
      <c r="I44" s="305" t="n">
        <v>124.2</v>
      </c>
      <c r="J44" s="390" t="n">
        <v>90.48</v>
      </c>
      <c r="K44" s="390" t="n">
        <v>90</v>
      </c>
      <c r="L44" s="390" t="n">
        <v>50.38</v>
      </c>
      <c r="M44" s="345">
        <f>L44-K44</f>
        <v/>
      </c>
      <c r="N44" s="345">
        <f>L44-J44</f>
        <v/>
      </c>
      <c r="O44" s="346">
        <f>IF(J44=0,"***",N44/J44)</f>
        <v/>
      </c>
      <c r="P44" s="305" t="n">
        <v>17.16</v>
      </c>
      <c r="Q44" s="390" t="n">
        <v>5.48</v>
      </c>
      <c r="R44" s="390" t="n">
        <v>20</v>
      </c>
      <c r="S44" s="390" t="n">
        <v>8.91</v>
      </c>
      <c r="T44" s="345">
        <f>S44-R44</f>
        <v/>
      </c>
      <c r="U44" s="345">
        <f>S44-Q44</f>
        <v/>
      </c>
      <c r="V44" s="346">
        <f>IF(Q44=0,"***",U44/Q44)</f>
        <v/>
      </c>
      <c r="W44" s="386">
        <f>IF(I44=0,"***",P44/I44)</f>
        <v/>
      </c>
      <c r="X44" s="387">
        <f>IF(J44=0,"***",Q44/J44)</f>
        <v/>
      </c>
      <c r="Y44" s="387">
        <f>IF(K44=0,"***",R44/K44)</f>
        <v/>
      </c>
      <c r="Z44" s="387">
        <f>IF(L44=0,"***",S44/L44)</f>
        <v/>
      </c>
      <c r="AA44" s="387">
        <f>IF(Y44="***","***",Z44-X44)</f>
        <v/>
      </c>
      <c r="AB44" s="388">
        <f>IF(Z44="***","***",Z44-X44)</f>
        <v/>
      </c>
      <c r="AC44" s="389" t="n"/>
    </row>
    <row r="45">
      <c r="D45" s="117" t="inlineStr">
        <is>
          <t>合計</t>
        </is>
      </c>
      <c r="E45" s="118" t="n"/>
      <c r="F45" s="118" t="n"/>
      <c r="G45" s="118" t="n"/>
      <c r="H45" s="119" t="n"/>
      <c r="I45" s="391">
        <f>I41+I36</f>
        <v/>
      </c>
      <c r="J45" s="392">
        <f>J41+J36</f>
        <v/>
      </c>
      <c r="K45" s="393">
        <f>K41+K36</f>
        <v/>
      </c>
      <c r="L45" s="393">
        <f>L41+L36</f>
        <v/>
      </c>
      <c r="M45" s="394">
        <f>L45-K45</f>
        <v/>
      </c>
      <c r="N45" s="394">
        <f>L45-J45</f>
        <v/>
      </c>
      <c r="O45" s="395">
        <f>IF(J45=0,"***",N45/J45)</f>
        <v/>
      </c>
      <c r="P45" s="396">
        <f>P41+P36</f>
        <v/>
      </c>
      <c r="Q45" s="393">
        <f>Q41+Q36</f>
        <v/>
      </c>
      <c r="R45" s="393">
        <f>R41+R36</f>
        <v/>
      </c>
      <c r="S45" s="393">
        <f>S41+S36</f>
        <v/>
      </c>
      <c r="T45" s="394">
        <f>S45-R45</f>
        <v/>
      </c>
      <c r="U45" s="394">
        <f>S45-Q45</f>
        <v/>
      </c>
      <c r="V45" s="395">
        <f>IF(Q45=0,"***",U45/Q45)</f>
        <v/>
      </c>
      <c r="W45" s="397">
        <f>IF(I45=0,"***",P45/I45)</f>
        <v/>
      </c>
      <c r="X45" s="398">
        <f>IF(J45=0,"***",Q45/J45)</f>
        <v/>
      </c>
      <c r="Y45" s="398">
        <f>IF(K45=0,"***",R45/K45)</f>
        <v/>
      </c>
      <c r="Z45" s="398">
        <f>IF(L45=0,"***",S45/L45)</f>
        <v/>
      </c>
      <c r="AA45" s="398">
        <f>IF(Y45="***","***",Z45-X45)</f>
        <v/>
      </c>
      <c r="AB45" s="399">
        <f>IF(Z45="***","***",Z45-X45)</f>
        <v/>
      </c>
      <c r="AC45" s="400" t="n"/>
    </row>
    <row r="46">
      <c r="D46" s="8" t="n"/>
      <c r="E46" s="118" t="n"/>
      <c r="F46" s="118" t="n"/>
      <c r="G46" s="118" t="n"/>
      <c r="H46" s="130" t="inlineStr">
        <is>
          <t>機械以外</t>
        </is>
      </c>
      <c r="I46" s="401">
        <f>I45-I47</f>
        <v/>
      </c>
      <c r="J46" s="402">
        <f>J45-J47</f>
        <v/>
      </c>
      <c r="K46" s="403">
        <f>K45-K47</f>
        <v/>
      </c>
      <c r="L46" s="403">
        <f>L45-L47</f>
        <v/>
      </c>
      <c r="M46" s="404">
        <f>L46-K46</f>
        <v/>
      </c>
      <c r="N46" s="404">
        <f>L46-J46</f>
        <v/>
      </c>
      <c r="O46" s="405">
        <f>IF(J46=0,"***",N46/J46)</f>
        <v/>
      </c>
      <c r="P46" s="406">
        <f>P45-P47</f>
        <v/>
      </c>
      <c r="Q46" s="403">
        <f>Q45-Q47</f>
        <v/>
      </c>
      <c r="R46" s="403">
        <f>R45-R47</f>
        <v/>
      </c>
      <c r="S46" s="403">
        <f>S45-S47</f>
        <v/>
      </c>
      <c r="T46" s="404">
        <f>S46-R46</f>
        <v/>
      </c>
      <c r="U46" s="404">
        <f>S46-Q46</f>
        <v/>
      </c>
      <c r="V46" s="405">
        <f>IF(Q46=0,"***",U46/Q46)</f>
        <v/>
      </c>
      <c r="W46" s="407">
        <f>IF(I46=0,"***",P46/I46)</f>
        <v/>
      </c>
      <c r="X46" s="408">
        <f>IF(J46=0,"***",Q46/J46)</f>
        <v/>
      </c>
      <c r="Y46" s="408">
        <f>IF(K46=0,"***",R46/K46)</f>
        <v/>
      </c>
      <c r="Z46" s="408">
        <f>IF(L46=0,"***",S46/L46)</f>
        <v/>
      </c>
      <c r="AA46" s="408">
        <f>IF(Y46="***","***",Z46-X46)</f>
        <v/>
      </c>
      <c r="AB46" s="409">
        <f>IF(Z46="***","***",Z46-X46)</f>
        <v/>
      </c>
      <c r="AC46" s="410" t="n"/>
    </row>
    <row r="47">
      <c r="D47" s="8" t="n"/>
      <c r="E47" s="118" t="n"/>
      <c r="F47" s="118" t="n"/>
      <c r="G47" s="141" t="n"/>
      <c r="H47" s="130" t="inlineStr">
        <is>
          <t>機械</t>
        </is>
      </c>
      <c r="I47" s="411">
        <f>I38+I44</f>
        <v/>
      </c>
      <c r="J47" s="412">
        <f>J38+J44</f>
        <v/>
      </c>
      <c r="K47" s="412">
        <f>K38+K44</f>
        <v/>
      </c>
      <c r="L47" s="412">
        <f>L38+L44</f>
        <v/>
      </c>
      <c r="M47" s="413">
        <f>L47-K47</f>
        <v/>
      </c>
      <c r="N47" s="413">
        <f>L47-J47</f>
        <v/>
      </c>
      <c r="O47" s="414">
        <f>IF(J47=0,"***",N47/J47)</f>
        <v/>
      </c>
      <c r="P47" s="415">
        <f>P38+P44</f>
        <v/>
      </c>
      <c r="Q47" s="412">
        <f>Q38+Q44</f>
        <v/>
      </c>
      <c r="R47" s="412">
        <f>R38+R44</f>
        <v/>
      </c>
      <c r="S47" s="412">
        <f>S38+S44</f>
        <v/>
      </c>
      <c r="T47" s="413">
        <f>S47-R47</f>
        <v/>
      </c>
      <c r="U47" s="413">
        <f>S47-Q47</f>
        <v/>
      </c>
      <c r="V47" s="414">
        <f>IF(Q47=0,"***",U47/Q47)</f>
        <v/>
      </c>
      <c r="W47" s="416">
        <f>IF(I47=0,"***",P47/I47)</f>
        <v/>
      </c>
      <c r="X47" s="417">
        <f>IF(J47=0,"***",Q47/J47)</f>
        <v/>
      </c>
      <c r="Y47" s="417">
        <f>IF(K47=0,"***",R47/K47)</f>
        <v/>
      </c>
      <c r="Z47" s="417">
        <f>IF(L47=0,"***",S47/L47)</f>
        <v/>
      </c>
      <c r="AA47" s="417">
        <f>IF(Y47="***","***",Z47-X47)</f>
        <v/>
      </c>
      <c r="AB47" s="418">
        <f>IF(Z47="***","***",Z47-X47)</f>
        <v/>
      </c>
      <c r="AC47" s="419" t="n"/>
    </row>
    <row r="48">
      <c r="D48" s="8" t="n"/>
      <c r="E48" s="118" t="n"/>
      <c r="F48" s="118" t="n"/>
      <c r="G48" s="141" t="n"/>
      <c r="H48" s="130" t="inlineStr">
        <is>
          <t>自治体</t>
        </is>
      </c>
      <c r="I48" s="420">
        <f>I39</f>
        <v/>
      </c>
      <c r="J48" s="403">
        <f>J39</f>
        <v/>
      </c>
      <c r="K48" s="403">
        <f>K39</f>
        <v/>
      </c>
      <c r="L48" s="403">
        <f>L39</f>
        <v/>
      </c>
      <c r="M48" s="404">
        <f>L48-K48</f>
        <v/>
      </c>
      <c r="N48" s="404">
        <f>L48-J48</f>
        <v/>
      </c>
      <c r="O48" s="405">
        <f>IF(J48=0,"***",N48/J48)</f>
        <v/>
      </c>
      <c r="P48" s="406">
        <f>P39</f>
        <v/>
      </c>
      <c r="Q48" s="403">
        <f>Q39</f>
        <v/>
      </c>
      <c r="R48" s="403">
        <f>R39</f>
        <v/>
      </c>
      <c r="S48" s="403">
        <f>S39</f>
        <v/>
      </c>
      <c r="T48" s="404">
        <f>S48-R48</f>
        <v/>
      </c>
      <c r="U48" s="404">
        <f>S48-Q48</f>
        <v/>
      </c>
      <c r="V48" s="405">
        <f>IF(Q48=0,"***",U48/Q48)</f>
        <v/>
      </c>
      <c r="W48" s="407">
        <f>IF(I48=0,"***",P48/I48)</f>
        <v/>
      </c>
      <c r="X48" s="408">
        <f>IF(J48=0,"***",Q48/J48)</f>
        <v/>
      </c>
      <c r="Y48" s="408">
        <f>IF(K48=0,"***",R48/K48)</f>
        <v/>
      </c>
      <c r="Z48" s="408">
        <f>IF(L48=0,"***",S48/L48)</f>
        <v/>
      </c>
      <c r="AA48" s="408">
        <f>IF(Y48="***","***",Z48-X48)</f>
        <v/>
      </c>
      <c r="AB48" s="409">
        <f>IF(Z48="***","***",Z48-X48)</f>
        <v/>
      </c>
      <c r="AC48" s="410" t="n"/>
    </row>
    <row r="49">
      <c r="D49" s="152" t="n"/>
      <c r="E49" s="153" t="n"/>
      <c r="F49" s="153" t="n"/>
      <c r="G49" s="154" t="n"/>
      <c r="H49" s="155" t="inlineStr">
        <is>
          <t>海外</t>
        </is>
      </c>
      <c r="I49" s="421">
        <f>I40</f>
        <v/>
      </c>
      <c r="J49" s="422">
        <f>J40</f>
        <v/>
      </c>
      <c r="K49" s="422">
        <f>K40</f>
        <v/>
      </c>
      <c r="L49" s="422">
        <f>L40</f>
        <v/>
      </c>
      <c r="M49" s="423">
        <f>L49-K49</f>
        <v/>
      </c>
      <c r="N49" s="423">
        <f>L49-J49</f>
        <v/>
      </c>
      <c r="O49" s="424">
        <f>IF(J49=0,"***",N49/J49)</f>
        <v/>
      </c>
      <c r="P49" s="425">
        <f>P40</f>
        <v/>
      </c>
      <c r="Q49" s="422">
        <f>Q40</f>
        <v/>
      </c>
      <c r="R49" s="422">
        <f>R40</f>
        <v/>
      </c>
      <c r="S49" s="422">
        <f>S40</f>
        <v/>
      </c>
      <c r="T49" s="423">
        <f>S49-R49</f>
        <v/>
      </c>
      <c r="U49" s="423">
        <f>S49-Q49</f>
        <v/>
      </c>
      <c r="V49" s="424">
        <f>IF(Q49=0,"***",U49/Q49)</f>
        <v/>
      </c>
      <c r="W49" s="426">
        <f>IF(I49=0,"***",P49/I49)</f>
        <v/>
      </c>
      <c r="X49" s="427">
        <f>IF(J49=0,"***",Q49/J49)</f>
        <v/>
      </c>
      <c r="Y49" s="427">
        <f>IF(K49=0,"***",R49/K49)</f>
        <v/>
      </c>
      <c r="Z49" s="427">
        <f>IF(L49=0,"***",S49/L49)</f>
        <v/>
      </c>
      <c r="AA49" s="427">
        <f>IF(Y49="***","***",Z49-X49)</f>
        <v/>
      </c>
      <c r="AB49" s="428">
        <f>IF(Z49="***","***",Z49-X49)</f>
        <v/>
      </c>
      <c r="AC49" s="429" t="n"/>
    </row>
    <row r="50">
      <c r="D50" s="165" t="inlineStr">
        <is>
          <t>キョウワ（税抜）</t>
        </is>
      </c>
      <c r="E50" s="166" t="n"/>
      <c r="F50" s="166" t="n"/>
      <c r="G50" s="166" t="n"/>
      <c r="H50" s="47" t="n"/>
      <c r="I50" s="430" t="n">
        <v>1570</v>
      </c>
      <c r="J50" s="431" t="n">
        <v>1190</v>
      </c>
      <c r="K50" s="431" t="n">
        <v>1360</v>
      </c>
      <c r="L50" s="431" t="n">
        <v>3950</v>
      </c>
      <c r="M50" s="432">
        <f>L50-K50</f>
        <v/>
      </c>
      <c r="N50" s="432">
        <f>L50-J50</f>
        <v/>
      </c>
      <c r="O50" s="433">
        <f>IF(J50=0,"***",N50/J50)</f>
        <v/>
      </c>
      <c r="P50" s="430" t="n">
        <v>1040</v>
      </c>
      <c r="Q50" s="431" t="n">
        <v>750</v>
      </c>
      <c r="R50" s="431" t="n">
        <v>880</v>
      </c>
      <c r="S50" s="431" t="n">
        <v>1723</v>
      </c>
      <c r="T50" s="432">
        <f>S50-R50</f>
        <v/>
      </c>
      <c r="U50" s="432">
        <f>S50-Q50</f>
        <v/>
      </c>
      <c r="V50" s="433">
        <f>IF(Q50=0,"***",U50/Q50)</f>
        <v/>
      </c>
      <c r="W50" s="434">
        <f>IF(I50=0,"***",P50/I50)</f>
        <v/>
      </c>
      <c r="X50" s="435">
        <f>IF(J50=0,"***",Q50/J50)</f>
        <v/>
      </c>
      <c r="Y50" s="435">
        <f>IF(K50=0,"***",R50/K50)</f>
        <v/>
      </c>
      <c r="Z50" s="435">
        <f>IF(L50=0,"***",S50/L50)</f>
        <v/>
      </c>
      <c r="AA50" s="435">
        <f>IF(Y50="***","***",Z50-X50)</f>
        <v/>
      </c>
      <c r="AB50" s="433">
        <f>IF(Z50="***","***",Z50-X50)</f>
        <v/>
      </c>
      <c r="AC50" s="436" t="n"/>
    </row>
  </sheetData>
  <mergeCells count="14">
    <mergeCell ref="K3:K4"/>
    <mergeCell ref="AC3:AC4"/>
    <mergeCell ref="L3:L4"/>
    <mergeCell ref="P3:P4"/>
    <mergeCell ref="D3:H4"/>
    <mergeCell ref="Q3:Q4"/>
    <mergeCell ref="R3:R4"/>
    <mergeCell ref="I3:I4"/>
    <mergeCell ref="S3:S4"/>
    <mergeCell ref="X3:X4"/>
    <mergeCell ref="W3:W4"/>
    <mergeCell ref="Y3:Y4"/>
    <mergeCell ref="Z3:Z4"/>
    <mergeCell ref="J3:J4"/>
  </mergeCells>
  <pageMargins left="0.708333333333333" right="0.708333333333333" top="0.747916666666667" bottom="0.747916666666667" header="0.511811023622047" footer="0.511811023622047"/>
  <pageSetup orientation="landscape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C50"/>
  <sheetViews>
    <sheetView workbookViewId="0">
      <selection activeCell="R6" sqref="R6"/>
    </sheetView>
  </sheetViews>
  <sheetFormatPr baseColWidth="8" defaultColWidth="8.5" defaultRowHeight="18.75"/>
  <cols>
    <col width="2.375" customWidth="1" style="1" min="4" max="4"/>
    <col width="2.875" customWidth="1" style="1" min="5" max="5"/>
    <col width="3.125" customWidth="1" style="1" min="6" max="7"/>
    <col width="16" customWidth="1" style="1" min="8" max="8"/>
    <col width="8.75" bestFit="1" customWidth="1" style="1" min="9" max="9"/>
    <col width="8.5" customWidth="1" style="302" min="13" max="14"/>
    <col width="8.5" customWidth="1" style="302" min="20" max="21"/>
    <col width="60.5" customWidth="1" style="1" min="29" max="29"/>
  </cols>
  <sheetData>
    <row r="1" ht="23.25" customHeight="1" s="1">
      <c r="D1" s="2" t="inlineStr">
        <is>
          <t>2．下期</t>
        </is>
      </c>
    </row>
    <row r="2"/>
    <row r="3" ht="18.75" customHeight="1" s="1">
      <c r="D3" s="284" t="n"/>
      <c r="E3" s="285" t="n"/>
      <c r="F3" s="285" t="n"/>
      <c r="G3" s="285" t="n"/>
      <c r="H3" s="286" t="n"/>
      <c r="I3" s="282" t="inlineStr">
        <is>
          <t>第49期下期売上実績</t>
        </is>
      </c>
      <c r="J3" s="290" t="inlineStr">
        <is>
          <t>第50期下期売上実績</t>
        </is>
      </c>
      <c r="K3" s="292" t="inlineStr">
        <is>
          <t>第51期下期売上計画</t>
        </is>
      </c>
      <c r="L3" s="292" t="inlineStr">
        <is>
          <t>第51期下期売上実績</t>
        </is>
      </c>
      <c r="M3" s="303" t="n"/>
      <c r="N3" s="303" t="n"/>
      <c r="O3" s="4" t="n"/>
      <c r="P3" s="282" t="inlineStr">
        <is>
          <t>第49期下期粗利益実績</t>
        </is>
      </c>
      <c r="Q3" s="290" t="inlineStr">
        <is>
          <t>第50期下期粗利益実績</t>
        </is>
      </c>
      <c r="R3" s="292" t="inlineStr">
        <is>
          <t>第51期下期粗利益計画</t>
        </is>
      </c>
      <c r="S3" s="292" t="inlineStr">
        <is>
          <t>第51期下期粗利益実績</t>
        </is>
      </c>
      <c r="T3" s="303" t="n"/>
      <c r="U3" s="303" t="n"/>
      <c r="V3" s="4" t="n"/>
      <c r="W3" s="297" t="inlineStr">
        <is>
          <t>第49期下期粗利益率実績</t>
        </is>
      </c>
      <c r="X3" s="298" t="inlineStr">
        <is>
          <t>第50期下期粗利益率実績</t>
        </is>
      </c>
      <c r="Y3" s="294" t="inlineStr">
        <is>
          <t>第51期下期粗利益率計画</t>
        </is>
      </c>
      <c r="Z3" s="294" t="inlineStr">
        <is>
          <t>第51期下期粗利益率実績</t>
        </is>
      </c>
      <c r="AA3" s="5" t="n"/>
      <c r="AB3" s="5" t="n"/>
      <c r="AC3" s="295" t="inlineStr">
        <is>
          <t>作成根拠</t>
        </is>
      </c>
    </row>
    <row r="4">
      <c r="D4" s="287" t="n"/>
      <c r="E4" s="288" t="n"/>
      <c r="F4" s="288" t="n"/>
      <c r="G4" s="288" t="n"/>
      <c r="H4" s="289" t="n"/>
      <c r="I4" s="283" t="n"/>
      <c r="J4" s="291" t="n"/>
      <c r="K4" s="293" t="n"/>
      <c r="L4" s="293" t="n"/>
      <c r="M4" s="304" t="inlineStr">
        <is>
          <t>計画比</t>
        </is>
      </c>
      <c r="N4" s="304" t="inlineStr">
        <is>
          <t>前期比</t>
        </is>
      </c>
      <c r="O4" s="7" t="inlineStr">
        <is>
          <t>年率</t>
        </is>
      </c>
      <c r="P4" s="283" t="n"/>
      <c r="Q4" s="291" t="n"/>
      <c r="R4" s="293" t="n"/>
      <c r="S4" s="293" t="n"/>
      <c r="T4" s="304" t="inlineStr">
        <is>
          <t>計画比</t>
        </is>
      </c>
      <c r="U4" s="304" t="inlineStr">
        <is>
          <t>前期比</t>
        </is>
      </c>
      <c r="V4" s="7" t="inlineStr">
        <is>
          <t>年率</t>
        </is>
      </c>
      <c r="W4" s="283" t="n"/>
      <c r="X4" s="291" t="n"/>
      <c r="Y4" s="293" t="n"/>
      <c r="Z4" s="293" t="n"/>
      <c r="AA4" s="6" t="inlineStr">
        <is>
          <t>計画比</t>
        </is>
      </c>
      <c r="AB4" s="6" t="inlineStr">
        <is>
          <t>前期比</t>
        </is>
      </c>
      <c r="AC4" s="296" t="n"/>
    </row>
    <row r="5">
      <c r="D5" s="8" t="n"/>
      <c r="E5" s="9" t="n"/>
      <c r="F5" s="10" t="inlineStr">
        <is>
          <t>石見営業所</t>
        </is>
      </c>
      <c r="H5" s="11" t="n"/>
      <c r="I5" s="305">
        <f>'8月'!I5+BACKDATA7月!I5+BACKDATA6月!I5+BACKDATA5月!I5+BACKDATA4月!I5</f>
        <v/>
      </c>
      <c r="J5" s="306">
        <f>'8月'!J5+BACKDATA7月!J5+BACKDATA6月!J5+BACKDATA5月!J5+BACKDATA4月!J5</f>
        <v/>
      </c>
      <c r="K5" s="307">
        <f>'8月'!K5+BACKDATA7月!K5+BACKDATA6月!K5+BACKDATA5月!K5+BACKDATA4月!K5</f>
        <v/>
      </c>
      <c r="L5" s="306">
        <f>'8月'!L5+BACKDATA7月!L5+BACKDATA6月!L5+BACKDATA5月!L5+BACKDATA4月!L5</f>
        <v/>
      </c>
      <c r="M5" s="308">
        <f>L5-K5</f>
        <v/>
      </c>
      <c r="N5" s="308">
        <f>L5-J5</f>
        <v/>
      </c>
      <c r="O5" s="309">
        <f>IF(J5=0,"***",N5/J5)</f>
        <v/>
      </c>
      <c r="P5" s="305">
        <f>'8月'!P5+BACKDATA7月!P5+BACKDATA6月!P5+BACKDATA5月!P5+BACKDATA4月!P5</f>
        <v/>
      </c>
      <c r="Q5" s="306">
        <f>'8月'!Q5+BACKDATA7月!Q5+BACKDATA6月!Q5+BACKDATA5月!Q5+BACKDATA4月!Q5</f>
        <v/>
      </c>
      <c r="R5" s="307">
        <f>'8月'!R5+BACKDATA7月!R5+BACKDATA6月!R5+BACKDATA5月!R5+BACKDATA4月!R5</f>
        <v/>
      </c>
      <c r="S5" s="306">
        <f>'8月'!S5+BACKDATA7月!S5+BACKDATA6月!S5+BACKDATA5月!S5+BACKDATA4月!S5</f>
        <v/>
      </c>
      <c r="T5" s="308">
        <f>S5-R5</f>
        <v/>
      </c>
      <c r="U5" s="308">
        <f>S5-Q5</f>
        <v/>
      </c>
      <c r="V5" s="309">
        <f>IF(Q5=0,"***",U5/Q5)</f>
        <v/>
      </c>
      <c r="W5" s="311">
        <f>IF(I5=0,"***",P5/I5)</f>
        <v/>
      </c>
      <c r="X5" s="312">
        <f>IF(J5=0,"***",Q5/J5)</f>
        <v/>
      </c>
      <c r="Y5" s="312">
        <f>IF(K5=0,"***",R5/K5)</f>
        <v/>
      </c>
      <c r="Z5" s="312">
        <f>IF(L5=0,"***",S5/L5)</f>
        <v/>
      </c>
      <c r="AA5" s="313">
        <f>IF(Y5="***","***",Z5-X5)</f>
        <v/>
      </c>
      <c r="AB5" s="312">
        <f>IF(Z5="***","***",Z5-X5)</f>
        <v/>
      </c>
      <c r="AC5" s="21" t="n"/>
    </row>
    <row r="6">
      <c r="D6" s="8" t="n"/>
      <c r="E6" s="9" t="n"/>
      <c r="F6" s="9" t="n"/>
      <c r="G6" s="22" t="inlineStr">
        <is>
          <t>営業</t>
        </is>
      </c>
      <c r="H6" s="23" t="n"/>
      <c r="I6" s="314">
        <f>I5-I9</f>
        <v/>
      </c>
      <c r="J6" s="315">
        <f>J5-J9</f>
        <v/>
      </c>
      <c r="K6" s="316">
        <f>K5-K9</f>
        <v/>
      </c>
      <c r="L6" s="315">
        <f>L5-L9</f>
        <v/>
      </c>
      <c r="M6" s="317">
        <f>L6-K6</f>
        <v/>
      </c>
      <c r="N6" s="317">
        <f>L6-J6</f>
        <v/>
      </c>
      <c r="O6" s="318">
        <f>IF(J6=0,"***",N6/J6)</f>
        <v/>
      </c>
      <c r="P6" s="314">
        <f>P5-P9</f>
        <v/>
      </c>
      <c r="Q6" s="315">
        <f>Q5-Q9</f>
        <v/>
      </c>
      <c r="R6" s="316">
        <f>R5-R9</f>
        <v/>
      </c>
      <c r="S6" s="315">
        <f>S5-S9</f>
        <v/>
      </c>
      <c r="T6" s="317">
        <f>S6-R6</f>
        <v/>
      </c>
      <c r="U6" s="317">
        <f>S6-Q6</f>
        <v/>
      </c>
      <c r="V6" s="318">
        <f>IF(Q6=0,"***",U6/Q6)</f>
        <v/>
      </c>
      <c r="W6" s="319">
        <f>IF(I6=0,"***",P6/I6)</f>
        <v/>
      </c>
      <c r="X6" s="320">
        <f>IF(J6=0,"***",Q6/J6)</f>
        <v/>
      </c>
      <c r="Y6" s="320">
        <f>IF(K6=0,"***",R6/K6)</f>
        <v/>
      </c>
      <c r="Z6" s="320">
        <f>IF(L6=0,"***",S6/L6)</f>
        <v/>
      </c>
      <c r="AA6" s="321">
        <f>IF(Y6="***","***",Z6-X6)</f>
        <v/>
      </c>
      <c r="AB6" s="320">
        <f>IF(Z6="***","***",Z6-X6)</f>
        <v/>
      </c>
      <c r="AC6" s="31" t="n"/>
    </row>
    <row r="7">
      <c r="D7" s="8" t="n"/>
      <c r="E7" s="9" t="n"/>
      <c r="F7" s="9" t="n"/>
      <c r="G7" s="32" t="n"/>
      <c r="H7" s="33" t="inlineStr">
        <is>
          <t>包装資材</t>
        </is>
      </c>
      <c r="I7" s="314">
        <f>I6-I8</f>
        <v/>
      </c>
      <c r="J7" s="315">
        <f>J6-J8</f>
        <v/>
      </c>
      <c r="K7" s="316">
        <f>K6-K8</f>
        <v/>
      </c>
      <c r="L7" s="315">
        <f>L6-L8</f>
        <v/>
      </c>
      <c r="M7" s="317">
        <f>L7-K7</f>
        <v/>
      </c>
      <c r="N7" s="317">
        <f>L7-J7</f>
        <v/>
      </c>
      <c r="O7" s="318">
        <f>IF(J7=0,"***",N7/J7)</f>
        <v/>
      </c>
      <c r="P7" s="314">
        <f>P6-P8</f>
        <v/>
      </c>
      <c r="Q7" s="315">
        <f>Q6-Q8</f>
        <v/>
      </c>
      <c r="R7" s="316">
        <f>R6-R8</f>
        <v/>
      </c>
      <c r="S7" s="315">
        <f>S6-S8</f>
        <v/>
      </c>
      <c r="T7" s="317">
        <f>S7-R7</f>
        <v/>
      </c>
      <c r="U7" s="317">
        <f>S7-Q7</f>
        <v/>
      </c>
      <c r="V7" s="318">
        <f>IF(Q7=0,"***",U7/Q7)</f>
        <v/>
      </c>
      <c r="W7" s="319">
        <f>IF(I7=0,"***",P7/I7)</f>
        <v/>
      </c>
      <c r="X7" s="320">
        <f>IF(J7=0,"***",Q7/J7)</f>
        <v/>
      </c>
      <c r="Y7" s="320">
        <f>IF(K7=0,"***",R7/K7)</f>
        <v/>
      </c>
      <c r="Z7" s="320">
        <f>IF(L7=0,"***",S7/L7)</f>
        <v/>
      </c>
      <c r="AA7" s="321">
        <f>IF(Y7="***","***",Z7-X7)</f>
        <v/>
      </c>
      <c r="AB7" s="320">
        <f>IF(Z7="***","***",Z7-X7)</f>
        <v/>
      </c>
      <c r="AC7" s="31" t="n"/>
    </row>
    <row r="8">
      <c r="D8" s="8" t="n"/>
      <c r="E8" s="9" t="n"/>
      <c r="F8" s="9" t="n"/>
      <c r="G8" s="32" t="n"/>
      <c r="H8" s="34" t="inlineStr">
        <is>
          <t>機械</t>
        </is>
      </c>
      <c r="I8" s="322">
        <f>'8月'!I8+BACKDATA7月!I8+BACKDATA6月!I8+BACKDATA5月!I8+BACKDATA4月!I8</f>
        <v/>
      </c>
      <c r="J8" s="323">
        <f>'8月'!J8+BACKDATA7月!J8+BACKDATA6月!J8+BACKDATA5月!J8+BACKDATA4月!J8</f>
        <v/>
      </c>
      <c r="K8" s="324">
        <f>'8月'!K8+BACKDATA7月!K8+BACKDATA6月!K8+BACKDATA5月!K8+BACKDATA4月!K8</f>
        <v/>
      </c>
      <c r="L8" s="323">
        <f>'8月'!L8+BACKDATA7月!L8+BACKDATA6月!L8+BACKDATA5月!L8+BACKDATA4月!L8</f>
        <v/>
      </c>
      <c r="M8" s="325">
        <f>L8-K8</f>
        <v/>
      </c>
      <c r="N8" s="325">
        <f>L8-J8</f>
        <v/>
      </c>
      <c r="O8" s="326">
        <f>IF(J8=0,"***",N8/J8)</f>
        <v/>
      </c>
      <c r="P8" s="322">
        <f>'8月'!P8+BACKDATA7月!P8+BACKDATA6月!P8+BACKDATA5月!P8+BACKDATA4月!P8</f>
        <v/>
      </c>
      <c r="Q8" s="323">
        <f>'8月'!Q8+BACKDATA7月!Q8+BACKDATA6月!Q8+BACKDATA5月!Q8+BACKDATA4月!Q8</f>
        <v/>
      </c>
      <c r="R8" s="324">
        <f>'8月'!R8+BACKDATA7月!R8+BACKDATA6月!R8+BACKDATA5月!R8+BACKDATA4月!R8</f>
        <v/>
      </c>
      <c r="S8" s="323">
        <f>'8月'!S8+BACKDATA7月!S8+BACKDATA6月!S8+BACKDATA5月!S8+BACKDATA4月!S8</f>
        <v/>
      </c>
      <c r="T8" s="325">
        <f>S8-R8</f>
        <v/>
      </c>
      <c r="U8" s="325">
        <f>S8-Q8</f>
        <v/>
      </c>
      <c r="V8" s="326">
        <f>IF(Q8=0,"***",U8/Q8)</f>
        <v/>
      </c>
      <c r="W8" s="329">
        <f>IF(I8=0,"***",P8/I8)</f>
        <v/>
      </c>
      <c r="X8" s="330">
        <f>IF(J8=0,"***",Q8/J8)</f>
        <v/>
      </c>
      <c r="Y8" s="330">
        <f>IF(K8=0,"***",R8/K8)</f>
        <v/>
      </c>
      <c r="Z8" s="330">
        <f>IF(L8=0,"***",S8/L8)</f>
        <v/>
      </c>
      <c r="AA8" s="331">
        <f>IF(Y8="***","***",Z8-X8)</f>
        <v/>
      </c>
      <c r="AB8" s="330">
        <f>IF(Z8="***","***",Z8-X8)</f>
        <v/>
      </c>
      <c r="AC8" s="45" t="n"/>
    </row>
    <row r="9">
      <c r="D9" s="8" t="n"/>
      <c r="E9" s="9" t="n"/>
      <c r="F9" s="46" t="n"/>
      <c r="G9" s="47" t="inlineStr">
        <is>
          <t>自治体</t>
        </is>
      </c>
      <c r="H9" s="48" t="n"/>
      <c r="I9" s="332">
        <f>'8月'!I9+BACKDATA7月!I9+BACKDATA6月!I9+BACKDATA5月!I9+BACKDATA4月!I9</f>
        <v/>
      </c>
      <c r="J9" s="333">
        <f>'8月'!J9+BACKDATA7月!J9+BACKDATA6月!J9+BACKDATA5月!J9+BACKDATA4月!J9</f>
        <v/>
      </c>
      <c r="K9" s="334">
        <f>'8月'!K9+BACKDATA7月!K9+BACKDATA6月!K9+BACKDATA5月!K9+BACKDATA4月!K9</f>
        <v/>
      </c>
      <c r="L9" s="333">
        <f>'8月'!L9+BACKDATA7月!L9+BACKDATA6月!L9+BACKDATA5月!L9+BACKDATA4月!L9</f>
        <v/>
      </c>
      <c r="M9" s="335">
        <f>L9-K9</f>
        <v/>
      </c>
      <c r="N9" s="335">
        <f>L9-J9</f>
        <v/>
      </c>
      <c r="O9" s="336">
        <f>IF(J9=0,"***",N9/J9)</f>
        <v/>
      </c>
      <c r="P9" s="332">
        <f>'8月'!P9+BACKDATA7月!P9+BACKDATA6月!P9+BACKDATA5月!P9+BACKDATA4月!P9</f>
        <v/>
      </c>
      <c r="Q9" s="333">
        <f>'8月'!Q9+BACKDATA7月!Q9+BACKDATA6月!Q9+BACKDATA5月!Q9+BACKDATA4月!Q9</f>
        <v/>
      </c>
      <c r="R9" s="334">
        <f>'8月'!R9+BACKDATA7月!R9+BACKDATA6月!R9+BACKDATA5月!R9+BACKDATA4月!R9</f>
        <v/>
      </c>
      <c r="S9" s="333">
        <f>'8月'!S9+BACKDATA7月!S9+BACKDATA6月!S9+BACKDATA5月!S9+BACKDATA4月!S9</f>
        <v/>
      </c>
      <c r="T9" s="335">
        <f>S9-R9</f>
        <v/>
      </c>
      <c r="U9" s="335">
        <f>S9-Q9</f>
        <v/>
      </c>
      <c r="V9" s="336">
        <f>IF(Q9=0,"***",U9/Q9)</f>
        <v/>
      </c>
      <c r="W9" s="339">
        <f>IF(I9=0,"***",P9/I9)</f>
        <v/>
      </c>
      <c r="X9" s="340">
        <f>IF(J9=0,"***",Q9/J9)</f>
        <v/>
      </c>
      <c r="Y9" s="340">
        <f>IF(K9=0,"***",R9/K9)</f>
        <v/>
      </c>
      <c r="Z9" s="340">
        <f>IF(L9=0,"***",S9/L9)</f>
        <v/>
      </c>
      <c r="AA9" s="341">
        <f>IF(Y9="***","***",Z9-X9)</f>
        <v/>
      </c>
      <c r="AB9" s="340">
        <f>IF(Z9="***","***",Z9-X9)</f>
        <v/>
      </c>
      <c r="AC9" s="59" t="n"/>
    </row>
    <row r="10">
      <c r="D10" s="8" t="n"/>
      <c r="E10" s="9" t="n"/>
      <c r="F10" s="60" t="inlineStr">
        <is>
          <t>下関営業所</t>
        </is>
      </c>
      <c r="G10" s="5" t="n"/>
      <c r="H10" s="61" t="n"/>
      <c r="I10" s="342">
        <f>'8月'!I10+BACKDATA7月!I10+BACKDATA6月!I10+BACKDATA5月!I10+BACKDATA4月!I10</f>
        <v/>
      </c>
      <c r="J10" s="343">
        <f>'8月'!J10+BACKDATA7月!J10+BACKDATA6月!J10+BACKDATA5月!J10+BACKDATA4月!J10</f>
        <v/>
      </c>
      <c r="K10" s="344">
        <f>'8月'!K10+BACKDATA7月!K10+BACKDATA6月!K10+BACKDATA5月!K10+BACKDATA4月!K10</f>
        <v/>
      </c>
      <c r="L10" s="343">
        <f>'8月'!L10+BACKDATA7月!L10+BACKDATA6月!L10+BACKDATA5月!L10+BACKDATA4月!L10</f>
        <v/>
      </c>
      <c r="M10" s="345">
        <f>L10-K10</f>
        <v/>
      </c>
      <c r="N10" s="345">
        <f>L10-J10</f>
        <v/>
      </c>
      <c r="O10" s="346">
        <f>IF(J10=0,"***",N10/J10)</f>
        <v/>
      </c>
      <c r="P10" s="342">
        <f>'8月'!P10+BACKDATA7月!P10+BACKDATA6月!P10+BACKDATA5月!P10+BACKDATA4月!P10</f>
        <v/>
      </c>
      <c r="Q10" s="343">
        <f>'8月'!Q10+BACKDATA7月!Q10+BACKDATA6月!Q10+BACKDATA5月!Q10+BACKDATA4月!Q10</f>
        <v/>
      </c>
      <c r="R10" s="344">
        <f>'8月'!R10+BACKDATA7月!R10+BACKDATA6月!R10+BACKDATA5月!R10+BACKDATA4月!R10</f>
        <v/>
      </c>
      <c r="S10" s="343">
        <f>'8月'!S10+BACKDATA7月!S10+BACKDATA6月!S10+BACKDATA5月!S10+BACKDATA4月!S10</f>
        <v/>
      </c>
      <c r="T10" s="345">
        <f>S10-R10</f>
        <v/>
      </c>
      <c r="U10" s="345">
        <f>S10-Q10</f>
        <v/>
      </c>
      <c r="V10" s="346">
        <f>IF(Q10=0,"***",U10/Q10)</f>
        <v/>
      </c>
      <c r="W10" s="347">
        <f>IF(I10=0,"***",P10/I10)</f>
        <v/>
      </c>
      <c r="X10" s="348">
        <f>IF(J10=0,"***",Q10/J10)</f>
        <v/>
      </c>
      <c r="Y10" s="348">
        <f>IF(K10=0,"***",R10/K10)</f>
        <v/>
      </c>
      <c r="Z10" s="348">
        <f>IF(L10=0,"***",S10/L10)</f>
        <v/>
      </c>
      <c r="AA10" s="349">
        <f>IF(Y10="***","***",Z10-X10)</f>
        <v/>
      </c>
      <c r="AB10" s="348">
        <f>IF(Z10="***","***",Z10-X10)</f>
        <v/>
      </c>
      <c r="AC10" s="70" t="n"/>
    </row>
    <row r="11">
      <c r="D11" s="8" t="n"/>
      <c r="E11" s="9" t="n"/>
      <c r="F11" s="9" t="n"/>
      <c r="G11" s="22" t="inlineStr">
        <is>
          <t>営業</t>
        </is>
      </c>
      <c r="H11" s="23" t="n"/>
      <c r="I11" s="314">
        <f>I10-I15-I14</f>
        <v/>
      </c>
      <c r="J11" s="315">
        <f>J10-J15-J14</f>
        <v/>
      </c>
      <c r="K11" s="316">
        <f>K10-K15-K14</f>
        <v/>
      </c>
      <c r="L11" s="315">
        <f>L10-L15-L14</f>
        <v/>
      </c>
      <c r="M11" s="317">
        <f>L11-K11</f>
        <v/>
      </c>
      <c r="N11" s="317">
        <f>L11-J11</f>
        <v/>
      </c>
      <c r="O11" s="318">
        <f>IF(J11=0,"***",N11/J11)</f>
        <v/>
      </c>
      <c r="P11" s="314">
        <f>P10-P15-P14</f>
        <v/>
      </c>
      <c r="Q11" s="315">
        <f>Q10-Q15-Q14</f>
        <v/>
      </c>
      <c r="R11" s="316">
        <f>R10-R15-R14</f>
        <v/>
      </c>
      <c r="S11" s="315">
        <f>S10-S15-S14</f>
        <v/>
      </c>
      <c r="T11" s="317">
        <f>S11-R11</f>
        <v/>
      </c>
      <c r="U11" s="317">
        <f>S11-Q11</f>
        <v/>
      </c>
      <c r="V11" s="318">
        <f>IF(Q11=0,"***",U11/Q11)</f>
        <v/>
      </c>
      <c r="W11" s="319">
        <f>IF(I11=0,"***",P11/I11)</f>
        <v/>
      </c>
      <c r="X11" s="320">
        <f>IF(J11=0,"***",Q11/J11)</f>
        <v/>
      </c>
      <c r="Y11" s="320">
        <f>IF(K11=0,"***",R11/K11)</f>
        <v/>
      </c>
      <c r="Z11" s="320">
        <f>IF(L11=0,"***",S11/L11)</f>
        <v/>
      </c>
      <c r="AA11" s="321">
        <f>IF(Y11="***","***",Z11-X11)</f>
        <v/>
      </c>
      <c r="AB11" s="320">
        <f>IF(Z11="***","***",Z11-X11)</f>
        <v/>
      </c>
      <c r="AC11" s="31" t="n"/>
    </row>
    <row r="12">
      <c r="D12" s="8" t="n"/>
      <c r="E12" s="9" t="n"/>
      <c r="F12" s="9" t="n"/>
      <c r="G12" s="71" t="n"/>
      <c r="H12" s="33" t="inlineStr">
        <is>
          <t>包装資材</t>
        </is>
      </c>
      <c r="I12" s="314">
        <f>I11-I13</f>
        <v/>
      </c>
      <c r="J12" s="315">
        <f>J11-J13</f>
        <v/>
      </c>
      <c r="K12" s="316">
        <f>K11-K13</f>
        <v/>
      </c>
      <c r="L12" s="315">
        <f>L11-L13</f>
        <v/>
      </c>
      <c r="M12" s="317">
        <f>L12-K12</f>
        <v/>
      </c>
      <c r="N12" s="317">
        <f>L12-J12</f>
        <v/>
      </c>
      <c r="O12" s="318">
        <f>IF(J12=0,"***",N12/J12)</f>
        <v/>
      </c>
      <c r="P12" s="314">
        <f>P11-P13</f>
        <v/>
      </c>
      <c r="Q12" s="315">
        <f>Q11-Q13</f>
        <v/>
      </c>
      <c r="R12" s="316">
        <f>R11-R13</f>
        <v/>
      </c>
      <c r="S12" s="315">
        <f>S11-S13</f>
        <v/>
      </c>
      <c r="T12" s="317">
        <f>S12-R12</f>
        <v/>
      </c>
      <c r="U12" s="317">
        <f>S12-Q12</f>
        <v/>
      </c>
      <c r="V12" s="318">
        <f>IF(Q12=0,"***",U12/Q12)</f>
        <v/>
      </c>
      <c r="W12" s="319">
        <f>IF(I12=0,"***",P12/I12)</f>
        <v/>
      </c>
      <c r="X12" s="320">
        <f>IF(J12=0,"***",Q12/J12)</f>
        <v/>
      </c>
      <c r="Y12" s="320">
        <f>IF(K12=0,"***",R12/K12)</f>
        <v/>
      </c>
      <c r="Z12" s="320">
        <f>IF(L12=0,"***",S12/L12)</f>
        <v/>
      </c>
      <c r="AA12" s="321">
        <f>IF(Y12="***","***",Z12-X12)</f>
        <v/>
      </c>
      <c r="AB12" s="320">
        <f>IF(Z12="***","***",Z12-X12)</f>
        <v/>
      </c>
      <c r="AC12" s="31" t="n"/>
    </row>
    <row r="13">
      <c r="D13" s="8" t="n"/>
      <c r="E13" s="9" t="n"/>
      <c r="F13" s="9" t="n"/>
      <c r="G13" s="72" t="n"/>
      <c r="H13" s="34" t="inlineStr">
        <is>
          <t>機械</t>
        </is>
      </c>
      <c r="I13" s="350">
        <f>'8月'!I13+BACKDATA7月!I13+BACKDATA6月!I13+BACKDATA5月!I13+BACKDATA4月!I13</f>
        <v/>
      </c>
      <c r="J13" s="351">
        <f>'8月'!J13+BACKDATA7月!J13+BACKDATA6月!J13+BACKDATA5月!J13+BACKDATA4月!J13</f>
        <v/>
      </c>
      <c r="K13" s="316">
        <f>'8月'!K13+BACKDATA7月!K13+BACKDATA6月!K13+BACKDATA5月!K13+BACKDATA4月!K13</f>
        <v/>
      </c>
      <c r="L13" s="351">
        <f>'8月'!L13+BACKDATA7月!L13+BACKDATA6月!L13+BACKDATA5月!L13+BACKDATA4月!L13</f>
        <v/>
      </c>
      <c r="M13" s="317">
        <f>L13-K13</f>
        <v/>
      </c>
      <c r="N13" s="317">
        <f>L13-J13</f>
        <v/>
      </c>
      <c r="O13" s="318">
        <f>IF(J13=0,"***",N13/J13)</f>
        <v/>
      </c>
      <c r="P13" s="350">
        <f>'8月'!P13+BACKDATA7月!P13+BACKDATA6月!P13+BACKDATA5月!P13+BACKDATA4月!P13</f>
        <v/>
      </c>
      <c r="Q13" s="351">
        <f>'8月'!Q13+BACKDATA7月!Q13+BACKDATA6月!Q13+BACKDATA5月!Q13+BACKDATA4月!Q13</f>
        <v/>
      </c>
      <c r="R13" s="316">
        <f>'8月'!R13+BACKDATA7月!R13+BACKDATA6月!R13+BACKDATA5月!R13+BACKDATA4月!R13</f>
        <v/>
      </c>
      <c r="S13" s="351">
        <f>'8月'!S13+BACKDATA7月!S13+BACKDATA6月!S13+BACKDATA5月!S13+BACKDATA4月!S13</f>
        <v/>
      </c>
      <c r="T13" s="317">
        <f>S13-R13</f>
        <v/>
      </c>
      <c r="U13" s="317">
        <f>S13-Q13</f>
        <v/>
      </c>
      <c r="V13" s="318">
        <f>IF(Q13=0,"***",U13/Q13)</f>
        <v/>
      </c>
      <c r="W13" s="319">
        <f>IF(I13=0,"***",P13/I13)</f>
        <v/>
      </c>
      <c r="X13" s="320">
        <f>IF(J13=0,"***",Q13/J13)</f>
        <v/>
      </c>
      <c r="Y13" s="320">
        <f>IF(K13=0,"***",R13/K13)</f>
        <v/>
      </c>
      <c r="Z13" s="320">
        <f>IF(L13=0,"***",S13/L13)</f>
        <v/>
      </c>
      <c r="AA13" s="321">
        <f>IF(Y13="***","***",Z13-X13)</f>
        <v/>
      </c>
      <c r="AB13" s="320">
        <f>IF(Z13="***","***",Z13-X13)</f>
        <v/>
      </c>
      <c r="AC13" s="31" t="n"/>
    </row>
    <row r="14">
      <c r="D14" s="8" t="n"/>
      <c r="E14" s="9" t="n"/>
      <c r="F14" s="9" t="n"/>
      <c r="G14" s="75" t="inlineStr">
        <is>
          <t>自治体</t>
        </is>
      </c>
      <c r="H14" s="23" t="n"/>
      <c r="I14" s="352">
        <f>'8月'!I14+BACKDATA7月!I14+BACKDATA6月!I14+BACKDATA5月!I14+BACKDATA4月!I14</f>
        <v/>
      </c>
      <c r="J14" s="328">
        <f>'8月'!J14+BACKDATA7月!J14+BACKDATA6月!J14+BACKDATA5月!J14+BACKDATA4月!J14</f>
        <v/>
      </c>
      <c r="K14" s="324">
        <f>'8月'!K14+BACKDATA7月!K14+BACKDATA6月!K14+BACKDATA5月!K14+BACKDATA4月!K14</f>
        <v/>
      </c>
      <c r="L14" s="328">
        <f>'8月'!L14+BACKDATA7月!L14+BACKDATA6月!L14+BACKDATA5月!L14+BACKDATA4月!L14</f>
        <v/>
      </c>
      <c r="M14" s="325">
        <f>L14-K14</f>
        <v/>
      </c>
      <c r="N14" s="325">
        <f>L14-J14</f>
        <v/>
      </c>
      <c r="O14" s="326">
        <f>IF(J14=0,"***",N14/J14)</f>
        <v/>
      </c>
      <c r="P14" s="352">
        <f>'8月'!P14+BACKDATA7月!P14+BACKDATA6月!P14+BACKDATA5月!P14+BACKDATA4月!P14</f>
        <v/>
      </c>
      <c r="Q14" s="328">
        <f>'8月'!Q14+BACKDATA7月!Q14+BACKDATA6月!Q14+BACKDATA5月!Q14+BACKDATA4月!Q14</f>
        <v/>
      </c>
      <c r="R14" s="324">
        <f>'8月'!R14+BACKDATA7月!R14+BACKDATA6月!R14+BACKDATA5月!R14+BACKDATA4月!R14</f>
        <v/>
      </c>
      <c r="S14" s="328">
        <f>'8月'!S14+BACKDATA7月!S14+BACKDATA6月!S14+BACKDATA5月!S14+BACKDATA4月!S14</f>
        <v/>
      </c>
      <c r="T14" s="325">
        <f>S14-R14</f>
        <v/>
      </c>
      <c r="U14" s="325">
        <f>S14-Q14</f>
        <v/>
      </c>
      <c r="V14" s="326">
        <f>IF(Q14=0,"***",U14/Q14)</f>
        <v/>
      </c>
      <c r="W14" s="329">
        <f>IF(I14=0,"***",P14/I14)</f>
        <v/>
      </c>
      <c r="X14" s="330">
        <f>IF(J14=0,"***",Q14/J14)</f>
        <v/>
      </c>
      <c r="Y14" s="330">
        <f>IF(K14=0,"***",R14/K14)</f>
        <v/>
      </c>
      <c r="Z14" s="330">
        <f>IF(L14=0,"***",S14/L14)</f>
        <v/>
      </c>
      <c r="AA14" s="331" t="n"/>
      <c r="AB14" s="330" t="n"/>
      <c r="AC14" s="45" t="n"/>
    </row>
    <row r="15">
      <c r="D15" s="8" t="n"/>
      <c r="E15" s="9" t="n"/>
      <c r="F15" s="46" t="n"/>
      <c r="G15" s="47" t="inlineStr">
        <is>
          <t>海外</t>
        </is>
      </c>
      <c r="H15" s="48" t="n"/>
      <c r="I15" s="353">
        <f>'8月'!I15+BACKDATA7月!I15+BACKDATA6月!I15+BACKDATA5月!I15+BACKDATA4月!I15</f>
        <v/>
      </c>
      <c r="J15" s="338">
        <f>'8月'!J15+BACKDATA7月!J15+BACKDATA6月!J15+BACKDATA5月!J15+BACKDATA4月!J15</f>
        <v/>
      </c>
      <c r="K15" s="334">
        <f>'8月'!K15+BACKDATA7月!K15+BACKDATA6月!K15+BACKDATA5月!K15+BACKDATA4月!K15</f>
        <v/>
      </c>
      <c r="L15" s="338">
        <f>'8月'!L15+BACKDATA7月!L15+BACKDATA6月!L15+BACKDATA5月!L15+BACKDATA4月!L15</f>
        <v/>
      </c>
      <c r="M15" s="335">
        <f>L15-K15</f>
        <v/>
      </c>
      <c r="N15" s="335">
        <f>L15-J15</f>
        <v/>
      </c>
      <c r="O15" s="336">
        <f>IF(J15=0,"***",N15/J15)</f>
        <v/>
      </c>
      <c r="P15" s="353">
        <f>'8月'!P15+BACKDATA7月!P15+BACKDATA6月!P15+BACKDATA5月!P15+BACKDATA4月!P15</f>
        <v/>
      </c>
      <c r="Q15" s="338">
        <f>'8月'!Q15+BACKDATA7月!Q15+BACKDATA6月!Q15+BACKDATA5月!Q15+BACKDATA4月!Q15</f>
        <v/>
      </c>
      <c r="R15" s="334">
        <f>'8月'!R15+BACKDATA7月!R15+BACKDATA6月!R15+BACKDATA5月!R15+BACKDATA4月!R15</f>
        <v/>
      </c>
      <c r="S15" s="338">
        <f>'8月'!S15+BACKDATA7月!S15+BACKDATA6月!S15+BACKDATA5月!S15+BACKDATA4月!S15</f>
        <v/>
      </c>
      <c r="T15" s="335">
        <f>S15-R15</f>
        <v/>
      </c>
      <c r="U15" s="335">
        <f>S15-Q15</f>
        <v/>
      </c>
      <c r="V15" s="336">
        <f>IF(Q15=0,"***",U15/Q15)</f>
        <v/>
      </c>
      <c r="W15" s="339">
        <f>IF(I15=0,"***",P15/I15)</f>
        <v/>
      </c>
      <c r="X15" s="340">
        <f>IF(J15=0,"***",Q15/J15)</f>
        <v/>
      </c>
      <c r="Y15" s="340">
        <f>IF(K15=0,"***",R15/K15)</f>
        <v/>
      </c>
      <c r="Z15" s="340">
        <f>IF(L15=0,"***",S15/L15)</f>
        <v/>
      </c>
      <c r="AA15" s="341">
        <f>IF(Y15="***","***",Z15-X15)</f>
        <v/>
      </c>
      <c r="AB15" s="340">
        <f>IF(Z15="***","***",Z15-X15)</f>
        <v/>
      </c>
      <c r="AC15" s="59" t="n"/>
    </row>
    <row r="16">
      <c r="D16" s="8" t="n"/>
      <c r="E16" s="9" t="n"/>
      <c r="F16" s="60" t="inlineStr">
        <is>
          <t>松江営業所</t>
        </is>
      </c>
      <c r="G16" s="5" t="n"/>
      <c r="H16" s="61" t="n"/>
      <c r="I16" s="305">
        <f>'8月'!I16+BACKDATA7月!I16+BACKDATA6月!I16+BACKDATA5月!I16+BACKDATA4月!I16</f>
        <v/>
      </c>
      <c r="J16" s="306">
        <f>'8月'!J16+BACKDATA7月!J16+BACKDATA6月!J16+BACKDATA5月!J16+BACKDATA4月!J16</f>
        <v/>
      </c>
      <c r="K16" s="307">
        <f>'8月'!K16+BACKDATA7月!K16+BACKDATA6月!K16+BACKDATA5月!K16+BACKDATA4月!K16</f>
        <v/>
      </c>
      <c r="L16" s="306">
        <f>'8月'!L16+BACKDATA7月!L16+BACKDATA6月!L16+BACKDATA5月!L16+BACKDATA4月!L16</f>
        <v/>
      </c>
      <c r="M16" s="308">
        <f>L16-K16</f>
        <v/>
      </c>
      <c r="N16" s="308">
        <f>L16-J16</f>
        <v/>
      </c>
      <c r="O16" s="309">
        <f>IF(J16=0,"***",N16/J16)</f>
        <v/>
      </c>
      <c r="P16" s="305">
        <f>'8月'!P16+BACKDATA7月!P16+BACKDATA6月!P16+BACKDATA5月!P16+BACKDATA4月!P16</f>
        <v/>
      </c>
      <c r="Q16" s="306">
        <f>'8月'!Q16+BACKDATA7月!Q16+BACKDATA6月!Q16+BACKDATA5月!Q16+BACKDATA4月!Q16</f>
        <v/>
      </c>
      <c r="R16" s="307">
        <f>'8月'!R16+BACKDATA7月!R16+BACKDATA6月!R16+BACKDATA5月!R16+BACKDATA4月!R16</f>
        <v/>
      </c>
      <c r="S16" s="306">
        <f>'8月'!S16+BACKDATA7月!S16+BACKDATA6月!S16+BACKDATA5月!S16+BACKDATA4月!S16</f>
        <v/>
      </c>
      <c r="T16" s="308">
        <f>S16-R16</f>
        <v/>
      </c>
      <c r="U16" s="308">
        <f>S16-Q16</f>
        <v/>
      </c>
      <c r="V16" s="309">
        <f>IF(Q16=0,"***",U16/Q16)</f>
        <v/>
      </c>
      <c r="W16" s="311">
        <f>IF(I16=0,"***",P16/I16)</f>
        <v/>
      </c>
      <c r="X16" s="312">
        <f>IF(J16=0,"***",Q16/J16)</f>
        <v/>
      </c>
      <c r="Y16" s="312">
        <f>IF(K16=0,"***",R16/K16)</f>
        <v/>
      </c>
      <c r="Z16" s="312">
        <f>IF(L16=0,"***",S16/L16)</f>
        <v/>
      </c>
      <c r="AA16" s="312">
        <f>IF(Y16="***","***",Z16-X16)</f>
        <v/>
      </c>
      <c r="AB16" s="312">
        <f>IF(Z16="***","***",Z16-X16)</f>
        <v/>
      </c>
      <c r="AC16" s="21" t="n"/>
    </row>
    <row r="17">
      <c r="D17" s="8" t="n"/>
      <c r="E17" s="9" t="n"/>
      <c r="F17" s="9" t="n"/>
      <c r="G17" s="22" t="inlineStr">
        <is>
          <t>営業</t>
        </is>
      </c>
      <c r="H17" s="23" t="n"/>
      <c r="I17" s="314">
        <f>I16-I20</f>
        <v/>
      </c>
      <c r="J17" s="315">
        <f>J16-J20</f>
        <v/>
      </c>
      <c r="K17" s="316">
        <f>K16-K20</f>
        <v/>
      </c>
      <c r="L17" s="315">
        <f>L16-L20</f>
        <v/>
      </c>
      <c r="M17" s="317">
        <f>L17-K17</f>
        <v/>
      </c>
      <c r="N17" s="317">
        <f>L17-J17</f>
        <v/>
      </c>
      <c r="O17" s="318">
        <f>IF(J17=0,"***",N17/J17)</f>
        <v/>
      </c>
      <c r="P17" s="314">
        <f>P16-P20</f>
        <v/>
      </c>
      <c r="Q17" s="315">
        <f>Q16-Q20</f>
        <v/>
      </c>
      <c r="R17" s="316">
        <f>R16-R20</f>
        <v/>
      </c>
      <c r="S17" s="315">
        <f>S16-S20</f>
        <v/>
      </c>
      <c r="T17" s="317">
        <f>S17-R17</f>
        <v/>
      </c>
      <c r="U17" s="317">
        <f>S17-Q17</f>
        <v/>
      </c>
      <c r="V17" s="318">
        <f>IF(Q17=0,"***",U17/Q17)</f>
        <v/>
      </c>
      <c r="W17" s="319">
        <f>IF(I17=0,"***",P17/I17)</f>
        <v/>
      </c>
      <c r="X17" s="320">
        <f>IF(J17=0,"***",Q17/J17)</f>
        <v/>
      </c>
      <c r="Y17" s="320">
        <f>IF(K17=0,"***",R17/K17)</f>
        <v/>
      </c>
      <c r="Z17" s="320">
        <f>IF(L17=0,"***",S17/L17)</f>
        <v/>
      </c>
      <c r="AA17" s="320">
        <f>IF(Y17="***","***",Z17-X17)</f>
        <v/>
      </c>
      <c r="AB17" s="320">
        <f>IF(Z17="***","***",Z17-X17)</f>
        <v/>
      </c>
      <c r="AC17" s="31" t="n"/>
    </row>
    <row r="18">
      <c r="D18" s="8" t="n"/>
      <c r="E18" s="9" t="n"/>
      <c r="F18" s="9" t="n"/>
      <c r="G18" s="32" t="n"/>
      <c r="H18" s="33" t="inlineStr">
        <is>
          <t>包装資材</t>
        </is>
      </c>
      <c r="I18" s="314">
        <f>I17-I19</f>
        <v/>
      </c>
      <c r="J18" s="315">
        <f>J17-J19</f>
        <v/>
      </c>
      <c r="K18" s="316">
        <f>K17-K19</f>
        <v/>
      </c>
      <c r="L18" s="315">
        <f>L17-L19</f>
        <v/>
      </c>
      <c r="M18" s="317">
        <f>L18-K18</f>
        <v/>
      </c>
      <c r="N18" s="317">
        <f>L18-J18</f>
        <v/>
      </c>
      <c r="O18" s="318">
        <f>IF(J18=0,"***",N18/J18)</f>
        <v/>
      </c>
      <c r="P18" s="314">
        <f>P17-P19</f>
        <v/>
      </c>
      <c r="Q18" s="315">
        <f>Q17-Q19</f>
        <v/>
      </c>
      <c r="R18" s="316">
        <f>R17-R19</f>
        <v/>
      </c>
      <c r="S18" s="315">
        <f>S17-S19</f>
        <v/>
      </c>
      <c r="T18" s="317">
        <f>S18-R18</f>
        <v/>
      </c>
      <c r="U18" s="317">
        <f>S18-Q18</f>
        <v/>
      </c>
      <c r="V18" s="318">
        <f>IF(Q18=0,"***",U18/Q18)</f>
        <v/>
      </c>
      <c r="W18" s="319">
        <f>IF(I18=0,"***",P18/I18)</f>
        <v/>
      </c>
      <c r="X18" s="320">
        <f>IF(J18=0,"***",Q18/J18)</f>
        <v/>
      </c>
      <c r="Y18" s="320">
        <f>IF(K18=0,"***",R18/K18)</f>
        <v/>
      </c>
      <c r="Z18" s="320">
        <f>IF(L18=0,"***",S18/L18)</f>
        <v/>
      </c>
      <c r="AA18" s="320">
        <f>IF(Y18="***","***",Z18-X18)</f>
        <v/>
      </c>
      <c r="AB18" s="320">
        <f>IF(Z18="***","***",Z18-X18)</f>
        <v/>
      </c>
      <c r="AC18" s="31" t="n"/>
    </row>
    <row r="19">
      <c r="D19" s="8" t="n"/>
      <c r="E19" s="9" t="n"/>
      <c r="F19" s="9" t="n"/>
      <c r="G19" s="32" t="n"/>
      <c r="H19" s="34" t="inlineStr">
        <is>
          <t>機械</t>
        </is>
      </c>
      <c r="I19" s="354">
        <f>'8月'!I19+BACKDATA7月!I19+BACKDATA6月!I19+BACKDATA5月!I19+BACKDATA4月!I19</f>
        <v/>
      </c>
      <c r="J19" s="355">
        <f>'8月'!J19+BACKDATA7月!J19+BACKDATA6月!J19+BACKDATA5月!J19+BACKDATA4月!J19</f>
        <v/>
      </c>
      <c r="K19" s="80">
        <f>'8月'!K19+BACKDATA7月!K19+BACKDATA6月!K19+BACKDATA5月!K19+BACKDATA4月!K19</f>
        <v/>
      </c>
      <c r="L19" s="355">
        <f>'8月'!L19+BACKDATA7月!L19+BACKDATA6月!L19+BACKDATA5月!L19+BACKDATA4月!L19</f>
        <v/>
      </c>
      <c r="M19" s="317">
        <f>L19-K19</f>
        <v/>
      </c>
      <c r="N19" s="317">
        <f>L19-J19</f>
        <v/>
      </c>
      <c r="O19" s="318">
        <f>IF(J19=0,"***",N19/J19)</f>
        <v/>
      </c>
      <c r="P19" s="354">
        <f>'8月'!P19+BACKDATA7月!P19+BACKDATA6月!P19+BACKDATA5月!P19+BACKDATA4月!P19</f>
        <v/>
      </c>
      <c r="Q19" s="355">
        <f>'8月'!Q19+BACKDATA7月!Q19+BACKDATA6月!Q19+BACKDATA5月!Q19+BACKDATA4月!Q19</f>
        <v/>
      </c>
      <c r="R19" s="80">
        <f>'8月'!R19+BACKDATA7月!R19+BACKDATA6月!R19+BACKDATA5月!R19+BACKDATA4月!R19</f>
        <v/>
      </c>
      <c r="S19" s="355">
        <f>'8月'!S19+BACKDATA7月!S19+BACKDATA6月!S19+BACKDATA5月!S19+BACKDATA4月!S19</f>
        <v/>
      </c>
      <c r="T19" s="317">
        <f>S19-R19</f>
        <v/>
      </c>
      <c r="U19" s="317">
        <f>S19-Q19</f>
        <v/>
      </c>
      <c r="V19" s="318">
        <f>IF(Q19=0,"***",U19/Q19)</f>
        <v/>
      </c>
      <c r="W19" s="319">
        <f>IF(I19=0,"***",P19/I19)</f>
        <v/>
      </c>
      <c r="X19" s="320">
        <f>IF(J19=0,"***",Q19/J19)</f>
        <v/>
      </c>
      <c r="Y19" s="320">
        <f>IF(K19=0,"***",R19/K19)</f>
        <v/>
      </c>
      <c r="Z19" s="320">
        <f>IF(L19=0,"***",S19/L19)</f>
        <v/>
      </c>
      <c r="AA19" s="320">
        <f>IF(Y19="***","***",Z19-X19)</f>
        <v/>
      </c>
      <c r="AB19" s="320">
        <f>IF(Z19="***","***",Z19-X19)</f>
        <v/>
      </c>
      <c r="AC19" s="31" t="n"/>
    </row>
    <row r="20">
      <c r="D20" s="8" t="n"/>
      <c r="E20" s="9" t="n"/>
      <c r="F20" s="46" t="n"/>
      <c r="G20" s="47" t="inlineStr">
        <is>
          <t>自治体</t>
        </is>
      </c>
      <c r="H20" s="48" t="n"/>
      <c r="I20" s="332">
        <f>'8月'!I20+BACKDATA7月!I20+BACKDATA6月!I20+BACKDATA5月!I20+BACKDATA4月!I20</f>
        <v/>
      </c>
      <c r="J20" s="333">
        <f>'8月'!J20+BACKDATA7月!J20+BACKDATA6月!J20+BACKDATA5月!J20+BACKDATA4月!J20</f>
        <v/>
      </c>
      <c r="K20" s="334">
        <f>'8月'!K20+BACKDATA7月!K20+BACKDATA6月!K20+BACKDATA5月!K20+BACKDATA4月!K20</f>
        <v/>
      </c>
      <c r="L20" s="333">
        <f>'8月'!L20+BACKDATA7月!L20+BACKDATA6月!L20+BACKDATA5月!L20+BACKDATA4月!L20</f>
        <v/>
      </c>
      <c r="M20" s="335">
        <f>L20-K20</f>
        <v/>
      </c>
      <c r="N20" s="335">
        <f>L20-J20</f>
        <v/>
      </c>
      <c r="O20" s="336">
        <f>IF(J20=0,"***",N20/J20)</f>
        <v/>
      </c>
      <c r="P20" s="332">
        <f>'8月'!P20+BACKDATA7月!P20+BACKDATA6月!P20+BACKDATA5月!P20+BACKDATA4月!P20</f>
        <v/>
      </c>
      <c r="Q20" s="333">
        <f>'8月'!Q20+BACKDATA7月!Q20+BACKDATA6月!Q20+BACKDATA5月!Q20+BACKDATA4月!Q20</f>
        <v/>
      </c>
      <c r="R20" s="334">
        <f>'8月'!R20+BACKDATA7月!R20+BACKDATA6月!R20+BACKDATA5月!R20+BACKDATA4月!R20</f>
        <v/>
      </c>
      <c r="S20" s="333">
        <f>'8月'!S20+BACKDATA7月!S20+BACKDATA6月!S20+BACKDATA5月!S20+BACKDATA4月!S20</f>
        <v/>
      </c>
      <c r="T20" s="335">
        <f>S20-R20</f>
        <v/>
      </c>
      <c r="U20" s="335">
        <f>S20-Q20</f>
        <v/>
      </c>
      <c r="V20" s="336">
        <f>IF(Q20=0,"***",U20/Q20)</f>
        <v/>
      </c>
      <c r="W20" s="339">
        <f>IF(I20=0,"***",P20/I20)</f>
        <v/>
      </c>
      <c r="X20" s="340">
        <f>IF(J20=0,"***",Q20/J20)</f>
        <v/>
      </c>
      <c r="Y20" s="340">
        <f>IF(K20=0,"***",R20/K20)</f>
        <v/>
      </c>
      <c r="Z20" s="340">
        <f>IF(L20=0,"***",S20/L20)</f>
        <v/>
      </c>
      <c r="AA20" s="340">
        <f>IF(Y20="***","***",Z20-X20)</f>
        <v/>
      </c>
      <c r="AB20" s="340">
        <f>IF(Z20="***","***",Z20-X20)</f>
        <v/>
      </c>
      <c r="AC20" s="59" t="n"/>
    </row>
    <row r="21">
      <c r="D21" s="8" t="n"/>
      <c r="E21" s="9" t="n"/>
      <c r="F21" s="60" t="inlineStr">
        <is>
          <t>広域営業部</t>
        </is>
      </c>
      <c r="G21" s="5" t="n"/>
      <c r="H21" s="61" t="n"/>
      <c r="I21" s="356">
        <f>'8月'!I21+BACKDATA7月!I21+BACKDATA6月!I21+BACKDATA5月!I21+BACKDATA4月!I21</f>
        <v/>
      </c>
      <c r="J21" s="357">
        <f>'8月'!J21+BACKDATA7月!J21+BACKDATA6月!J21+BACKDATA5月!J21+BACKDATA4月!J21</f>
        <v/>
      </c>
      <c r="K21" s="307">
        <f>'8月'!K21+BACKDATA7月!K21+BACKDATA6月!K21+BACKDATA5月!K21+BACKDATA4月!K21</f>
        <v/>
      </c>
      <c r="L21" s="357">
        <f>'8月'!L21+BACKDATA7月!L21+BACKDATA6月!L21+BACKDATA5月!L21+BACKDATA4月!L21</f>
        <v/>
      </c>
      <c r="M21" s="308">
        <f>L21-K21</f>
        <v/>
      </c>
      <c r="N21" s="308">
        <f>L21-J21</f>
        <v/>
      </c>
      <c r="O21" s="309">
        <f>IF(J21=0,"***",N21/J21)</f>
        <v/>
      </c>
      <c r="P21" s="356">
        <f>'8月'!P21+BACKDATA7月!P21+BACKDATA6月!P21+BACKDATA5月!P21+BACKDATA4月!P21</f>
        <v/>
      </c>
      <c r="Q21" s="357">
        <f>'8月'!Q21+BACKDATA7月!Q21+BACKDATA6月!Q21+BACKDATA5月!Q21+BACKDATA4月!Q21</f>
        <v/>
      </c>
      <c r="R21" s="307">
        <f>'8月'!R21+BACKDATA7月!R21+BACKDATA6月!R21+BACKDATA5月!R21+BACKDATA4月!R21</f>
        <v/>
      </c>
      <c r="S21" s="357">
        <f>'8月'!S21+BACKDATA7月!S21+BACKDATA6月!S21+BACKDATA5月!S21+BACKDATA4月!S21</f>
        <v/>
      </c>
      <c r="T21" s="308">
        <f>S21-R21</f>
        <v/>
      </c>
      <c r="U21" s="308">
        <f>S21-Q21</f>
        <v/>
      </c>
      <c r="V21" s="309">
        <f>IF(Q21=0,"***",U21/Q21)</f>
        <v/>
      </c>
      <c r="W21" s="319">
        <f>IF(I21=0,"***",P21/I21)</f>
        <v/>
      </c>
      <c r="X21" s="320">
        <f>IF(J21=0,"***",Q21/J21)</f>
        <v/>
      </c>
      <c r="Y21" s="320">
        <f>IF(K21=0,"***",R21/K21)</f>
        <v/>
      </c>
      <c r="Z21" s="320">
        <f>IF(L21=0,"***",S21/L21)</f>
        <v/>
      </c>
      <c r="AA21" s="320">
        <f>IF(Y21="***","***",Z21-X21)</f>
        <v/>
      </c>
      <c r="AB21" s="320">
        <f>IF(Z21="***","***",Z21-X21)</f>
        <v/>
      </c>
      <c r="AC21" s="21" t="n"/>
    </row>
    <row r="22">
      <c r="D22" s="8" t="n"/>
      <c r="E22" s="9" t="n"/>
      <c r="F22" s="9" t="n"/>
      <c r="H22" s="33" t="inlineStr">
        <is>
          <t>包装資材</t>
        </is>
      </c>
      <c r="I22" s="358">
        <f>I21-I23</f>
        <v/>
      </c>
      <c r="J22" s="315">
        <f>J21-J23</f>
        <v/>
      </c>
      <c r="K22" s="316">
        <f>K21-K23</f>
        <v/>
      </c>
      <c r="L22" s="315">
        <f>L21-L23</f>
        <v/>
      </c>
      <c r="M22" s="359">
        <f>L22-K22</f>
        <v/>
      </c>
      <c r="N22" s="359">
        <f>L22-J22</f>
        <v/>
      </c>
      <c r="O22" s="318">
        <f>IF(J22=0,"***",N22/J22)</f>
        <v/>
      </c>
      <c r="P22" s="358">
        <f>P21-P23</f>
        <v/>
      </c>
      <c r="Q22" s="315">
        <f>Q21-Q23</f>
        <v/>
      </c>
      <c r="R22" s="316">
        <f>R21-R23</f>
        <v/>
      </c>
      <c r="S22" s="315">
        <f>S21-S23</f>
        <v/>
      </c>
      <c r="T22" s="359">
        <f>S22-R22</f>
        <v/>
      </c>
      <c r="U22" s="359">
        <f>S22-Q22</f>
        <v/>
      </c>
      <c r="V22" s="318">
        <f>IF(Q22=0,"***",U22/Q22)</f>
        <v/>
      </c>
      <c r="W22" s="319">
        <f>IF(I22=0,"***",P22/I22)</f>
        <v/>
      </c>
      <c r="X22" s="320">
        <f>IF(J22=0,"***",Q22/J22)</f>
        <v/>
      </c>
      <c r="Y22" s="320">
        <f>IF(K22=0,"***",R22/K22)</f>
        <v/>
      </c>
      <c r="Z22" s="320">
        <f>IF(L22=0,"***",S22/L22)</f>
        <v/>
      </c>
      <c r="AA22" s="320">
        <f>IF(Y22="***","***",Z22-X22)</f>
        <v/>
      </c>
      <c r="AB22" s="320">
        <f>IF(Z22="***","***",Z22-X22)</f>
        <v/>
      </c>
      <c r="AC22" s="31" t="n"/>
    </row>
    <row r="23">
      <c r="D23" s="8" t="n"/>
      <c r="E23" s="9" t="n"/>
      <c r="F23" s="9" t="n"/>
      <c r="H23" s="34" t="inlineStr">
        <is>
          <t>機械</t>
        </is>
      </c>
      <c r="I23" s="358">
        <f>'8月'!I23+BACKDATA7月!I23+BACKDATA6月!I23+BACKDATA5月!I23+BACKDATA4月!I23</f>
        <v/>
      </c>
      <c r="J23" s="315">
        <f>'8月'!J23+BACKDATA7月!J23+BACKDATA6月!J23+BACKDATA5月!J23+BACKDATA4月!J23</f>
        <v/>
      </c>
      <c r="K23" s="316">
        <f>'8月'!K23+BACKDATA7月!K23+BACKDATA6月!K23+BACKDATA5月!K23+BACKDATA4月!K23</f>
        <v/>
      </c>
      <c r="L23" s="315">
        <f>'8月'!L23+BACKDATA7月!L23+BACKDATA6月!L23+BACKDATA5月!L23+BACKDATA4月!L23</f>
        <v/>
      </c>
      <c r="M23" s="359">
        <f>L23-K23</f>
        <v/>
      </c>
      <c r="N23" s="359">
        <f>L23-J23</f>
        <v/>
      </c>
      <c r="O23" s="318">
        <f>IF(J23=0,"***",N23/J23)</f>
        <v/>
      </c>
      <c r="P23" s="358">
        <f>'8月'!P23+BACKDATA7月!P23+BACKDATA6月!P23+BACKDATA5月!P23+BACKDATA4月!P23</f>
        <v/>
      </c>
      <c r="Q23" s="315">
        <f>'8月'!Q23+BACKDATA7月!Q23+BACKDATA6月!Q23+BACKDATA5月!Q23+BACKDATA4月!Q23</f>
        <v/>
      </c>
      <c r="R23" s="316">
        <f>'8月'!R23+BACKDATA7月!R23+BACKDATA6月!R23+BACKDATA5月!R23+BACKDATA4月!R23</f>
        <v/>
      </c>
      <c r="S23" s="315">
        <f>'8月'!S23+BACKDATA7月!S23+BACKDATA6月!S23+BACKDATA5月!S23+BACKDATA4月!S23</f>
        <v/>
      </c>
      <c r="T23" s="359">
        <f>S23-R23</f>
        <v/>
      </c>
      <c r="U23" s="359">
        <f>S23-Q23</f>
        <v/>
      </c>
      <c r="V23" s="318">
        <f>IF(Q23=0,"***",U23/Q23)</f>
        <v/>
      </c>
      <c r="W23" s="319">
        <f>IF(I23=0,"***",P23/I23)</f>
        <v/>
      </c>
      <c r="X23" s="320">
        <f>IF(J23=0,"***",Q23/J23)</f>
        <v/>
      </c>
      <c r="Y23" s="320">
        <f>IF(K23=0,"***",R23/K23)</f>
        <v/>
      </c>
      <c r="Z23" s="320">
        <f>IF(L23=0,"***",S23/L23)</f>
        <v/>
      </c>
      <c r="AA23" s="320">
        <f>IF(Y23="***","***",Z23-X23)</f>
        <v/>
      </c>
      <c r="AB23" s="320">
        <f>IF(Z23="***","***",Z23-X23)</f>
        <v/>
      </c>
      <c r="AC23" s="31" t="n"/>
    </row>
    <row r="24">
      <c r="D24" s="8" t="n"/>
      <c r="E24" s="9" t="n"/>
      <c r="F24" s="9" t="n"/>
      <c r="G24" s="22" t="inlineStr">
        <is>
          <t>リンガーハット</t>
        </is>
      </c>
      <c r="H24" s="23" t="n"/>
      <c r="I24" s="354">
        <f>'8月'!I24+BACKDATA7月!I24+BACKDATA6月!I24+BACKDATA5月!I24+BACKDATA4月!I24</f>
        <v/>
      </c>
      <c r="J24" s="355">
        <f>'8月'!J24+BACKDATA7月!J24+BACKDATA6月!J24+BACKDATA5月!J24+BACKDATA4月!J24</f>
        <v/>
      </c>
      <c r="K24" s="316">
        <f>'8月'!K24+BACKDATA7月!K24+BACKDATA6月!K24+BACKDATA5月!K24+BACKDATA4月!K24</f>
        <v/>
      </c>
      <c r="L24" s="355">
        <f>'8月'!L24+BACKDATA7月!L24+BACKDATA6月!L24+BACKDATA5月!L24+BACKDATA4月!L24</f>
        <v/>
      </c>
      <c r="M24" s="359">
        <f>L24-K24</f>
        <v/>
      </c>
      <c r="N24" s="359">
        <f>L24-J24</f>
        <v/>
      </c>
      <c r="O24" s="318">
        <f>IF(J24=0,"***",N24/J24)</f>
        <v/>
      </c>
      <c r="P24" s="354">
        <f>'8月'!P24+BACKDATA7月!P24+BACKDATA6月!P24+BACKDATA5月!P24+BACKDATA4月!P24</f>
        <v/>
      </c>
      <c r="Q24" s="355">
        <f>'8月'!Q24+BACKDATA7月!Q24+BACKDATA6月!Q24+BACKDATA5月!Q24+BACKDATA4月!Q24</f>
        <v/>
      </c>
      <c r="R24" s="316">
        <f>'8月'!R24+BACKDATA7月!R24+BACKDATA6月!R24+BACKDATA5月!R24+BACKDATA4月!R24</f>
        <v/>
      </c>
      <c r="S24" s="355">
        <f>'8月'!S24+BACKDATA7月!S24+BACKDATA6月!S24+BACKDATA5月!S24+BACKDATA4月!S24</f>
        <v/>
      </c>
      <c r="T24" s="359">
        <f>S24-R24</f>
        <v/>
      </c>
      <c r="U24" s="359">
        <f>S24-Q24</f>
        <v/>
      </c>
      <c r="V24" s="318">
        <f>IF(Q24=0,"***",U24/Q24)</f>
        <v/>
      </c>
      <c r="W24" s="319">
        <f>IF(I24=0,"***",P24/I24)</f>
        <v/>
      </c>
      <c r="X24" s="320">
        <f>IF(J24=0,"***",Q24/J24)</f>
        <v/>
      </c>
      <c r="Y24" s="320">
        <f>IF(K24=0,"***",R24/K24)</f>
        <v/>
      </c>
      <c r="Z24" s="320">
        <f>IF(L24=0,"***",S24/L24)</f>
        <v/>
      </c>
      <c r="AA24" s="320">
        <f>IF(Y24="***","***",Z24-X24)</f>
        <v/>
      </c>
      <c r="AB24" s="320">
        <f>IF(Z24="***","***",Z24-X24)</f>
        <v/>
      </c>
      <c r="AC24" s="31" t="n"/>
    </row>
    <row r="25">
      <c r="D25" s="8" t="n"/>
      <c r="E25" s="9" t="n"/>
      <c r="F25" s="9" t="n"/>
      <c r="G25" s="32" t="n"/>
      <c r="H25" s="33" t="inlineStr">
        <is>
          <t>包装資材</t>
        </is>
      </c>
      <c r="I25" s="314">
        <f>I24-I26</f>
        <v/>
      </c>
      <c r="J25" s="315">
        <f>J24-J26</f>
        <v/>
      </c>
      <c r="K25" s="316">
        <f>K24-K26</f>
        <v/>
      </c>
      <c r="L25" s="315">
        <f>L24-L26</f>
        <v/>
      </c>
      <c r="M25" s="359">
        <f>L25-K25</f>
        <v/>
      </c>
      <c r="N25" s="359">
        <f>L25-J25</f>
        <v/>
      </c>
      <c r="O25" s="318">
        <f>IF(J25=0,"***",N25/J25)</f>
        <v/>
      </c>
      <c r="P25" s="314">
        <f>P24-P26</f>
        <v/>
      </c>
      <c r="Q25" s="315">
        <f>Q24-Q26</f>
        <v/>
      </c>
      <c r="R25" s="316">
        <f>R24-R26</f>
        <v/>
      </c>
      <c r="S25" s="315">
        <f>S24-S26</f>
        <v/>
      </c>
      <c r="T25" s="359">
        <f>S25-R25</f>
        <v/>
      </c>
      <c r="U25" s="359">
        <f>S25-Q25</f>
        <v/>
      </c>
      <c r="V25" s="318">
        <f>IF(Q25=0,"***",U25/Q25)</f>
        <v/>
      </c>
      <c r="W25" s="319">
        <f>IF(I25=0,"***",P25/I25)</f>
        <v/>
      </c>
      <c r="X25" s="320">
        <f>IF(J25=0,"***",Q25/J25)</f>
        <v/>
      </c>
      <c r="Y25" s="320">
        <f>IF(K25=0,"***",R25/K25)</f>
        <v/>
      </c>
      <c r="Z25" s="320">
        <f>IF(L25=0,"***",S25/L25)</f>
        <v/>
      </c>
      <c r="AA25" s="320">
        <f>IF(Y25="***","***",Z25-X25)</f>
        <v/>
      </c>
      <c r="AB25" s="320">
        <f>IF(Z25="***","***",Z25-X25)</f>
        <v/>
      </c>
      <c r="AC25" s="31" t="n"/>
    </row>
    <row r="26">
      <c r="D26" s="8" t="n"/>
      <c r="E26" s="9" t="n"/>
      <c r="F26" s="9" t="n"/>
      <c r="G26" s="32" t="n"/>
      <c r="H26" s="34" t="inlineStr">
        <is>
          <t>機械</t>
        </is>
      </c>
      <c r="I26" s="354">
        <f>'8月'!I26+BACKDATA7月!I26+BACKDATA6月!I26+BACKDATA5月!I26+BACKDATA4月!I26</f>
        <v/>
      </c>
      <c r="J26" s="355">
        <f>'8月'!J26+BACKDATA7月!J26+BACKDATA6月!J26+BACKDATA5月!J26+BACKDATA4月!J26</f>
        <v/>
      </c>
      <c r="K26" s="316">
        <f>'8月'!K26+BACKDATA7月!K26+BACKDATA6月!K26+BACKDATA5月!K26+BACKDATA4月!K26</f>
        <v/>
      </c>
      <c r="L26" s="355">
        <f>'8月'!L26+BACKDATA7月!L26+BACKDATA6月!L26+BACKDATA5月!L26+BACKDATA4月!L26</f>
        <v/>
      </c>
      <c r="M26" s="359">
        <f>L26-K26</f>
        <v/>
      </c>
      <c r="N26" s="359">
        <f>L26-J26</f>
        <v/>
      </c>
      <c r="O26" s="318">
        <f>IF(J26=0,"***",N26/J26)</f>
        <v/>
      </c>
      <c r="P26" s="354">
        <f>'8月'!P26+BACKDATA7月!P26+BACKDATA6月!P26+BACKDATA5月!P26+BACKDATA4月!P26</f>
        <v/>
      </c>
      <c r="Q26" s="355">
        <f>'8月'!Q26+BACKDATA7月!Q26+BACKDATA6月!Q26+BACKDATA5月!Q26+BACKDATA4月!Q26</f>
        <v/>
      </c>
      <c r="R26" s="316">
        <f>'8月'!R26+BACKDATA7月!R26+BACKDATA6月!R26+BACKDATA5月!R26+BACKDATA4月!R26</f>
        <v/>
      </c>
      <c r="S26" s="355">
        <f>'8月'!S26+BACKDATA7月!S26+BACKDATA6月!S26+BACKDATA5月!S26+BACKDATA4月!S26</f>
        <v/>
      </c>
      <c r="T26" s="359">
        <f>S26-R26</f>
        <v/>
      </c>
      <c r="U26" s="359">
        <f>S26-Q26</f>
        <v/>
      </c>
      <c r="V26" s="318">
        <f>IF(Q26=0,"***",U26/Q26)</f>
        <v/>
      </c>
      <c r="W26" s="319">
        <f>IF(I26=0,"***",P26/I26)</f>
        <v/>
      </c>
      <c r="X26" s="320">
        <f>IF(J26=0,"***",Q26/J26)</f>
        <v/>
      </c>
      <c r="Y26" s="320">
        <f>IF(K26=0,"***",R26/K26)</f>
        <v/>
      </c>
      <c r="Z26" s="320">
        <f>IF(L26=0,"***",S26/L26)</f>
        <v/>
      </c>
      <c r="AA26" s="320">
        <f>IF(Y26="***","***",Z26-X26)</f>
        <v/>
      </c>
      <c r="AB26" s="320">
        <f>IF(Z26="***","***",Z26-X26)</f>
        <v/>
      </c>
      <c r="AC26" s="31" t="n"/>
    </row>
    <row r="27">
      <c r="D27" s="8" t="n"/>
      <c r="E27" s="9" t="n"/>
      <c r="F27" s="9" t="n"/>
      <c r="G27" s="22" t="inlineStr">
        <is>
          <t>リンガーハット以外</t>
        </is>
      </c>
      <c r="H27" s="23" t="n"/>
      <c r="I27" s="360">
        <f>I21-I24</f>
        <v/>
      </c>
      <c r="J27" s="316">
        <f>J21-J24</f>
        <v/>
      </c>
      <c r="K27" s="316">
        <f>K21-K24</f>
        <v/>
      </c>
      <c r="L27" s="316">
        <f>L21-L24</f>
        <v/>
      </c>
      <c r="M27" s="361">
        <f>L27-K27</f>
        <v/>
      </c>
      <c r="N27" s="361">
        <f>L27-J27</f>
        <v/>
      </c>
      <c r="O27" s="362">
        <f>IF(J27=0,"***",N27/J27)</f>
        <v/>
      </c>
      <c r="P27" s="360">
        <f>P21-P24</f>
        <v/>
      </c>
      <c r="Q27" s="316">
        <f>Q21-Q24</f>
        <v/>
      </c>
      <c r="R27" s="316">
        <f>R21-R24</f>
        <v/>
      </c>
      <c r="S27" s="316">
        <f>S21-S24</f>
        <v/>
      </c>
      <c r="T27" s="359">
        <f>S27-R27</f>
        <v/>
      </c>
      <c r="U27" s="359">
        <f>S27-Q27</f>
        <v/>
      </c>
      <c r="V27" s="318">
        <f>IF(Q27=0,"***",U27/Q27)</f>
        <v/>
      </c>
      <c r="W27" s="319">
        <f>IF(I27=0,"***",P27/I27)</f>
        <v/>
      </c>
      <c r="X27" s="320">
        <f>IF(J27=0,"***",Q27/J27)</f>
        <v/>
      </c>
      <c r="Y27" s="320">
        <f>IF(K27=0,"***",R27/K27)</f>
        <v/>
      </c>
      <c r="Z27" s="320">
        <f>IF(L27=0,"***",S27/L27)</f>
        <v/>
      </c>
      <c r="AA27" s="320">
        <f>IF(Y27="***","***",Z27-X27)</f>
        <v/>
      </c>
      <c r="AB27" s="320">
        <f>IF(Z27="***","***",Z27-X27)</f>
        <v/>
      </c>
      <c r="AC27" s="31" t="n"/>
    </row>
    <row r="28">
      <c r="D28" s="8" t="n"/>
      <c r="E28" s="9" t="n"/>
      <c r="F28" s="9" t="n"/>
      <c r="G28" s="32" t="n"/>
      <c r="H28" s="33" t="inlineStr">
        <is>
          <t>包装資材</t>
        </is>
      </c>
      <c r="I28" s="360">
        <f>I27-I29</f>
        <v/>
      </c>
      <c r="J28" s="316">
        <f>J27-J29</f>
        <v/>
      </c>
      <c r="K28" s="316">
        <f>K27-K29</f>
        <v/>
      </c>
      <c r="L28" s="316">
        <f>L27-L29</f>
        <v/>
      </c>
      <c r="M28" s="361">
        <f>L28-K28</f>
        <v/>
      </c>
      <c r="N28" s="361">
        <f>L28-J28</f>
        <v/>
      </c>
      <c r="O28" s="362">
        <f>IF(J28=0,"***",N28/J28)</f>
        <v/>
      </c>
      <c r="P28" s="360">
        <f>P27-P29</f>
        <v/>
      </c>
      <c r="Q28" s="316">
        <f>Q27-Q29</f>
        <v/>
      </c>
      <c r="R28" s="316">
        <f>R27-R29</f>
        <v/>
      </c>
      <c r="S28" s="316">
        <f>S27-S29</f>
        <v/>
      </c>
      <c r="T28" s="359">
        <f>S28-R28</f>
        <v/>
      </c>
      <c r="U28" s="359">
        <f>S28-Q28</f>
        <v/>
      </c>
      <c r="V28" s="318">
        <f>IF(Q28=0,"***",U28/Q28)</f>
        <v/>
      </c>
      <c r="W28" s="319">
        <f>IF(I28=0,"***",P28/I28)</f>
        <v/>
      </c>
      <c r="X28" s="320">
        <f>IF(J28=0,"***",Q28/J28)</f>
        <v/>
      </c>
      <c r="Y28" s="320">
        <f>IF(K28=0,"***",R28/K28)</f>
        <v/>
      </c>
      <c r="Z28" s="320">
        <f>IF(L28=0,"***",S28/L28)</f>
        <v/>
      </c>
      <c r="AA28" s="320">
        <f>IF(Y28="***","***",Z28-X28)</f>
        <v/>
      </c>
      <c r="AB28" s="320">
        <f>IF(Z28="***","***",Z28-X28)</f>
        <v/>
      </c>
      <c r="AC28" s="31" t="n"/>
    </row>
    <row r="29">
      <c r="D29" s="8" t="n"/>
      <c r="E29" s="9" t="n"/>
      <c r="F29" s="86" t="n"/>
      <c r="G29" s="87" t="n"/>
      <c r="H29" s="33" t="inlineStr">
        <is>
          <t>機械</t>
        </is>
      </c>
      <c r="I29" s="363">
        <f>I23-I26</f>
        <v/>
      </c>
      <c r="J29" s="334">
        <f>J23-J26</f>
        <v/>
      </c>
      <c r="K29" s="334">
        <f>K23-K26</f>
        <v/>
      </c>
      <c r="L29" s="334">
        <f>L23-L26</f>
        <v/>
      </c>
      <c r="M29" s="364">
        <f>L29-K29</f>
        <v/>
      </c>
      <c r="N29" s="364">
        <f>L29-J29</f>
        <v/>
      </c>
      <c r="O29" s="365">
        <f>IF(J29=0,"***",N29/J29)</f>
        <v/>
      </c>
      <c r="P29" s="363">
        <f>P23-P26</f>
        <v/>
      </c>
      <c r="Q29" s="334">
        <f>Q23-Q26</f>
        <v/>
      </c>
      <c r="R29" s="334">
        <f>R23-R26</f>
        <v/>
      </c>
      <c r="S29" s="334">
        <f>S23-S26</f>
        <v/>
      </c>
      <c r="T29" s="366">
        <f>S29-R29</f>
        <v/>
      </c>
      <c r="U29" s="366">
        <f>S29-Q29</f>
        <v/>
      </c>
      <c r="V29" s="336">
        <f>IF(Q29=0,"***",U29/Q29)</f>
        <v/>
      </c>
      <c r="W29" s="339">
        <f>IF(I29=0,"***",P29/I29)</f>
        <v/>
      </c>
      <c r="X29" s="340">
        <f>IF(J29=0,"***",Q29/J29)</f>
        <v/>
      </c>
      <c r="Y29" s="340">
        <f>IF(K29=0,"***",R29/K29)</f>
        <v/>
      </c>
      <c r="Z29" s="340">
        <f>IF(L29=0,"***",S29/L29)</f>
        <v/>
      </c>
      <c r="AA29" s="340">
        <f>IF(Y29="***","***",Z29-X29)</f>
        <v/>
      </c>
      <c r="AB29" s="340">
        <f>IF(Z29="***","***",Z29-X29)</f>
        <v/>
      </c>
      <c r="AC29" s="59" t="n"/>
    </row>
    <row r="30">
      <c r="D30" s="8" t="n"/>
      <c r="E30" s="9" t="n"/>
      <c r="F30" s="60" t="inlineStr">
        <is>
          <t>境港営業所</t>
        </is>
      </c>
      <c r="G30" s="5" t="n"/>
      <c r="H30" s="61" t="n"/>
      <c r="I30" s="367">
        <f>'8月'!I30+BACKDATA7月!I30+BACKDATA6月!I30+BACKDATA5月!I30+BACKDATA4月!I30</f>
        <v/>
      </c>
      <c r="J30" s="306">
        <f>'8月'!J30+BACKDATA7月!J30+BACKDATA6月!J30+BACKDATA5月!J30+BACKDATA4月!J30</f>
        <v/>
      </c>
      <c r="K30" s="307">
        <f>'8月'!K30+BACKDATA7月!K30+BACKDATA6月!K30+BACKDATA5月!K30+BACKDATA4月!K30</f>
        <v/>
      </c>
      <c r="L30" s="306">
        <f>'8月'!L30+BACKDATA7月!L30+BACKDATA6月!L30+BACKDATA5月!L30+BACKDATA4月!L30</f>
        <v/>
      </c>
      <c r="M30" s="308">
        <f>L30-K30</f>
        <v/>
      </c>
      <c r="N30" s="308">
        <f>L30-J30</f>
        <v/>
      </c>
      <c r="O30" s="309">
        <f>IF(J30=0,"***",N30/J30)</f>
        <v/>
      </c>
      <c r="P30" s="367">
        <f>'8月'!P30+BACKDATA7月!P30+BACKDATA6月!P30+BACKDATA5月!P30+BACKDATA4月!P30</f>
        <v/>
      </c>
      <c r="Q30" s="306">
        <f>'8月'!Q30+BACKDATA7月!Q30+BACKDATA6月!Q30+BACKDATA5月!Q30+BACKDATA4月!Q30</f>
        <v/>
      </c>
      <c r="R30" s="307">
        <f>'8月'!R30+BACKDATA7月!R30+BACKDATA6月!R30+BACKDATA5月!R30+BACKDATA4月!R30</f>
        <v/>
      </c>
      <c r="S30" s="306">
        <f>'8月'!S30+BACKDATA7月!S30+BACKDATA6月!S30+BACKDATA5月!S30+BACKDATA4月!S30</f>
        <v/>
      </c>
      <c r="T30" s="308">
        <f>S30-R30</f>
        <v/>
      </c>
      <c r="U30" s="308">
        <f>S30-Q30</f>
        <v/>
      </c>
      <c r="V30" s="309">
        <f>IF(Q30=0,"***",U30/Q30)</f>
        <v/>
      </c>
      <c r="W30" s="311">
        <f>IF(I30=0,"***",P30/I30)</f>
        <v/>
      </c>
      <c r="X30" s="312">
        <f>IF(J30=0,"***",Q30/J30)</f>
        <v/>
      </c>
      <c r="Y30" s="312">
        <f>IF(K30=0,"***",R30/K30)</f>
        <v/>
      </c>
      <c r="Z30" s="312">
        <f>IF(L30=0,"***",S30/L30)</f>
        <v/>
      </c>
      <c r="AA30" s="313">
        <f>IF(Y30="***","***",Z30-X30)</f>
        <v/>
      </c>
      <c r="AB30" s="312">
        <f>IF(Z30="***","***",Z30-X30)</f>
        <v/>
      </c>
      <c r="AC30" s="21" t="n"/>
    </row>
    <row r="31">
      <c r="D31" s="8" t="n"/>
      <c r="E31" s="9" t="n"/>
      <c r="F31" s="9" t="n"/>
      <c r="G31" s="22" t="inlineStr">
        <is>
          <t>営業</t>
        </is>
      </c>
      <c r="H31" s="23" t="n"/>
      <c r="I31" s="314">
        <f>I30-I35-I34</f>
        <v/>
      </c>
      <c r="J31" s="315">
        <f>J30-J35-J34</f>
        <v/>
      </c>
      <c r="K31" s="316">
        <f>K30-K35-K34</f>
        <v/>
      </c>
      <c r="L31" s="315">
        <f>L30-L35-L34</f>
        <v/>
      </c>
      <c r="M31" s="317">
        <f>L31-K31</f>
        <v/>
      </c>
      <c r="N31" s="317">
        <f>L31-J31</f>
        <v/>
      </c>
      <c r="O31" s="318">
        <f>IF(J31=0,"***",N31/J31)</f>
        <v/>
      </c>
      <c r="P31" s="314">
        <f>P30-P35-P34</f>
        <v/>
      </c>
      <c r="Q31" s="315">
        <f>Q30-Q35-Q34</f>
        <v/>
      </c>
      <c r="R31" s="316">
        <f>R30-R35-R34</f>
        <v/>
      </c>
      <c r="S31" s="315">
        <f>S30-S35-S34</f>
        <v/>
      </c>
      <c r="T31" s="317">
        <f>S31-R31</f>
        <v/>
      </c>
      <c r="U31" s="317">
        <f>S31-Q31</f>
        <v/>
      </c>
      <c r="V31" s="318">
        <f>IF(Q31=0,"***",U31/Q31)</f>
        <v/>
      </c>
      <c r="W31" s="319">
        <f>IF(I31=0,"***",P31/I31)</f>
        <v/>
      </c>
      <c r="X31" s="320">
        <f>IF(J31=0,"***",Q31/J31)</f>
        <v/>
      </c>
      <c r="Y31" s="320">
        <f>IF(K31=0,"***",R31/K31)</f>
        <v/>
      </c>
      <c r="Z31" s="320">
        <f>IF(L31=0,"***",S31/L31)</f>
        <v/>
      </c>
      <c r="AA31" s="321">
        <f>IF(Y31="***","***",Z31-X31)</f>
        <v/>
      </c>
      <c r="AB31" s="320">
        <f>IF(Z31="***","***",Z31-X31)</f>
        <v/>
      </c>
      <c r="AC31" s="31" t="n"/>
    </row>
    <row r="32">
      <c r="D32" s="8" t="n"/>
      <c r="E32" s="9" t="n"/>
      <c r="F32" s="9" t="n"/>
      <c r="G32" s="32" t="n"/>
      <c r="H32" s="33" t="inlineStr">
        <is>
          <t>包装資材</t>
        </is>
      </c>
      <c r="I32" s="314">
        <f>I31-I33</f>
        <v/>
      </c>
      <c r="J32" s="315">
        <f>J31-J33</f>
        <v/>
      </c>
      <c r="K32" s="316">
        <f>K31-K33</f>
        <v/>
      </c>
      <c r="L32" s="315">
        <f>L31-L33</f>
        <v/>
      </c>
      <c r="M32" s="317">
        <f>L32-K32</f>
        <v/>
      </c>
      <c r="N32" s="317">
        <f>L32-J32</f>
        <v/>
      </c>
      <c r="O32" s="318">
        <f>IF(J32=0,"***",N32/J32)</f>
        <v/>
      </c>
      <c r="P32" s="314">
        <f>P31-P33</f>
        <v/>
      </c>
      <c r="Q32" s="315">
        <f>Q31-Q33</f>
        <v/>
      </c>
      <c r="R32" s="316">
        <f>R31-R33</f>
        <v/>
      </c>
      <c r="S32" s="315">
        <f>S31-S33</f>
        <v/>
      </c>
      <c r="T32" s="317">
        <f>S32-R32</f>
        <v/>
      </c>
      <c r="U32" s="317">
        <f>S32-Q32</f>
        <v/>
      </c>
      <c r="V32" s="318">
        <f>IF(Q32=0,"***",U32/Q32)</f>
        <v/>
      </c>
      <c r="W32" s="319">
        <f>IF(I32=0,"***",P32/I32)</f>
        <v/>
      </c>
      <c r="X32" s="320">
        <f>IF(J32=0,"***",Q32/J32)</f>
        <v/>
      </c>
      <c r="Y32" s="320">
        <f>IF(K32=0,"***",R32/K32)</f>
        <v/>
      </c>
      <c r="Z32" s="320">
        <f>IF(L32=0,"***",S32/L32)</f>
        <v/>
      </c>
      <c r="AA32" s="321">
        <f>IF(Y32="***","***",Z32-X32)</f>
        <v/>
      </c>
      <c r="AB32" s="320">
        <f>IF(Z32="***","***",Z32-X32)</f>
        <v/>
      </c>
      <c r="AC32" s="31" t="n"/>
    </row>
    <row r="33">
      <c r="D33" s="8" t="n"/>
      <c r="E33" s="9" t="n"/>
      <c r="F33" s="9" t="n"/>
      <c r="G33" s="32" t="n"/>
      <c r="H33" s="34" t="inlineStr">
        <is>
          <t>機械</t>
        </is>
      </c>
      <c r="I33" s="354">
        <f>'8月'!I33+BACKDATA7月!I33+BACKDATA6月!I33+BACKDATA5月!I33+BACKDATA4月!I33</f>
        <v/>
      </c>
      <c r="J33" s="355">
        <f>'8月'!J33+BACKDATA7月!J33+BACKDATA6月!J33+BACKDATA5月!J33+BACKDATA4月!J33</f>
        <v/>
      </c>
      <c r="K33" s="316">
        <f>'8月'!K33+BACKDATA7月!K33+BACKDATA6月!K33+BACKDATA5月!K33+BACKDATA4月!K33</f>
        <v/>
      </c>
      <c r="L33" s="355">
        <f>'8月'!L33+BACKDATA7月!L33+BACKDATA6月!L33+BACKDATA5月!L33+BACKDATA4月!L33</f>
        <v/>
      </c>
      <c r="M33" s="317">
        <f>L33-K33</f>
        <v/>
      </c>
      <c r="N33" s="317">
        <f>L33-J33</f>
        <v/>
      </c>
      <c r="O33" s="318">
        <f>IF(J33=0,"***",N33/J33)</f>
        <v/>
      </c>
      <c r="P33" s="354">
        <f>'8月'!P33+BACKDATA7月!P33+BACKDATA6月!P33+BACKDATA5月!P33+BACKDATA4月!P33</f>
        <v/>
      </c>
      <c r="Q33" s="355">
        <f>'8月'!Q33+BACKDATA7月!Q33+BACKDATA6月!Q33+BACKDATA5月!Q33+BACKDATA4月!Q33</f>
        <v/>
      </c>
      <c r="R33" s="316">
        <f>'8月'!R33+BACKDATA7月!R33+BACKDATA6月!R33+BACKDATA5月!R33+BACKDATA4月!R33</f>
        <v/>
      </c>
      <c r="S33" s="355">
        <f>'8月'!S33+BACKDATA7月!S33+BACKDATA6月!S33+BACKDATA5月!S33+BACKDATA4月!S33</f>
        <v/>
      </c>
      <c r="T33" s="317">
        <f>S33-R33</f>
        <v/>
      </c>
      <c r="U33" s="317">
        <f>S33-Q33</f>
        <v/>
      </c>
      <c r="V33" s="318">
        <f>IF(Q33=0,"***",U33/Q33)</f>
        <v/>
      </c>
      <c r="W33" s="319">
        <f>IF(I33=0,"***",P33/I33)</f>
        <v/>
      </c>
      <c r="X33" s="320">
        <f>IF(J33=0,"***",Q33/J33)</f>
        <v/>
      </c>
      <c r="Y33" s="320">
        <f>IF(K33=0,"***",R33/K33)</f>
        <v/>
      </c>
      <c r="Z33" s="320">
        <f>IF(L33=0,"***",S33/L33)</f>
        <v/>
      </c>
      <c r="AA33" s="321">
        <f>IF(Y33="***","***",Z33-X33)</f>
        <v/>
      </c>
      <c r="AB33" s="320">
        <f>IF(Z33="***","***",Z33-X33)</f>
        <v/>
      </c>
      <c r="AC33" s="31" t="n"/>
    </row>
    <row r="34">
      <c r="D34" s="8" t="n"/>
      <c r="E34" s="9" t="n"/>
      <c r="F34" s="9" t="n"/>
      <c r="G34" s="95" t="inlineStr">
        <is>
          <t>自治体</t>
        </is>
      </c>
      <c r="H34" s="23" t="n"/>
      <c r="I34" s="322">
        <f>'8月'!I34+BACKDATA7月!I34+BACKDATA6月!I34+BACKDATA5月!I34+BACKDATA4月!I34</f>
        <v/>
      </c>
      <c r="J34" s="323">
        <f>'8月'!J34+BACKDATA7月!J34+BACKDATA6月!J34+BACKDATA5月!J34+BACKDATA4月!J34</f>
        <v/>
      </c>
      <c r="K34" s="324">
        <f>'8月'!K34+BACKDATA7月!K34+BACKDATA6月!K34+BACKDATA5月!K34+BACKDATA4月!K34</f>
        <v/>
      </c>
      <c r="L34" s="323">
        <f>'8月'!L34+BACKDATA7月!L34+BACKDATA6月!L34+BACKDATA5月!L34+BACKDATA4月!L34</f>
        <v/>
      </c>
      <c r="M34" s="325">
        <f>L34-K34</f>
        <v/>
      </c>
      <c r="N34" s="325">
        <f>L34-J34</f>
        <v/>
      </c>
      <c r="O34" s="326">
        <f>IF(J34=0,"***",N34/J34)</f>
        <v/>
      </c>
      <c r="P34" s="322">
        <f>'8月'!P34+BACKDATA7月!P34+BACKDATA6月!P34+BACKDATA5月!P34+BACKDATA4月!P34</f>
        <v/>
      </c>
      <c r="Q34" s="323">
        <f>'8月'!Q34+BACKDATA7月!Q34+BACKDATA6月!Q34+BACKDATA5月!Q34+BACKDATA4月!Q34</f>
        <v/>
      </c>
      <c r="R34" s="324">
        <f>'8月'!R34+BACKDATA7月!R34+BACKDATA6月!R34+BACKDATA5月!R34+BACKDATA4月!R34</f>
        <v/>
      </c>
      <c r="S34" s="323">
        <f>'8月'!S34+BACKDATA7月!S34+BACKDATA6月!S34+BACKDATA5月!S34+BACKDATA4月!S34</f>
        <v/>
      </c>
      <c r="T34" s="325">
        <f>S34-R34</f>
        <v/>
      </c>
      <c r="U34" s="325">
        <f>S34-Q34</f>
        <v/>
      </c>
      <c r="V34" s="326">
        <f>IF(Q34=0,"***",U34/Q34)</f>
        <v/>
      </c>
      <c r="W34" s="329">
        <f>IF(I34=0,"***",P34/I34)</f>
        <v/>
      </c>
      <c r="X34" s="330">
        <f>IF(J34=0,"***",Q34/J34)</f>
        <v/>
      </c>
      <c r="Y34" s="330">
        <f>IF(K34=0,"***",R34/K34)</f>
        <v/>
      </c>
      <c r="Z34" s="330">
        <f>IF(L34=0,"***",S34/L34)</f>
        <v/>
      </c>
      <c r="AA34" s="331">
        <f>IF(Y34="***","***",Z34-X34)</f>
        <v/>
      </c>
      <c r="AB34" s="330">
        <f>IF(Z34="***","***",Z34-X34)</f>
        <v/>
      </c>
      <c r="AC34" s="45" t="n"/>
    </row>
    <row r="35">
      <c r="D35" s="8" t="n"/>
      <c r="E35" s="9" t="n"/>
      <c r="F35" s="9" t="n"/>
      <c r="G35" s="22" t="inlineStr">
        <is>
          <t>海外</t>
        </is>
      </c>
      <c r="H35" s="23" t="n"/>
      <c r="I35" s="332">
        <f>'8月'!I35+BACKDATA7月!I35+BACKDATA6月!I35+BACKDATA5月!I35+BACKDATA4月!I35</f>
        <v/>
      </c>
      <c r="J35" s="333">
        <f>'8月'!J35+BACKDATA7月!J35+BACKDATA6月!J35+BACKDATA5月!J35+BACKDATA4月!J35</f>
        <v/>
      </c>
      <c r="K35" s="334">
        <f>'8月'!K35+BACKDATA7月!K35+BACKDATA6月!K35+BACKDATA5月!K35+BACKDATA4月!K35</f>
        <v/>
      </c>
      <c r="L35" s="333">
        <f>'8月'!L35+BACKDATA7月!L35+BACKDATA6月!L35+BACKDATA5月!L35+BACKDATA4月!L35</f>
        <v/>
      </c>
      <c r="M35" s="335">
        <f>L35-K35</f>
        <v/>
      </c>
      <c r="N35" s="335">
        <f>L35-J35</f>
        <v/>
      </c>
      <c r="O35" s="336">
        <f>IF(J35=0,"***",N35/J35)</f>
        <v/>
      </c>
      <c r="P35" s="332">
        <f>'8月'!P35+BACKDATA7月!P35+BACKDATA6月!P35+BACKDATA5月!P35+BACKDATA4月!P35</f>
        <v/>
      </c>
      <c r="Q35" s="333">
        <f>'8月'!Q35+BACKDATA7月!Q35+BACKDATA6月!Q35+BACKDATA5月!Q35+BACKDATA4月!Q35</f>
        <v/>
      </c>
      <c r="R35" s="334">
        <f>'8月'!R35+BACKDATA7月!R35+BACKDATA6月!R35+BACKDATA5月!R35+BACKDATA4月!R35</f>
        <v/>
      </c>
      <c r="S35" s="333">
        <f>'8月'!S35+BACKDATA7月!S35+BACKDATA6月!S35+BACKDATA5月!S35+BACKDATA4月!S35</f>
        <v/>
      </c>
      <c r="T35" s="335">
        <f>S35-R35</f>
        <v/>
      </c>
      <c r="U35" s="335">
        <f>S35-Q35</f>
        <v/>
      </c>
      <c r="V35" s="336">
        <f>IF(Q35=0,"***",U35/Q35)</f>
        <v/>
      </c>
      <c r="W35" s="339">
        <f>IF(I35=0,"***",P35/I35)</f>
        <v/>
      </c>
      <c r="X35" s="340">
        <f>IF(J35=0,"***",Q35/J35)</f>
        <v/>
      </c>
      <c r="Y35" s="340">
        <f>IF(K35=0,"***",R35/K35)</f>
        <v/>
      </c>
      <c r="Z35" s="340">
        <f>IF(L35=0,"***",S35/L35)</f>
        <v/>
      </c>
      <c r="AA35" s="341">
        <f>IF(Y35="***","***",Z35-X35)</f>
        <v/>
      </c>
      <c r="AB35" s="340">
        <f>IF(Z35="***","***",Z35-X35)</f>
        <v/>
      </c>
      <c r="AC35" s="59" t="n"/>
    </row>
    <row r="36">
      <c r="D36" s="8" t="n"/>
      <c r="E36" s="10" t="inlineStr">
        <is>
          <t>営業部門合計</t>
        </is>
      </c>
      <c r="F36" s="5" t="n"/>
      <c r="G36" s="5" t="n"/>
      <c r="H36" s="61" t="n"/>
      <c r="I36" s="373">
        <f>I30+I21+I16+I10+I5</f>
        <v/>
      </c>
      <c r="J36" s="373">
        <f>J30+J21+J16+J10+J5</f>
        <v/>
      </c>
      <c r="K36" s="307">
        <f>K30+K21+K16+K10+K5</f>
        <v/>
      </c>
      <c r="L36" s="357">
        <f>L30+L21+L16+L10+L5</f>
        <v/>
      </c>
      <c r="M36" s="359">
        <f>L36-K36</f>
        <v/>
      </c>
      <c r="N36" s="359">
        <f>L36-J36</f>
        <v/>
      </c>
      <c r="O36" s="318">
        <f>IF(J36=0,"***",N36/J36)</f>
        <v/>
      </c>
      <c r="P36" s="373">
        <f>P30+P21+P16+P10+P5</f>
        <v/>
      </c>
      <c r="Q36" s="373">
        <f>Q30+Q21+Q16+Q10+Q5</f>
        <v/>
      </c>
      <c r="R36" s="307">
        <f>R30+R21+R16+R10+R5</f>
        <v/>
      </c>
      <c r="S36" s="357">
        <f>S30+S21+S16+S10+S5</f>
        <v/>
      </c>
      <c r="T36" s="374">
        <f>S36-R36</f>
        <v/>
      </c>
      <c r="U36" s="374">
        <f>S36-Q36</f>
        <v/>
      </c>
      <c r="V36" s="309">
        <f>IF(Q36=0,"***",U36/Q36)</f>
        <v/>
      </c>
      <c r="W36" s="311">
        <f>IF(I36=0,"***",P36/I36)</f>
        <v/>
      </c>
      <c r="X36" s="312">
        <f>IF(J36=0,"***",Q36/J36)</f>
        <v/>
      </c>
      <c r="Y36" s="312">
        <f>IF(K36=0,"***",R36/K36)</f>
        <v/>
      </c>
      <c r="Z36" s="312">
        <f>IF(L36=0,"***",S36/L36)</f>
        <v/>
      </c>
      <c r="AA36" s="312">
        <f>IF(Y36="***","***",Z36-X36)</f>
        <v/>
      </c>
      <c r="AB36" s="312">
        <f>IF(Z36="***","***",Z36-X36)</f>
        <v/>
      </c>
      <c r="AC36" s="375" t="n"/>
    </row>
    <row r="37">
      <c r="D37" s="8" t="n"/>
      <c r="E37" s="9" t="n"/>
      <c r="H37" s="33" t="inlineStr">
        <is>
          <t>機械以外</t>
        </is>
      </c>
      <c r="I37" s="315">
        <f>I36-I38-I39-I40</f>
        <v/>
      </c>
      <c r="J37" s="315">
        <f>J36-J38-J39-J40</f>
        <v/>
      </c>
      <c r="K37" s="316">
        <f>K36-K38-K39-K40</f>
        <v/>
      </c>
      <c r="L37" s="315">
        <f>L36-L38-L39-L40</f>
        <v/>
      </c>
      <c r="M37" s="359">
        <f>L37-K37</f>
        <v/>
      </c>
      <c r="N37" s="359">
        <f>L37-J37</f>
        <v/>
      </c>
      <c r="O37" s="318">
        <f>IF(J37=0,"***",N37/J37)</f>
        <v/>
      </c>
      <c r="P37" s="315">
        <f>P36-P38-P39-P40</f>
        <v/>
      </c>
      <c r="Q37" s="315">
        <f>Q36-Q38-Q39-Q40</f>
        <v/>
      </c>
      <c r="R37" s="316">
        <f>R36-R38-R39-R40</f>
        <v/>
      </c>
      <c r="S37" s="315">
        <f>S36-S38-S39-S40</f>
        <v/>
      </c>
      <c r="T37" s="359">
        <f>S37-R37</f>
        <v/>
      </c>
      <c r="U37" s="359">
        <f>S37-Q37</f>
        <v/>
      </c>
      <c r="V37" s="318">
        <f>IF(Q37=0,"***",U37/Q37)</f>
        <v/>
      </c>
      <c r="W37" s="319">
        <f>IF(I37=0,"***",P37/I37)</f>
        <v/>
      </c>
      <c r="X37" s="320">
        <f>IF(J37=0,"***",Q37/J37)</f>
        <v/>
      </c>
      <c r="Y37" s="320">
        <f>IF(K37=0,"***",R37/K37)</f>
        <v/>
      </c>
      <c r="Z37" s="320">
        <f>IF(L37=0,"***",S37/L37)</f>
        <v/>
      </c>
      <c r="AA37" s="320">
        <f>IF(Y37="***","***",Z37-X37)</f>
        <v/>
      </c>
      <c r="AB37" s="320">
        <f>IF(Z37="***","***",Z37-X37)</f>
        <v/>
      </c>
      <c r="AC37" s="376" t="n"/>
    </row>
    <row r="38">
      <c r="D38" s="8" t="n"/>
      <c r="E38" s="9" t="n"/>
      <c r="H38" s="34" t="inlineStr">
        <is>
          <t>機械</t>
        </is>
      </c>
      <c r="I38" s="314">
        <f>I33+I23+I19+I13+I8</f>
        <v/>
      </c>
      <c r="J38" s="315">
        <f>J33+J23+J19+J13+J8</f>
        <v/>
      </c>
      <c r="K38" s="316">
        <f>K33+K23+K19+K13+K8</f>
        <v/>
      </c>
      <c r="L38" s="315">
        <f>L33+L23+L19+L13+L8</f>
        <v/>
      </c>
      <c r="M38" s="359">
        <f>L38-K38</f>
        <v/>
      </c>
      <c r="N38" s="359">
        <f>L38-J38</f>
        <v/>
      </c>
      <c r="O38" s="318">
        <f>IF(J38=0,"***",N38/J38)</f>
        <v/>
      </c>
      <c r="P38" s="314">
        <f>P33+P23+P19+P13+P8</f>
        <v/>
      </c>
      <c r="Q38" s="315">
        <f>Q33+Q23+Q19+Q13+Q8</f>
        <v/>
      </c>
      <c r="R38" s="316">
        <f>R33+R23+R19+R13+R8</f>
        <v/>
      </c>
      <c r="S38" s="315">
        <f>S33+S23+S19+S13+S8</f>
        <v/>
      </c>
      <c r="T38" s="359">
        <f>S38-R38</f>
        <v/>
      </c>
      <c r="U38" s="359">
        <f>S38-Q38</f>
        <v/>
      </c>
      <c r="V38" s="318">
        <f>IF(Q38=0,"***",U38/Q38)</f>
        <v/>
      </c>
      <c r="W38" s="319">
        <f>IF(I38=0,"***",P38/I38)</f>
        <v/>
      </c>
      <c r="X38" s="320">
        <f>IF(J38=0,"***",Q38/J38)</f>
        <v/>
      </c>
      <c r="Y38" s="320">
        <f>IF(K38=0,"***",R38/K38)</f>
        <v/>
      </c>
      <c r="Z38" s="320">
        <f>IF(L38=0,"***",S38/L38)</f>
        <v/>
      </c>
      <c r="AA38" s="320">
        <f>IF(Y38="***","***",Z38-X38)</f>
        <v/>
      </c>
      <c r="AB38" s="320">
        <f>IF(Z38="***","***",Z38-X38)</f>
        <v/>
      </c>
      <c r="AC38" s="376" t="n"/>
    </row>
    <row r="39">
      <c r="D39" s="8" t="n"/>
      <c r="E39" s="9" t="n"/>
      <c r="H39" s="33" t="inlineStr">
        <is>
          <t>自治体</t>
        </is>
      </c>
      <c r="I39" s="314">
        <f>I34+I20+I14+I9</f>
        <v/>
      </c>
      <c r="J39" s="315">
        <f>J34+J20+J14+J9</f>
        <v/>
      </c>
      <c r="K39" s="316">
        <f>K34+K20+K14+K9</f>
        <v/>
      </c>
      <c r="L39" s="315">
        <f>L34+L20+L14+L9</f>
        <v/>
      </c>
      <c r="M39" s="359">
        <f>L39-K39</f>
        <v/>
      </c>
      <c r="N39" s="359">
        <f>L39-J39</f>
        <v/>
      </c>
      <c r="O39" s="318">
        <f>IF(J39=0,"***",N39/J39)</f>
        <v/>
      </c>
      <c r="P39" s="314">
        <f>P34+P20+P14+P9</f>
        <v/>
      </c>
      <c r="Q39" s="315">
        <f>Q34+Q20+Q14+Q9</f>
        <v/>
      </c>
      <c r="R39" s="316">
        <f>R34+R20+R14+R9</f>
        <v/>
      </c>
      <c r="S39" s="315">
        <f>S34+S20+S14+S9</f>
        <v/>
      </c>
      <c r="T39" s="359">
        <f>S39-R39</f>
        <v/>
      </c>
      <c r="U39" s="359">
        <f>S39-Q39</f>
        <v/>
      </c>
      <c r="V39" s="318">
        <f>IF(Q39=0,"***",U39/Q39)</f>
        <v/>
      </c>
      <c r="W39" s="319">
        <f>IF(I39=0,"***",P39/I39)</f>
        <v/>
      </c>
      <c r="X39" s="320">
        <f>IF(J39=0,"***",Q39/J39)</f>
        <v/>
      </c>
      <c r="Y39" s="320">
        <f>IF(K39=0,"***",R39/K39)</f>
        <v/>
      </c>
      <c r="Z39" s="320">
        <f>IF(L39=0,"***",S39/L39)</f>
        <v/>
      </c>
      <c r="AA39" s="320">
        <f>IF(Y39="***","***",Z39-X39)</f>
        <v/>
      </c>
      <c r="AB39" s="377">
        <f>IF(Z39="***","***",Z39-X39)</f>
        <v/>
      </c>
      <c r="AC39" s="376" t="n"/>
    </row>
    <row r="40">
      <c r="D40" s="8" t="n"/>
      <c r="E40" s="9" t="n"/>
      <c r="H40" s="103" t="inlineStr">
        <is>
          <t>海外</t>
        </is>
      </c>
      <c r="I40" s="378">
        <f>I35+I15</f>
        <v/>
      </c>
      <c r="J40" s="379">
        <f>J35+J15</f>
        <v/>
      </c>
      <c r="K40" s="334">
        <f>K35+K15</f>
        <v/>
      </c>
      <c r="L40" s="379">
        <f>L35+L15</f>
        <v/>
      </c>
      <c r="M40" s="366">
        <f>L40-K40</f>
        <v/>
      </c>
      <c r="N40" s="366">
        <f>L40-J40</f>
        <v/>
      </c>
      <c r="O40" s="336">
        <f>IF(J40=0,"***",N40/J40)</f>
        <v/>
      </c>
      <c r="P40" s="378">
        <f>P35+P15</f>
        <v/>
      </c>
      <c r="Q40" s="379">
        <f>Q35+Q15</f>
        <v/>
      </c>
      <c r="R40" s="334">
        <f>R35+R15</f>
        <v/>
      </c>
      <c r="S40" s="379">
        <f>S35+S15</f>
        <v/>
      </c>
      <c r="T40" s="366">
        <f>S40-R40</f>
        <v/>
      </c>
      <c r="U40" s="366">
        <f>S40-Q40</f>
        <v/>
      </c>
      <c r="V40" s="336">
        <f>IF(Q40=0,"***",U40/Q40)</f>
        <v/>
      </c>
      <c r="W40" s="339">
        <f>IF(I40=0,"***",P40/I40)</f>
        <v/>
      </c>
      <c r="X40" s="340">
        <f>IF(J40=0,"***",Q40/J40)</f>
        <v/>
      </c>
      <c r="Y40" s="340">
        <f>IF(K40=0,"***",R40/K40)</f>
        <v/>
      </c>
      <c r="Z40" s="340">
        <f>IF(L40=0,"***",S40/L40)</f>
        <v/>
      </c>
      <c r="AA40" s="340">
        <f>IF(Y40="***","***",Z40-X40)</f>
        <v/>
      </c>
      <c r="AB40" s="380">
        <f>IF(Z40="***","***",Z40-X40)</f>
        <v/>
      </c>
      <c r="AC40" s="381" t="n"/>
    </row>
    <row r="41">
      <c r="D41" s="8" t="n"/>
      <c r="E41" s="60" t="inlineStr">
        <is>
          <t>水産部</t>
        </is>
      </c>
      <c r="F41" s="5" t="n"/>
      <c r="G41" s="5" t="n"/>
      <c r="H41" s="5" t="n"/>
      <c r="I41" s="367">
        <f>'8月'!I41+BACKDATA7月!I41+BACKDATA6月!I41+BACKDATA5月!I41+BACKDATA4月!I41</f>
        <v/>
      </c>
      <c r="J41" s="306">
        <f>'8月'!J41+BACKDATA7月!J41+BACKDATA6月!J41+BACKDATA5月!J41+BACKDATA4月!J41</f>
        <v/>
      </c>
      <c r="K41" s="307">
        <f>'8月'!K41+BACKDATA7月!K41+BACKDATA6月!K41+BACKDATA5月!K41+BACKDATA4月!K41</f>
        <v/>
      </c>
      <c r="L41" s="306">
        <f>'8月'!L41+BACKDATA7月!L41+BACKDATA6月!L41+BACKDATA5月!L41+BACKDATA4月!L41</f>
        <v/>
      </c>
      <c r="M41" s="308">
        <f>L41-K41</f>
        <v/>
      </c>
      <c r="N41" s="308">
        <f>L41-J41</f>
        <v/>
      </c>
      <c r="O41" s="309">
        <f>IF(J41=0,"***",N41/J41)</f>
        <v/>
      </c>
      <c r="P41" s="367">
        <f>'8月'!P41+BACKDATA7月!P41+BACKDATA6月!P41+BACKDATA5月!P41+BACKDATA4月!P41</f>
        <v/>
      </c>
      <c r="Q41" s="306">
        <f>'8月'!Q41+BACKDATA7月!Q41+BACKDATA6月!Q41+BACKDATA5月!Q41+BACKDATA4月!Q41</f>
        <v/>
      </c>
      <c r="R41" s="307">
        <f>'8月'!R41+BACKDATA7月!R41+BACKDATA6月!R41+BACKDATA5月!R41+BACKDATA4月!R41</f>
        <v/>
      </c>
      <c r="S41" s="306">
        <f>'8月'!S41+BACKDATA7月!S41+BACKDATA6月!S41+BACKDATA5月!S41+BACKDATA4月!S41</f>
        <v/>
      </c>
      <c r="T41" s="308">
        <f>S41-R41</f>
        <v/>
      </c>
      <c r="U41" s="308">
        <f>S41-Q41</f>
        <v/>
      </c>
      <c r="V41" s="309">
        <f>IF(Q41=0,"***",U41/Q41)</f>
        <v/>
      </c>
      <c r="W41" s="382">
        <f>IF(I41=0,"***",P41/I41)</f>
        <v/>
      </c>
      <c r="X41" s="383">
        <f>IF(J41=0,"***",Q41/J41)</f>
        <v/>
      </c>
      <c r="Y41" s="383">
        <f>IF(K41=0,"***",R41/K41)</f>
        <v/>
      </c>
      <c r="Z41" s="383">
        <f>IF(L41=0,"***",S41/L41)</f>
        <v/>
      </c>
      <c r="AA41" s="383">
        <f>IF(Y41="***","***",Z41-X41)</f>
        <v/>
      </c>
      <c r="AB41" s="384">
        <f>IF(Z41="***","***",Z41-X41)</f>
        <v/>
      </c>
      <c r="AC41" s="21" t="n"/>
    </row>
    <row r="42">
      <c r="D42" s="8" t="n"/>
      <c r="E42" s="9" t="n"/>
      <c r="H42" s="33" t="inlineStr">
        <is>
          <t>包装資材</t>
        </is>
      </c>
      <c r="I42" s="385">
        <f>I41-I43-I44</f>
        <v/>
      </c>
      <c r="J42" s="344">
        <f>J41-J43-J44</f>
        <v/>
      </c>
      <c r="K42" s="344">
        <f>K41-K43-K44</f>
        <v/>
      </c>
      <c r="L42" s="344">
        <f>L41-L43-L44</f>
        <v/>
      </c>
      <c r="M42" s="345">
        <f>L42-K42</f>
        <v/>
      </c>
      <c r="N42" s="345">
        <f>L42-J42</f>
        <v/>
      </c>
      <c r="O42" s="346">
        <f>IF(J42=0,"***",N42/J42)</f>
        <v/>
      </c>
      <c r="P42" s="385">
        <f>P41-P43-P44</f>
        <v/>
      </c>
      <c r="Q42" s="344">
        <f>Q41-Q43-Q44</f>
        <v/>
      </c>
      <c r="R42" s="344">
        <f>R41-R43-R44</f>
        <v/>
      </c>
      <c r="S42" s="344">
        <f>S41-S43-S44</f>
        <v/>
      </c>
      <c r="T42" s="345">
        <f>S42-R42</f>
        <v/>
      </c>
      <c r="U42" s="345">
        <f>S42-Q42</f>
        <v/>
      </c>
      <c r="V42" s="346">
        <f>IF(Q42=0,"***",U42/Q42)</f>
        <v/>
      </c>
      <c r="W42" s="386">
        <f>IF(I42=0,"***",P42/I42)</f>
        <v/>
      </c>
      <c r="X42" s="387">
        <f>IF(J42=0,"***",Q42/J42)</f>
        <v/>
      </c>
      <c r="Y42" s="387">
        <f>IF(K42=0,"***",R42/K42)</f>
        <v/>
      </c>
      <c r="Z42" s="387">
        <f>IF(L42=0,"***",S42/L42)</f>
        <v/>
      </c>
      <c r="AA42" s="387">
        <f>IF(Y42="***","***",Z42-X42)</f>
        <v/>
      </c>
      <c r="AB42" s="388">
        <f>IF(Z42="***","***",Z42-X42)</f>
        <v/>
      </c>
      <c r="AC42" s="389" t="n"/>
    </row>
    <row r="43">
      <c r="D43" s="8" t="n"/>
      <c r="E43" s="9" t="n"/>
      <c r="H43" s="34" t="inlineStr">
        <is>
          <t>荷役</t>
        </is>
      </c>
      <c r="I43" s="305">
        <f>'8月'!I43+BACKDATA7月!I43+BACKDATA6月!I43+BACKDATA5月!I43+BACKDATA4月!I43</f>
        <v/>
      </c>
      <c r="J43" s="390">
        <f>'8月'!J43+BACKDATA7月!J43+BACKDATA6月!J43+BACKDATA5月!J43+BACKDATA4月!J43</f>
        <v/>
      </c>
      <c r="K43" s="390">
        <f>'8月'!K43+BACKDATA7月!K43+BACKDATA6月!K43+BACKDATA5月!K43+BACKDATA4月!K43</f>
        <v/>
      </c>
      <c r="L43" s="390">
        <f>'8月'!L43+BACKDATA7月!L43+BACKDATA6月!L43+BACKDATA5月!L43+BACKDATA4月!L43</f>
        <v/>
      </c>
      <c r="M43" s="345">
        <f>L43-K43</f>
        <v/>
      </c>
      <c r="N43" s="345">
        <f>L43-J43</f>
        <v/>
      </c>
      <c r="O43" s="346">
        <f>IF(J43=0,"***",N43/J43)</f>
        <v/>
      </c>
      <c r="P43" s="305">
        <f>'8月'!P43+BACKDATA7月!P43+BACKDATA6月!P43+BACKDATA5月!P43+BACKDATA4月!P43</f>
        <v/>
      </c>
      <c r="Q43" s="390">
        <f>'8月'!Q43+BACKDATA7月!Q43+BACKDATA6月!Q43+BACKDATA5月!Q43+BACKDATA4月!Q43</f>
        <v/>
      </c>
      <c r="R43" s="390">
        <f>'8月'!R43+BACKDATA7月!R43+BACKDATA6月!R43+BACKDATA5月!R43+BACKDATA4月!R43</f>
        <v/>
      </c>
      <c r="S43" s="390">
        <f>'8月'!S43+BACKDATA7月!S43+BACKDATA6月!S43+BACKDATA5月!S43+BACKDATA4月!S43</f>
        <v/>
      </c>
      <c r="T43" s="345">
        <f>S43-R43</f>
        <v/>
      </c>
      <c r="U43" s="345">
        <f>S43-Q43</f>
        <v/>
      </c>
      <c r="V43" s="346">
        <f>IF(Q43=0,"***",U43/Q43)</f>
        <v/>
      </c>
      <c r="W43" s="386">
        <f>IF(I43=0,"***",P43/I43)</f>
        <v/>
      </c>
      <c r="X43" s="387">
        <f>IF(J43=0,"***",Q43/J43)</f>
        <v/>
      </c>
      <c r="Y43" s="387">
        <f>IF(K43=0,"***",R43/K43)</f>
        <v/>
      </c>
      <c r="Z43" s="387">
        <f>IF(L43=0,"***",S43/L43)</f>
        <v/>
      </c>
      <c r="AA43" s="387" t="n"/>
      <c r="AB43" s="388" t="n"/>
      <c r="AC43" s="389" t="n"/>
    </row>
    <row r="44">
      <c r="D44" s="8" t="n"/>
      <c r="E44" s="46" t="n"/>
      <c r="F44" s="116" t="n"/>
      <c r="G44" s="116" t="n"/>
      <c r="H44" s="103" t="inlineStr">
        <is>
          <t>機械</t>
        </is>
      </c>
      <c r="I44" s="305">
        <f>'8月'!I44+BACKDATA7月!I44+BACKDATA6月!I44+BACKDATA5月!I44+BACKDATA4月!I44</f>
        <v/>
      </c>
      <c r="J44" s="390">
        <f>'8月'!J44+BACKDATA7月!J44+BACKDATA6月!J44+BACKDATA5月!J44+BACKDATA4月!J44</f>
        <v/>
      </c>
      <c r="K44" s="390">
        <f>'8月'!K44+BACKDATA7月!K44+BACKDATA6月!K44+BACKDATA5月!K44+BACKDATA4月!K44</f>
        <v/>
      </c>
      <c r="L44" s="390">
        <f>'8月'!L44+BACKDATA7月!L44+BACKDATA6月!L44+BACKDATA5月!L44+BACKDATA4月!L44</f>
        <v/>
      </c>
      <c r="M44" s="345">
        <f>L44-K44</f>
        <v/>
      </c>
      <c r="N44" s="345">
        <f>L44-J44</f>
        <v/>
      </c>
      <c r="O44" s="346">
        <f>IF(J44=0,"***",N44/J44)</f>
        <v/>
      </c>
      <c r="P44" s="305">
        <f>'8月'!P44+BACKDATA7月!P44+BACKDATA6月!P44+BACKDATA5月!P44+BACKDATA4月!P44</f>
        <v/>
      </c>
      <c r="Q44" s="390">
        <f>'8月'!Q44+BACKDATA7月!Q44+BACKDATA6月!Q44+BACKDATA5月!Q44+BACKDATA4月!Q44</f>
        <v/>
      </c>
      <c r="R44" s="390">
        <f>'8月'!R44+BACKDATA7月!R44+BACKDATA6月!R44+BACKDATA5月!R44+BACKDATA4月!R44</f>
        <v/>
      </c>
      <c r="S44" s="390">
        <f>'8月'!S44+BACKDATA7月!S44+BACKDATA6月!S44+BACKDATA5月!S44+BACKDATA4月!S44</f>
        <v/>
      </c>
      <c r="T44" s="345">
        <f>S44-R44</f>
        <v/>
      </c>
      <c r="U44" s="345">
        <f>S44-Q44</f>
        <v/>
      </c>
      <c r="V44" s="346">
        <f>IF(Q44=0,"***",U44/Q44)</f>
        <v/>
      </c>
      <c r="W44" s="386">
        <f>IF(I44=0,"***",P44/I44)</f>
        <v/>
      </c>
      <c r="X44" s="387">
        <f>IF(J44=0,"***",Q44/J44)</f>
        <v/>
      </c>
      <c r="Y44" s="387">
        <f>IF(K44=0,"***",R44/K44)</f>
        <v/>
      </c>
      <c r="Z44" s="387">
        <f>IF(L44=0,"***",S44/L44)</f>
        <v/>
      </c>
      <c r="AA44" s="387">
        <f>IF(Y44="***","***",Z44-X44)</f>
        <v/>
      </c>
      <c r="AB44" s="388">
        <f>IF(Z44="***","***",Z44-X44)</f>
        <v/>
      </c>
      <c r="AC44" s="389" t="n"/>
    </row>
    <row r="45">
      <c r="D45" s="117" t="inlineStr">
        <is>
          <t>合計</t>
        </is>
      </c>
      <c r="E45" s="118" t="n"/>
      <c r="F45" s="118" t="n"/>
      <c r="G45" s="118" t="n"/>
      <c r="H45" s="119" t="n"/>
      <c r="I45" s="391">
        <f>I41+I36</f>
        <v/>
      </c>
      <c r="J45" s="392">
        <f>J41+J36</f>
        <v/>
      </c>
      <c r="K45" s="393">
        <f>K41+K36</f>
        <v/>
      </c>
      <c r="L45" s="393">
        <f>L41+L36</f>
        <v/>
      </c>
      <c r="M45" s="394">
        <f>L45-K45</f>
        <v/>
      </c>
      <c r="N45" s="394">
        <f>L45-J45</f>
        <v/>
      </c>
      <c r="O45" s="395">
        <f>IF(J45=0,"***",N45/J45)</f>
        <v/>
      </c>
      <c r="P45" s="391">
        <f>P41+P36</f>
        <v/>
      </c>
      <c r="Q45" s="392">
        <f>Q41+Q36</f>
        <v/>
      </c>
      <c r="R45" s="393">
        <f>R41+R36</f>
        <v/>
      </c>
      <c r="S45" s="393">
        <f>S41+S36</f>
        <v/>
      </c>
      <c r="T45" s="394">
        <f>S45-R45</f>
        <v/>
      </c>
      <c r="U45" s="394">
        <f>S45-Q45</f>
        <v/>
      </c>
      <c r="V45" s="395">
        <f>IF(Q45=0,"***",U45/Q45)</f>
        <v/>
      </c>
      <c r="W45" s="397">
        <f>IF(I45=0,"***",P45/I45)</f>
        <v/>
      </c>
      <c r="X45" s="398">
        <f>IF(J45=0,"***",Q45/J45)</f>
        <v/>
      </c>
      <c r="Y45" s="398">
        <f>IF(K45=0,"***",R45/K45)</f>
        <v/>
      </c>
      <c r="Z45" s="398">
        <f>IF(L45=0,"***",S45/L45)</f>
        <v/>
      </c>
      <c r="AA45" s="398">
        <f>IF(Y45="***","***",Z45-X45)</f>
        <v/>
      </c>
      <c r="AB45" s="399">
        <f>IF(Z45="***","***",Z45-X45)</f>
        <v/>
      </c>
      <c r="AC45" s="400" t="n"/>
    </row>
    <row r="46">
      <c r="D46" s="8" t="n"/>
      <c r="E46" s="118" t="n"/>
      <c r="F46" s="118" t="n"/>
      <c r="G46" s="118" t="n"/>
      <c r="H46" s="130" t="inlineStr">
        <is>
          <t>機械以外</t>
        </is>
      </c>
      <c r="I46" s="401">
        <f>I45-I47</f>
        <v/>
      </c>
      <c r="J46" s="402">
        <f>J45-J47</f>
        <v/>
      </c>
      <c r="K46" s="403">
        <f>K45-K47</f>
        <v/>
      </c>
      <c r="L46" s="403">
        <f>L45-L47</f>
        <v/>
      </c>
      <c r="M46" s="404">
        <f>L46-K46</f>
        <v/>
      </c>
      <c r="N46" s="404">
        <f>L46-J46</f>
        <v/>
      </c>
      <c r="O46" s="405">
        <f>IF(J46=0,"***",N46/J46)</f>
        <v/>
      </c>
      <c r="P46" s="401">
        <f>P45-P47</f>
        <v/>
      </c>
      <c r="Q46" s="402">
        <f>Q45-Q47</f>
        <v/>
      </c>
      <c r="R46" s="403">
        <f>R45-R47</f>
        <v/>
      </c>
      <c r="S46" s="403">
        <f>S45-S47</f>
        <v/>
      </c>
      <c r="T46" s="404">
        <f>S46-R46</f>
        <v/>
      </c>
      <c r="U46" s="404">
        <f>S46-Q46</f>
        <v/>
      </c>
      <c r="V46" s="405">
        <f>IF(Q46=0,"***",U46/Q46)</f>
        <v/>
      </c>
      <c r="W46" s="407">
        <f>IF(I46=0,"***",P46/I46)</f>
        <v/>
      </c>
      <c r="X46" s="408">
        <f>IF(J46=0,"***",Q46/J46)</f>
        <v/>
      </c>
      <c r="Y46" s="408">
        <f>IF(K46=0,"***",R46/K46)</f>
        <v/>
      </c>
      <c r="Z46" s="408">
        <f>IF(L46=0,"***",S46/L46)</f>
        <v/>
      </c>
      <c r="AA46" s="408">
        <f>IF(Y46="***","***",Z46-X46)</f>
        <v/>
      </c>
      <c r="AB46" s="409">
        <f>IF(Z46="***","***",Z46-X46)</f>
        <v/>
      </c>
      <c r="AC46" s="410" t="n"/>
    </row>
    <row r="47">
      <c r="D47" s="8" t="n"/>
      <c r="E47" s="118" t="n"/>
      <c r="F47" s="118" t="n"/>
      <c r="G47" s="141" t="n"/>
      <c r="H47" s="130" t="inlineStr">
        <is>
          <t>機械</t>
        </is>
      </c>
      <c r="I47" s="411">
        <f>I38+I44</f>
        <v/>
      </c>
      <c r="J47" s="412">
        <f>J38+J44</f>
        <v/>
      </c>
      <c r="K47" s="412">
        <f>K38+K44</f>
        <v/>
      </c>
      <c r="L47" s="412">
        <f>L38+L44</f>
        <v/>
      </c>
      <c r="M47" s="413">
        <f>L47-K47</f>
        <v/>
      </c>
      <c r="N47" s="413">
        <f>L47-J47</f>
        <v/>
      </c>
      <c r="O47" s="414">
        <f>IF(J47=0,"***",N47/J47)</f>
        <v/>
      </c>
      <c r="P47" s="411">
        <f>P38+P44</f>
        <v/>
      </c>
      <c r="Q47" s="412">
        <f>Q38+Q44</f>
        <v/>
      </c>
      <c r="R47" s="412">
        <f>R38+R44</f>
        <v/>
      </c>
      <c r="S47" s="412">
        <f>S38+S44</f>
        <v/>
      </c>
      <c r="T47" s="413">
        <f>S47-R47</f>
        <v/>
      </c>
      <c r="U47" s="413">
        <f>S47-Q47</f>
        <v/>
      </c>
      <c r="V47" s="414">
        <f>IF(Q47=0,"***",U47/Q47)</f>
        <v/>
      </c>
      <c r="W47" s="416">
        <f>IF(I47=0,"***",P47/I47)</f>
        <v/>
      </c>
      <c r="X47" s="417">
        <f>IF(J47=0,"***",Q47/J47)</f>
        <v/>
      </c>
      <c r="Y47" s="417">
        <f>IF(K47=0,"***",R47/K47)</f>
        <v/>
      </c>
      <c r="Z47" s="417">
        <f>IF(L47=0,"***",S47/L47)</f>
        <v/>
      </c>
      <c r="AA47" s="417">
        <f>IF(Y47="***","***",Z47-X47)</f>
        <v/>
      </c>
      <c r="AB47" s="418">
        <f>IF(Z47="***","***",Z47-X47)</f>
        <v/>
      </c>
      <c r="AC47" s="419" t="n"/>
    </row>
    <row r="48">
      <c r="D48" s="8" t="n"/>
      <c r="E48" s="118" t="n"/>
      <c r="F48" s="118" t="n"/>
      <c r="G48" s="141" t="n"/>
      <c r="H48" s="130" t="inlineStr">
        <is>
          <t>自治体</t>
        </is>
      </c>
      <c r="I48" s="420">
        <f>I39</f>
        <v/>
      </c>
      <c r="J48" s="403">
        <f>J39</f>
        <v/>
      </c>
      <c r="K48" s="403">
        <f>K39</f>
        <v/>
      </c>
      <c r="L48" s="403">
        <f>L39</f>
        <v/>
      </c>
      <c r="M48" s="404">
        <f>L48-K48</f>
        <v/>
      </c>
      <c r="N48" s="404">
        <f>L48-J48</f>
        <v/>
      </c>
      <c r="O48" s="405">
        <f>IF(J48=0,"***",N48/J48)</f>
        <v/>
      </c>
      <c r="P48" s="420">
        <f>P39</f>
        <v/>
      </c>
      <c r="Q48" s="403">
        <f>Q39</f>
        <v/>
      </c>
      <c r="R48" s="403">
        <f>R39</f>
        <v/>
      </c>
      <c r="S48" s="403">
        <f>S39</f>
        <v/>
      </c>
      <c r="T48" s="404">
        <f>S48-R48</f>
        <v/>
      </c>
      <c r="U48" s="404">
        <f>S48-Q48</f>
        <v/>
      </c>
      <c r="V48" s="405">
        <f>IF(Q48=0,"***",U48/Q48)</f>
        <v/>
      </c>
      <c r="W48" s="407">
        <f>IF(I48=0,"***",P48/I48)</f>
        <v/>
      </c>
      <c r="X48" s="408">
        <f>IF(J48=0,"***",Q48/J48)</f>
        <v/>
      </c>
      <c r="Y48" s="408">
        <f>IF(K48=0,"***",R48/K48)</f>
        <v/>
      </c>
      <c r="Z48" s="408">
        <f>IF(L48=0,"***",S48/L48)</f>
        <v/>
      </c>
      <c r="AA48" s="408">
        <f>IF(Y48="***","***",Z48-X48)</f>
        <v/>
      </c>
      <c r="AB48" s="409">
        <f>IF(Z48="***","***",Z48-X48)</f>
        <v/>
      </c>
      <c r="AC48" s="410" t="n"/>
    </row>
    <row r="49">
      <c r="D49" s="152" t="n"/>
      <c r="E49" s="153" t="n"/>
      <c r="F49" s="153" t="n"/>
      <c r="G49" s="154" t="n"/>
      <c r="H49" s="155" t="inlineStr">
        <is>
          <t>海外</t>
        </is>
      </c>
      <c r="I49" s="421">
        <f>I40</f>
        <v/>
      </c>
      <c r="J49" s="422">
        <f>J40</f>
        <v/>
      </c>
      <c r="K49" s="422">
        <f>K40</f>
        <v/>
      </c>
      <c r="L49" s="422">
        <f>L40</f>
        <v/>
      </c>
      <c r="M49" s="423">
        <f>L49-K49</f>
        <v/>
      </c>
      <c r="N49" s="423">
        <f>L49-J49</f>
        <v/>
      </c>
      <c r="O49" s="424">
        <f>IF(J49=0,"***",N49/J49)</f>
        <v/>
      </c>
      <c r="P49" s="421">
        <f>P40</f>
        <v/>
      </c>
      <c r="Q49" s="422">
        <f>Q40</f>
        <v/>
      </c>
      <c r="R49" s="422">
        <f>R40</f>
        <v/>
      </c>
      <c r="S49" s="422">
        <f>S40</f>
        <v/>
      </c>
      <c r="T49" s="423">
        <f>S49-R49</f>
        <v/>
      </c>
      <c r="U49" s="423">
        <f>S49-Q49</f>
        <v/>
      </c>
      <c r="V49" s="424">
        <f>IF(Q49=0,"***",U49/Q49)</f>
        <v/>
      </c>
      <c r="W49" s="426">
        <f>IF(I49=0,"***",P49/I49)</f>
        <v/>
      </c>
      <c r="X49" s="427">
        <f>IF(J49=0,"***",Q49/J49)</f>
        <v/>
      </c>
      <c r="Y49" s="427">
        <f>IF(K49=0,"***",R49/K49)</f>
        <v/>
      </c>
      <c r="Z49" s="427">
        <f>IF(L49=0,"***",S49/L49)</f>
        <v/>
      </c>
      <c r="AA49" s="427">
        <f>IF(Y49="***","***",Z49-X49)</f>
        <v/>
      </c>
      <c r="AB49" s="428">
        <f>IF(Z49="***","***",Z49-X49)</f>
        <v/>
      </c>
      <c r="AC49" s="429" t="n"/>
    </row>
    <row r="50">
      <c r="D50" s="165" t="inlineStr">
        <is>
          <t>キョウワ（税抜）</t>
        </is>
      </c>
      <c r="E50" s="166" t="n"/>
      <c r="F50" s="166" t="n"/>
      <c r="G50" s="166" t="n"/>
      <c r="H50" s="47" t="n"/>
      <c r="I50" s="430">
        <f>'8月'!I50+BACKDATA7月!I50+BACKDATA6月!I50+BACKDATA5月!I50+BACKDATA4月!I50</f>
        <v/>
      </c>
      <c r="J50" s="431">
        <f>'8月'!J50+BACKDATA7月!J50+BACKDATA6月!J50+BACKDATA5月!J50+BACKDATA4月!J50</f>
        <v/>
      </c>
      <c r="K50" s="431">
        <f>'8月'!K50+BACKDATA7月!K50+BACKDATA6月!K50+BACKDATA5月!K50+BACKDATA4月!K50</f>
        <v/>
      </c>
      <c r="L50" s="431">
        <f>'8月'!L50+BACKDATA7月!L50+BACKDATA6月!L50+BACKDATA5月!L50+BACKDATA4月!L50</f>
        <v/>
      </c>
      <c r="M50" s="432">
        <f>L50-K50</f>
        <v/>
      </c>
      <c r="N50" s="432">
        <f>L50-J50</f>
        <v/>
      </c>
      <c r="O50" s="433">
        <f>IF(J50=0,"***",N50/J50)</f>
        <v/>
      </c>
      <c r="P50" s="430">
        <f>'8月'!P50+BACKDATA7月!P50+BACKDATA6月!P50+BACKDATA5月!P50+BACKDATA4月!P50</f>
        <v/>
      </c>
      <c r="Q50" s="431">
        <f>'8月'!Q50+BACKDATA7月!Q50+BACKDATA6月!Q50+BACKDATA5月!Q50+BACKDATA4月!Q50</f>
        <v/>
      </c>
      <c r="R50" s="431">
        <f>'8月'!R50+BACKDATA7月!R50+BACKDATA6月!R50+BACKDATA5月!R50+BACKDATA4月!R50</f>
        <v/>
      </c>
      <c r="S50" s="431">
        <f>'8月'!S50+BACKDATA7月!S50+BACKDATA6月!S50+BACKDATA5月!S50+BACKDATA4月!S50</f>
        <v/>
      </c>
      <c r="T50" s="432">
        <f>S50-R50</f>
        <v/>
      </c>
      <c r="U50" s="432">
        <f>S50-Q50</f>
        <v/>
      </c>
      <c r="V50" s="433">
        <f>IF(Q50=0,"***",U50/Q50)</f>
        <v/>
      </c>
      <c r="W50" s="434">
        <f>IF(I50=0,"***",P50/I50)</f>
        <v/>
      </c>
      <c r="X50" s="435">
        <f>IF(J50=0,"***",Q50/J50)</f>
        <v/>
      </c>
      <c r="Y50" s="435">
        <f>IF(K50=0,"***",R50/K50)</f>
        <v/>
      </c>
      <c r="Z50" s="435">
        <f>IF(L50=0,"***",S50/L50)</f>
        <v/>
      </c>
      <c r="AA50" s="435">
        <f>IF(Y50="***","***",Z50-X50)</f>
        <v/>
      </c>
      <c r="AB50" s="433">
        <f>IF(Z50="***","***",Z50-X50)</f>
        <v/>
      </c>
      <c r="AC50" s="436" t="n"/>
    </row>
  </sheetData>
  <mergeCells count="14">
    <mergeCell ref="K3:K4"/>
    <mergeCell ref="L3:L4"/>
    <mergeCell ref="AC3:AC4"/>
    <mergeCell ref="P3:P4"/>
    <mergeCell ref="D3:H4"/>
    <mergeCell ref="I3:I4"/>
    <mergeCell ref="Q3:Q4"/>
    <mergeCell ref="R3:R4"/>
    <mergeCell ref="J3:J4"/>
    <mergeCell ref="S3:S4"/>
    <mergeCell ref="W3:W4"/>
    <mergeCell ref="X3:X4"/>
    <mergeCell ref="Z3:Z4"/>
    <mergeCell ref="Y3:Y4"/>
  </mergeCells>
  <pageMargins left="0.708333333333333" right="0.708333333333333" top="0.747916666666667" bottom="0.747916666666667" header="0.511811023622047" footer="0.511811023622047"/>
  <pageSetup orientation="landscape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50"/>
  <sheetViews>
    <sheetView tabSelected="1" zoomScaleNormal="100" workbookViewId="0">
      <selection activeCell="K5" sqref="K5"/>
    </sheetView>
  </sheetViews>
  <sheetFormatPr baseColWidth="8" defaultColWidth="8.5" defaultRowHeight="18.75"/>
  <cols>
    <col width="2.375" customWidth="1" style="1" min="4" max="4"/>
    <col width="2.875" customWidth="1" style="1" min="5" max="5"/>
    <col width="3.125" customWidth="1" style="1" min="6" max="7"/>
    <col width="16" customWidth="1" style="1" min="8" max="8"/>
    <col width="9.875" customWidth="1" style="302" min="9" max="9"/>
    <col width="10" bestFit="1" customWidth="1" style="302" min="10" max="12"/>
    <col width="8.625" bestFit="1" customWidth="1" style="302" min="13" max="14"/>
    <col width="8.5" customWidth="1" style="302" min="16" max="21"/>
    <col width="60.5" customWidth="1" style="1" min="29" max="29"/>
  </cols>
  <sheetData>
    <row r="1" ht="23.25" customHeight="1" s="1">
      <c r="D1" s="2" t="inlineStr">
        <is>
          <t>3．期初来累計（上期＋下期）</t>
        </is>
      </c>
    </row>
    <row r="2"/>
    <row r="3" ht="18.75" customHeight="1" s="1">
      <c r="D3" s="284" t="n"/>
      <c r="E3" s="285" t="n"/>
      <c r="F3" s="285" t="n"/>
      <c r="G3" s="285" t="n"/>
      <c r="H3" s="286" t="n"/>
      <c r="I3" s="437" t="inlineStr">
        <is>
          <t>前々期売上実績</t>
        </is>
      </c>
      <c r="J3" s="438" t="inlineStr">
        <is>
          <t>前期売上実績</t>
        </is>
      </c>
      <c r="K3" s="439" t="inlineStr">
        <is>
          <t>今期期初来計画</t>
        </is>
      </c>
      <c r="L3" s="439" t="inlineStr">
        <is>
          <t>今期期初来実績</t>
        </is>
      </c>
      <c r="M3" s="303" t="n"/>
      <c r="N3" s="303" t="n"/>
      <c r="O3" s="4" t="n"/>
      <c r="P3" s="437" t="inlineStr">
        <is>
          <t>前々期粗利益実績</t>
        </is>
      </c>
      <c r="Q3" s="438" t="inlineStr">
        <is>
          <t>前期粗利益実績</t>
        </is>
      </c>
      <c r="R3" s="439" t="inlineStr">
        <is>
          <t>今期期初来粗利計画</t>
        </is>
      </c>
      <c r="S3" s="439" t="inlineStr">
        <is>
          <t>今期期初来粗利実績</t>
        </is>
      </c>
      <c r="T3" s="303" t="n"/>
      <c r="U3" s="303" t="n"/>
      <c r="V3" s="4" t="n"/>
      <c r="W3" s="297" t="inlineStr">
        <is>
          <t>前々期初来粗利益率実績</t>
        </is>
      </c>
      <c r="X3" s="298" t="inlineStr">
        <is>
          <t>前期期初来粗利益率実績</t>
        </is>
      </c>
      <c r="Y3" s="294" t="inlineStr">
        <is>
          <t>今期期初来粗利益率計画</t>
        </is>
      </c>
      <c r="Z3" s="294" t="inlineStr">
        <is>
          <t>今期期初来粗利益率実績</t>
        </is>
      </c>
      <c r="AA3" s="5" t="n"/>
      <c r="AB3" s="5" t="n"/>
      <c r="AC3" s="295" t="inlineStr">
        <is>
          <t>作成根拠</t>
        </is>
      </c>
    </row>
    <row r="4">
      <c r="D4" s="287" t="n"/>
      <c r="E4" s="288" t="n"/>
      <c r="F4" s="288" t="n"/>
      <c r="G4" s="288" t="n"/>
      <c r="H4" s="289" t="n"/>
      <c r="I4" s="283" t="n"/>
      <c r="J4" s="291" t="n"/>
      <c r="K4" s="293" t="n"/>
      <c r="L4" s="293" t="n"/>
      <c r="M4" s="304" t="inlineStr">
        <is>
          <t>計画比</t>
        </is>
      </c>
      <c r="N4" s="304" t="inlineStr">
        <is>
          <t>前期比</t>
        </is>
      </c>
      <c r="O4" s="7" t="inlineStr">
        <is>
          <t>年率</t>
        </is>
      </c>
      <c r="P4" s="283" t="n"/>
      <c r="Q4" s="291" t="n"/>
      <c r="R4" s="293" t="n"/>
      <c r="S4" s="293" t="n"/>
      <c r="T4" s="304" t="inlineStr">
        <is>
          <t>計画比</t>
        </is>
      </c>
      <c r="U4" s="304" t="inlineStr">
        <is>
          <t>前期比</t>
        </is>
      </c>
      <c r="V4" s="7" t="inlineStr">
        <is>
          <t>年率</t>
        </is>
      </c>
      <c r="W4" s="283" t="n"/>
      <c r="X4" s="291" t="n"/>
      <c r="Y4" s="293" t="n"/>
      <c r="Z4" s="293" t="n"/>
      <c r="AA4" s="6" t="inlineStr">
        <is>
          <t>計画比</t>
        </is>
      </c>
      <c r="AB4" s="6" t="inlineStr">
        <is>
          <t>前期比</t>
        </is>
      </c>
      <c r="AC4" s="296" t="n"/>
    </row>
    <row r="5">
      <c r="D5" s="8" t="n"/>
      <c r="E5" s="9" t="n"/>
      <c r="F5" s="10" t="inlineStr">
        <is>
          <t>石見営業所</t>
        </is>
      </c>
      <c r="H5" s="11" t="n"/>
      <c r="I5" s="440">
        <f>BACKDATA上期!CO5+下期!I5</f>
        <v/>
      </c>
      <c r="J5" s="441">
        <f>BACKDATA上期!CP5+下期!J5</f>
        <v/>
      </c>
      <c r="K5" s="442">
        <f>BACKDATA上期!CQ5+下期!K5</f>
        <v/>
      </c>
      <c r="L5" s="441">
        <f>BACKDATA上期!CR5+下期!L5</f>
        <v/>
      </c>
      <c r="M5" s="308">
        <f>L5-K5</f>
        <v/>
      </c>
      <c r="N5" s="308">
        <f>L5-J5</f>
        <v/>
      </c>
      <c r="O5" s="309">
        <f>IF(J5=0,"***",N5/J5)</f>
        <v/>
      </c>
      <c r="P5" s="440">
        <f>BACKDATA上期!CV5+下期!P5</f>
        <v/>
      </c>
      <c r="Q5" s="441">
        <f>BACKDATA上期!CW5+下期!Q5</f>
        <v/>
      </c>
      <c r="R5" s="442">
        <f>BACKDATA上期!CX5+下期!R5</f>
        <v/>
      </c>
      <c r="S5" s="441">
        <f>BACKDATA上期!CY5+下期!S5</f>
        <v/>
      </c>
      <c r="T5" s="308">
        <f>S5-R5</f>
        <v/>
      </c>
      <c r="U5" s="308">
        <f>S5-Q5</f>
        <v/>
      </c>
      <c r="V5" s="309">
        <f>IF(Q5=0,"***",U5/Q5)</f>
        <v/>
      </c>
      <c r="W5" s="311">
        <f>IF(I5=0,"***",P5/I5)</f>
        <v/>
      </c>
      <c r="X5" s="312">
        <f>IF(J5=0,"***",Q5/J5)</f>
        <v/>
      </c>
      <c r="Y5" s="312">
        <f>IF(K5=0,"***",R5/K5)</f>
        <v/>
      </c>
      <c r="Z5" s="312">
        <f>IF(L5=0,"***",S5/L5)</f>
        <v/>
      </c>
      <c r="AA5" s="313">
        <f>IF(Y5="***","***",Z5-X5)</f>
        <v/>
      </c>
      <c r="AB5" s="312">
        <f>IF(Z5="***","***",Z5-X5)</f>
        <v/>
      </c>
      <c r="AC5" s="21" t="n"/>
    </row>
    <row r="6">
      <c r="D6" s="8" t="n"/>
      <c r="E6" s="9" t="n"/>
      <c r="F6" s="9" t="n"/>
      <c r="G6" s="22" t="inlineStr">
        <is>
          <t>営業</t>
        </is>
      </c>
      <c r="H6" s="23" t="n"/>
      <c r="I6" s="443">
        <f>I5-I9</f>
        <v/>
      </c>
      <c r="J6" s="317">
        <f>J5-J9</f>
        <v/>
      </c>
      <c r="K6" s="444">
        <f>K5-K9</f>
        <v/>
      </c>
      <c r="L6" s="317">
        <f>L5-L9</f>
        <v/>
      </c>
      <c r="M6" s="317">
        <f>L6-K6</f>
        <v/>
      </c>
      <c r="N6" s="317">
        <f>L6-J6</f>
        <v/>
      </c>
      <c r="O6" s="318">
        <f>IF(J6=0,"***",N6/J6)</f>
        <v/>
      </c>
      <c r="P6" s="443">
        <f>P5-P9</f>
        <v/>
      </c>
      <c r="Q6" s="317">
        <f>Q5-Q9</f>
        <v/>
      </c>
      <c r="R6" s="444">
        <f>R5-R9</f>
        <v/>
      </c>
      <c r="S6" s="317">
        <f>S5-S9</f>
        <v/>
      </c>
      <c r="T6" s="317">
        <f>S6-R6</f>
        <v/>
      </c>
      <c r="U6" s="317">
        <f>S6-Q6</f>
        <v/>
      </c>
      <c r="V6" s="318">
        <f>IF(Q6=0,"***",U6/Q6)</f>
        <v/>
      </c>
      <c r="W6" s="319">
        <f>IF(I6=0,"***",P6/I6)</f>
        <v/>
      </c>
      <c r="X6" s="320">
        <f>IF(J6=0,"***",Q6/J6)</f>
        <v/>
      </c>
      <c r="Y6" s="320">
        <f>IF(K6=0,"***",R6/K6)</f>
        <v/>
      </c>
      <c r="Z6" s="320">
        <f>IF(L6=0,"***",S6/L6)</f>
        <v/>
      </c>
      <c r="AA6" s="321">
        <f>IF(Y6="***","***",Z6-X6)</f>
        <v/>
      </c>
      <c r="AB6" s="320">
        <f>IF(Z6="***","***",Z6-X6)</f>
        <v/>
      </c>
      <c r="AC6" s="31" t="n"/>
    </row>
    <row r="7">
      <c r="D7" s="8" t="n"/>
      <c r="E7" s="9" t="n"/>
      <c r="F7" s="9" t="n"/>
      <c r="G7" s="32" t="n"/>
      <c r="H7" s="33" t="inlineStr">
        <is>
          <t>包装資材</t>
        </is>
      </c>
      <c r="I7" s="443">
        <f>I6-I8</f>
        <v/>
      </c>
      <c r="J7" s="317">
        <f>J6-J8</f>
        <v/>
      </c>
      <c r="K7" s="444">
        <f>K6-K8</f>
        <v/>
      </c>
      <c r="L7" s="317">
        <f>L6-L8</f>
        <v/>
      </c>
      <c r="M7" s="317">
        <f>L7-K7</f>
        <v/>
      </c>
      <c r="N7" s="317">
        <f>L7-J7</f>
        <v/>
      </c>
      <c r="O7" s="318">
        <f>IF(J7=0,"***",N7/J7)</f>
        <v/>
      </c>
      <c r="P7" s="443">
        <f>P6-P8</f>
        <v/>
      </c>
      <c r="Q7" s="317">
        <f>Q6-Q8</f>
        <v/>
      </c>
      <c r="R7" s="444">
        <f>R6-R8</f>
        <v/>
      </c>
      <c r="S7" s="317">
        <f>S6-S8</f>
        <v/>
      </c>
      <c r="T7" s="317">
        <f>S7-R7</f>
        <v/>
      </c>
      <c r="U7" s="317">
        <f>S7-Q7</f>
        <v/>
      </c>
      <c r="V7" s="318">
        <f>IF(Q7=0,"***",U7/Q7)</f>
        <v/>
      </c>
      <c r="W7" s="319">
        <f>IF(I7=0,"***",P7/I7)</f>
        <v/>
      </c>
      <c r="X7" s="320">
        <f>IF(J7=0,"***",Q7/J7)</f>
        <v/>
      </c>
      <c r="Y7" s="320">
        <f>IF(K7=0,"***",R7/K7)</f>
        <v/>
      </c>
      <c r="Z7" s="320">
        <f>IF(L7=0,"***",S7/L7)</f>
        <v/>
      </c>
      <c r="AA7" s="321">
        <f>IF(Y7="***","***",Z7-X7)</f>
        <v/>
      </c>
      <c r="AB7" s="320">
        <f>IF(Z7="***","***",Z7-X7)</f>
        <v/>
      </c>
      <c r="AC7" s="31" t="n"/>
    </row>
    <row r="8">
      <c r="D8" s="8" t="n"/>
      <c r="E8" s="9" t="n"/>
      <c r="F8" s="9" t="n"/>
      <c r="G8" s="32" t="n"/>
      <c r="H8" s="34" t="inlineStr">
        <is>
          <t>機械</t>
        </is>
      </c>
      <c r="I8" s="445">
        <f>BACKDATA上期!CO8+下期!I8</f>
        <v/>
      </c>
      <c r="J8" s="446">
        <f>BACKDATA上期!CP8+下期!J8</f>
        <v/>
      </c>
      <c r="K8" s="447">
        <f>BACKDATA上期!CQ8+下期!K8</f>
        <v/>
      </c>
      <c r="L8" s="446">
        <f>BACKDATA上期!CR8+下期!L8</f>
        <v/>
      </c>
      <c r="M8" s="325">
        <f>L8-K8</f>
        <v/>
      </c>
      <c r="N8" s="325">
        <f>L8-J8</f>
        <v/>
      </c>
      <c r="O8" s="326">
        <f>IF(J8=0,"***",N8/J8)</f>
        <v/>
      </c>
      <c r="P8" s="445">
        <f>BACKDATA上期!CV8+下期!P8</f>
        <v/>
      </c>
      <c r="Q8" s="446">
        <f>BACKDATA上期!CW8+下期!Q8</f>
        <v/>
      </c>
      <c r="R8" s="447">
        <f>BACKDATA上期!CX8+下期!R8</f>
        <v/>
      </c>
      <c r="S8" s="446">
        <f>BACKDATA上期!CY8+下期!S8</f>
        <v/>
      </c>
      <c r="T8" s="325">
        <f>S8-R8</f>
        <v/>
      </c>
      <c r="U8" s="325">
        <f>S8-Q8</f>
        <v/>
      </c>
      <c r="V8" s="326">
        <f>IF(Q8=0,"***",U8/Q8)</f>
        <v/>
      </c>
      <c r="W8" s="329">
        <f>IF(I8=0,"***",P8/I8)</f>
        <v/>
      </c>
      <c r="X8" s="330">
        <f>IF(J8=0,"***",Q8/J8)</f>
        <v/>
      </c>
      <c r="Y8" s="330">
        <f>IF(K8=0,"***",R8/K8)</f>
        <v/>
      </c>
      <c r="Z8" s="330">
        <f>IF(L8=0,"***",S8/L8)</f>
        <v/>
      </c>
      <c r="AA8" s="331">
        <f>IF(Y8="***","***",Z8-X8)</f>
        <v/>
      </c>
      <c r="AB8" s="330">
        <f>IF(Z8="***","***",Z8-X8)</f>
        <v/>
      </c>
      <c r="AC8" s="45" t="n"/>
    </row>
    <row r="9">
      <c r="D9" s="8" t="n"/>
      <c r="E9" s="9" t="n"/>
      <c r="F9" s="46" t="n"/>
      <c r="G9" s="47" t="inlineStr">
        <is>
          <t>自治体</t>
        </is>
      </c>
      <c r="H9" s="48" t="n"/>
      <c r="I9" s="448">
        <f>BACKDATA上期!CO9+下期!I9</f>
        <v/>
      </c>
      <c r="J9" s="449">
        <f>BACKDATA上期!CP9+下期!J9</f>
        <v/>
      </c>
      <c r="K9" s="450">
        <f>BACKDATA上期!CQ9+下期!K9</f>
        <v/>
      </c>
      <c r="L9" s="449">
        <f>BACKDATA上期!CR9+下期!L9</f>
        <v/>
      </c>
      <c r="M9" s="335">
        <f>L9-K9</f>
        <v/>
      </c>
      <c r="N9" s="335">
        <f>L9-J9</f>
        <v/>
      </c>
      <c r="O9" s="336">
        <f>IF(J9=0,"***",N9/J9)</f>
        <v/>
      </c>
      <c r="P9" s="448">
        <f>BACKDATA上期!CV9+下期!P9</f>
        <v/>
      </c>
      <c r="Q9" s="449">
        <f>BACKDATA上期!CW9+下期!Q9</f>
        <v/>
      </c>
      <c r="R9" s="450">
        <f>BACKDATA上期!CX9+下期!R9</f>
        <v/>
      </c>
      <c r="S9" s="449">
        <f>BACKDATA上期!CY9+下期!S9</f>
        <v/>
      </c>
      <c r="T9" s="335">
        <f>S9-R9</f>
        <v/>
      </c>
      <c r="U9" s="335">
        <f>S9-Q9</f>
        <v/>
      </c>
      <c r="V9" s="336">
        <f>IF(Q9=0,"***",U9/Q9)</f>
        <v/>
      </c>
      <c r="W9" s="339">
        <f>IF(I9=0,"***",P9/I9)</f>
        <v/>
      </c>
      <c r="X9" s="340">
        <f>IF(J9=0,"***",Q9/J9)</f>
        <v/>
      </c>
      <c r="Y9" s="340">
        <f>IF(K9=0,"***",R9/K9)</f>
        <v/>
      </c>
      <c r="Z9" s="340">
        <f>IF(L9=0,"***",S9/L9)</f>
        <v/>
      </c>
      <c r="AA9" s="341">
        <f>IF(Y9="***","***",Z9-X9)</f>
        <v/>
      </c>
      <c r="AB9" s="340">
        <f>IF(Z9="***","***",Z9-X9)</f>
        <v/>
      </c>
      <c r="AC9" s="59" t="n"/>
    </row>
    <row r="10">
      <c r="D10" s="8" t="n"/>
      <c r="E10" s="9" t="n"/>
      <c r="F10" s="60" t="inlineStr">
        <is>
          <t>下関営業所</t>
        </is>
      </c>
      <c r="G10" s="5" t="n"/>
      <c r="H10" s="61" t="n"/>
      <c r="I10" s="451">
        <f>BACKDATA上期!CO10+下期!I10</f>
        <v/>
      </c>
      <c r="J10" s="452">
        <f>BACKDATA上期!CP10+下期!J10</f>
        <v/>
      </c>
      <c r="K10" s="453">
        <f>BACKDATA上期!CQ10+下期!K10</f>
        <v/>
      </c>
      <c r="L10" s="452">
        <f>BACKDATA上期!CR10+下期!L10</f>
        <v/>
      </c>
      <c r="M10" s="345">
        <f>L10-K10</f>
        <v/>
      </c>
      <c r="N10" s="345">
        <f>L10-J10</f>
        <v/>
      </c>
      <c r="O10" s="346">
        <f>IF(J10=0,"***",N10/J10)</f>
        <v/>
      </c>
      <c r="P10" s="451">
        <f>BACKDATA上期!CV10+下期!P10</f>
        <v/>
      </c>
      <c r="Q10" s="452">
        <f>BACKDATA上期!CW10+下期!Q10</f>
        <v/>
      </c>
      <c r="R10" s="453">
        <f>BACKDATA上期!CX10+下期!R10</f>
        <v/>
      </c>
      <c r="S10" s="452">
        <f>BACKDATA上期!CY10+下期!S10</f>
        <v/>
      </c>
      <c r="T10" s="345">
        <f>S10-R10</f>
        <v/>
      </c>
      <c r="U10" s="345">
        <f>S10-Q10</f>
        <v/>
      </c>
      <c r="V10" s="346">
        <f>IF(Q10=0,"***",U10/Q10)</f>
        <v/>
      </c>
      <c r="W10" s="347">
        <f>IF(I10=0,"***",P10/I10)</f>
        <v/>
      </c>
      <c r="X10" s="348">
        <f>IF(J10=0,"***",Q10/J10)</f>
        <v/>
      </c>
      <c r="Y10" s="348">
        <f>IF(K10=0,"***",R10/K10)</f>
        <v/>
      </c>
      <c r="Z10" s="348">
        <f>IF(L10=0,"***",S10/L10)</f>
        <v/>
      </c>
      <c r="AA10" s="349">
        <f>IF(Y10="***","***",Z10-X10)</f>
        <v/>
      </c>
      <c r="AB10" s="348">
        <f>IF(Z10="***","***",Z10-X10)</f>
        <v/>
      </c>
      <c r="AC10" s="70" t="n"/>
    </row>
    <row r="11">
      <c r="D11" s="8" t="n"/>
      <c r="E11" s="9" t="n"/>
      <c r="F11" s="9" t="n"/>
      <c r="G11" s="22" t="inlineStr">
        <is>
          <t>営業</t>
        </is>
      </c>
      <c r="H11" s="23" t="n"/>
      <c r="I11" s="443">
        <f>I10-I15-I14</f>
        <v/>
      </c>
      <c r="J11" s="317">
        <f>J10-J15-J14</f>
        <v/>
      </c>
      <c r="K11" s="444">
        <f>K10-K15-K14</f>
        <v/>
      </c>
      <c r="L11" s="317">
        <f>L10-L15-L14</f>
        <v/>
      </c>
      <c r="M11" s="317">
        <f>L11-K11</f>
        <v/>
      </c>
      <c r="N11" s="317">
        <f>L11-J11</f>
        <v/>
      </c>
      <c r="O11" s="318">
        <f>IF(J11=0,"***",N11/J11)</f>
        <v/>
      </c>
      <c r="P11" s="443">
        <f>P10-P15-P14</f>
        <v/>
      </c>
      <c r="Q11" s="317">
        <f>Q10-Q15-Q14</f>
        <v/>
      </c>
      <c r="R11" s="444">
        <f>R10-R15-R14</f>
        <v/>
      </c>
      <c r="S11" s="317">
        <f>S10-S15-S14</f>
        <v/>
      </c>
      <c r="T11" s="317">
        <f>S11-R11</f>
        <v/>
      </c>
      <c r="U11" s="317">
        <f>S11-Q11</f>
        <v/>
      </c>
      <c r="V11" s="318">
        <f>IF(Q11=0,"***",U11/Q11)</f>
        <v/>
      </c>
      <c r="W11" s="319">
        <f>IF(I11=0,"***",P11/I11)</f>
        <v/>
      </c>
      <c r="X11" s="320">
        <f>IF(J11=0,"***",Q11/J11)</f>
        <v/>
      </c>
      <c r="Y11" s="320">
        <f>IF(K11=0,"***",R11/K11)</f>
        <v/>
      </c>
      <c r="Z11" s="320">
        <f>IF(L11=0,"***",S11/L11)</f>
        <v/>
      </c>
      <c r="AA11" s="321">
        <f>IF(Y11="***","***",Z11-X11)</f>
        <v/>
      </c>
      <c r="AB11" s="320">
        <f>IF(Z11="***","***",Z11-X11)</f>
        <v/>
      </c>
      <c r="AC11" s="31" t="n"/>
    </row>
    <row r="12">
      <c r="D12" s="8" t="n"/>
      <c r="E12" s="9" t="n"/>
      <c r="F12" s="9" t="n"/>
      <c r="G12" s="71" t="n"/>
      <c r="H12" s="33" t="inlineStr">
        <is>
          <t>包装資材</t>
        </is>
      </c>
      <c r="I12" s="443">
        <f>I11-I13</f>
        <v/>
      </c>
      <c r="J12" s="317">
        <f>J11-J13</f>
        <v/>
      </c>
      <c r="K12" s="444">
        <f>K11-K13</f>
        <v/>
      </c>
      <c r="L12" s="317">
        <f>L11-L13</f>
        <v/>
      </c>
      <c r="M12" s="317">
        <f>L12-K12</f>
        <v/>
      </c>
      <c r="N12" s="317">
        <f>L12-J12</f>
        <v/>
      </c>
      <c r="O12" s="318">
        <f>IF(J12=0,"***",N12/J12)</f>
        <v/>
      </c>
      <c r="P12" s="443">
        <f>P11-P13</f>
        <v/>
      </c>
      <c r="Q12" s="317">
        <f>Q11-Q13</f>
        <v/>
      </c>
      <c r="R12" s="444">
        <f>R11-R13</f>
        <v/>
      </c>
      <c r="S12" s="317">
        <f>S11-S13</f>
        <v/>
      </c>
      <c r="T12" s="317">
        <f>S12-R12</f>
        <v/>
      </c>
      <c r="U12" s="317">
        <f>S12-Q12</f>
        <v/>
      </c>
      <c r="V12" s="318">
        <f>IF(Q12=0,"***",U12/Q12)</f>
        <v/>
      </c>
      <c r="W12" s="319">
        <f>IF(I12=0,"***",P12/I12)</f>
        <v/>
      </c>
      <c r="X12" s="320">
        <f>IF(J12=0,"***",Q12/J12)</f>
        <v/>
      </c>
      <c r="Y12" s="320">
        <f>IF(K12=0,"***",R12/K12)</f>
        <v/>
      </c>
      <c r="Z12" s="320">
        <f>IF(L12=0,"***",S12/L12)</f>
        <v/>
      </c>
      <c r="AA12" s="321">
        <f>IF(Y12="***","***",Z12-X12)</f>
        <v/>
      </c>
      <c r="AB12" s="320">
        <f>IF(Z12="***","***",Z12-X12)</f>
        <v/>
      </c>
      <c r="AC12" s="31" t="n"/>
    </row>
    <row r="13">
      <c r="D13" s="8" t="n"/>
      <c r="E13" s="9" t="n"/>
      <c r="F13" s="9" t="n"/>
      <c r="G13" s="72" t="n"/>
      <c r="H13" s="34" t="inlineStr">
        <is>
          <t>機械</t>
        </is>
      </c>
      <c r="I13" s="454">
        <f>BACKDATA上期!CO13+下期!I13</f>
        <v/>
      </c>
      <c r="J13" s="455">
        <f>BACKDATA上期!CP13+下期!J13</f>
        <v/>
      </c>
      <c r="K13" s="444">
        <f>BACKDATA上期!CQ13+下期!K13</f>
        <v/>
      </c>
      <c r="L13" s="455">
        <f>BACKDATA上期!CR13+下期!L13</f>
        <v/>
      </c>
      <c r="M13" s="317">
        <f>L13-K13</f>
        <v/>
      </c>
      <c r="N13" s="317">
        <f>L13-J13</f>
        <v/>
      </c>
      <c r="O13" s="318">
        <f>IF(J13=0,"***",N13/J13)</f>
        <v/>
      </c>
      <c r="P13" s="454">
        <f>BACKDATA上期!CV13+下期!P13</f>
        <v/>
      </c>
      <c r="Q13" s="455">
        <f>BACKDATA上期!CW13+下期!Q13</f>
        <v/>
      </c>
      <c r="R13" s="444">
        <f>BACKDATA上期!CX13+下期!R13</f>
        <v/>
      </c>
      <c r="S13" s="455">
        <f>BACKDATA上期!CY13+下期!S13</f>
        <v/>
      </c>
      <c r="T13" s="317">
        <f>S13-R13</f>
        <v/>
      </c>
      <c r="U13" s="317">
        <f>S13-Q13</f>
        <v/>
      </c>
      <c r="V13" s="318">
        <f>IF(Q13=0,"***",U13/Q13)</f>
        <v/>
      </c>
      <c r="W13" s="319">
        <f>IF(I13=0,"***",P13/I13)</f>
        <v/>
      </c>
      <c r="X13" s="320">
        <f>IF(J13=0,"***",Q13/J13)</f>
        <v/>
      </c>
      <c r="Y13" s="320">
        <f>IF(K13=0,"***",R13/K13)</f>
        <v/>
      </c>
      <c r="Z13" s="320">
        <f>IF(L13=0,"***",S13/L13)</f>
        <v/>
      </c>
      <c r="AA13" s="321">
        <f>IF(Y13="***","***",Z13-X13)</f>
        <v/>
      </c>
      <c r="AB13" s="320">
        <f>IF(Z13="***","***",Z13-X13)</f>
        <v/>
      </c>
      <c r="AC13" s="31" t="n"/>
    </row>
    <row r="14">
      <c r="D14" s="8" t="n"/>
      <c r="E14" s="9" t="n"/>
      <c r="F14" s="9" t="n"/>
      <c r="G14" s="75" t="inlineStr">
        <is>
          <t>自治体</t>
        </is>
      </c>
      <c r="H14" s="23" t="n"/>
      <c r="I14" s="456">
        <f>BACKDATA上期!CO14+下期!I14</f>
        <v/>
      </c>
      <c r="J14" s="457">
        <f>BACKDATA上期!CP14+下期!J14</f>
        <v/>
      </c>
      <c r="K14" s="447">
        <f>BACKDATA上期!CQ14+下期!K14</f>
        <v/>
      </c>
      <c r="L14" s="457">
        <f>BACKDATA上期!CR14+下期!L14</f>
        <v/>
      </c>
      <c r="M14" s="325">
        <f>L14-K14</f>
        <v/>
      </c>
      <c r="N14" s="325">
        <f>L14-J14</f>
        <v/>
      </c>
      <c r="O14" s="326">
        <f>IF(J14=0,"***",N14/J14)</f>
        <v/>
      </c>
      <c r="P14" s="456">
        <f>BACKDATA上期!CV14+下期!P14</f>
        <v/>
      </c>
      <c r="Q14" s="457">
        <f>BACKDATA上期!CW14+下期!Q14</f>
        <v/>
      </c>
      <c r="R14" s="447">
        <f>BACKDATA上期!CX14+下期!R14</f>
        <v/>
      </c>
      <c r="S14" s="457">
        <f>BACKDATA上期!CY14+下期!S14</f>
        <v/>
      </c>
      <c r="T14" s="325">
        <f>S14-R14</f>
        <v/>
      </c>
      <c r="U14" s="325">
        <f>S14-Q14</f>
        <v/>
      </c>
      <c r="V14" s="326">
        <f>IF(Q14=0,"***",U14/Q14)</f>
        <v/>
      </c>
      <c r="W14" s="329">
        <f>IF(I14=0,"***",P14/I14)</f>
        <v/>
      </c>
      <c r="X14" s="330">
        <f>IF(J14=0,"***",Q14/J14)</f>
        <v/>
      </c>
      <c r="Y14" s="330">
        <f>IF(K14=0,"***",R14/K14)</f>
        <v/>
      </c>
      <c r="Z14" s="330">
        <f>IF(L14=0,"***",S14/L14)</f>
        <v/>
      </c>
      <c r="AA14" s="331">
        <f>IF(Y14="***","***",Z14-X14)</f>
        <v/>
      </c>
      <c r="AB14" s="330">
        <f>IF(Z14="***","***",Z14-X14)</f>
        <v/>
      </c>
      <c r="AC14" s="45" t="n"/>
    </row>
    <row r="15">
      <c r="D15" s="8" t="n"/>
      <c r="E15" s="9" t="n"/>
      <c r="F15" s="46" t="n"/>
      <c r="G15" s="47" t="inlineStr">
        <is>
          <t>海外</t>
        </is>
      </c>
      <c r="H15" s="48" t="n"/>
      <c r="I15" s="458">
        <f>BACKDATA上期!CO15+下期!I15</f>
        <v/>
      </c>
      <c r="J15" s="459">
        <f>BACKDATA上期!CP15+下期!J15</f>
        <v/>
      </c>
      <c r="K15" s="450">
        <f>BACKDATA上期!CQ15+下期!K15</f>
        <v/>
      </c>
      <c r="L15" s="459">
        <f>BACKDATA上期!CR15+下期!L15</f>
        <v/>
      </c>
      <c r="M15" s="335">
        <f>L15-K15</f>
        <v/>
      </c>
      <c r="N15" s="335">
        <f>L15-J15</f>
        <v/>
      </c>
      <c r="O15" s="336">
        <f>IF(J15=0,"***",N15/J15)</f>
        <v/>
      </c>
      <c r="P15" s="458">
        <f>BACKDATA上期!CV15+下期!P15</f>
        <v/>
      </c>
      <c r="Q15" s="459">
        <f>BACKDATA上期!CW15+下期!Q15</f>
        <v/>
      </c>
      <c r="R15" s="450">
        <f>BACKDATA上期!CX15+下期!R15</f>
        <v/>
      </c>
      <c r="S15" s="459">
        <f>BACKDATA上期!CY15+下期!S15</f>
        <v/>
      </c>
      <c r="T15" s="335">
        <f>S15-R15</f>
        <v/>
      </c>
      <c r="U15" s="335">
        <f>S15-Q15</f>
        <v/>
      </c>
      <c r="V15" s="336">
        <f>IF(Q15=0,"***",U15/Q15)</f>
        <v/>
      </c>
      <c r="W15" s="339">
        <f>IF(I15=0,"***",P15/I15)</f>
        <v/>
      </c>
      <c r="X15" s="340">
        <f>IF(J15=0,"***",Q15/J15)</f>
        <v/>
      </c>
      <c r="Y15" s="340">
        <f>IF(K15=0,"***",R15/K15)</f>
        <v/>
      </c>
      <c r="Z15" s="340">
        <f>IF(L15=0,"***",S15/L15)</f>
        <v/>
      </c>
      <c r="AA15" s="341">
        <f>IF(Y15="***","***",Z15-X15)</f>
        <v/>
      </c>
      <c r="AB15" s="340">
        <f>IF(Z15="***","***",Z15-X15)</f>
        <v/>
      </c>
      <c r="AC15" s="59" t="n"/>
    </row>
    <row r="16">
      <c r="D16" s="8" t="n"/>
      <c r="E16" s="9" t="n"/>
      <c r="F16" s="60" t="inlineStr">
        <is>
          <t>松江営業所</t>
        </is>
      </c>
      <c r="G16" s="5" t="n"/>
      <c r="H16" s="61" t="n"/>
      <c r="I16" s="440">
        <f>BACKDATA上期!CO16+下期!I16</f>
        <v/>
      </c>
      <c r="J16" s="441">
        <f>BACKDATA上期!CP16+下期!J16</f>
        <v/>
      </c>
      <c r="K16" s="442">
        <f>BACKDATA上期!CQ16+下期!K16</f>
        <v/>
      </c>
      <c r="L16" s="441">
        <f>BACKDATA上期!CR16+下期!L16</f>
        <v/>
      </c>
      <c r="M16" s="308">
        <f>L16-K16</f>
        <v/>
      </c>
      <c r="N16" s="308">
        <f>L16-J16</f>
        <v/>
      </c>
      <c r="O16" s="309">
        <f>IF(J16=0,"***",N16/J16)</f>
        <v/>
      </c>
      <c r="P16" s="440">
        <f>BACKDATA上期!CV16+下期!P16</f>
        <v/>
      </c>
      <c r="Q16" s="441">
        <f>BACKDATA上期!CW16+下期!Q16</f>
        <v/>
      </c>
      <c r="R16" s="442">
        <f>BACKDATA上期!CX16+下期!R16</f>
        <v/>
      </c>
      <c r="S16" s="441">
        <f>BACKDATA上期!CY16+下期!S16</f>
        <v/>
      </c>
      <c r="T16" s="308">
        <f>S16-R16</f>
        <v/>
      </c>
      <c r="U16" s="308">
        <f>S16-Q16</f>
        <v/>
      </c>
      <c r="V16" s="309">
        <f>IF(Q16=0,"***",U16/Q16)</f>
        <v/>
      </c>
      <c r="W16" s="311">
        <f>IF(I16=0,"***",P16/I16)</f>
        <v/>
      </c>
      <c r="X16" s="312">
        <f>IF(J16=0,"***",Q16/J16)</f>
        <v/>
      </c>
      <c r="Y16" s="312">
        <f>IF(K16=0,"***",R16/K16)</f>
        <v/>
      </c>
      <c r="Z16" s="312">
        <f>IF(L16=0,"***",S16/L16)</f>
        <v/>
      </c>
      <c r="AA16" s="312">
        <f>IF(Y16="***","***",Z16-X16)</f>
        <v/>
      </c>
      <c r="AB16" s="312">
        <f>IF(Z16="***","***",Z16-X16)</f>
        <v/>
      </c>
      <c r="AC16" s="21" t="n"/>
    </row>
    <row r="17">
      <c r="D17" s="8" t="n"/>
      <c r="E17" s="9" t="n"/>
      <c r="F17" s="9" t="n"/>
      <c r="G17" s="22" t="inlineStr">
        <is>
          <t>営業</t>
        </is>
      </c>
      <c r="H17" s="23" t="n"/>
      <c r="I17" s="443">
        <f>I16-I20</f>
        <v/>
      </c>
      <c r="J17" s="317">
        <f>J16-J20</f>
        <v/>
      </c>
      <c r="K17" s="444">
        <f>K16-K20</f>
        <v/>
      </c>
      <c r="L17" s="317">
        <f>L16-L20</f>
        <v/>
      </c>
      <c r="M17" s="317">
        <f>L17-K17</f>
        <v/>
      </c>
      <c r="N17" s="317">
        <f>L17-J17</f>
        <v/>
      </c>
      <c r="O17" s="318">
        <f>IF(J17=0,"***",N17/J17)</f>
        <v/>
      </c>
      <c r="P17" s="443">
        <f>P16-P20</f>
        <v/>
      </c>
      <c r="Q17" s="317">
        <f>Q16-Q20</f>
        <v/>
      </c>
      <c r="R17" s="444">
        <f>R16-R20</f>
        <v/>
      </c>
      <c r="S17" s="317">
        <f>S16-S20</f>
        <v/>
      </c>
      <c r="T17" s="317">
        <f>S17-R17</f>
        <v/>
      </c>
      <c r="U17" s="317">
        <f>S17-Q17</f>
        <v/>
      </c>
      <c r="V17" s="318">
        <f>IF(Q17=0,"***",U17/Q17)</f>
        <v/>
      </c>
      <c r="W17" s="319">
        <f>IF(I17=0,"***",P17/I17)</f>
        <v/>
      </c>
      <c r="X17" s="320">
        <f>IF(J17=0,"***",Q17/J17)</f>
        <v/>
      </c>
      <c r="Y17" s="320">
        <f>IF(K17=0,"***",R17/K17)</f>
        <v/>
      </c>
      <c r="Z17" s="320">
        <f>IF(L17=0,"***",S17/L17)</f>
        <v/>
      </c>
      <c r="AA17" s="320">
        <f>IF(Y17="***","***",Z17-X17)</f>
        <v/>
      </c>
      <c r="AB17" s="320">
        <f>IF(Z17="***","***",Z17-X17)</f>
        <v/>
      </c>
      <c r="AC17" s="31" t="n"/>
    </row>
    <row r="18">
      <c r="D18" s="8" t="n"/>
      <c r="E18" s="9" t="n"/>
      <c r="F18" s="9" t="n"/>
      <c r="G18" s="32" t="n"/>
      <c r="H18" s="33" t="inlineStr">
        <is>
          <t>包装資材</t>
        </is>
      </c>
      <c r="I18" s="443">
        <f>I17-I19</f>
        <v/>
      </c>
      <c r="J18" s="317">
        <f>J17-J19</f>
        <v/>
      </c>
      <c r="K18" s="444">
        <f>K17-K19</f>
        <v/>
      </c>
      <c r="L18" s="317">
        <f>L17-L19</f>
        <v/>
      </c>
      <c r="M18" s="317">
        <f>L18-K18</f>
        <v/>
      </c>
      <c r="N18" s="317">
        <f>L18-J18</f>
        <v/>
      </c>
      <c r="O18" s="318">
        <f>IF(J18=0,"***",N18/J18)</f>
        <v/>
      </c>
      <c r="P18" s="443">
        <f>P17-P19</f>
        <v/>
      </c>
      <c r="Q18" s="317">
        <f>Q17-Q19</f>
        <v/>
      </c>
      <c r="R18" s="444">
        <f>R17-R19</f>
        <v/>
      </c>
      <c r="S18" s="317">
        <f>S17-S19</f>
        <v/>
      </c>
      <c r="T18" s="317">
        <f>S18-R18</f>
        <v/>
      </c>
      <c r="U18" s="317">
        <f>S18-Q18</f>
        <v/>
      </c>
      <c r="V18" s="318">
        <f>IF(Q18=0,"***",U18/Q18)</f>
        <v/>
      </c>
      <c r="W18" s="319">
        <f>IF(I18=0,"***",P18/I18)</f>
        <v/>
      </c>
      <c r="X18" s="320">
        <f>IF(J18=0,"***",Q18/J18)</f>
        <v/>
      </c>
      <c r="Y18" s="320">
        <f>IF(K18=0,"***",R18/K18)</f>
        <v/>
      </c>
      <c r="Z18" s="320">
        <f>IF(L18=0,"***",S18/L18)</f>
        <v/>
      </c>
      <c r="AA18" s="320">
        <f>IF(Y18="***","***",Z18-X18)</f>
        <v/>
      </c>
      <c r="AB18" s="320">
        <f>IF(Z18="***","***",Z18-X18)</f>
        <v/>
      </c>
      <c r="AC18" s="31" t="n"/>
    </row>
    <row r="19">
      <c r="D19" s="8" t="n"/>
      <c r="E19" s="9" t="n"/>
      <c r="F19" s="9" t="n"/>
      <c r="G19" s="32" t="n"/>
      <c r="H19" s="34" t="inlineStr">
        <is>
          <t>機械</t>
        </is>
      </c>
      <c r="I19" s="460">
        <f>BACKDATA上期!CO19+下期!I19</f>
        <v/>
      </c>
      <c r="J19" s="461">
        <f>BACKDATA上期!CP19+下期!J19</f>
        <v/>
      </c>
      <c r="K19" s="462">
        <f>BACKDATA上期!CQ19+下期!K19</f>
        <v/>
      </c>
      <c r="L19" s="461">
        <f>BACKDATA上期!CR19+下期!L19</f>
        <v/>
      </c>
      <c r="M19" s="317">
        <f>L19-K19</f>
        <v/>
      </c>
      <c r="N19" s="317">
        <f>L19-J19</f>
        <v/>
      </c>
      <c r="O19" s="318">
        <f>IF(J19=0,"***",N19/J19)</f>
        <v/>
      </c>
      <c r="P19" s="460">
        <f>BACKDATA上期!CV19+下期!P19</f>
        <v/>
      </c>
      <c r="Q19" s="461">
        <f>BACKDATA上期!CW19+下期!Q19</f>
        <v/>
      </c>
      <c r="R19" s="462">
        <f>BACKDATA上期!CX19+下期!R19</f>
        <v/>
      </c>
      <c r="S19" s="461">
        <f>BACKDATA上期!CY19+下期!S19</f>
        <v/>
      </c>
      <c r="T19" s="317">
        <f>S19-R19</f>
        <v/>
      </c>
      <c r="U19" s="317">
        <f>S19-Q19</f>
        <v/>
      </c>
      <c r="V19" s="318">
        <f>IF(Q19=0,"***",U19/Q19)</f>
        <v/>
      </c>
      <c r="W19" s="319">
        <f>IF(I19=0,"***",P19/I19)</f>
        <v/>
      </c>
      <c r="X19" s="320">
        <f>IF(J19=0,"***",Q19/J19)</f>
        <v/>
      </c>
      <c r="Y19" s="320">
        <f>IF(K19=0,"***",R19/K19)</f>
        <v/>
      </c>
      <c r="Z19" s="320">
        <f>IF(L19=0,"***",S19/L19)</f>
        <v/>
      </c>
      <c r="AA19" s="320">
        <f>IF(Y19="***","***",Z19-X19)</f>
        <v/>
      </c>
      <c r="AB19" s="320">
        <f>IF(Z19="***","***",Z19-X19)</f>
        <v/>
      </c>
      <c r="AC19" s="31" t="n"/>
    </row>
    <row r="20">
      <c r="D20" s="8" t="n"/>
      <c r="E20" s="9" t="n"/>
      <c r="F20" s="46" t="n"/>
      <c r="G20" s="47" t="inlineStr">
        <is>
          <t>自治体</t>
        </is>
      </c>
      <c r="H20" s="48" t="n"/>
      <c r="I20" s="448">
        <f>BACKDATA上期!CO20+下期!I20</f>
        <v/>
      </c>
      <c r="J20" s="449">
        <f>BACKDATA上期!CP20+下期!J20</f>
        <v/>
      </c>
      <c r="K20" s="450">
        <f>BACKDATA上期!CQ20+下期!K20</f>
        <v/>
      </c>
      <c r="L20" s="449">
        <f>BACKDATA上期!CR20+下期!L20</f>
        <v/>
      </c>
      <c r="M20" s="335">
        <f>L20-K20</f>
        <v/>
      </c>
      <c r="N20" s="335">
        <f>L20-J20</f>
        <v/>
      </c>
      <c r="O20" s="336">
        <f>IF(J20=0,"***",N20/J20)</f>
        <v/>
      </c>
      <c r="P20" s="448">
        <f>BACKDATA上期!CV20+下期!P20</f>
        <v/>
      </c>
      <c r="Q20" s="449">
        <f>BACKDATA上期!CW20+下期!Q20</f>
        <v/>
      </c>
      <c r="R20" s="450">
        <f>BACKDATA上期!CX20+下期!R20</f>
        <v/>
      </c>
      <c r="S20" s="449">
        <f>BACKDATA上期!CY20+下期!S20</f>
        <v/>
      </c>
      <c r="T20" s="335">
        <f>S20-R20</f>
        <v/>
      </c>
      <c r="U20" s="335">
        <f>S20-Q20</f>
        <v/>
      </c>
      <c r="V20" s="336">
        <f>IF(Q20=0,"***",U20/Q20)</f>
        <v/>
      </c>
      <c r="W20" s="339">
        <f>IF(I20=0,"***",P20/I20)</f>
        <v/>
      </c>
      <c r="X20" s="340">
        <f>IF(J20=0,"***",Q20/J20)</f>
        <v/>
      </c>
      <c r="Y20" s="340">
        <f>IF(K20=0,"***",R20/K20)</f>
        <v/>
      </c>
      <c r="Z20" s="340">
        <f>IF(L20=0,"***",S20/L20)</f>
        <v/>
      </c>
      <c r="AA20" s="340">
        <f>IF(Y20="***","***",Z20-X20)</f>
        <v/>
      </c>
      <c r="AB20" s="340">
        <f>IF(Z20="***","***",Z20-X20)</f>
        <v/>
      </c>
      <c r="AC20" s="59" t="n"/>
    </row>
    <row r="21">
      <c r="D21" s="8" t="n"/>
      <c r="E21" s="9" t="n"/>
      <c r="F21" s="60" t="inlineStr">
        <is>
          <t>広域営業部</t>
        </is>
      </c>
      <c r="G21" s="5" t="n"/>
      <c r="H21" s="61" t="n"/>
      <c r="I21" s="463">
        <f>BACKDATA上期!CO21+下期!I21</f>
        <v/>
      </c>
      <c r="J21" s="464">
        <f>BACKDATA上期!CP21+下期!J21</f>
        <v/>
      </c>
      <c r="K21" s="464">
        <f>BACKDATA上期!CQ21+下期!K21</f>
        <v/>
      </c>
      <c r="L21" s="464">
        <f>BACKDATA上期!CR21+下期!L21</f>
        <v/>
      </c>
      <c r="M21" s="308">
        <f>L21-K21</f>
        <v/>
      </c>
      <c r="N21" s="308">
        <f>L21-J21</f>
        <v/>
      </c>
      <c r="O21" s="309">
        <f>IF(J21=0,"***",N21/J21)</f>
        <v/>
      </c>
      <c r="P21" s="463">
        <f>BACKDATA上期!CV21+下期!P21</f>
        <v/>
      </c>
      <c r="Q21" s="464">
        <f>BACKDATA上期!CW21+下期!Q21</f>
        <v/>
      </c>
      <c r="R21" s="464">
        <f>BACKDATA上期!CX21+下期!R21</f>
        <v/>
      </c>
      <c r="S21" s="464">
        <f>BACKDATA上期!CY21+下期!S21</f>
        <v/>
      </c>
      <c r="T21" s="308">
        <f>S21-R21</f>
        <v/>
      </c>
      <c r="U21" s="308">
        <f>S21-Q21</f>
        <v/>
      </c>
      <c r="V21" s="309">
        <f>IF(Q21=0,"***",U21/Q21)</f>
        <v/>
      </c>
      <c r="W21" s="319">
        <f>IF(I21=0,"***",P21/I21)</f>
        <v/>
      </c>
      <c r="X21" s="320">
        <f>IF(J21=0,"***",Q21/J21)</f>
        <v/>
      </c>
      <c r="Y21" s="320">
        <f>IF(K21=0,"***",R21/K21)</f>
        <v/>
      </c>
      <c r="Z21" s="320">
        <f>IF(L21=0,"***",S21/L21)</f>
        <v/>
      </c>
      <c r="AA21" s="320">
        <f>IF(Y21="***","***",Z21-X21)</f>
        <v/>
      </c>
      <c r="AB21" s="320">
        <f>IF(Z21="***","***",Z21-X21)</f>
        <v/>
      </c>
      <c r="AC21" s="21" t="n"/>
    </row>
    <row r="22">
      <c r="D22" s="8" t="n"/>
      <c r="E22" s="9" t="n"/>
      <c r="F22" s="9" t="n"/>
      <c r="H22" s="33" t="inlineStr">
        <is>
          <t>包装資材</t>
        </is>
      </c>
      <c r="I22" s="465">
        <f>I21-I23</f>
        <v/>
      </c>
      <c r="J22" s="444">
        <f>J21-J23</f>
        <v/>
      </c>
      <c r="K22" s="444">
        <f>K21-K23</f>
        <v/>
      </c>
      <c r="L22" s="444">
        <f>L21-L23</f>
        <v/>
      </c>
      <c r="M22" s="359">
        <f>L22-K22</f>
        <v/>
      </c>
      <c r="N22" s="359">
        <f>L22-J22</f>
        <v/>
      </c>
      <c r="O22" s="318">
        <f>IF(J22=0,"***",N22/J22)</f>
        <v/>
      </c>
      <c r="P22" s="465">
        <f>P21-P23</f>
        <v/>
      </c>
      <c r="Q22" s="444">
        <f>Q21-Q23</f>
        <v/>
      </c>
      <c r="R22" s="444">
        <f>R21-R23</f>
        <v/>
      </c>
      <c r="S22" s="444">
        <f>S21-S23</f>
        <v/>
      </c>
      <c r="T22" s="359">
        <f>S22-R22</f>
        <v/>
      </c>
      <c r="U22" s="359">
        <f>S22-Q22</f>
        <v/>
      </c>
      <c r="V22" s="318">
        <f>IF(Q22=0,"***",U22/Q22)</f>
        <v/>
      </c>
      <c r="W22" s="319">
        <f>IF(I22=0,"***",P22/I22)</f>
        <v/>
      </c>
      <c r="X22" s="320">
        <f>IF(J22=0,"***",Q22/J22)</f>
        <v/>
      </c>
      <c r="Y22" s="320">
        <f>IF(K22=0,"***",R22/K22)</f>
        <v/>
      </c>
      <c r="Z22" s="320">
        <f>IF(L22=0,"***",S22/L22)</f>
        <v/>
      </c>
      <c r="AA22" s="320">
        <f>IF(Y22="***","***",Z22-X22)</f>
        <v/>
      </c>
      <c r="AB22" s="320">
        <f>IF(Z22="***","***",Z22-X22)</f>
        <v/>
      </c>
      <c r="AC22" s="31" t="n"/>
    </row>
    <row r="23">
      <c r="D23" s="8" t="n"/>
      <c r="E23" s="9" t="n"/>
      <c r="F23" s="9" t="n"/>
      <c r="H23" s="34" t="inlineStr">
        <is>
          <t>機械</t>
        </is>
      </c>
      <c r="I23" s="466">
        <f>BACKDATA上期!CO23+下期!I23</f>
        <v/>
      </c>
      <c r="J23" s="467">
        <f>BACKDATA上期!CP23+下期!J23</f>
        <v/>
      </c>
      <c r="K23" s="467">
        <f>BACKDATA上期!CQ23+下期!K23</f>
        <v/>
      </c>
      <c r="L23" s="467">
        <f>BACKDATA上期!CR23+下期!L23</f>
        <v/>
      </c>
      <c r="M23" s="359">
        <f>L23-K23</f>
        <v/>
      </c>
      <c r="N23" s="359">
        <f>L23-J23</f>
        <v/>
      </c>
      <c r="O23" s="318">
        <f>IF(J23=0,"***",N23/J23)</f>
        <v/>
      </c>
      <c r="P23" s="466">
        <f>BACKDATA上期!CV23+下期!P23</f>
        <v/>
      </c>
      <c r="Q23" s="467">
        <f>BACKDATA上期!CW23+下期!Q23</f>
        <v/>
      </c>
      <c r="R23" s="467">
        <f>BACKDATA上期!CX23+下期!R23</f>
        <v/>
      </c>
      <c r="S23" s="467">
        <f>BACKDATA上期!CY23+下期!S23</f>
        <v/>
      </c>
      <c r="T23" s="359">
        <f>S23-R23</f>
        <v/>
      </c>
      <c r="U23" s="359">
        <f>S23-Q23</f>
        <v/>
      </c>
      <c r="V23" s="318">
        <f>IF(Q23=0,"***",U23/Q23)</f>
        <v/>
      </c>
      <c r="W23" s="319">
        <f>IF(I23=0,"***",P23/I23)</f>
        <v/>
      </c>
      <c r="X23" s="320">
        <f>IF(J23=0,"***",Q23/J23)</f>
        <v/>
      </c>
      <c r="Y23" s="320">
        <f>IF(K23=0,"***",R23/K23)</f>
        <v/>
      </c>
      <c r="Z23" s="320">
        <f>IF(L23=0,"***",S23/L23)</f>
        <v/>
      </c>
      <c r="AA23" s="320">
        <f>IF(Y23="***","***",Z23-X23)</f>
        <v/>
      </c>
      <c r="AB23" s="320">
        <f>IF(Z23="***","***",Z23-X23)</f>
        <v/>
      </c>
      <c r="AC23" s="31" t="n"/>
    </row>
    <row r="24">
      <c r="D24" s="8" t="n"/>
      <c r="E24" s="9" t="n"/>
      <c r="F24" s="9" t="n"/>
      <c r="G24" s="22" t="inlineStr">
        <is>
          <t>リンガーハット</t>
        </is>
      </c>
      <c r="H24" s="23" t="n"/>
      <c r="I24" s="460">
        <f>BACKDATA上期!CO24+下期!I24</f>
        <v/>
      </c>
      <c r="J24" s="461">
        <f>BACKDATA上期!CP24+下期!J24</f>
        <v/>
      </c>
      <c r="K24" s="444">
        <f>BACKDATA上期!CQ24+下期!K24</f>
        <v/>
      </c>
      <c r="L24" s="461">
        <f>BACKDATA上期!CR24+下期!L24</f>
        <v/>
      </c>
      <c r="M24" s="359">
        <f>L24-K24</f>
        <v/>
      </c>
      <c r="N24" s="359">
        <f>L24-J24</f>
        <v/>
      </c>
      <c r="O24" s="318">
        <f>IF(J24=0,"***",N24/J24)</f>
        <v/>
      </c>
      <c r="P24" s="460">
        <f>BACKDATA上期!CV24+下期!P24</f>
        <v/>
      </c>
      <c r="Q24" s="461">
        <f>BACKDATA上期!CW24+下期!Q24</f>
        <v/>
      </c>
      <c r="R24" s="444">
        <f>BACKDATA上期!CX24+下期!R24</f>
        <v/>
      </c>
      <c r="S24" s="461">
        <f>BACKDATA上期!CY24+下期!S24</f>
        <v/>
      </c>
      <c r="T24" s="359">
        <f>S24-R24</f>
        <v/>
      </c>
      <c r="U24" s="359">
        <f>S24-Q24</f>
        <v/>
      </c>
      <c r="V24" s="318">
        <f>IF(Q24=0,"***",U24/Q24)</f>
        <v/>
      </c>
      <c r="W24" s="319">
        <f>IF(I24=0,"***",P24/I24)</f>
        <v/>
      </c>
      <c r="X24" s="320">
        <f>IF(J24=0,"***",Q24/J24)</f>
        <v/>
      </c>
      <c r="Y24" s="320">
        <f>IF(K24=0,"***",R24/K24)</f>
        <v/>
      </c>
      <c r="Z24" s="320">
        <f>IF(L24=0,"***",S24/L24)</f>
        <v/>
      </c>
      <c r="AA24" s="320">
        <f>IF(Y24="***","***",Z24-X24)</f>
        <v/>
      </c>
      <c r="AB24" s="320">
        <f>IF(Z24="***","***",Z24-X24)</f>
        <v/>
      </c>
      <c r="AC24" s="31" t="n"/>
    </row>
    <row r="25">
      <c r="D25" s="8" t="n"/>
      <c r="E25" s="9" t="n"/>
      <c r="F25" s="9" t="n"/>
      <c r="G25" s="32" t="n"/>
      <c r="H25" s="33" t="inlineStr">
        <is>
          <t>包装資材</t>
        </is>
      </c>
      <c r="I25" s="443">
        <f>I24-I26</f>
        <v/>
      </c>
      <c r="J25" s="317">
        <f>J24-J26</f>
        <v/>
      </c>
      <c r="K25" s="444">
        <f>K24-K26</f>
        <v/>
      </c>
      <c r="L25" s="317">
        <f>L24-L26</f>
        <v/>
      </c>
      <c r="M25" s="359">
        <f>L25-K25</f>
        <v/>
      </c>
      <c r="N25" s="359">
        <f>L25-J25</f>
        <v/>
      </c>
      <c r="O25" s="318">
        <f>IF(J25=0,"***",N25/J25)</f>
        <v/>
      </c>
      <c r="P25" s="443">
        <f>P24-P26</f>
        <v/>
      </c>
      <c r="Q25" s="317">
        <f>Q24-Q26</f>
        <v/>
      </c>
      <c r="R25" s="444">
        <f>R24-R26</f>
        <v/>
      </c>
      <c r="S25" s="317">
        <f>S24-S26</f>
        <v/>
      </c>
      <c r="T25" s="359">
        <f>S25-R25</f>
        <v/>
      </c>
      <c r="U25" s="359">
        <f>S25-Q25</f>
        <v/>
      </c>
      <c r="V25" s="318">
        <f>IF(Q25=0,"***",U25/Q25)</f>
        <v/>
      </c>
      <c r="W25" s="319">
        <f>IF(I25=0,"***",P25/I25)</f>
        <v/>
      </c>
      <c r="X25" s="320">
        <f>IF(J25=0,"***",Q25/J25)</f>
        <v/>
      </c>
      <c r="Y25" s="320">
        <f>IF(K25=0,"***",R25/K25)</f>
        <v/>
      </c>
      <c r="Z25" s="320">
        <f>IF(L25=0,"***",S25/L25)</f>
        <v/>
      </c>
      <c r="AA25" s="320">
        <f>IF(Y25="***","***",Z25-X25)</f>
        <v/>
      </c>
      <c r="AB25" s="320">
        <f>IF(Z25="***","***",Z25-X25)</f>
        <v/>
      </c>
      <c r="AC25" s="31" t="n"/>
    </row>
    <row r="26">
      <c r="D26" s="8" t="n"/>
      <c r="E26" s="9" t="n"/>
      <c r="F26" s="9" t="n"/>
      <c r="G26" s="32" t="n"/>
      <c r="H26" s="34" t="inlineStr">
        <is>
          <t>機械</t>
        </is>
      </c>
      <c r="I26" s="460">
        <f>BACKDATA上期!CO26+下期!I26</f>
        <v/>
      </c>
      <c r="J26" s="461">
        <f>BACKDATA上期!CP26+下期!J26</f>
        <v/>
      </c>
      <c r="K26" s="444">
        <f>BACKDATA上期!CQ26+下期!K26</f>
        <v/>
      </c>
      <c r="L26" s="461">
        <f>BACKDATA上期!CR26+下期!L26</f>
        <v/>
      </c>
      <c r="M26" s="359">
        <f>L26-K26</f>
        <v/>
      </c>
      <c r="N26" s="359">
        <f>L26-J26</f>
        <v/>
      </c>
      <c r="O26" s="318">
        <f>IF(J26=0,"***",N26/J26)</f>
        <v/>
      </c>
      <c r="P26" s="460">
        <f>BACKDATA上期!CV26+下期!P26</f>
        <v/>
      </c>
      <c r="Q26" s="461">
        <f>BACKDATA上期!CW26+下期!Q26</f>
        <v/>
      </c>
      <c r="R26" s="444">
        <f>BACKDATA上期!CX26+下期!R26</f>
        <v/>
      </c>
      <c r="S26" s="461">
        <f>BACKDATA上期!CY26+下期!S26</f>
        <v/>
      </c>
      <c r="T26" s="359">
        <f>S26-R26</f>
        <v/>
      </c>
      <c r="U26" s="359">
        <f>S26-Q26</f>
        <v/>
      </c>
      <c r="V26" s="318">
        <f>IF(Q26=0,"***",U26/Q26)</f>
        <v/>
      </c>
      <c r="W26" s="319">
        <f>IF(I26=0,"***",P26/I26)</f>
        <v/>
      </c>
      <c r="X26" s="320">
        <f>IF(J26=0,"***",Q26/J26)</f>
        <v/>
      </c>
      <c r="Y26" s="320">
        <f>IF(K26=0,"***",R26/K26)</f>
        <v/>
      </c>
      <c r="Z26" s="320">
        <f>IF(L26=0,"***",S26/L26)</f>
        <v/>
      </c>
      <c r="AA26" s="320">
        <f>IF(Y26="***","***",Z26-X26)</f>
        <v/>
      </c>
      <c r="AB26" s="320">
        <f>IF(Z26="***","***",Z26-X26)</f>
        <v/>
      </c>
      <c r="AC26" s="31" t="n"/>
    </row>
    <row r="27">
      <c r="D27" s="8" t="n"/>
      <c r="E27" s="9" t="n"/>
      <c r="F27" s="9" t="n"/>
      <c r="G27" s="22" t="inlineStr">
        <is>
          <t>リンガーハット以外</t>
        </is>
      </c>
      <c r="H27" s="23" t="n"/>
      <c r="I27" s="468">
        <f>I21-I24</f>
        <v/>
      </c>
      <c r="J27" s="444">
        <f>J21-J24</f>
        <v/>
      </c>
      <c r="K27" s="444">
        <f>K21-K24</f>
        <v/>
      </c>
      <c r="L27" s="444">
        <f>L21-L24</f>
        <v/>
      </c>
      <c r="M27" s="361">
        <f>L27-K27</f>
        <v/>
      </c>
      <c r="N27" s="361">
        <f>L27-J27</f>
        <v/>
      </c>
      <c r="O27" s="362">
        <f>IF(J27=0,"***",N27/J27)</f>
        <v/>
      </c>
      <c r="P27" s="468">
        <f>P21-P24</f>
        <v/>
      </c>
      <c r="Q27" s="444">
        <f>Q21-Q24</f>
        <v/>
      </c>
      <c r="R27" s="444">
        <f>R21-R24</f>
        <v/>
      </c>
      <c r="S27" s="444">
        <f>S21-S24</f>
        <v/>
      </c>
      <c r="T27" s="359">
        <f>S27-R27</f>
        <v/>
      </c>
      <c r="U27" s="359">
        <f>S27-Q27</f>
        <v/>
      </c>
      <c r="V27" s="318">
        <f>IF(Q27=0,"***",U27/Q27)</f>
        <v/>
      </c>
      <c r="W27" s="319">
        <f>IF(I27=0,"***",P27/I27)</f>
        <v/>
      </c>
      <c r="X27" s="320">
        <f>IF(J27=0,"***",Q27/J27)</f>
        <v/>
      </c>
      <c r="Y27" s="320">
        <f>IF(K27=0,"***",R27/K27)</f>
        <v/>
      </c>
      <c r="Z27" s="320">
        <f>IF(L27=0,"***",S27/L27)</f>
        <v/>
      </c>
      <c r="AA27" s="320">
        <f>IF(Y27="***","***",Z27-X27)</f>
        <v/>
      </c>
      <c r="AB27" s="320">
        <f>IF(Z27="***","***",Z27-X27)</f>
        <v/>
      </c>
      <c r="AC27" s="31" t="n"/>
    </row>
    <row r="28">
      <c r="D28" s="8" t="n"/>
      <c r="E28" s="9" t="n"/>
      <c r="F28" s="9" t="n"/>
      <c r="G28" s="32" t="n"/>
      <c r="H28" s="33" t="inlineStr">
        <is>
          <t>包装資材</t>
        </is>
      </c>
      <c r="I28" s="468">
        <f>I27-I29</f>
        <v/>
      </c>
      <c r="J28" s="444">
        <f>J27-J29</f>
        <v/>
      </c>
      <c r="K28" s="444">
        <f>K27-K29</f>
        <v/>
      </c>
      <c r="L28" s="444">
        <f>L27-L29</f>
        <v/>
      </c>
      <c r="M28" s="361">
        <f>L28-K28</f>
        <v/>
      </c>
      <c r="N28" s="361">
        <f>L28-J28</f>
        <v/>
      </c>
      <c r="O28" s="362">
        <f>IF(J28=0,"***",N28/J28)</f>
        <v/>
      </c>
      <c r="P28" s="468">
        <f>P27-P29</f>
        <v/>
      </c>
      <c r="Q28" s="444">
        <f>Q27-Q29</f>
        <v/>
      </c>
      <c r="R28" s="444">
        <f>R27-R29</f>
        <v/>
      </c>
      <c r="S28" s="444">
        <f>S27-S29</f>
        <v/>
      </c>
      <c r="T28" s="359">
        <f>S28-R28</f>
        <v/>
      </c>
      <c r="U28" s="359">
        <f>S28-Q28</f>
        <v/>
      </c>
      <c r="V28" s="318">
        <f>IF(Q28=0,"***",U28/Q28)</f>
        <v/>
      </c>
      <c r="W28" s="319">
        <f>IF(I28=0,"***",P28/I28)</f>
        <v/>
      </c>
      <c r="X28" s="320">
        <f>IF(J28=0,"***",Q28/J28)</f>
        <v/>
      </c>
      <c r="Y28" s="320">
        <f>IF(K28=0,"***",R28/K28)</f>
        <v/>
      </c>
      <c r="Z28" s="320">
        <f>IF(L28=0,"***",S28/L28)</f>
        <v/>
      </c>
      <c r="AA28" s="320">
        <f>IF(Y28="***","***",Z28-X28)</f>
        <v/>
      </c>
      <c r="AB28" s="320">
        <f>IF(Z28="***","***",Z28-X28)</f>
        <v/>
      </c>
      <c r="AC28" s="31" t="n"/>
    </row>
    <row r="29">
      <c r="D29" s="8" t="n"/>
      <c r="E29" s="9" t="n"/>
      <c r="F29" s="86" t="n"/>
      <c r="G29" s="87" t="n"/>
      <c r="H29" s="33" t="inlineStr">
        <is>
          <t>機械</t>
        </is>
      </c>
      <c r="I29" s="469">
        <f>I23-I26</f>
        <v/>
      </c>
      <c r="J29" s="450">
        <f>J23-J26</f>
        <v/>
      </c>
      <c r="K29" s="450">
        <f>K23-K26</f>
        <v/>
      </c>
      <c r="L29" s="450">
        <f>L23-L26</f>
        <v/>
      </c>
      <c r="M29" s="364">
        <f>L29-K29</f>
        <v/>
      </c>
      <c r="N29" s="364">
        <f>L29-J29</f>
        <v/>
      </c>
      <c r="O29" s="365">
        <f>IF(J29=0,"***",N29/J29)</f>
        <v/>
      </c>
      <c r="P29" s="469">
        <f>P23-P26</f>
        <v/>
      </c>
      <c r="Q29" s="450">
        <f>Q23-Q26</f>
        <v/>
      </c>
      <c r="R29" s="450">
        <f>R23-R26</f>
        <v/>
      </c>
      <c r="S29" s="450">
        <f>S23-S26</f>
        <v/>
      </c>
      <c r="T29" s="366">
        <f>S29-R29</f>
        <v/>
      </c>
      <c r="U29" s="366">
        <f>S29-Q29</f>
        <v/>
      </c>
      <c r="V29" s="336">
        <f>IF(Q29=0,"***",U29/Q29)</f>
        <v/>
      </c>
      <c r="W29" s="339">
        <f>IF(I29=0,"***",P29/I29)</f>
        <v/>
      </c>
      <c r="X29" s="340">
        <f>IF(J29=0,"***",Q29/J29)</f>
        <v/>
      </c>
      <c r="Y29" s="340">
        <f>IF(K29=0,"***",R29/K29)</f>
        <v/>
      </c>
      <c r="Z29" s="340">
        <f>IF(L29=0,"***",S29/L29)</f>
        <v/>
      </c>
      <c r="AA29" s="340">
        <f>IF(Y29="***","***",Z29-X29)</f>
        <v/>
      </c>
      <c r="AB29" s="340">
        <f>IF(Z29="***","***",Z29-X29)</f>
        <v/>
      </c>
      <c r="AC29" s="59" t="n"/>
    </row>
    <row r="30">
      <c r="D30" s="8" t="n"/>
      <c r="E30" s="9" t="n"/>
      <c r="F30" s="60" t="inlineStr">
        <is>
          <t>境港営業所</t>
        </is>
      </c>
      <c r="G30" s="5" t="n"/>
      <c r="H30" s="61" t="n"/>
      <c r="I30" s="470">
        <f>BACKDATA上期!CO30+下期!I30</f>
        <v/>
      </c>
      <c r="J30" s="441">
        <f>BACKDATA上期!CP30+下期!J30</f>
        <v/>
      </c>
      <c r="K30" s="442">
        <f>BACKDATA上期!CQ30+下期!K30</f>
        <v/>
      </c>
      <c r="L30" s="441">
        <f>BACKDATA上期!CR30+下期!L30</f>
        <v/>
      </c>
      <c r="M30" s="308">
        <f>L30-K30</f>
        <v/>
      </c>
      <c r="N30" s="308">
        <f>L30-J30</f>
        <v/>
      </c>
      <c r="O30" s="309">
        <f>IF(J30=0,"***",N30/J30)</f>
        <v/>
      </c>
      <c r="P30" s="470">
        <f>BACKDATA上期!CV30+下期!P30</f>
        <v/>
      </c>
      <c r="Q30" s="441">
        <f>BACKDATA上期!CW30+下期!Q30</f>
        <v/>
      </c>
      <c r="R30" s="442">
        <f>BACKDATA上期!CX30+下期!R30</f>
        <v/>
      </c>
      <c r="S30" s="441">
        <f>BACKDATA上期!CY30+下期!S30</f>
        <v/>
      </c>
      <c r="T30" s="308">
        <f>S30-R30</f>
        <v/>
      </c>
      <c r="U30" s="308">
        <f>S30-Q30</f>
        <v/>
      </c>
      <c r="V30" s="309">
        <f>IF(Q30=0,"***",U30/Q30)</f>
        <v/>
      </c>
      <c r="W30" s="311">
        <f>IF(I30=0,"***",P30/I30)</f>
        <v/>
      </c>
      <c r="X30" s="312">
        <f>IF(J30=0,"***",Q30/J30)</f>
        <v/>
      </c>
      <c r="Y30" s="312">
        <f>IF(K30=0,"***",R30/K30)</f>
        <v/>
      </c>
      <c r="Z30" s="312">
        <f>IF(L30=0,"***",S30/L30)</f>
        <v/>
      </c>
      <c r="AA30" s="313">
        <f>IF(Y30="***","***",Z30-X30)</f>
        <v/>
      </c>
      <c r="AB30" s="312">
        <f>IF(Z30="***","***",Z30-X30)</f>
        <v/>
      </c>
      <c r="AC30" s="21" t="n"/>
    </row>
    <row r="31">
      <c r="D31" s="8" t="n"/>
      <c r="E31" s="9" t="n"/>
      <c r="F31" s="9" t="n"/>
      <c r="G31" s="22" t="inlineStr">
        <is>
          <t>営業</t>
        </is>
      </c>
      <c r="H31" s="23" t="n"/>
      <c r="I31" s="443">
        <f>I30-I35-I34</f>
        <v/>
      </c>
      <c r="J31" s="317">
        <f>J30-J35-J34</f>
        <v/>
      </c>
      <c r="K31" s="444">
        <f>K30-K35-K34</f>
        <v/>
      </c>
      <c r="L31" s="317">
        <f>L30-L35-L34</f>
        <v/>
      </c>
      <c r="M31" s="317">
        <f>L31-K31</f>
        <v/>
      </c>
      <c r="N31" s="317">
        <f>L31-J31</f>
        <v/>
      </c>
      <c r="O31" s="318">
        <f>IF(J31=0,"***",N31/J31)</f>
        <v/>
      </c>
      <c r="P31" s="443">
        <f>P30-P35-P34</f>
        <v/>
      </c>
      <c r="Q31" s="317">
        <f>Q30-Q35-Q34</f>
        <v/>
      </c>
      <c r="R31" s="444">
        <f>R30-R35-R34</f>
        <v/>
      </c>
      <c r="S31" s="317">
        <f>S30-S35-S34</f>
        <v/>
      </c>
      <c r="T31" s="317">
        <f>S31-R31</f>
        <v/>
      </c>
      <c r="U31" s="317">
        <f>S31-Q31</f>
        <v/>
      </c>
      <c r="V31" s="318">
        <f>IF(Q31=0,"***",U31/Q31)</f>
        <v/>
      </c>
      <c r="W31" s="319">
        <f>IF(I31=0,"***",P31/I31)</f>
        <v/>
      </c>
      <c r="X31" s="320">
        <f>IF(J31=0,"***",Q31/J31)</f>
        <v/>
      </c>
      <c r="Y31" s="320">
        <f>IF(K31=0,"***",R31/K31)</f>
        <v/>
      </c>
      <c r="Z31" s="320">
        <f>IF(L31=0,"***",S31/L31)</f>
        <v/>
      </c>
      <c r="AA31" s="321">
        <f>IF(Y31="***","***",Z31-X31)</f>
        <v/>
      </c>
      <c r="AB31" s="320">
        <f>IF(Z31="***","***",Z31-X31)</f>
        <v/>
      </c>
      <c r="AC31" s="31" t="n"/>
    </row>
    <row r="32">
      <c r="D32" s="8" t="n"/>
      <c r="E32" s="9" t="n"/>
      <c r="F32" s="9" t="n"/>
      <c r="G32" s="32" t="n"/>
      <c r="H32" s="33" t="inlineStr">
        <is>
          <t>包装資材</t>
        </is>
      </c>
      <c r="I32" s="443">
        <f>I31-I33</f>
        <v/>
      </c>
      <c r="J32" s="317">
        <f>J31-J33</f>
        <v/>
      </c>
      <c r="K32" s="444">
        <f>K31-K33</f>
        <v/>
      </c>
      <c r="L32" s="317">
        <f>L31-L33</f>
        <v/>
      </c>
      <c r="M32" s="317">
        <f>L32-K32</f>
        <v/>
      </c>
      <c r="N32" s="317">
        <f>L32-J32</f>
        <v/>
      </c>
      <c r="O32" s="318">
        <f>IF(J32=0,"***",N32/J32)</f>
        <v/>
      </c>
      <c r="P32" s="443">
        <f>P31-P33</f>
        <v/>
      </c>
      <c r="Q32" s="317">
        <f>Q31-Q33</f>
        <v/>
      </c>
      <c r="R32" s="444">
        <f>R31-R33</f>
        <v/>
      </c>
      <c r="S32" s="317">
        <f>S31-S33</f>
        <v/>
      </c>
      <c r="T32" s="317">
        <f>S32-R32</f>
        <v/>
      </c>
      <c r="U32" s="317">
        <f>S32-Q32</f>
        <v/>
      </c>
      <c r="V32" s="318">
        <f>IF(Q32=0,"***",U32/Q32)</f>
        <v/>
      </c>
      <c r="W32" s="319">
        <f>IF(I32=0,"***",P32/I32)</f>
        <v/>
      </c>
      <c r="X32" s="320">
        <f>IF(J32=0,"***",Q32/J32)</f>
        <v/>
      </c>
      <c r="Y32" s="320">
        <f>IF(K32=0,"***",R32/K32)</f>
        <v/>
      </c>
      <c r="Z32" s="320">
        <f>IF(L32=0,"***",S32/L32)</f>
        <v/>
      </c>
      <c r="AA32" s="321">
        <f>IF(Y32="***","***",Z32-X32)</f>
        <v/>
      </c>
      <c r="AB32" s="320">
        <f>IF(Z32="***","***",Z32-X32)</f>
        <v/>
      </c>
      <c r="AC32" s="31" t="n"/>
    </row>
    <row r="33">
      <c r="D33" s="8" t="n"/>
      <c r="E33" s="9" t="n"/>
      <c r="F33" s="9" t="n"/>
      <c r="G33" s="32" t="n"/>
      <c r="H33" s="34" t="inlineStr">
        <is>
          <t>機械</t>
        </is>
      </c>
      <c r="I33" s="460">
        <f>BACKDATA上期!CO33+下期!I33</f>
        <v/>
      </c>
      <c r="J33" s="461">
        <f>BACKDATA上期!CP33+下期!J33</f>
        <v/>
      </c>
      <c r="K33" s="444">
        <f>BACKDATA上期!CQ33+下期!K33</f>
        <v/>
      </c>
      <c r="L33" s="461">
        <f>BACKDATA上期!CR33+下期!L33</f>
        <v/>
      </c>
      <c r="M33" s="317">
        <f>L33-K33</f>
        <v/>
      </c>
      <c r="N33" s="317">
        <f>L33-J33</f>
        <v/>
      </c>
      <c r="O33" s="318">
        <f>IF(J33=0,"***",N33/J33)</f>
        <v/>
      </c>
      <c r="P33" s="460">
        <f>BACKDATA上期!CV33+下期!P33</f>
        <v/>
      </c>
      <c r="Q33" s="461">
        <f>BACKDATA上期!CW33+下期!Q33</f>
        <v/>
      </c>
      <c r="R33" s="444">
        <f>BACKDATA上期!CX33+下期!R33</f>
        <v/>
      </c>
      <c r="S33" s="461">
        <f>BACKDATA上期!CY33+下期!S33</f>
        <v/>
      </c>
      <c r="T33" s="317">
        <f>S33-R33</f>
        <v/>
      </c>
      <c r="U33" s="317">
        <f>S33-Q33</f>
        <v/>
      </c>
      <c r="V33" s="318">
        <f>IF(Q33=0,"***",U33/Q33)</f>
        <v/>
      </c>
      <c r="W33" s="319">
        <f>IF(I33=0,"***",P33/I33)</f>
        <v/>
      </c>
      <c r="X33" s="320">
        <f>IF(J33=0,"***",Q33/J33)</f>
        <v/>
      </c>
      <c r="Y33" s="320">
        <f>IF(K33=0,"***",R33/K33)</f>
        <v/>
      </c>
      <c r="Z33" s="320">
        <f>IF(L33=0,"***",S33/L33)</f>
        <v/>
      </c>
      <c r="AA33" s="321">
        <f>IF(Y33="***","***",Z33-X33)</f>
        <v/>
      </c>
      <c r="AB33" s="320">
        <f>IF(Z33="***","***",Z33-X33)</f>
        <v/>
      </c>
      <c r="AC33" s="31" t="n"/>
    </row>
    <row r="34">
      <c r="D34" s="8" t="n"/>
      <c r="E34" s="9" t="n"/>
      <c r="F34" s="9" t="n"/>
      <c r="G34" s="95" t="inlineStr">
        <is>
          <t>自治体</t>
        </is>
      </c>
      <c r="H34" s="23" t="n"/>
      <c r="I34" s="445">
        <f>BACKDATA上期!CO34+下期!I34</f>
        <v/>
      </c>
      <c r="J34" s="446">
        <f>BACKDATA上期!CP34+下期!J34</f>
        <v/>
      </c>
      <c r="K34" s="447">
        <f>BACKDATA上期!CQ34+下期!K34</f>
        <v/>
      </c>
      <c r="L34" s="446">
        <f>BACKDATA上期!CR34+下期!L34</f>
        <v/>
      </c>
      <c r="M34" s="325">
        <f>L34-K34</f>
        <v/>
      </c>
      <c r="N34" s="325">
        <f>L34-J34</f>
        <v/>
      </c>
      <c r="O34" s="326">
        <f>IF(J34=0,"***",N34/J34)</f>
        <v/>
      </c>
      <c r="P34" s="445">
        <f>BACKDATA上期!CV34+下期!P34</f>
        <v/>
      </c>
      <c r="Q34" s="446">
        <f>BACKDATA上期!CW34+下期!Q34</f>
        <v/>
      </c>
      <c r="R34" s="447">
        <f>BACKDATA上期!CX34+下期!R34</f>
        <v/>
      </c>
      <c r="S34" s="446">
        <f>BACKDATA上期!CY34+下期!S34</f>
        <v/>
      </c>
      <c r="T34" s="325">
        <f>S34-R34</f>
        <v/>
      </c>
      <c r="U34" s="325">
        <f>S34-Q34</f>
        <v/>
      </c>
      <c r="V34" s="326">
        <f>IF(Q34=0,"***",U34/Q34)</f>
        <v/>
      </c>
      <c r="W34" s="329">
        <f>IF(I34=0,"***",P34/I34)</f>
        <v/>
      </c>
      <c r="X34" s="330">
        <f>IF(J34=0,"***",Q34/J34)</f>
        <v/>
      </c>
      <c r="Y34" s="330">
        <f>IF(K34=0,"***",R34/K34)</f>
        <v/>
      </c>
      <c r="Z34" s="330">
        <f>IF(L34=0,"***",S34/L34)</f>
        <v/>
      </c>
      <c r="AA34" s="331">
        <f>IF(Y34="***","***",Z34-X34)</f>
        <v/>
      </c>
      <c r="AB34" s="330">
        <f>IF(Z34="***","***",Z34-X34)</f>
        <v/>
      </c>
      <c r="AC34" s="45" t="n"/>
    </row>
    <row r="35">
      <c r="D35" s="8" t="n"/>
      <c r="E35" s="9" t="n"/>
      <c r="F35" s="9" t="n"/>
      <c r="G35" s="22" t="inlineStr">
        <is>
          <t>海外</t>
        </is>
      </c>
      <c r="H35" s="23" t="n"/>
      <c r="I35" s="448">
        <f>BACKDATA上期!CO35+下期!I35</f>
        <v/>
      </c>
      <c r="J35" s="449">
        <f>BACKDATA上期!CP35+下期!J35</f>
        <v/>
      </c>
      <c r="K35" s="450">
        <f>BACKDATA上期!CQ35+下期!K35</f>
        <v/>
      </c>
      <c r="L35" s="449">
        <f>BACKDATA上期!CR35+下期!L35</f>
        <v/>
      </c>
      <c r="M35" s="335">
        <f>L35-K35</f>
        <v/>
      </c>
      <c r="N35" s="335">
        <f>L35-J35</f>
        <v/>
      </c>
      <c r="O35" s="336">
        <f>IF(J35=0,"***",N35/J35)</f>
        <v/>
      </c>
      <c r="P35" s="448">
        <f>BACKDATA上期!CV35+下期!P35</f>
        <v/>
      </c>
      <c r="Q35" s="449">
        <f>BACKDATA上期!CW35+下期!Q35</f>
        <v/>
      </c>
      <c r="R35" s="450">
        <f>BACKDATA上期!CX35+下期!R35</f>
        <v/>
      </c>
      <c r="S35" s="449">
        <f>BACKDATA上期!CY35+下期!S35</f>
        <v/>
      </c>
      <c r="T35" s="335">
        <f>S35-R35</f>
        <v/>
      </c>
      <c r="U35" s="335">
        <f>S35-Q35</f>
        <v/>
      </c>
      <c r="V35" s="336">
        <f>IF(Q35=0,"***",U35/Q35)</f>
        <v/>
      </c>
      <c r="W35" s="339">
        <f>IF(I35=0,"***",P35/I35)</f>
        <v/>
      </c>
      <c r="X35" s="340">
        <f>IF(J35=0,"***",Q35/J35)</f>
        <v/>
      </c>
      <c r="Y35" s="340">
        <f>IF(K35=0,"***",R35/K35)</f>
        <v/>
      </c>
      <c r="Z35" s="340">
        <f>IF(L35=0,"***",S35/L35)</f>
        <v/>
      </c>
      <c r="AA35" s="341">
        <f>IF(Y35="***","***",Z35-X35)</f>
        <v/>
      </c>
      <c r="AB35" s="340">
        <f>IF(Z35="***","***",Z35-X35)</f>
        <v/>
      </c>
      <c r="AC35" s="59" t="n"/>
    </row>
    <row r="36">
      <c r="D36" s="8" t="n"/>
      <c r="E36" s="10" t="inlineStr">
        <is>
          <t>営業部門合計</t>
        </is>
      </c>
      <c r="F36" s="5" t="n"/>
      <c r="G36" s="5" t="n"/>
      <c r="H36" s="61" t="n"/>
      <c r="I36" s="471">
        <f>I30+I21+I16+I10+I5</f>
        <v/>
      </c>
      <c r="J36" s="471">
        <f>J30+J21+J16+J10+J5</f>
        <v/>
      </c>
      <c r="K36" s="442">
        <f>K30+K21+K16+K10+K5</f>
        <v/>
      </c>
      <c r="L36" s="308">
        <f>L30+L21+L16+L10+L5</f>
        <v/>
      </c>
      <c r="M36" s="359">
        <f>L36-K36</f>
        <v/>
      </c>
      <c r="N36" s="359">
        <f>L36-J36</f>
        <v/>
      </c>
      <c r="O36" s="318">
        <f>IF(J36=0,"***",N36/J36)</f>
        <v/>
      </c>
      <c r="P36" s="471">
        <f>P30+P21+P16+P10+P5</f>
        <v/>
      </c>
      <c r="Q36" s="471">
        <f>Q30+Q21+Q16+Q10+Q5</f>
        <v/>
      </c>
      <c r="R36" s="442">
        <f>R30+R21+R16+R10+R5</f>
        <v/>
      </c>
      <c r="S36" s="308">
        <f>S30+S21+S16+S10+S5</f>
        <v/>
      </c>
      <c r="T36" s="374">
        <f>S36-R36</f>
        <v/>
      </c>
      <c r="U36" s="374">
        <f>S36-Q36</f>
        <v/>
      </c>
      <c r="V36" s="309">
        <f>IF(Q36=0,"***",U36/Q36)</f>
        <v/>
      </c>
      <c r="W36" s="311">
        <f>IF(I36=0,"***",P36/I36)</f>
        <v/>
      </c>
      <c r="X36" s="312">
        <f>IF(J36=0,"***",Q36/J36)</f>
        <v/>
      </c>
      <c r="Y36" s="312">
        <f>IF(K36=0,"***",R36/K36)</f>
        <v/>
      </c>
      <c r="Z36" s="312">
        <f>IF(L36=0,"***",S36/L36)</f>
        <v/>
      </c>
      <c r="AA36" s="312">
        <f>IF(Y36="***","***",Z36-X36)</f>
        <v/>
      </c>
      <c r="AB36" s="312">
        <f>IF(Z36="***","***",Z36-X36)</f>
        <v/>
      </c>
      <c r="AC36" s="375" t="n"/>
    </row>
    <row r="37">
      <c r="D37" s="8" t="n"/>
      <c r="E37" s="9" t="n"/>
      <c r="H37" s="33" t="inlineStr">
        <is>
          <t>機械以外</t>
        </is>
      </c>
      <c r="I37" s="317">
        <f>I36-I38-I39-I40</f>
        <v/>
      </c>
      <c r="J37" s="317">
        <f>J36-J38-J39-J40</f>
        <v/>
      </c>
      <c r="K37" s="444">
        <f>K36-K38-K39-K40</f>
        <v/>
      </c>
      <c r="L37" s="317">
        <f>L36-L38-L39-L40</f>
        <v/>
      </c>
      <c r="M37" s="359">
        <f>L37-K37</f>
        <v/>
      </c>
      <c r="N37" s="359">
        <f>L37-J37</f>
        <v/>
      </c>
      <c r="O37" s="318">
        <f>IF(J37=0,"***",N37/J37)</f>
        <v/>
      </c>
      <c r="P37" s="317">
        <f>P36-P38-P39-P40</f>
        <v/>
      </c>
      <c r="Q37" s="317">
        <f>Q36-Q38-Q39-Q40</f>
        <v/>
      </c>
      <c r="R37" s="444">
        <f>R36-R38-R39-R40</f>
        <v/>
      </c>
      <c r="S37" s="317">
        <f>S36-S38-S39-S40</f>
        <v/>
      </c>
      <c r="T37" s="359">
        <f>S37-R37</f>
        <v/>
      </c>
      <c r="U37" s="359">
        <f>S37-Q37</f>
        <v/>
      </c>
      <c r="V37" s="318">
        <f>IF(Q37=0,"***",U37/Q37)</f>
        <v/>
      </c>
      <c r="W37" s="319">
        <f>IF(I37=0,"***",P37/I37)</f>
        <v/>
      </c>
      <c r="X37" s="320">
        <f>IF(J37=0,"***",Q37/J37)</f>
        <v/>
      </c>
      <c r="Y37" s="320">
        <f>IF(K37=0,"***",R37/K37)</f>
        <v/>
      </c>
      <c r="Z37" s="320">
        <f>IF(L37=0,"***",S37/L37)</f>
        <v/>
      </c>
      <c r="AA37" s="320">
        <f>IF(Y37="***","***",Z37-X37)</f>
        <v/>
      </c>
      <c r="AB37" s="320">
        <f>IF(Z37="***","***",Z37-X37)</f>
        <v/>
      </c>
      <c r="AC37" s="376" t="n"/>
    </row>
    <row r="38">
      <c r="D38" s="8" t="n"/>
      <c r="E38" s="9" t="n"/>
      <c r="H38" s="34" t="inlineStr">
        <is>
          <t>機械</t>
        </is>
      </c>
      <c r="I38" s="443">
        <f>I33+I23+I19+I13+I8</f>
        <v/>
      </c>
      <c r="J38" s="317">
        <f>J33+J23+J19+J13+J8</f>
        <v/>
      </c>
      <c r="K38" s="444">
        <f>K33+K23+K19+K13+K8</f>
        <v/>
      </c>
      <c r="L38" s="317">
        <f>L33+L23+L19+L13+L8</f>
        <v/>
      </c>
      <c r="M38" s="359">
        <f>L38-K38</f>
        <v/>
      </c>
      <c r="N38" s="359">
        <f>L38-J38</f>
        <v/>
      </c>
      <c r="O38" s="318">
        <f>IF(J38=0,"***",N38/J38)</f>
        <v/>
      </c>
      <c r="P38" s="443">
        <f>P33+P23+P19+P13+P8</f>
        <v/>
      </c>
      <c r="Q38" s="317">
        <f>Q33+Q23+Q19+Q13+Q8</f>
        <v/>
      </c>
      <c r="R38" s="444">
        <f>R33+R23+R19+R13+R8</f>
        <v/>
      </c>
      <c r="S38" s="317">
        <f>S33+S23+S19+S13+S8</f>
        <v/>
      </c>
      <c r="T38" s="359">
        <f>S38-R38</f>
        <v/>
      </c>
      <c r="U38" s="359">
        <f>S38-Q38</f>
        <v/>
      </c>
      <c r="V38" s="318">
        <f>IF(Q38=0,"***",U38/Q38)</f>
        <v/>
      </c>
      <c r="W38" s="319">
        <f>IF(I38=0,"***",P38/I38)</f>
        <v/>
      </c>
      <c r="X38" s="320">
        <f>IF(J38=0,"***",Q38/J38)</f>
        <v/>
      </c>
      <c r="Y38" s="320">
        <f>IF(K38=0,"***",R38/K38)</f>
        <v/>
      </c>
      <c r="Z38" s="320">
        <f>IF(L38=0,"***",S38/L38)</f>
        <v/>
      </c>
      <c r="AA38" s="320">
        <f>IF(Y38="***","***",Z38-X38)</f>
        <v/>
      </c>
      <c r="AB38" s="320">
        <f>IF(Z38="***","***",Z38-X38)</f>
        <v/>
      </c>
      <c r="AC38" s="376" t="n"/>
    </row>
    <row r="39">
      <c r="D39" s="8" t="n"/>
      <c r="E39" s="9" t="n"/>
      <c r="H39" s="33" t="inlineStr">
        <is>
          <t>自治体</t>
        </is>
      </c>
      <c r="I39" s="443">
        <f>I34+I20+I14+I9</f>
        <v/>
      </c>
      <c r="J39" s="317">
        <f>J34+J20+J14+J9</f>
        <v/>
      </c>
      <c r="K39" s="444">
        <f>K34+K20+K14+K9</f>
        <v/>
      </c>
      <c r="L39" s="317">
        <f>L34+L20+L14+L9</f>
        <v/>
      </c>
      <c r="M39" s="359">
        <f>L39-K39</f>
        <v/>
      </c>
      <c r="N39" s="359">
        <f>L39-J39</f>
        <v/>
      </c>
      <c r="O39" s="318">
        <f>IF(J39=0,"***",N39/J39)</f>
        <v/>
      </c>
      <c r="P39" s="443">
        <f>P34+P20+P14+P9</f>
        <v/>
      </c>
      <c r="Q39" s="317">
        <f>Q34+Q20+Q14+Q9</f>
        <v/>
      </c>
      <c r="R39" s="444">
        <f>R34+R20+R14+R9</f>
        <v/>
      </c>
      <c r="S39" s="317">
        <f>S34+S20+S14+S9</f>
        <v/>
      </c>
      <c r="T39" s="359">
        <f>S39-R39</f>
        <v/>
      </c>
      <c r="U39" s="359">
        <f>S39-Q39</f>
        <v/>
      </c>
      <c r="V39" s="318">
        <f>IF(Q39=0,"***",U39/Q39)</f>
        <v/>
      </c>
      <c r="W39" s="319">
        <f>IF(I39=0,"***",P39/I39)</f>
        <v/>
      </c>
      <c r="X39" s="320">
        <f>IF(J39=0,"***",Q39/J39)</f>
        <v/>
      </c>
      <c r="Y39" s="320">
        <f>IF(K39=0,"***",R39/K39)</f>
        <v/>
      </c>
      <c r="Z39" s="320">
        <f>IF(L39=0,"***",S39/L39)</f>
        <v/>
      </c>
      <c r="AA39" s="320">
        <f>IF(Y39="***","***",Z39-X39)</f>
        <v/>
      </c>
      <c r="AB39" s="377">
        <f>IF(Z39="***","***",Z39-X39)</f>
        <v/>
      </c>
      <c r="AC39" s="376" t="n"/>
    </row>
    <row r="40">
      <c r="D40" s="8" t="n"/>
      <c r="E40" s="9" t="n"/>
      <c r="H40" s="103" t="inlineStr">
        <is>
          <t>海外</t>
        </is>
      </c>
      <c r="I40" s="472">
        <f>I35+I15</f>
        <v/>
      </c>
      <c r="J40" s="335">
        <f>J35+J15</f>
        <v/>
      </c>
      <c r="K40" s="450">
        <f>K35+K15</f>
        <v/>
      </c>
      <c r="L40" s="335">
        <f>L35+L15</f>
        <v/>
      </c>
      <c r="M40" s="366">
        <f>L40-K40</f>
        <v/>
      </c>
      <c r="N40" s="366">
        <f>L40-J40</f>
        <v/>
      </c>
      <c r="O40" s="336">
        <f>IF(J40=0,"***",N40/J40)</f>
        <v/>
      </c>
      <c r="P40" s="472">
        <f>P35+P15</f>
        <v/>
      </c>
      <c r="Q40" s="335">
        <f>Q35+Q15</f>
        <v/>
      </c>
      <c r="R40" s="450">
        <f>R35+R15</f>
        <v/>
      </c>
      <c r="S40" s="335">
        <f>S35+S15</f>
        <v/>
      </c>
      <c r="T40" s="366">
        <f>S40-R40</f>
        <v/>
      </c>
      <c r="U40" s="366">
        <f>S40-Q40</f>
        <v/>
      </c>
      <c r="V40" s="336">
        <f>IF(Q40=0,"***",U40/Q40)</f>
        <v/>
      </c>
      <c r="W40" s="339">
        <f>IF(I40=0,"***",P40/I40)</f>
        <v/>
      </c>
      <c r="X40" s="340">
        <f>IF(J40=0,"***",Q40/J40)</f>
        <v/>
      </c>
      <c r="Y40" s="340">
        <f>IF(K40=0,"***",R40/K40)</f>
        <v/>
      </c>
      <c r="Z40" s="340">
        <f>IF(L40=0,"***",S40/L40)</f>
        <v/>
      </c>
      <c r="AA40" s="340">
        <f>IF(Y40="***","***",Z40-X40)</f>
        <v/>
      </c>
      <c r="AB40" s="380">
        <f>IF(Z40="***","***",Z40-X40)</f>
        <v/>
      </c>
      <c r="AC40" s="381" t="n"/>
    </row>
    <row r="41">
      <c r="D41" s="8" t="n"/>
      <c r="E41" s="60" t="inlineStr">
        <is>
          <t>水産部</t>
        </is>
      </c>
      <c r="F41" s="5" t="n"/>
      <c r="G41" s="5" t="n"/>
      <c r="H41" s="5" t="n"/>
      <c r="I41" s="470">
        <f>BACKDATA上期!CO41+下期!I41</f>
        <v/>
      </c>
      <c r="J41" s="441">
        <f>BACKDATA上期!CP41+下期!J41</f>
        <v/>
      </c>
      <c r="K41" s="442">
        <f>BACKDATA上期!CQ41+下期!K41</f>
        <v/>
      </c>
      <c r="L41" s="441">
        <f>BACKDATA上期!CR41+下期!L41</f>
        <v/>
      </c>
      <c r="M41" s="308">
        <f>L41-K41</f>
        <v/>
      </c>
      <c r="N41" s="308">
        <f>L41-J41</f>
        <v/>
      </c>
      <c r="O41" s="309">
        <f>IF(J41=0,"***",N41/J41)</f>
        <v/>
      </c>
      <c r="P41" s="470">
        <f>BACKDATA上期!CV41+下期!P41</f>
        <v/>
      </c>
      <c r="Q41" s="441">
        <f>BACKDATA上期!CW41+下期!Q41</f>
        <v/>
      </c>
      <c r="R41" s="442">
        <f>BACKDATA上期!CX41+下期!R41</f>
        <v/>
      </c>
      <c r="S41" s="441">
        <f>BACKDATA上期!CY41+下期!S41</f>
        <v/>
      </c>
      <c r="T41" s="308">
        <f>S41-R41</f>
        <v/>
      </c>
      <c r="U41" s="308">
        <f>S41-Q41</f>
        <v/>
      </c>
      <c r="V41" s="309">
        <f>IF(Q41=0,"***",U41/Q41)</f>
        <v/>
      </c>
      <c r="W41" s="382">
        <f>IF(I41=0,"***",P41/I41)</f>
        <v/>
      </c>
      <c r="X41" s="383">
        <f>IF(J41=0,"***",Q41/J41)</f>
        <v/>
      </c>
      <c r="Y41" s="383">
        <f>IF(K41=0,"***",R41/K41)</f>
        <v/>
      </c>
      <c r="Z41" s="383">
        <f>IF(L41=0,"***",S41/L41)</f>
        <v/>
      </c>
      <c r="AA41" s="383">
        <f>IF(Y41="***","***",Z41-X41)</f>
        <v/>
      </c>
      <c r="AB41" s="384">
        <f>IF(Z41="***","***",Z41-X41)</f>
        <v/>
      </c>
      <c r="AC41" s="21" t="n"/>
    </row>
    <row r="42">
      <c r="D42" s="8" t="n"/>
      <c r="E42" s="9" t="n"/>
      <c r="H42" s="33" t="inlineStr">
        <is>
          <t>包装資材</t>
        </is>
      </c>
      <c r="I42" s="465">
        <f>I41-I43-I44</f>
        <v/>
      </c>
      <c r="J42" s="453">
        <f>J41-J43-J44</f>
        <v/>
      </c>
      <c r="K42" s="453">
        <f>K41-K43-K44</f>
        <v/>
      </c>
      <c r="L42" s="453">
        <f>L41-L43-L44</f>
        <v/>
      </c>
      <c r="M42" s="345">
        <f>L42-K42</f>
        <v/>
      </c>
      <c r="N42" s="345">
        <f>L42-J42</f>
        <v/>
      </c>
      <c r="O42" s="346">
        <f>IF(J42=0,"***",N42/J42)</f>
        <v/>
      </c>
      <c r="P42" s="465">
        <f>P41-P43-P44</f>
        <v/>
      </c>
      <c r="Q42" s="453">
        <f>Q41-Q43-Q44</f>
        <v/>
      </c>
      <c r="R42" s="453">
        <f>R41-R43-R44</f>
        <v/>
      </c>
      <c r="S42" s="453">
        <f>S41-S43-S44</f>
        <v/>
      </c>
      <c r="T42" s="345">
        <f>S42-R42</f>
        <v/>
      </c>
      <c r="U42" s="345">
        <f>S42-Q42</f>
        <v/>
      </c>
      <c r="V42" s="346">
        <f>IF(Q42=0,"***",U42/Q42)</f>
        <v/>
      </c>
      <c r="W42" s="386">
        <f>IF(I42=0,"***",P42/I42)</f>
        <v/>
      </c>
      <c r="X42" s="387">
        <f>IF(J42=0,"***",Q42/J42)</f>
        <v/>
      </c>
      <c r="Y42" s="387">
        <f>IF(K42=0,"***",R42/K42)</f>
        <v/>
      </c>
      <c r="Z42" s="387">
        <f>IF(L42=0,"***",S42/L42)</f>
        <v/>
      </c>
      <c r="AA42" s="387">
        <f>IF(Y42="***","***",Z42-X42)</f>
        <v/>
      </c>
      <c r="AB42" s="388">
        <f>IF(Z42="***","***",Z42-X42)</f>
        <v/>
      </c>
      <c r="AC42" s="389" t="n"/>
    </row>
    <row r="43">
      <c r="D43" s="8" t="n"/>
      <c r="E43" s="9" t="n"/>
      <c r="H43" s="34" t="inlineStr">
        <is>
          <t>荷役</t>
        </is>
      </c>
      <c r="I43" s="440">
        <f>BACKDATA上期!CO43+下期!I43</f>
        <v/>
      </c>
      <c r="J43" s="473">
        <f>BACKDATA上期!CP43+下期!J43</f>
        <v/>
      </c>
      <c r="K43" s="473">
        <f>BACKDATA上期!CQ43+下期!K43</f>
        <v/>
      </c>
      <c r="L43" s="473">
        <f>BACKDATA上期!CR43+下期!L43</f>
        <v/>
      </c>
      <c r="M43" s="345">
        <f>L43-K43</f>
        <v/>
      </c>
      <c r="N43" s="345">
        <f>L43-J43</f>
        <v/>
      </c>
      <c r="O43" s="346">
        <f>IF(J43=0,"***",N43/J43)</f>
        <v/>
      </c>
      <c r="P43" s="440">
        <f>BACKDATA上期!CV43+下期!P43</f>
        <v/>
      </c>
      <c r="Q43" s="473">
        <f>BACKDATA上期!CW43+下期!Q43</f>
        <v/>
      </c>
      <c r="R43" s="473">
        <f>BACKDATA上期!CX43+下期!R43</f>
        <v/>
      </c>
      <c r="S43" s="473">
        <f>BACKDATA上期!CY43+下期!S43</f>
        <v/>
      </c>
      <c r="T43" s="345">
        <f>S43-R43</f>
        <v/>
      </c>
      <c r="U43" s="345">
        <f>S43-Q43</f>
        <v/>
      </c>
      <c r="V43" s="346">
        <f>IF(Q43=0,"***",U43/Q43)</f>
        <v/>
      </c>
      <c r="W43" s="386">
        <f>IF(I43=0,"***",P43/I43)</f>
        <v/>
      </c>
      <c r="X43" s="387">
        <f>IF(J43=0,"***",Q43/J43)</f>
        <v/>
      </c>
      <c r="Y43" s="387">
        <f>IF(K43=0,"***",R43/K43)</f>
        <v/>
      </c>
      <c r="Z43" s="387">
        <f>IF(L43=0,"***",S43/L43)</f>
        <v/>
      </c>
      <c r="AA43" s="387">
        <f>IF(Y43="***","***",Z43-X43)</f>
        <v/>
      </c>
      <c r="AB43" s="388">
        <f>IF(Z43="***","***",Z43-X43)</f>
        <v/>
      </c>
      <c r="AC43" s="389" t="n"/>
    </row>
    <row r="44">
      <c r="D44" s="8" t="n"/>
      <c r="E44" s="46" t="n"/>
      <c r="F44" s="116" t="n"/>
      <c r="G44" s="116" t="n"/>
      <c r="H44" s="103" t="inlineStr">
        <is>
          <t>機械</t>
        </is>
      </c>
      <c r="I44" s="440">
        <f>BACKDATA上期!CO44+下期!I44</f>
        <v/>
      </c>
      <c r="J44" s="473">
        <f>BACKDATA上期!CP44+下期!J44</f>
        <v/>
      </c>
      <c r="K44" s="473">
        <f>BACKDATA上期!CQ44+下期!K44</f>
        <v/>
      </c>
      <c r="L44" s="473">
        <f>BACKDATA上期!CR44+下期!L44</f>
        <v/>
      </c>
      <c r="M44" s="345">
        <f>L44-K44</f>
        <v/>
      </c>
      <c r="N44" s="345">
        <f>L44-J44</f>
        <v/>
      </c>
      <c r="O44" s="346">
        <f>IF(J44=0,"***",N44/J44)</f>
        <v/>
      </c>
      <c r="P44" s="440">
        <f>BACKDATA上期!CV44+下期!P44</f>
        <v/>
      </c>
      <c r="Q44" s="473">
        <f>BACKDATA上期!CW44+下期!Q44</f>
        <v/>
      </c>
      <c r="R44" s="473">
        <f>BACKDATA上期!CX44+下期!R44</f>
        <v/>
      </c>
      <c r="S44" s="473">
        <f>BACKDATA上期!CY44+下期!S44</f>
        <v/>
      </c>
      <c r="T44" s="345">
        <f>S44-R44</f>
        <v/>
      </c>
      <c r="U44" s="345">
        <f>S44-Q44</f>
        <v/>
      </c>
      <c r="V44" s="346">
        <f>IF(Q44=0,"***",U44/Q44)</f>
        <v/>
      </c>
      <c r="W44" s="386">
        <f>IF(I44=0,"***",P44/I44)</f>
        <v/>
      </c>
      <c r="X44" s="387">
        <f>IF(J44=0,"***",Q44/J44)</f>
        <v/>
      </c>
      <c r="Y44" s="387">
        <f>IF(K44=0,"***",R44/K44)</f>
        <v/>
      </c>
      <c r="Z44" s="387">
        <f>IF(L44=0,"***",S44/L44)</f>
        <v/>
      </c>
      <c r="AA44" s="387">
        <f>IF(Y44="***","***",Z44-X44)</f>
        <v/>
      </c>
      <c r="AB44" s="388">
        <f>IF(Z44="***","***",Z44-X44)</f>
        <v/>
      </c>
      <c r="AC44" s="389" t="n"/>
    </row>
    <row r="45">
      <c r="D45" s="117" t="inlineStr">
        <is>
          <t>合計</t>
        </is>
      </c>
      <c r="E45" s="118" t="n"/>
      <c r="F45" s="118" t="n"/>
      <c r="G45" s="118" t="n"/>
      <c r="H45" s="119" t="n"/>
      <c r="I45" s="474">
        <f>I41+I36</f>
        <v/>
      </c>
      <c r="J45" s="475">
        <f>J41+J36</f>
        <v/>
      </c>
      <c r="K45" s="476">
        <f>K41+K36</f>
        <v/>
      </c>
      <c r="L45" s="476">
        <f>L41+L36</f>
        <v/>
      </c>
      <c r="M45" s="394">
        <f>L45-K45</f>
        <v/>
      </c>
      <c r="N45" s="394">
        <f>L45-J45</f>
        <v/>
      </c>
      <c r="O45" s="395">
        <f>IF(J45=0,"***",N45/J45)</f>
        <v/>
      </c>
      <c r="P45" s="474">
        <f>P41+P36</f>
        <v/>
      </c>
      <c r="Q45" s="475">
        <f>Q41+Q36</f>
        <v/>
      </c>
      <c r="R45" s="476">
        <f>R41+R36</f>
        <v/>
      </c>
      <c r="S45" s="476">
        <f>S41+S36</f>
        <v/>
      </c>
      <c r="T45" s="394">
        <f>S45-R45</f>
        <v/>
      </c>
      <c r="U45" s="394">
        <f>S45-Q45</f>
        <v/>
      </c>
      <c r="V45" s="395">
        <f>IF(Q45=0,"***",U45/Q45)</f>
        <v/>
      </c>
      <c r="W45" s="397">
        <f>IF(I45=0,"***",P45/I45)</f>
        <v/>
      </c>
      <c r="X45" s="398">
        <f>IF(J45=0,"***",Q45/J45)</f>
        <v/>
      </c>
      <c r="Y45" s="398">
        <f>IF(K45=0,"***",R45/K45)</f>
        <v/>
      </c>
      <c r="Z45" s="398">
        <f>IF(L45=0,"***",S45/L45)</f>
        <v/>
      </c>
      <c r="AA45" s="398">
        <f>IF(Y45="***","***",Z45-X45)</f>
        <v/>
      </c>
      <c r="AB45" s="399">
        <f>IF(Z45="***","***",Z45-X45)</f>
        <v/>
      </c>
      <c r="AC45" s="400" t="n"/>
    </row>
    <row r="46">
      <c r="D46" s="8" t="n"/>
      <c r="E46" s="118" t="n"/>
      <c r="F46" s="118" t="n"/>
      <c r="G46" s="118" t="n"/>
      <c r="H46" s="130" t="inlineStr">
        <is>
          <t>機械以外</t>
        </is>
      </c>
      <c r="I46" s="477">
        <f>I45-I47</f>
        <v/>
      </c>
      <c r="J46" s="478">
        <f>J45-J47</f>
        <v/>
      </c>
      <c r="K46" s="479">
        <f>K45-K47</f>
        <v/>
      </c>
      <c r="L46" s="479">
        <f>L45-L47</f>
        <v/>
      </c>
      <c r="M46" s="404">
        <f>L46-K46</f>
        <v/>
      </c>
      <c r="N46" s="404">
        <f>L46-J46</f>
        <v/>
      </c>
      <c r="O46" s="405">
        <f>IF(J46=0,"***",N46/J46)</f>
        <v/>
      </c>
      <c r="P46" s="477">
        <f>P45-P47</f>
        <v/>
      </c>
      <c r="Q46" s="478">
        <f>Q45-Q47</f>
        <v/>
      </c>
      <c r="R46" s="479">
        <f>R45-R47</f>
        <v/>
      </c>
      <c r="S46" s="479">
        <f>S45-S47</f>
        <v/>
      </c>
      <c r="T46" s="404">
        <f>S46-R46</f>
        <v/>
      </c>
      <c r="U46" s="404">
        <f>S46-Q46</f>
        <v/>
      </c>
      <c r="V46" s="405">
        <f>IF(Q46=0,"***",U46/Q46)</f>
        <v/>
      </c>
      <c r="W46" s="407">
        <f>IF(I46=0,"***",P46/I46)</f>
        <v/>
      </c>
      <c r="X46" s="408">
        <f>IF(J46=0,"***",Q46/J46)</f>
        <v/>
      </c>
      <c r="Y46" s="408">
        <f>IF(K46=0,"***",R46/K46)</f>
        <v/>
      </c>
      <c r="Z46" s="408">
        <f>IF(L46=0,"***",S46/L46)</f>
        <v/>
      </c>
      <c r="AA46" s="408">
        <f>IF(Y46="***","***",Z46-X46)</f>
        <v/>
      </c>
      <c r="AB46" s="409">
        <f>IF(Z46="***","***",Z46-X46)</f>
        <v/>
      </c>
      <c r="AC46" s="410" t="n"/>
    </row>
    <row r="47">
      <c r="D47" s="8" t="n"/>
      <c r="E47" s="118" t="n"/>
      <c r="F47" s="118" t="n"/>
      <c r="G47" s="141" t="n"/>
      <c r="H47" s="130" t="inlineStr">
        <is>
          <t>機械</t>
        </is>
      </c>
      <c r="I47" s="480">
        <f>I38+I44</f>
        <v/>
      </c>
      <c r="J47" s="481">
        <f>J38+J44</f>
        <v/>
      </c>
      <c r="K47" s="481">
        <f>K38+K44</f>
        <v/>
      </c>
      <c r="L47" s="481">
        <f>L38+L44</f>
        <v/>
      </c>
      <c r="M47" s="413">
        <f>L47-K47</f>
        <v/>
      </c>
      <c r="N47" s="413">
        <f>L47-J47</f>
        <v/>
      </c>
      <c r="O47" s="414">
        <f>IF(J47=0,"***",N47/J47)</f>
        <v/>
      </c>
      <c r="P47" s="480">
        <f>P38+P44</f>
        <v/>
      </c>
      <c r="Q47" s="481">
        <f>Q38+Q44</f>
        <v/>
      </c>
      <c r="R47" s="481">
        <f>R38+R44</f>
        <v/>
      </c>
      <c r="S47" s="481">
        <f>S38+S44</f>
        <v/>
      </c>
      <c r="T47" s="413">
        <f>S47-R47</f>
        <v/>
      </c>
      <c r="U47" s="413">
        <f>S47-Q47</f>
        <v/>
      </c>
      <c r="V47" s="414">
        <f>IF(Q47=0,"***",U47/Q47)</f>
        <v/>
      </c>
      <c r="W47" s="416">
        <f>IF(I47=0,"***",P47/I47)</f>
        <v/>
      </c>
      <c r="X47" s="417">
        <f>IF(J47=0,"***",Q47/J47)</f>
        <v/>
      </c>
      <c r="Y47" s="417">
        <f>IF(K47=0,"***",R47/K47)</f>
        <v/>
      </c>
      <c r="Z47" s="417">
        <f>IF(L47=0,"***",S47/L47)</f>
        <v/>
      </c>
      <c r="AA47" s="417">
        <f>IF(Y47="***","***",Z47-X47)</f>
        <v/>
      </c>
      <c r="AB47" s="418">
        <f>IF(Z47="***","***",Z47-X47)</f>
        <v/>
      </c>
      <c r="AC47" s="419" t="n"/>
    </row>
    <row r="48">
      <c r="D48" s="8" t="n"/>
      <c r="E48" s="118" t="n"/>
      <c r="F48" s="118" t="n"/>
      <c r="G48" s="141" t="n"/>
      <c r="H48" s="130" t="inlineStr">
        <is>
          <t>自治体</t>
        </is>
      </c>
      <c r="I48" s="482">
        <f>I39</f>
        <v/>
      </c>
      <c r="J48" s="479">
        <f>J39</f>
        <v/>
      </c>
      <c r="K48" s="479">
        <f>K39</f>
        <v/>
      </c>
      <c r="L48" s="479">
        <f>L39</f>
        <v/>
      </c>
      <c r="M48" s="404">
        <f>L48-K48</f>
        <v/>
      </c>
      <c r="N48" s="404">
        <f>L48-J48</f>
        <v/>
      </c>
      <c r="O48" s="405">
        <f>IF(J48=0,"***",N48/J48)</f>
        <v/>
      </c>
      <c r="P48" s="482">
        <f>P39</f>
        <v/>
      </c>
      <c r="Q48" s="479">
        <f>Q39</f>
        <v/>
      </c>
      <c r="R48" s="479">
        <f>R39</f>
        <v/>
      </c>
      <c r="S48" s="479">
        <f>S39</f>
        <v/>
      </c>
      <c r="T48" s="404">
        <f>S48-R48</f>
        <v/>
      </c>
      <c r="U48" s="404">
        <f>S48-Q48</f>
        <v/>
      </c>
      <c r="V48" s="405">
        <f>IF(Q48=0,"***",U48/Q48)</f>
        <v/>
      </c>
      <c r="W48" s="407">
        <f>IF(I48=0,"***",P48/I48)</f>
        <v/>
      </c>
      <c r="X48" s="408">
        <f>IF(J48=0,"***",Q48/J48)</f>
        <v/>
      </c>
      <c r="Y48" s="408">
        <f>IF(K48=0,"***",R48/K48)</f>
        <v/>
      </c>
      <c r="Z48" s="408">
        <f>IF(L48=0,"***",S48/L48)</f>
        <v/>
      </c>
      <c r="AA48" s="408">
        <f>IF(Y48="***","***",Z48-X48)</f>
        <v/>
      </c>
      <c r="AB48" s="409">
        <f>IF(Z48="***","***",Z48-X48)</f>
        <v/>
      </c>
      <c r="AC48" s="410" t="n"/>
    </row>
    <row r="49">
      <c r="D49" s="152" t="n"/>
      <c r="E49" s="153" t="n"/>
      <c r="F49" s="153" t="n"/>
      <c r="G49" s="154" t="n"/>
      <c r="H49" s="155" t="inlineStr">
        <is>
          <t>海外</t>
        </is>
      </c>
      <c r="I49" s="483">
        <f>I40</f>
        <v/>
      </c>
      <c r="J49" s="484">
        <f>J40</f>
        <v/>
      </c>
      <c r="K49" s="484">
        <f>K40</f>
        <v/>
      </c>
      <c r="L49" s="484">
        <f>L40</f>
        <v/>
      </c>
      <c r="M49" s="423">
        <f>L49-K49</f>
        <v/>
      </c>
      <c r="N49" s="423">
        <f>L49-J49</f>
        <v/>
      </c>
      <c r="O49" s="424">
        <f>IF(J49=0,"***",N49/J49)</f>
        <v/>
      </c>
      <c r="P49" s="483">
        <f>P40</f>
        <v/>
      </c>
      <c r="Q49" s="484">
        <f>Q40</f>
        <v/>
      </c>
      <c r="R49" s="484">
        <f>R40</f>
        <v/>
      </c>
      <c r="S49" s="484">
        <f>S40</f>
        <v/>
      </c>
      <c r="T49" s="423">
        <f>S49-R49</f>
        <v/>
      </c>
      <c r="U49" s="423">
        <f>S49-Q49</f>
        <v/>
      </c>
      <c r="V49" s="424">
        <f>IF(Q49=0,"***",U49/Q49)</f>
        <v/>
      </c>
      <c r="W49" s="426">
        <f>IF(I49=0,"***",P49/I49)</f>
        <v/>
      </c>
      <c r="X49" s="427">
        <f>IF(J49=0,"***",Q49/J49)</f>
        <v/>
      </c>
      <c r="Y49" s="427">
        <f>IF(K49=0,"***",R49/K49)</f>
        <v/>
      </c>
      <c r="Z49" s="427">
        <f>IF(L49=0,"***",S49/L49)</f>
        <v/>
      </c>
      <c r="AA49" s="427">
        <f>IF(Y49="***","***",Z49-X49)</f>
        <v/>
      </c>
      <c r="AB49" s="428">
        <f>IF(Z49="***","***",Z49-X49)</f>
        <v/>
      </c>
      <c r="AC49" s="429" t="n"/>
    </row>
    <row r="50">
      <c r="D50" s="165" t="inlineStr">
        <is>
          <t>キョウワ（税抜）</t>
        </is>
      </c>
      <c r="E50" s="166" t="n"/>
      <c r="F50" s="166" t="n"/>
      <c r="G50" s="166" t="n"/>
      <c r="H50" s="47" t="n"/>
      <c r="I50" s="485">
        <f>BACKDATA上期!CO50+下期!I50</f>
        <v/>
      </c>
      <c r="J50" s="486">
        <f>BACKDATA上期!CP50+下期!J50</f>
        <v/>
      </c>
      <c r="K50" s="486">
        <f>BACKDATA上期!CQ50+下期!K50</f>
        <v/>
      </c>
      <c r="L50" s="486">
        <f>BACKDATA上期!CR50+下期!L50</f>
        <v/>
      </c>
      <c r="M50" s="432">
        <f>L50-K50</f>
        <v/>
      </c>
      <c r="N50" s="432">
        <f>L50-J50</f>
        <v/>
      </c>
      <c r="O50" s="433">
        <f>IF(J50=0,"***",N50/J50)</f>
        <v/>
      </c>
      <c r="P50" s="485">
        <f>BACKDATA上期!CV50+下期!P50</f>
        <v/>
      </c>
      <c r="Q50" s="486">
        <f>BACKDATA上期!CW50+下期!Q50</f>
        <v/>
      </c>
      <c r="R50" s="486">
        <f>BACKDATA上期!CX50+下期!R50</f>
        <v/>
      </c>
      <c r="S50" s="486">
        <f>BACKDATA上期!CY50+下期!S50</f>
        <v/>
      </c>
      <c r="T50" s="432">
        <f>S50-R50</f>
        <v/>
      </c>
      <c r="U50" s="432">
        <f>S50-Q50</f>
        <v/>
      </c>
      <c r="V50" s="433">
        <f>IF(Q50=0,"***",U50/Q50)</f>
        <v/>
      </c>
      <c r="W50" s="434">
        <f>IF(I50=0,"***",P50/I50)</f>
        <v/>
      </c>
      <c r="X50" s="435">
        <f>IF(J50=0,"***",Q50/J50)</f>
        <v/>
      </c>
      <c r="Y50" s="435">
        <f>IF(K50=0,"***",R50/K50)</f>
        <v/>
      </c>
      <c r="Z50" s="435">
        <f>IF(L50=0,"***",S50/L50)</f>
        <v/>
      </c>
      <c r="AA50" s="435">
        <f>IF(Y50="***","***",Z50-X50)</f>
        <v/>
      </c>
      <c r="AB50" s="433">
        <f>IF(Z50="***","***",Z50-X50)</f>
        <v/>
      </c>
      <c r="AC50" s="436" t="n"/>
    </row>
  </sheetData>
  <mergeCells count="14">
    <mergeCell ref="K3:K4"/>
    <mergeCell ref="L3:L4"/>
    <mergeCell ref="AC3:AC4"/>
    <mergeCell ref="P3:P4"/>
    <mergeCell ref="D3:H4"/>
    <mergeCell ref="I3:I4"/>
    <mergeCell ref="Q3:Q4"/>
    <mergeCell ref="R3:R4"/>
    <mergeCell ref="J3:J4"/>
    <mergeCell ref="X3:X4"/>
    <mergeCell ref="Y3:Y4"/>
    <mergeCell ref="S3:S4"/>
    <mergeCell ref="Z3:Z4"/>
    <mergeCell ref="W3:W4"/>
  </mergeCells>
  <pageMargins left="0.708333333333333" right="0.708333333333333" top="0.747916666666667" bottom="0.747916666666667" header="0.511811023622047" footer="0.511811023622047"/>
  <pageSetup orientation="landscape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C50"/>
  <sheetViews>
    <sheetView workbookViewId="0">
      <selection activeCell="A1" sqref="A1"/>
    </sheetView>
  </sheetViews>
  <sheetFormatPr baseColWidth="8" defaultColWidth="8.5" defaultRowHeight="18.75"/>
  <cols>
    <col width="2.375" customWidth="1" style="1" min="4" max="4"/>
    <col width="2.875" customWidth="1" style="1" min="5" max="5"/>
    <col width="3.125" customWidth="1" style="1" min="6" max="7"/>
    <col width="16" customWidth="1" style="1" min="8" max="8"/>
    <col width="8.5" customWidth="1" style="302" min="13" max="14"/>
    <col width="8.5" customWidth="1" style="302" min="20" max="21"/>
    <col width="60.5" customWidth="1" style="1" min="29" max="29"/>
  </cols>
  <sheetData>
    <row r="1" ht="23.25" customHeight="1" s="1">
      <c r="D1" s="2" t="inlineStr">
        <is>
          <t>1．単月</t>
        </is>
      </c>
    </row>
    <row r="2"/>
    <row r="3" ht="18.75" customHeight="1" s="1">
      <c r="D3" s="284" t="n"/>
      <c r="E3" s="285" t="n"/>
      <c r="F3" s="285" t="n"/>
      <c r="G3" s="285" t="n"/>
      <c r="H3" s="286" t="n"/>
      <c r="I3" s="282" t="inlineStr">
        <is>
          <t>2024年7月売上実績</t>
        </is>
      </c>
      <c r="J3" s="290" t="inlineStr">
        <is>
          <t>2025年7月売上実績</t>
        </is>
      </c>
      <c r="K3" s="292" t="inlineStr">
        <is>
          <t>2026年7月売上計画</t>
        </is>
      </c>
      <c r="L3" s="292" t="inlineStr">
        <is>
          <t>2026年7月売上実績</t>
        </is>
      </c>
      <c r="M3" s="303" t="n"/>
      <c r="N3" s="303" t="n"/>
      <c r="O3" s="4" t="n"/>
      <c r="P3" s="282" t="inlineStr">
        <is>
          <t>2024年7月粗利益実績</t>
        </is>
      </c>
      <c r="Q3" s="290" t="inlineStr">
        <is>
          <t>2025年7月粗利益実績</t>
        </is>
      </c>
      <c r="R3" s="292" t="inlineStr">
        <is>
          <t>2026年7月粗利益計画</t>
        </is>
      </c>
      <c r="S3" s="292" t="inlineStr">
        <is>
          <t>2026年7月粗利益実績</t>
        </is>
      </c>
      <c r="T3" s="303" t="n"/>
      <c r="U3" s="303" t="n"/>
      <c r="V3" s="4" t="n"/>
      <c r="W3" s="297" t="inlineStr">
        <is>
          <t>2024年7月粗利益率実績</t>
        </is>
      </c>
      <c r="X3" s="298" t="inlineStr">
        <is>
          <t>2025年7月粗利益率実績</t>
        </is>
      </c>
      <c r="Y3" s="294" t="inlineStr">
        <is>
          <t>2026年7月粗利益率計画</t>
        </is>
      </c>
      <c r="Z3" s="294" t="inlineStr">
        <is>
          <t>2026年7月粗利益率実績</t>
        </is>
      </c>
      <c r="AA3" s="5" t="n"/>
      <c r="AB3" s="5" t="n"/>
      <c r="AC3" s="295" t="inlineStr">
        <is>
          <t>作成根拠</t>
        </is>
      </c>
    </row>
    <row r="4">
      <c r="D4" s="287" t="n"/>
      <c r="E4" s="288" t="n"/>
      <c r="F4" s="288" t="n"/>
      <c r="G4" s="288" t="n"/>
      <c r="H4" s="289" t="n"/>
      <c r="I4" s="283" t="n"/>
      <c r="J4" s="291" t="n"/>
      <c r="K4" s="293" t="n"/>
      <c r="L4" s="293" t="n"/>
      <c r="M4" s="304" t="inlineStr">
        <is>
          <t>計画比</t>
        </is>
      </c>
      <c r="N4" s="304" t="inlineStr">
        <is>
          <t>前期比</t>
        </is>
      </c>
      <c r="O4" s="7" t="inlineStr">
        <is>
          <t>年率</t>
        </is>
      </c>
      <c r="P4" s="283" t="n"/>
      <c r="Q4" s="291" t="n"/>
      <c r="R4" s="293" t="n"/>
      <c r="S4" s="293" t="n"/>
      <c r="T4" s="304" t="inlineStr">
        <is>
          <t>計画比</t>
        </is>
      </c>
      <c r="U4" s="304" t="inlineStr">
        <is>
          <t>前期比</t>
        </is>
      </c>
      <c r="V4" s="7" t="inlineStr">
        <is>
          <t>年率</t>
        </is>
      </c>
      <c r="W4" s="283" t="n"/>
      <c r="X4" s="291" t="n"/>
      <c r="Y4" s="293" t="n"/>
      <c r="Z4" s="293" t="n"/>
      <c r="AA4" s="6" t="inlineStr">
        <is>
          <t>計画比</t>
        </is>
      </c>
      <c r="AB4" s="6" t="inlineStr">
        <is>
          <t>前期比</t>
        </is>
      </c>
      <c r="AC4" s="296" t="n"/>
    </row>
    <row r="5">
      <c r="D5" s="8" t="n"/>
      <c r="E5" s="9" t="n"/>
      <c r="F5" s="10" t="inlineStr">
        <is>
          <t>石見営業所</t>
        </is>
      </c>
      <c r="H5" s="11" t="n"/>
      <c r="I5" s="305" t="n">
        <v>71106.19100000001</v>
      </c>
      <c r="J5" s="306" t="n">
        <v>71282.087</v>
      </c>
      <c r="K5" s="307" t="n">
        <v>75040</v>
      </c>
      <c r="L5" s="306" t="n">
        <v>75113.11500000001</v>
      </c>
      <c r="M5" s="308">
        <f>L5-K5</f>
        <v/>
      </c>
      <c r="N5" s="308">
        <f>L5-J5</f>
        <v/>
      </c>
      <c r="O5" s="309">
        <f>IF(J5=0,"***",N5/J5)</f>
        <v/>
      </c>
      <c r="P5" s="310" t="n">
        <v>18595.809</v>
      </c>
      <c r="Q5" s="310" t="n">
        <v>19835.594</v>
      </c>
      <c r="R5" s="310" t="n">
        <v>19880</v>
      </c>
      <c r="S5" s="310" t="n">
        <v>22162.9754</v>
      </c>
      <c r="T5" s="308">
        <f>S5-R5</f>
        <v/>
      </c>
      <c r="U5" s="308">
        <f>S5-Q5</f>
        <v/>
      </c>
      <c r="V5" s="309">
        <f>IF(Q5=0,"***",U5/Q5)</f>
        <v/>
      </c>
      <c r="W5" s="311">
        <f>IF(I5=0,"***",P5/I5)</f>
        <v/>
      </c>
      <c r="X5" s="312">
        <f>IF(J5=0,"***",Q5/J5)</f>
        <v/>
      </c>
      <c r="Y5" s="312">
        <f>IF(K5=0,"***",R5/K5)</f>
        <v/>
      </c>
      <c r="Z5" s="312">
        <f>IF(L5=0,"***",S5/L5)</f>
        <v/>
      </c>
      <c r="AA5" s="313">
        <f>IF(Y5="***","***",Z5-X5)</f>
        <v/>
      </c>
      <c r="AB5" s="312">
        <f>IF(Z5="***","***",Z5-X5)</f>
        <v/>
      </c>
      <c r="AC5" s="21" t="n"/>
    </row>
    <row r="6">
      <c r="D6" s="8" t="n"/>
      <c r="E6" s="9" t="n"/>
      <c r="F6" s="9" t="n"/>
      <c r="G6" s="22" t="inlineStr">
        <is>
          <t>営業</t>
        </is>
      </c>
      <c r="H6" s="23" t="n"/>
      <c r="I6" s="314">
        <f>I5-I9</f>
        <v/>
      </c>
      <c r="J6" s="315">
        <f>J5-J9</f>
        <v/>
      </c>
      <c r="K6" s="316">
        <f>K5-K9</f>
        <v/>
      </c>
      <c r="L6" s="315">
        <f>L5-L9</f>
        <v/>
      </c>
      <c r="M6" s="317">
        <f>L6-K6</f>
        <v/>
      </c>
      <c r="N6" s="317">
        <f>L6-J6</f>
        <v/>
      </c>
      <c r="O6" s="318">
        <f>IF(J6=0,"***",N6/J6)</f>
        <v/>
      </c>
      <c r="P6" s="314">
        <f>P5-P9</f>
        <v/>
      </c>
      <c r="Q6" s="315">
        <f>Q5-Q9</f>
        <v/>
      </c>
      <c r="R6" s="316">
        <f>R5-R9</f>
        <v/>
      </c>
      <c r="S6" s="315">
        <f>S5-S9</f>
        <v/>
      </c>
      <c r="T6" s="317">
        <f>S6-R6</f>
        <v/>
      </c>
      <c r="U6" s="317">
        <f>S6-Q6</f>
        <v/>
      </c>
      <c r="V6" s="318">
        <f>IF(Q6=0,"***",U6/Q6)</f>
        <v/>
      </c>
      <c r="W6" s="319">
        <f>IF(I6=0,"***",P6/I6)</f>
        <v/>
      </c>
      <c r="X6" s="320">
        <f>IF(J6=0,"***",Q6/J6)</f>
        <v/>
      </c>
      <c r="Y6" s="320">
        <f>IF(K6=0,"***",R6/K6)</f>
        <v/>
      </c>
      <c r="Z6" s="320">
        <f>IF(L6=0,"***",S6/L6)</f>
        <v/>
      </c>
      <c r="AA6" s="321">
        <f>IF(Y6="***","***",Z6-X6)</f>
        <v/>
      </c>
      <c r="AB6" s="320">
        <f>IF(Z6="***","***",Z6-X6)</f>
        <v/>
      </c>
      <c r="AC6" s="31" t="n"/>
    </row>
    <row r="7">
      <c r="D7" s="8" t="n"/>
      <c r="E7" s="9" t="n"/>
      <c r="F7" s="9" t="n"/>
      <c r="G7" s="32" t="n"/>
      <c r="H7" s="33" t="inlineStr">
        <is>
          <t>包装資材</t>
        </is>
      </c>
      <c r="I7" s="314">
        <f>I6-I8</f>
        <v/>
      </c>
      <c r="J7" s="315">
        <f>J6-J8</f>
        <v/>
      </c>
      <c r="K7" s="316">
        <f>K6-K8</f>
        <v/>
      </c>
      <c r="L7" s="315">
        <f>L6-L8</f>
        <v/>
      </c>
      <c r="M7" s="317">
        <f>L7-K7</f>
        <v/>
      </c>
      <c r="N7" s="317">
        <f>L7-J7</f>
        <v/>
      </c>
      <c r="O7" s="318">
        <f>IF(J7=0,"***",N7/J7)</f>
        <v/>
      </c>
      <c r="P7" s="314">
        <f>P6-P8</f>
        <v/>
      </c>
      <c r="Q7" s="315">
        <f>Q6-Q8</f>
        <v/>
      </c>
      <c r="R7" s="316">
        <f>R6-R8</f>
        <v/>
      </c>
      <c r="S7" s="315">
        <f>S6-S8</f>
        <v/>
      </c>
      <c r="T7" s="317">
        <f>S7-R7</f>
        <v/>
      </c>
      <c r="U7" s="317">
        <f>S7-Q7</f>
        <v/>
      </c>
      <c r="V7" s="318">
        <f>IF(Q7=0,"***",U7/Q7)</f>
        <v/>
      </c>
      <c r="W7" s="319">
        <f>IF(I7=0,"***",P7/I7)</f>
        <v/>
      </c>
      <c r="X7" s="320">
        <f>IF(J7=0,"***",Q7/J7)</f>
        <v/>
      </c>
      <c r="Y7" s="320">
        <f>IF(K7=0,"***",R7/K7)</f>
        <v/>
      </c>
      <c r="Z7" s="320">
        <f>IF(L7=0,"***",S7/L7)</f>
        <v/>
      </c>
      <c r="AA7" s="321">
        <f>IF(Y7="***","***",Z7-X7)</f>
        <v/>
      </c>
      <c r="AB7" s="320">
        <f>IF(Z7="***","***",Z7-X7)</f>
        <v/>
      </c>
      <c r="AC7" s="31" t="n"/>
    </row>
    <row r="8">
      <c r="D8" s="8" t="n"/>
      <c r="E8" s="9" t="n"/>
      <c r="F8" s="9" t="n"/>
      <c r="G8" s="32" t="n"/>
      <c r="H8" s="34" t="inlineStr">
        <is>
          <t>機械</t>
        </is>
      </c>
      <c r="I8" s="322" t="n">
        <v>7717.633</v>
      </c>
      <c r="J8" s="323" t="n">
        <v>1450.405</v>
      </c>
      <c r="K8" s="324" t="n">
        <v>4000</v>
      </c>
      <c r="L8" s="323" t="n">
        <v>1103.275</v>
      </c>
      <c r="M8" s="325">
        <f>L8-K8</f>
        <v/>
      </c>
      <c r="N8" s="325">
        <f>L8-J8</f>
        <v/>
      </c>
      <c r="O8" s="326">
        <f>IF(J8=0,"***",N8/J8)</f>
        <v/>
      </c>
      <c r="P8" s="327" t="n">
        <v>1664.71</v>
      </c>
      <c r="Q8" s="328" t="n">
        <v>433.454</v>
      </c>
      <c r="R8" s="324" t="n">
        <v>640</v>
      </c>
      <c r="S8" s="328" t="n">
        <v>259.615</v>
      </c>
      <c r="T8" s="325">
        <f>S8-R8</f>
        <v/>
      </c>
      <c r="U8" s="325">
        <f>S8-Q8</f>
        <v/>
      </c>
      <c r="V8" s="326">
        <f>IF(Q8=0,"***",U8/Q8)</f>
        <v/>
      </c>
      <c r="W8" s="329">
        <f>IF(I8=0,"***",P8/I8)</f>
        <v/>
      </c>
      <c r="X8" s="330">
        <f>IF(J8=0,"***",Q8/J8)</f>
        <v/>
      </c>
      <c r="Y8" s="330">
        <f>IF(K8=0,"***",R8/K8)</f>
        <v/>
      </c>
      <c r="Z8" s="330">
        <f>IF(L8=0,"***",S8/L8)</f>
        <v/>
      </c>
      <c r="AA8" s="331">
        <f>IF(Y8="***","***",Z8-X8)</f>
        <v/>
      </c>
      <c r="AB8" s="330">
        <f>IF(Z8="***","***",Z8-X8)</f>
        <v/>
      </c>
      <c r="AC8" s="45" t="n"/>
    </row>
    <row r="9">
      <c r="D9" s="8" t="n"/>
      <c r="E9" s="9" t="n"/>
      <c r="F9" s="46" t="n"/>
      <c r="G9" s="47" t="inlineStr">
        <is>
          <t>自治体</t>
        </is>
      </c>
      <c r="H9" s="48" t="n"/>
      <c r="I9" s="332" t="n">
        <v>15.3</v>
      </c>
      <c r="J9" s="333" t="n">
        <v>16.8</v>
      </c>
      <c r="K9" s="334" t="n">
        <v>1340</v>
      </c>
      <c r="L9" s="333" t="n">
        <v>0</v>
      </c>
      <c r="M9" s="335">
        <f>L9-K9</f>
        <v/>
      </c>
      <c r="N9" s="335">
        <f>L9-J9</f>
        <v/>
      </c>
      <c r="O9" s="336">
        <f>IF(J9=0,"***",N9/J9)</f>
        <v/>
      </c>
      <c r="P9" s="337" t="n">
        <v>2.5</v>
      </c>
      <c r="Q9" s="338" t="n">
        <v>3.8</v>
      </c>
      <c r="R9" s="334" t="n">
        <v>210</v>
      </c>
      <c r="S9" s="338" t="n">
        <v>0</v>
      </c>
      <c r="T9" s="335">
        <f>S9-R9</f>
        <v/>
      </c>
      <c r="U9" s="335">
        <f>S9-Q9</f>
        <v/>
      </c>
      <c r="V9" s="336">
        <f>IF(Q9=0,"***",U9/Q9)</f>
        <v/>
      </c>
      <c r="W9" s="339">
        <f>IF(I9=0,"***",P9/I9)</f>
        <v/>
      </c>
      <c r="X9" s="340">
        <f>IF(J9=0,"***",Q9/J9)</f>
        <v/>
      </c>
      <c r="Y9" s="340">
        <f>IF(K9=0,"***",R9/K9)</f>
        <v/>
      </c>
      <c r="Z9" s="340">
        <f>IF(L9=0,"***",S9/L9)</f>
        <v/>
      </c>
      <c r="AA9" s="341">
        <f>IF(Y9="***","***",Z9-X9)</f>
        <v/>
      </c>
      <c r="AB9" s="340">
        <f>IF(Z9="***","***",Z9-X9)</f>
        <v/>
      </c>
      <c r="AC9" s="59" t="n"/>
    </row>
    <row r="10">
      <c r="D10" s="8" t="n"/>
      <c r="E10" s="9" t="n"/>
      <c r="F10" s="60" t="inlineStr">
        <is>
          <t>下関営業所</t>
        </is>
      </c>
      <c r="G10" s="5" t="n"/>
      <c r="H10" s="61" t="n"/>
      <c r="I10" s="342" t="n">
        <v>45316.337</v>
      </c>
      <c r="J10" s="343" t="n">
        <v>46644.164</v>
      </c>
      <c r="K10" s="344" t="n">
        <v>47000</v>
      </c>
      <c r="L10" s="343" t="n">
        <v>50561.591</v>
      </c>
      <c r="M10" s="345">
        <f>L10-K10</f>
        <v/>
      </c>
      <c r="N10" s="345">
        <f>L10-J10</f>
        <v/>
      </c>
      <c r="O10" s="346">
        <f>IF(J10=0,"***",N10/J10)</f>
        <v/>
      </c>
      <c r="P10" s="342" t="n">
        <v>9137.833000000001</v>
      </c>
      <c r="Q10" s="343" t="n">
        <v>9710.074000000001</v>
      </c>
      <c r="R10" s="344" t="n">
        <v>9750</v>
      </c>
      <c r="S10" s="343" t="n">
        <v>10623.712</v>
      </c>
      <c r="T10" s="345">
        <f>S10-R10</f>
        <v/>
      </c>
      <c r="U10" s="345">
        <f>S10-Q10</f>
        <v/>
      </c>
      <c r="V10" s="346">
        <f>IF(Q10=0,"***",U10/Q10)</f>
        <v/>
      </c>
      <c r="W10" s="347">
        <f>IF(I10=0,"***",P10/I10)</f>
        <v/>
      </c>
      <c r="X10" s="348">
        <f>IF(J10=0,"***",Q10/J10)</f>
        <v/>
      </c>
      <c r="Y10" s="348">
        <f>IF(K10=0,"***",R10/K10)</f>
        <v/>
      </c>
      <c r="Z10" s="348">
        <f>IF(L10=0,"***",S10/L10)</f>
        <v/>
      </c>
      <c r="AA10" s="349">
        <f>IF(Y10="***","***",Z10-X10)</f>
        <v/>
      </c>
      <c r="AB10" s="348">
        <f>IF(Z10="***","***",Z10-X10)</f>
        <v/>
      </c>
      <c r="AC10" s="70" t="n"/>
    </row>
    <row r="11">
      <c r="D11" s="8" t="n"/>
      <c r="E11" s="9" t="n"/>
      <c r="F11" s="9" t="n"/>
      <c r="G11" s="22" t="inlineStr">
        <is>
          <t>営業</t>
        </is>
      </c>
      <c r="H11" s="23" t="n"/>
      <c r="I11" s="314">
        <f>I10-I15-I14</f>
        <v/>
      </c>
      <c r="J11" s="315">
        <f>J10-J15-J14</f>
        <v/>
      </c>
      <c r="K11" s="316">
        <f>K10-K15-K14</f>
        <v/>
      </c>
      <c r="L11" s="315">
        <f>L10-L15-L14</f>
        <v/>
      </c>
      <c r="M11" s="317">
        <f>L11-K11</f>
        <v/>
      </c>
      <c r="N11" s="317">
        <f>L11-J11</f>
        <v/>
      </c>
      <c r="O11" s="318">
        <f>IF(J11=0,"***",N11/J11)</f>
        <v/>
      </c>
      <c r="P11" s="314">
        <f>P10-P15-P14</f>
        <v/>
      </c>
      <c r="Q11" s="315">
        <f>Q10-Q15-Q14</f>
        <v/>
      </c>
      <c r="R11" s="316">
        <f>R10-R15-R14</f>
        <v/>
      </c>
      <c r="S11" s="315">
        <f>S10-S15-S14</f>
        <v/>
      </c>
      <c r="T11" s="317">
        <f>S11-R11</f>
        <v/>
      </c>
      <c r="U11" s="317">
        <f>S11-Q11</f>
        <v/>
      </c>
      <c r="V11" s="318">
        <f>IF(Q11=0,"***",U11/Q11)</f>
        <v/>
      </c>
      <c r="W11" s="319">
        <f>IF(I11=0,"***",P11/I11)</f>
        <v/>
      </c>
      <c r="X11" s="320">
        <f>IF(J11=0,"***",Q11/J11)</f>
        <v/>
      </c>
      <c r="Y11" s="320">
        <f>IF(K11=0,"***",R11/K11)</f>
        <v/>
      </c>
      <c r="Z11" s="320">
        <f>IF(L11=0,"***",S11/L11)</f>
        <v/>
      </c>
      <c r="AA11" s="321">
        <f>IF(Y11="***","***",Z11-X11)</f>
        <v/>
      </c>
      <c r="AB11" s="320">
        <f>IF(Z11="***","***",Z11-X11)</f>
        <v/>
      </c>
      <c r="AC11" s="31" t="n"/>
    </row>
    <row r="12">
      <c r="D12" s="8" t="n"/>
      <c r="E12" s="9" t="n"/>
      <c r="F12" s="9" t="n"/>
      <c r="G12" s="71" t="n"/>
      <c r="H12" s="33" t="inlineStr">
        <is>
          <t>包装資材</t>
        </is>
      </c>
      <c r="I12" s="314">
        <f>I11-I13</f>
        <v/>
      </c>
      <c r="J12" s="315">
        <f>J11-J13</f>
        <v/>
      </c>
      <c r="K12" s="316">
        <f>K11-K13</f>
        <v/>
      </c>
      <c r="L12" s="315">
        <f>L11-L13</f>
        <v/>
      </c>
      <c r="M12" s="317">
        <f>L12-K12</f>
        <v/>
      </c>
      <c r="N12" s="317">
        <f>L12-J12</f>
        <v/>
      </c>
      <c r="O12" s="318">
        <f>IF(J12=0,"***",N12/J12)</f>
        <v/>
      </c>
      <c r="P12" s="314">
        <f>P11-P13</f>
        <v/>
      </c>
      <c r="Q12" s="315">
        <f>Q11-Q13</f>
        <v/>
      </c>
      <c r="R12" s="316">
        <f>R11-R13</f>
        <v/>
      </c>
      <c r="S12" s="315">
        <f>S11-S13</f>
        <v/>
      </c>
      <c r="T12" s="317">
        <f>S12-R12</f>
        <v/>
      </c>
      <c r="U12" s="317">
        <f>S12-Q12</f>
        <v/>
      </c>
      <c r="V12" s="318">
        <f>IF(Q12=0,"***",U12/Q12)</f>
        <v/>
      </c>
      <c r="W12" s="319">
        <f>IF(I12=0,"***",P12/I12)</f>
        <v/>
      </c>
      <c r="X12" s="320">
        <f>IF(J12=0,"***",Q12/J12)</f>
        <v/>
      </c>
      <c r="Y12" s="320">
        <f>IF(K12=0,"***",R12/K12)</f>
        <v/>
      </c>
      <c r="Z12" s="320">
        <f>IF(L12=0,"***",S12/L12)</f>
        <v/>
      </c>
      <c r="AA12" s="321">
        <f>IF(Y12="***","***",Z12-X12)</f>
        <v/>
      </c>
      <c r="AB12" s="320">
        <f>IF(Z12="***","***",Z12-X12)</f>
        <v/>
      </c>
      <c r="AC12" s="31" t="n"/>
    </row>
    <row r="13">
      <c r="D13" s="8" t="n"/>
      <c r="E13" s="9" t="n"/>
      <c r="F13" s="9" t="n"/>
      <c r="G13" s="72" t="n"/>
      <c r="H13" s="34" t="inlineStr">
        <is>
          <t>機械</t>
        </is>
      </c>
      <c r="I13" s="350" t="n">
        <v>442</v>
      </c>
      <c r="J13" s="351" t="n">
        <v>519</v>
      </c>
      <c r="K13" s="316" t="n">
        <v>300</v>
      </c>
      <c r="L13" s="351" t="n">
        <v>1181.37</v>
      </c>
      <c r="M13" s="317">
        <f>L13-K13</f>
        <v/>
      </c>
      <c r="N13" s="317">
        <f>L13-J13</f>
        <v/>
      </c>
      <c r="O13" s="318">
        <f>IF(J13=0,"***",N13/J13)</f>
        <v/>
      </c>
      <c r="P13" s="350" t="n">
        <v>72</v>
      </c>
      <c r="Q13" s="351" t="n">
        <v>172</v>
      </c>
      <c r="R13" s="316" t="n">
        <v>50</v>
      </c>
      <c r="S13" s="351" t="n">
        <v>171.443</v>
      </c>
      <c r="T13" s="317">
        <f>S13-R13</f>
        <v/>
      </c>
      <c r="U13" s="317">
        <f>S13-Q13</f>
        <v/>
      </c>
      <c r="V13" s="318">
        <f>IF(Q13=0,"***",U13/Q13)</f>
        <v/>
      </c>
      <c r="W13" s="319">
        <f>IF(I13=0,"***",P13/I13)</f>
        <v/>
      </c>
      <c r="X13" s="320">
        <f>IF(J13=0,"***",Q13/J13)</f>
        <v/>
      </c>
      <c r="Y13" s="320">
        <f>IF(K13=0,"***",R13/K13)</f>
        <v/>
      </c>
      <c r="Z13" s="320">
        <f>IF(L13=0,"***",S13/L13)</f>
        <v/>
      </c>
      <c r="AA13" s="321">
        <f>IF(Y13="***","***",Z13-X13)</f>
        <v/>
      </c>
      <c r="AB13" s="320">
        <f>IF(Z13="***","***",Z13-X13)</f>
        <v/>
      </c>
      <c r="AC13" s="31" t="n"/>
    </row>
    <row r="14">
      <c r="D14" s="8" t="n"/>
      <c r="E14" s="9" t="n"/>
      <c r="F14" s="9" t="n"/>
      <c r="G14" s="75" t="inlineStr">
        <is>
          <t>自治体</t>
        </is>
      </c>
      <c r="H14" s="23" t="n"/>
      <c r="I14" s="352" t="n">
        <v>0</v>
      </c>
      <c r="J14" s="328" t="n">
        <v>107.5</v>
      </c>
      <c r="K14" s="324" t="n">
        <v>0</v>
      </c>
      <c r="L14" s="328" t="n">
        <v>0</v>
      </c>
      <c r="M14" s="325">
        <f>L14-K14</f>
        <v/>
      </c>
      <c r="N14" s="325">
        <f>L14-J14</f>
        <v/>
      </c>
      <c r="O14" s="326">
        <f>IF(J14=0,"***",N14/J14)</f>
        <v/>
      </c>
      <c r="P14" s="352" t="n">
        <v>0</v>
      </c>
      <c r="Q14" s="328" t="n">
        <v>3.6</v>
      </c>
      <c r="R14" s="324" t="n">
        <v>0</v>
      </c>
      <c r="S14" s="328" t="n">
        <v>0</v>
      </c>
      <c r="T14" s="325">
        <f>S14-R14</f>
        <v/>
      </c>
      <c r="U14" s="325">
        <f>S14-Q14</f>
        <v/>
      </c>
      <c r="V14" s="326">
        <f>IF(Q14=0,"***",U14/Q14)</f>
        <v/>
      </c>
      <c r="W14" s="329">
        <f>IF(I14=0,"***",P14/I14)</f>
        <v/>
      </c>
      <c r="X14" s="330">
        <f>IF(J14=0,"***",Q14/J14)</f>
        <v/>
      </c>
      <c r="Y14" s="330">
        <f>IF(K14=0,"***",R14/K14)</f>
        <v/>
      </c>
      <c r="Z14" s="330">
        <f>IF(L14=0,"***",S14/L14)</f>
        <v/>
      </c>
      <c r="AA14" s="331" t="n"/>
      <c r="AB14" s="330" t="n"/>
      <c r="AC14" s="45" t="n"/>
    </row>
    <row r="15">
      <c r="D15" s="8" t="n"/>
      <c r="E15" s="9" t="n"/>
      <c r="F15" s="46" t="n"/>
      <c r="G15" s="47" t="inlineStr">
        <is>
          <t>海外</t>
        </is>
      </c>
      <c r="H15" s="48" t="n"/>
      <c r="I15" s="353" t="n">
        <v>0</v>
      </c>
      <c r="J15" s="338" t="n">
        <v>0</v>
      </c>
      <c r="K15" s="334" t="n">
        <v>0</v>
      </c>
      <c r="L15" s="338" t="n">
        <v>0</v>
      </c>
      <c r="M15" s="335">
        <f>L15-K15</f>
        <v/>
      </c>
      <c r="N15" s="335">
        <f>L15-J15</f>
        <v/>
      </c>
      <c r="O15" s="336">
        <f>IF(J15=0,"***",N15/J15)</f>
        <v/>
      </c>
      <c r="P15" s="353" t="n">
        <v>0</v>
      </c>
      <c r="Q15" s="338" t="n">
        <v>0</v>
      </c>
      <c r="R15" s="334" t="n">
        <v>0</v>
      </c>
      <c r="S15" s="338" t="n">
        <v>0</v>
      </c>
      <c r="T15" s="335">
        <f>S15-R15</f>
        <v/>
      </c>
      <c r="U15" s="335">
        <f>S15-Q15</f>
        <v/>
      </c>
      <c r="V15" s="336">
        <f>IF(Q15=0,"***",U15/Q15)</f>
        <v/>
      </c>
      <c r="W15" s="339">
        <f>IF(I15=0,"***",P15/I15)</f>
        <v/>
      </c>
      <c r="X15" s="340">
        <f>IF(J15=0,"***",Q15/J15)</f>
        <v/>
      </c>
      <c r="Y15" s="340">
        <f>IF(K15=0,"***",R15/K15)</f>
        <v/>
      </c>
      <c r="Z15" s="340">
        <f>IF(L15=0,"***",S15/L15)</f>
        <v/>
      </c>
      <c r="AA15" s="341">
        <f>IF(Y15="***","***",Z15-X15)</f>
        <v/>
      </c>
      <c r="AB15" s="340">
        <f>IF(Z15="***","***",Z15-X15)</f>
        <v/>
      </c>
      <c r="AC15" s="59" t="n"/>
    </row>
    <row r="16">
      <c r="D16" s="8" t="n"/>
      <c r="E16" s="9" t="n"/>
      <c r="F16" s="60" t="inlineStr">
        <is>
          <t>松江営業所</t>
        </is>
      </c>
      <c r="G16" s="5" t="n"/>
      <c r="H16" s="61" t="n"/>
      <c r="I16" s="305" t="n">
        <v>27604.262</v>
      </c>
      <c r="J16" s="306" t="n">
        <v>29162.289</v>
      </c>
      <c r="K16" s="307" t="n">
        <v>31450</v>
      </c>
      <c r="L16" s="306" t="n">
        <v>39461.68</v>
      </c>
      <c r="M16" s="308">
        <f>L16-K16</f>
        <v/>
      </c>
      <c r="N16" s="308">
        <f>L16-J16</f>
        <v/>
      </c>
      <c r="O16" s="309">
        <f>IF(J16=0,"***",N16/J16)</f>
        <v/>
      </c>
      <c r="P16" s="305" t="n">
        <v>6506.135</v>
      </c>
      <c r="Q16" s="306" t="n">
        <v>7508.645</v>
      </c>
      <c r="R16" s="307" t="n">
        <v>7770</v>
      </c>
      <c r="S16" s="306" t="n">
        <v>10096.258</v>
      </c>
      <c r="T16" s="308">
        <f>S16-R16</f>
        <v/>
      </c>
      <c r="U16" s="308">
        <f>S16-Q16</f>
        <v/>
      </c>
      <c r="V16" s="309">
        <f>IF(Q16=0,"***",U16/Q16)</f>
        <v/>
      </c>
      <c r="W16" s="311">
        <f>IF(I16=0,"***",P16/I16)</f>
        <v/>
      </c>
      <c r="X16" s="312">
        <f>IF(J16=0,"***",Q16/J16)</f>
        <v/>
      </c>
      <c r="Y16" s="312">
        <f>IF(K16=0,"***",R16/K16)</f>
        <v/>
      </c>
      <c r="Z16" s="312">
        <f>IF(L16=0,"***",S16/L16)</f>
        <v/>
      </c>
      <c r="AA16" s="312">
        <f>IF(Y16="***","***",Z16-X16)</f>
        <v/>
      </c>
      <c r="AB16" s="312">
        <f>IF(Z16="***","***",Z16-X16)</f>
        <v/>
      </c>
      <c r="AC16" s="21" t="n"/>
    </row>
    <row r="17">
      <c r="D17" s="8" t="n"/>
      <c r="E17" s="9" t="n"/>
      <c r="F17" s="9" t="n"/>
      <c r="G17" s="22" t="inlineStr">
        <is>
          <t>営業</t>
        </is>
      </c>
      <c r="H17" s="23" t="n"/>
      <c r="I17" s="314">
        <f>I16-I20</f>
        <v/>
      </c>
      <c r="J17" s="315">
        <f>J16-J20</f>
        <v/>
      </c>
      <c r="K17" s="316">
        <f>K16-K20</f>
        <v/>
      </c>
      <c r="L17" s="315">
        <f>L16-L20</f>
        <v/>
      </c>
      <c r="M17" s="317">
        <f>L17-K17</f>
        <v/>
      </c>
      <c r="N17" s="317">
        <f>L17-J17</f>
        <v/>
      </c>
      <c r="O17" s="318">
        <f>IF(J17=0,"***",N17/J17)</f>
        <v/>
      </c>
      <c r="P17" s="314">
        <f>P16-P20</f>
        <v/>
      </c>
      <c r="Q17" s="315">
        <f>Q16-Q20</f>
        <v/>
      </c>
      <c r="R17" s="316">
        <f>R16-R20</f>
        <v/>
      </c>
      <c r="S17" s="315">
        <f>S16-S20</f>
        <v/>
      </c>
      <c r="T17" s="317">
        <f>S17-R17</f>
        <v/>
      </c>
      <c r="U17" s="317">
        <f>S17-Q17</f>
        <v/>
      </c>
      <c r="V17" s="318">
        <f>IF(Q17=0,"***",U17/Q17)</f>
        <v/>
      </c>
      <c r="W17" s="319">
        <f>IF(I17=0,"***",P17/I17)</f>
        <v/>
      </c>
      <c r="X17" s="320">
        <f>IF(J17=0,"***",Q17/J17)</f>
        <v/>
      </c>
      <c r="Y17" s="320">
        <f>IF(K17=0,"***",R17/K17)</f>
        <v/>
      </c>
      <c r="Z17" s="320">
        <f>IF(L17=0,"***",S17/L17)</f>
        <v/>
      </c>
      <c r="AA17" s="320">
        <f>IF(Y17="***","***",Z17-X17)</f>
        <v/>
      </c>
      <c r="AB17" s="320">
        <f>IF(Z17="***","***",Z17-X17)</f>
        <v/>
      </c>
      <c r="AC17" s="31" t="n"/>
    </row>
    <row r="18">
      <c r="D18" s="8" t="n"/>
      <c r="E18" s="9" t="n"/>
      <c r="F18" s="9" t="n"/>
      <c r="G18" s="32" t="n"/>
      <c r="H18" s="33" t="inlineStr">
        <is>
          <t>包装資材</t>
        </is>
      </c>
      <c r="I18" s="314">
        <f>I17-I19</f>
        <v/>
      </c>
      <c r="J18" s="315">
        <f>J17-J19</f>
        <v/>
      </c>
      <c r="K18" s="316">
        <f>K17-K19</f>
        <v/>
      </c>
      <c r="L18" s="315">
        <f>L17-L19</f>
        <v/>
      </c>
      <c r="M18" s="317">
        <f>L18-K18</f>
        <v/>
      </c>
      <c r="N18" s="317">
        <f>L18-J18</f>
        <v/>
      </c>
      <c r="O18" s="318">
        <f>IF(J18=0,"***",N18/J18)</f>
        <v/>
      </c>
      <c r="P18" s="314">
        <f>P17-P19</f>
        <v/>
      </c>
      <c r="Q18" s="315">
        <f>Q17-Q19</f>
        <v/>
      </c>
      <c r="R18" s="316">
        <f>R17-R19</f>
        <v/>
      </c>
      <c r="S18" s="315">
        <f>S17-S19</f>
        <v/>
      </c>
      <c r="T18" s="317">
        <f>S18-R18</f>
        <v/>
      </c>
      <c r="U18" s="317">
        <f>S18-Q18</f>
        <v/>
      </c>
      <c r="V18" s="318">
        <f>IF(Q18=0,"***",U18/Q18)</f>
        <v/>
      </c>
      <c r="W18" s="319">
        <f>IF(I18=0,"***",P18/I18)</f>
        <v/>
      </c>
      <c r="X18" s="320">
        <f>IF(J18=0,"***",Q18/J18)</f>
        <v/>
      </c>
      <c r="Y18" s="320">
        <f>IF(K18=0,"***",R18/K18)</f>
        <v/>
      </c>
      <c r="Z18" s="320">
        <f>IF(L18=0,"***",S18/L18)</f>
        <v/>
      </c>
      <c r="AA18" s="320">
        <f>IF(Y18="***","***",Z18-X18)</f>
        <v/>
      </c>
      <c r="AB18" s="320">
        <f>IF(Z18="***","***",Z18-X18)</f>
        <v/>
      </c>
      <c r="AC18" s="31" t="n"/>
    </row>
    <row r="19">
      <c r="D19" s="8" t="n"/>
      <c r="E19" s="9" t="n"/>
      <c r="F19" s="9" t="n"/>
      <c r="G19" s="32" t="n"/>
      <c r="H19" s="34" t="inlineStr">
        <is>
          <t>機械</t>
        </is>
      </c>
      <c r="I19" s="354" t="n">
        <v>165</v>
      </c>
      <c r="J19" s="355" t="n">
        <v>476</v>
      </c>
      <c r="K19" s="80" t="n">
        <v>1400</v>
      </c>
      <c r="L19" s="355" t="n">
        <v>892.11</v>
      </c>
      <c r="M19" s="317">
        <f>L19-K19</f>
        <v/>
      </c>
      <c r="N19" s="317">
        <f>L19-J19</f>
        <v/>
      </c>
      <c r="O19" s="318">
        <f>IF(J19=0,"***",N19/J19)</f>
        <v/>
      </c>
      <c r="P19" s="354" t="n">
        <v>27</v>
      </c>
      <c r="Q19" s="355" t="n">
        <v>60</v>
      </c>
      <c r="R19" s="80" t="n">
        <v>210</v>
      </c>
      <c r="S19" s="355" t="n">
        <v>212.242</v>
      </c>
      <c r="T19" s="317">
        <f>S19-R19</f>
        <v/>
      </c>
      <c r="U19" s="317">
        <f>S19-Q19</f>
        <v/>
      </c>
      <c r="V19" s="318">
        <f>IF(Q19=0,"***",U19/Q19)</f>
        <v/>
      </c>
      <c r="W19" s="319">
        <f>IF(I19=0,"***",P19/I19)</f>
        <v/>
      </c>
      <c r="X19" s="320">
        <f>IF(J19=0,"***",Q19/J19)</f>
        <v/>
      </c>
      <c r="Y19" s="320">
        <f>IF(K19=0,"***",R19/K19)</f>
        <v/>
      </c>
      <c r="Z19" s="320">
        <f>IF(L19=0,"***",S19/L19)</f>
        <v/>
      </c>
      <c r="AA19" s="320">
        <f>IF(Y19="***","***",Z19-X19)</f>
        <v/>
      </c>
      <c r="AB19" s="320">
        <f>IF(Z19="***","***",Z19-X19)</f>
        <v/>
      </c>
      <c r="AC19" s="31" t="n"/>
    </row>
    <row r="20">
      <c r="D20" s="8" t="n"/>
      <c r="E20" s="9" t="n"/>
      <c r="F20" s="46" t="n"/>
      <c r="G20" s="47" t="inlineStr">
        <is>
          <t>自治体</t>
        </is>
      </c>
      <c r="H20" s="48" t="n"/>
      <c r="I20" s="332" t="n">
        <v>0</v>
      </c>
      <c r="J20" s="333" t="n">
        <v>0</v>
      </c>
      <c r="K20" s="334" t="n">
        <v>0</v>
      </c>
      <c r="L20" s="333" t="n">
        <v>0</v>
      </c>
      <c r="M20" s="335">
        <f>L20-K20</f>
        <v/>
      </c>
      <c r="N20" s="335">
        <f>L20-J20</f>
        <v/>
      </c>
      <c r="O20" s="336">
        <f>IF(J20=0,"***",N20/J20)</f>
        <v/>
      </c>
      <c r="P20" s="332" t="n">
        <v>0</v>
      </c>
      <c r="Q20" s="333" t="n">
        <v>0</v>
      </c>
      <c r="R20" s="334" t="n">
        <v>0</v>
      </c>
      <c r="S20" s="333" t="n">
        <v>0</v>
      </c>
      <c r="T20" s="335">
        <f>S20-R20</f>
        <v/>
      </c>
      <c r="U20" s="335">
        <f>S20-Q20</f>
        <v/>
      </c>
      <c r="V20" s="336">
        <f>IF(Q20=0,"***",U20/Q20)</f>
        <v/>
      </c>
      <c r="W20" s="339">
        <f>IF(I20=0,"***",P20/I20)</f>
        <v/>
      </c>
      <c r="X20" s="340">
        <f>IF(J20=0,"***",Q20/J20)</f>
        <v/>
      </c>
      <c r="Y20" s="340">
        <f>IF(K20=0,"***",R20/K20)</f>
        <v/>
      </c>
      <c r="Z20" s="340">
        <f>IF(L20=0,"***",S20/L20)</f>
        <v/>
      </c>
      <c r="AA20" s="340">
        <f>IF(Y20="***","***",Z20-X20)</f>
        <v/>
      </c>
      <c r="AB20" s="340">
        <f>IF(Z20="***","***",Z20-X20)</f>
        <v/>
      </c>
      <c r="AC20" s="59" t="n"/>
    </row>
    <row r="21">
      <c r="D21" s="8" t="n"/>
      <c r="E21" s="9" t="n"/>
      <c r="F21" s="60" t="inlineStr">
        <is>
          <t>広域営業部</t>
        </is>
      </c>
      <c r="G21" s="5" t="n"/>
      <c r="H21" s="61" t="n"/>
      <c r="I21" s="356" t="n">
        <v>38324.3</v>
      </c>
      <c r="J21" s="357" t="n">
        <v>42304.502</v>
      </c>
      <c r="K21" s="307" t="n">
        <v>45930</v>
      </c>
      <c r="L21" s="357" t="n">
        <v>49015.626</v>
      </c>
      <c r="M21" s="308">
        <f>L21-K21</f>
        <v/>
      </c>
      <c r="N21" s="308">
        <f>L21-J21</f>
        <v/>
      </c>
      <c r="O21" s="309">
        <f>IF(J21=0,"***",N21/J21)</f>
        <v/>
      </c>
      <c r="P21" s="356" t="n">
        <v>5340.523</v>
      </c>
      <c r="Q21" s="357" t="n">
        <v>6644.144</v>
      </c>
      <c r="R21" s="307" t="n">
        <v>7020</v>
      </c>
      <c r="S21" s="357" t="n">
        <v>9481.314</v>
      </c>
      <c r="T21" s="308">
        <f>S21-R21</f>
        <v/>
      </c>
      <c r="U21" s="308">
        <f>S21-Q21</f>
        <v/>
      </c>
      <c r="V21" s="309">
        <f>IF(Q21=0,"***",U21/Q21)</f>
        <v/>
      </c>
      <c r="W21" s="319">
        <f>IF(I21=0,"***",P21/I21)</f>
        <v/>
      </c>
      <c r="X21" s="320">
        <f>IF(J21=0,"***",Q21/J21)</f>
        <v/>
      </c>
      <c r="Y21" s="320">
        <f>IF(K21=0,"***",R21/K21)</f>
        <v/>
      </c>
      <c r="Z21" s="320">
        <f>IF(L21=0,"***",S21/L21)</f>
        <v/>
      </c>
      <c r="AA21" s="320">
        <f>IF(Y21="***","***",Z21-X21)</f>
        <v/>
      </c>
      <c r="AB21" s="320">
        <f>IF(Z21="***","***",Z21-X21)</f>
        <v/>
      </c>
      <c r="AC21" s="21" t="n"/>
    </row>
    <row r="22">
      <c r="D22" s="8" t="n"/>
      <c r="E22" s="9" t="n"/>
      <c r="F22" s="9" t="n"/>
      <c r="H22" s="33" t="inlineStr">
        <is>
          <t>包装資材</t>
        </is>
      </c>
      <c r="I22" s="358">
        <f>I21-I23</f>
        <v/>
      </c>
      <c r="J22" s="315">
        <f>J21-J23</f>
        <v/>
      </c>
      <c r="K22" s="316">
        <f>K21-K23</f>
        <v/>
      </c>
      <c r="L22" s="315">
        <f>L21-L23</f>
        <v/>
      </c>
      <c r="M22" s="359">
        <f>L22-K22</f>
        <v/>
      </c>
      <c r="N22" s="359">
        <f>L22-J22</f>
        <v/>
      </c>
      <c r="O22" s="318">
        <f>IF(J22=0,"***",N22/J22)</f>
        <v/>
      </c>
      <c r="P22" s="314">
        <f>P21-P23</f>
        <v/>
      </c>
      <c r="Q22" s="315">
        <f>Q21-Q23</f>
        <v/>
      </c>
      <c r="R22" s="316">
        <f>R21-R23</f>
        <v/>
      </c>
      <c r="S22" s="315">
        <f>S21-S23</f>
        <v/>
      </c>
      <c r="T22" s="359">
        <f>S22-R22</f>
        <v/>
      </c>
      <c r="U22" s="359">
        <f>S22-Q22</f>
        <v/>
      </c>
      <c r="V22" s="318">
        <f>IF(Q22=0,"***",U22/Q22)</f>
        <v/>
      </c>
      <c r="W22" s="319">
        <f>IF(I22=0,"***",P22/I22)</f>
        <v/>
      </c>
      <c r="X22" s="320">
        <f>IF(J22=0,"***",Q22/J22)</f>
        <v/>
      </c>
      <c r="Y22" s="320">
        <f>IF(K22=0,"***",R22/K22)</f>
        <v/>
      </c>
      <c r="Z22" s="320">
        <f>IF(L22=0,"***",S22/L22)</f>
        <v/>
      </c>
      <c r="AA22" s="320">
        <f>IF(Y22="***","***",Z22-X22)</f>
        <v/>
      </c>
      <c r="AB22" s="320">
        <f>IF(Z22="***","***",Z22-X22)</f>
        <v/>
      </c>
      <c r="AC22" s="31" t="n"/>
    </row>
    <row r="23">
      <c r="D23" s="8" t="n"/>
      <c r="E23" s="9" t="n"/>
      <c r="F23" s="9" t="n"/>
      <c r="H23" s="34" t="inlineStr">
        <is>
          <t>機械</t>
        </is>
      </c>
      <c r="I23" s="358" t="n">
        <v>92</v>
      </c>
      <c r="J23" s="315" t="n">
        <v>95</v>
      </c>
      <c r="K23" s="316" t="n">
        <v>1000</v>
      </c>
      <c r="L23" s="315" t="n">
        <v>184.66</v>
      </c>
      <c r="M23" s="359">
        <f>L23-K23</f>
        <v/>
      </c>
      <c r="N23" s="359">
        <f>L23-J23</f>
        <v/>
      </c>
      <c r="O23" s="318">
        <f>IF(J23=0,"***",N23/J23)</f>
        <v/>
      </c>
      <c r="P23" s="314" t="n">
        <v>12</v>
      </c>
      <c r="Q23" s="315" t="n">
        <v>17</v>
      </c>
      <c r="R23" s="316" t="n">
        <v>110</v>
      </c>
      <c r="S23" s="315" t="n">
        <v>27.21</v>
      </c>
      <c r="T23" s="359">
        <f>S23-R23</f>
        <v/>
      </c>
      <c r="U23" s="359">
        <f>S23-Q23</f>
        <v/>
      </c>
      <c r="V23" s="318">
        <f>IF(Q23=0,"***",U23/Q23)</f>
        <v/>
      </c>
      <c r="W23" s="319">
        <f>IF(I23=0,"***",P23/I23)</f>
        <v/>
      </c>
      <c r="X23" s="320">
        <f>IF(J23=0,"***",Q23/J23)</f>
        <v/>
      </c>
      <c r="Y23" s="320">
        <f>IF(K23=0,"***",R23/K23)</f>
        <v/>
      </c>
      <c r="Z23" s="320">
        <f>IF(L23=0,"***",S23/L23)</f>
        <v/>
      </c>
      <c r="AA23" s="320">
        <f>IF(Y23="***","***",Z23-X23)</f>
        <v/>
      </c>
      <c r="AB23" s="320">
        <f>IF(Z23="***","***",Z23-X23)</f>
        <v/>
      </c>
      <c r="AC23" s="31" t="n"/>
    </row>
    <row r="24">
      <c r="D24" s="8" t="n"/>
      <c r="E24" s="9" t="n"/>
      <c r="F24" s="9" t="n"/>
      <c r="G24" s="22" t="inlineStr">
        <is>
          <t>リンガーハット</t>
        </is>
      </c>
      <c r="H24" s="23" t="n"/>
      <c r="I24" s="354" t="n">
        <v>29746.479</v>
      </c>
      <c r="J24" s="355" t="n">
        <v>30161.422</v>
      </c>
      <c r="K24" s="316" t="n">
        <v>30057.686</v>
      </c>
      <c r="L24" s="355" t="n">
        <v>35234.444</v>
      </c>
      <c r="M24" s="359">
        <f>L24-K24</f>
        <v/>
      </c>
      <c r="N24" s="359">
        <f>L24-J24</f>
        <v/>
      </c>
      <c r="O24" s="318">
        <f>IF(J24=0,"***",N24/J24)</f>
        <v/>
      </c>
      <c r="P24" s="350" t="n">
        <v>3940.045</v>
      </c>
      <c r="Q24" s="351" t="n">
        <v>4536.108</v>
      </c>
      <c r="R24" s="316" t="n">
        <v>4387.092</v>
      </c>
      <c r="S24" s="351" t="n">
        <v>7259.191</v>
      </c>
      <c r="T24" s="359">
        <f>S24-R24</f>
        <v/>
      </c>
      <c r="U24" s="359">
        <f>S24-Q24</f>
        <v/>
      </c>
      <c r="V24" s="318">
        <f>IF(Q24=0,"***",U24/Q24)</f>
        <v/>
      </c>
      <c r="W24" s="319">
        <f>IF(I24=0,"***",P24/I24)</f>
        <v/>
      </c>
      <c r="X24" s="320">
        <f>IF(J24=0,"***",Q24/J24)</f>
        <v/>
      </c>
      <c r="Y24" s="320">
        <f>IF(K24=0,"***",R24/K24)</f>
        <v/>
      </c>
      <c r="Z24" s="320">
        <f>IF(L24=0,"***",S24/L24)</f>
        <v/>
      </c>
      <c r="AA24" s="320">
        <f>IF(Y24="***","***",Z24-X24)</f>
        <v/>
      </c>
      <c r="AB24" s="320">
        <f>IF(Z24="***","***",Z24-X24)</f>
        <v/>
      </c>
      <c r="AC24" s="31" t="n"/>
    </row>
    <row r="25">
      <c r="D25" s="8" t="n"/>
      <c r="E25" s="9" t="n"/>
      <c r="F25" s="9" t="n"/>
      <c r="G25" s="32" t="n"/>
      <c r="H25" s="33" t="inlineStr">
        <is>
          <t>包装資材</t>
        </is>
      </c>
      <c r="I25" s="314">
        <f>I24-I26</f>
        <v/>
      </c>
      <c r="J25" s="315">
        <f>J24-J26</f>
        <v/>
      </c>
      <c r="K25" s="316">
        <f>K24-K26</f>
        <v/>
      </c>
      <c r="L25" s="315">
        <f>L24-L26</f>
        <v/>
      </c>
      <c r="M25" s="359">
        <f>L25-K25</f>
        <v/>
      </c>
      <c r="N25" s="359">
        <f>L25-J25</f>
        <v/>
      </c>
      <c r="O25" s="318">
        <f>IF(J25=0,"***",N25/J25)</f>
        <v/>
      </c>
      <c r="P25" s="314">
        <f>P24-P26</f>
        <v/>
      </c>
      <c r="Q25" s="315">
        <f>Q24-Q26</f>
        <v/>
      </c>
      <c r="R25" s="316">
        <f>R24-R26</f>
        <v/>
      </c>
      <c r="S25" s="315">
        <f>S24-S26</f>
        <v/>
      </c>
      <c r="T25" s="359">
        <f>S25-R25</f>
        <v/>
      </c>
      <c r="U25" s="359">
        <f>S25-Q25</f>
        <v/>
      </c>
      <c r="V25" s="318">
        <f>IF(Q25=0,"***",U25/Q25)</f>
        <v/>
      </c>
      <c r="W25" s="319">
        <f>IF(I25=0,"***",P25/I25)</f>
        <v/>
      </c>
      <c r="X25" s="320">
        <f>IF(J25=0,"***",Q25/J25)</f>
        <v/>
      </c>
      <c r="Y25" s="320">
        <f>IF(K25=0,"***",R25/K25)</f>
        <v/>
      </c>
      <c r="Z25" s="320">
        <f>IF(L25=0,"***",S25/L25)</f>
        <v/>
      </c>
      <c r="AA25" s="320">
        <f>IF(Y25="***","***",Z25-X25)</f>
        <v/>
      </c>
      <c r="AB25" s="320">
        <f>IF(Z25="***","***",Z25-X25)</f>
        <v/>
      </c>
      <c r="AC25" s="31" t="n"/>
    </row>
    <row r="26">
      <c r="D26" s="8" t="n"/>
      <c r="E26" s="9" t="n"/>
      <c r="F26" s="9" t="n"/>
      <c r="G26" s="32" t="n"/>
      <c r="H26" s="34" t="inlineStr">
        <is>
          <t>機械</t>
        </is>
      </c>
      <c r="I26" s="354" t="n">
        <v>46</v>
      </c>
      <c r="J26" s="355" t="n">
        <v>77</v>
      </c>
      <c r="K26" s="316" t="n">
        <v>69.25</v>
      </c>
      <c r="L26" s="355" t="n">
        <v>46.2</v>
      </c>
      <c r="M26" s="359">
        <f>L26-K26</f>
        <v/>
      </c>
      <c r="N26" s="359">
        <f>L26-J26</f>
        <v/>
      </c>
      <c r="O26" s="318">
        <f>IF(J26=0,"***",N26/J26)</f>
        <v/>
      </c>
      <c r="P26" s="354" t="n">
        <v>5</v>
      </c>
      <c r="Q26" s="355" t="n">
        <v>45</v>
      </c>
      <c r="R26" s="316" t="n">
        <v>35</v>
      </c>
      <c r="S26" s="355" t="n">
        <v>5</v>
      </c>
      <c r="T26" s="359">
        <f>S26-R26</f>
        <v/>
      </c>
      <c r="U26" s="359">
        <f>S26-Q26</f>
        <v/>
      </c>
      <c r="V26" s="318">
        <f>IF(Q26=0,"***",U26/Q26)</f>
        <v/>
      </c>
      <c r="W26" s="319">
        <f>IF(I26=0,"***",P26/I26)</f>
        <v/>
      </c>
      <c r="X26" s="320">
        <f>IF(J26=0,"***",Q26/J26)</f>
        <v/>
      </c>
      <c r="Y26" s="320">
        <f>IF(K26=0,"***",R26/K26)</f>
        <v/>
      </c>
      <c r="Z26" s="320">
        <f>IF(L26=0,"***",S26/L26)</f>
        <v/>
      </c>
      <c r="AA26" s="320">
        <f>IF(Y26="***","***",Z26-X26)</f>
        <v/>
      </c>
      <c r="AB26" s="320">
        <f>IF(Z26="***","***",Z26-X26)</f>
        <v/>
      </c>
      <c r="AC26" s="31" t="n"/>
    </row>
    <row r="27">
      <c r="D27" s="8" t="n"/>
      <c r="E27" s="9" t="n"/>
      <c r="F27" s="9" t="n"/>
      <c r="G27" s="22" t="inlineStr">
        <is>
          <t>リンガーハット以外</t>
        </is>
      </c>
      <c r="H27" s="23" t="n"/>
      <c r="I27" s="360">
        <f>I21-I24</f>
        <v/>
      </c>
      <c r="J27" s="316">
        <f>J21-J24</f>
        <v/>
      </c>
      <c r="K27" s="316">
        <f>K21-K24</f>
        <v/>
      </c>
      <c r="L27" s="316">
        <f>L21-L24</f>
        <v/>
      </c>
      <c r="M27" s="361">
        <f>L27-K27</f>
        <v/>
      </c>
      <c r="N27" s="361">
        <f>L27-J27</f>
        <v/>
      </c>
      <c r="O27" s="362">
        <f>IF(J27=0,"***",N27/J27)</f>
        <v/>
      </c>
      <c r="P27" s="360">
        <f>P21-P24</f>
        <v/>
      </c>
      <c r="Q27" s="316">
        <f>Q21-Q24</f>
        <v/>
      </c>
      <c r="R27" s="316">
        <f>R21-R24</f>
        <v/>
      </c>
      <c r="S27" s="316">
        <f>S21-S24</f>
        <v/>
      </c>
      <c r="T27" s="359">
        <f>S27-R27</f>
        <v/>
      </c>
      <c r="U27" s="359">
        <f>S27-Q27</f>
        <v/>
      </c>
      <c r="V27" s="318">
        <f>IF(Q27=0,"***",U27/Q27)</f>
        <v/>
      </c>
      <c r="W27" s="319">
        <f>IF(I27=0,"***",P27/I27)</f>
        <v/>
      </c>
      <c r="X27" s="320">
        <f>IF(J27=0,"***",Q27/J27)</f>
        <v/>
      </c>
      <c r="Y27" s="320">
        <f>IF(K27=0,"***",R27/K27)</f>
        <v/>
      </c>
      <c r="Z27" s="320">
        <f>IF(L27=0,"***",S27/L27)</f>
        <v/>
      </c>
      <c r="AA27" s="320">
        <f>IF(Y27="***","***",Z27-X27)</f>
        <v/>
      </c>
      <c r="AB27" s="320">
        <f>IF(Z27="***","***",Z27-X27)</f>
        <v/>
      </c>
      <c r="AC27" s="31" t="n"/>
    </row>
    <row r="28">
      <c r="D28" s="8" t="n"/>
      <c r="E28" s="9" t="n"/>
      <c r="F28" s="9" t="n"/>
      <c r="G28" s="32" t="n"/>
      <c r="H28" s="33" t="inlineStr">
        <is>
          <t>包装資材</t>
        </is>
      </c>
      <c r="I28" s="360">
        <f>I27-I29</f>
        <v/>
      </c>
      <c r="J28" s="316">
        <f>J27-J29</f>
        <v/>
      </c>
      <c r="K28" s="316">
        <f>K27-K29</f>
        <v/>
      </c>
      <c r="L28" s="316">
        <f>L27-L29</f>
        <v/>
      </c>
      <c r="M28" s="361">
        <f>L28-K28</f>
        <v/>
      </c>
      <c r="N28" s="361">
        <f>L28-J28</f>
        <v/>
      </c>
      <c r="O28" s="362">
        <f>IF(J28=0,"***",N28/J28)</f>
        <v/>
      </c>
      <c r="P28" s="360">
        <f>P27-P29</f>
        <v/>
      </c>
      <c r="Q28" s="316">
        <f>Q27-Q29</f>
        <v/>
      </c>
      <c r="R28" s="316">
        <f>R27-R29</f>
        <v/>
      </c>
      <c r="S28" s="316">
        <f>S27-S29</f>
        <v/>
      </c>
      <c r="T28" s="359">
        <f>S28-R28</f>
        <v/>
      </c>
      <c r="U28" s="359">
        <f>S28-Q28</f>
        <v/>
      </c>
      <c r="V28" s="318">
        <f>IF(Q28=0,"***",U28/Q28)</f>
        <v/>
      </c>
      <c r="W28" s="319">
        <f>IF(I28=0,"***",P28/I28)</f>
        <v/>
      </c>
      <c r="X28" s="320">
        <f>IF(J28=0,"***",Q28/J28)</f>
        <v/>
      </c>
      <c r="Y28" s="320">
        <f>IF(K28=0,"***",R28/K28)</f>
        <v/>
      </c>
      <c r="Z28" s="320">
        <f>IF(L28=0,"***",S28/L28)</f>
        <v/>
      </c>
      <c r="AA28" s="320">
        <f>IF(Y28="***","***",Z28-X28)</f>
        <v/>
      </c>
      <c r="AB28" s="320">
        <f>IF(Z28="***","***",Z28-X28)</f>
        <v/>
      </c>
      <c r="AC28" s="31" t="n"/>
    </row>
    <row r="29">
      <c r="D29" s="8" t="n"/>
      <c r="E29" s="9" t="n"/>
      <c r="F29" s="86" t="n"/>
      <c r="G29" s="87" t="n"/>
      <c r="H29" s="33" t="inlineStr">
        <is>
          <t>機械</t>
        </is>
      </c>
      <c r="I29" s="363">
        <f>I23-I26</f>
        <v/>
      </c>
      <c r="J29" s="334">
        <f>J23-J26</f>
        <v/>
      </c>
      <c r="K29" s="334">
        <f>K23-K26</f>
        <v/>
      </c>
      <c r="L29" s="334">
        <f>L23-L26</f>
        <v/>
      </c>
      <c r="M29" s="364">
        <f>L29-K29</f>
        <v/>
      </c>
      <c r="N29" s="364">
        <f>L29-J29</f>
        <v/>
      </c>
      <c r="O29" s="365">
        <f>IF(J29=0,"***",N29/J29)</f>
        <v/>
      </c>
      <c r="P29" s="363">
        <f>P23-P26</f>
        <v/>
      </c>
      <c r="Q29" s="334">
        <f>Q23-Q26</f>
        <v/>
      </c>
      <c r="R29" s="334">
        <f>R23-R26</f>
        <v/>
      </c>
      <c r="S29" s="334">
        <f>S23-S26</f>
        <v/>
      </c>
      <c r="T29" s="366">
        <f>S29-R29</f>
        <v/>
      </c>
      <c r="U29" s="366">
        <f>S29-Q29</f>
        <v/>
      </c>
      <c r="V29" s="336">
        <f>IF(Q29=0,"***",U29/Q29)</f>
        <v/>
      </c>
      <c r="W29" s="339">
        <f>IF(I29=0,"***",P29/I29)</f>
        <v/>
      </c>
      <c r="X29" s="340">
        <f>IF(J29=0,"***",Q29/J29)</f>
        <v/>
      </c>
      <c r="Y29" s="340">
        <f>IF(K29=0,"***",R29/K29)</f>
        <v/>
      </c>
      <c r="Z29" s="340">
        <f>IF(L29=0,"***",S29/L29)</f>
        <v/>
      </c>
      <c r="AA29" s="340">
        <f>IF(Y29="***","***",Z29-X29)</f>
        <v/>
      </c>
      <c r="AB29" s="340">
        <f>IF(Z29="***","***",Z29-X29)</f>
        <v/>
      </c>
      <c r="AC29" s="59" t="n"/>
    </row>
    <row r="30">
      <c r="D30" s="8" t="n"/>
      <c r="E30" s="9" t="n"/>
      <c r="F30" s="60" t="inlineStr">
        <is>
          <t>境港営業所</t>
        </is>
      </c>
      <c r="G30" s="5" t="n"/>
      <c r="H30" s="61" t="n"/>
      <c r="I30" s="367" t="n">
        <v>42847.416</v>
      </c>
      <c r="J30" s="306" t="n">
        <v>51531.491</v>
      </c>
      <c r="K30" s="307" t="n">
        <v>56000</v>
      </c>
      <c r="L30" s="306" t="n">
        <v>57288.249</v>
      </c>
      <c r="M30" s="308">
        <f>L30-K30</f>
        <v/>
      </c>
      <c r="N30" s="308">
        <f>L30-J30</f>
        <v/>
      </c>
      <c r="O30" s="309">
        <f>IF(J30=0,"***",N30/J30)</f>
        <v/>
      </c>
      <c r="P30" s="310" t="n">
        <v>7855.741</v>
      </c>
      <c r="Q30" s="368" t="n">
        <v>10585.565</v>
      </c>
      <c r="R30" s="307" t="n">
        <v>11390</v>
      </c>
      <c r="S30" s="368" t="n">
        <v>11130.032</v>
      </c>
      <c r="T30" s="308">
        <f>S30-R30</f>
        <v/>
      </c>
      <c r="U30" s="308">
        <f>S30-Q30</f>
        <v/>
      </c>
      <c r="V30" s="309">
        <f>IF(Q30=0,"***",U30/Q30)</f>
        <v/>
      </c>
      <c r="W30" s="311">
        <f>IF(I30=0,"***",P30/I30)</f>
        <v/>
      </c>
      <c r="X30" s="312">
        <f>IF(J30=0,"***",Q30/J30)</f>
        <v/>
      </c>
      <c r="Y30" s="312">
        <f>IF(K30=0,"***",R30/K30)</f>
        <v/>
      </c>
      <c r="Z30" s="312">
        <f>IF(L30=0,"***",S30/L30)</f>
        <v/>
      </c>
      <c r="AA30" s="313">
        <f>IF(Y30="***","***",Z30-X30)</f>
        <v/>
      </c>
      <c r="AB30" s="312">
        <f>IF(Z30="***","***",Z30-X30)</f>
        <v/>
      </c>
      <c r="AC30" s="21" t="n"/>
    </row>
    <row r="31">
      <c r="D31" s="8" t="n"/>
      <c r="E31" s="9" t="n"/>
      <c r="F31" s="9" t="n"/>
      <c r="G31" s="22" t="inlineStr">
        <is>
          <t>営業</t>
        </is>
      </c>
      <c r="H31" s="23" t="n"/>
      <c r="I31" s="314">
        <f>I30-I35-I34</f>
        <v/>
      </c>
      <c r="J31" s="315">
        <f>J30-J35-J34</f>
        <v/>
      </c>
      <c r="K31" s="316">
        <f>K30-K35-K34</f>
        <v/>
      </c>
      <c r="L31" s="315">
        <f>L30-L35-L34</f>
        <v/>
      </c>
      <c r="M31" s="317">
        <f>L31-K31</f>
        <v/>
      </c>
      <c r="N31" s="317">
        <f>L31-J31</f>
        <v/>
      </c>
      <c r="O31" s="318">
        <f>IF(J31=0,"***",N31/J31)</f>
        <v/>
      </c>
      <c r="P31" s="369">
        <f>P30-P35-P34</f>
        <v/>
      </c>
      <c r="Q31" s="315">
        <f>Q30-Q35-Q34</f>
        <v/>
      </c>
      <c r="R31" s="316">
        <f>R30-R35-R34</f>
        <v/>
      </c>
      <c r="S31" s="315">
        <f>S30-S35-S34</f>
        <v/>
      </c>
      <c r="T31" s="317">
        <f>S31-R31</f>
        <v/>
      </c>
      <c r="U31" s="317">
        <f>S31-Q31</f>
        <v/>
      </c>
      <c r="V31" s="318">
        <f>IF(Q31=0,"***",U31/Q31)</f>
        <v/>
      </c>
      <c r="W31" s="319">
        <f>IF(I31=0,"***",P31/I31)</f>
        <v/>
      </c>
      <c r="X31" s="320">
        <f>IF(J31=0,"***",Q31/J31)</f>
        <v/>
      </c>
      <c r="Y31" s="320">
        <f>IF(K31=0,"***",R31/K31)</f>
        <v/>
      </c>
      <c r="Z31" s="320">
        <f>IF(L31=0,"***",S31/L31)</f>
        <v/>
      </c>
      <c r="AA31" s="321">
        <f>IF(Y31="***","***",Z31-X31)</f>
        <v/>
      </c>
      <c r="AB31" s="320">
        <f>IF(Z31="***","***",Z31-X31)</f>
        <v/>
      </c>
      <c r="AC31" s="31" t="n"/>
    </row>
    <row r="32">
      <c r="D32" s="8" t="n"/>
      <c r="E32" s="9" t="n"/>
      <c r="F32" s="9" t="n"/>
      <c r="G32" s="32" t="n"/>
      <c r="H32" s="33" t="inlineStr">
        <is>
          <t>包装資材</t>
        </is>
      </c>
      <c r="I32" s="314">
        <f>I31-I33</f>
        <v/>
      </c>
      <c r="J32" s="315">
        <f>J31-J33</f>
        <v/>
      </c>
      <c r="K32" s="316">
        <f>K31-K33</f>
        <v/>
      </c>
      <c r="L32" s="315">
        <f>L31-L33</f>
        <v/>
      </c>
      <c r="M32" s="317">
        <f>L32-K32</f>
        <v/>
      </c>
      <c r="N32" s="317">
        <f>L32-J32</f>
        <v/>
      </c>
      <c r="O32" s="318">
        <f>IF(J32=0,"***",N32/J32)</f>
        <v/>
      </c>
      <c r="P32" s="369">
        <f>P31-P33</f>
        <v/>
      </c>
      <c r="Q32" s="315">
        <f>Q31-Q33</f>
        <v/>
      </c>
      <c r="R32" s="316">
        <f>R31-R33</f>
        <v/>
      </c>
      <c r="S32" s="315">
        <f>S31-S33</f>
        <v/>
      </c>
      <c r="T32" s="317">
        <f>S32-R32</f>
        <v/>
      </c>
      <c r="U32" s="317">
        <f>S32-Q32</f>
        <v/>
      </c>
      <c r="V32" s="318">
        <f>IF(Q32=0,"***",U32/Q32)</f>
        <v/>
      </c>
      <c r="W32" s="319">
        <f>IF(I32=0,"***",P32/I32)</f>
        <v/>
      </c>
      <c r="X32" s="320">
        <f>IF(J32=0,"***",Q32/J32)</f>
        <v/>
      </c>
      <c r="Y32" s="320">
        <f>IF(K32=0,"***",R32/K32)</f>
        <v/>
      </c>
      <c r="Z32" s="320">
        <f>IF(L32=0,"***",S32/L32)</f>
        <v/>
      </c>
      <c r="AA32" s="321">
        <f>IF(Y32="***","***",Z32-X32)</f>
        <v/>
      </c>
      <c r="AB32" s="320">
        <f>IF(Z32="***","***",Z32-X32)</f>
        <v/>
      </c>
      <c r="AC32" s="31" t="n"/>
    </row>
    <row r="33">
      <c r="D33" s="8" t="n"/>
      <c r="E33" s="9" t="n"/>
      <c r="F33" s="9" t="n"/>
      <c r="G33" s="32" t="n"/>
      <c r="H33" s="34" t="inlineStr">
        <is>
          <t>機械</t>
        </is>
      </c>
      <c r="I33" s="354" t="n">
        <v>2422</v>
      </c>
      <c r="J33" s="355" t="n">
        <v>7489</v>
      </c>
      <c r="K33" s="316" t="n">
        <v>8100</v>
      </c>
      <c r="L33" s="355" t="n">
        <v>3988.655</v>
      </c>
      <c r="M33" s="317">
        <f>L33-K33</f>
        <v/>
      </c>
      <c r="N33" s="317">
        <f>L33-J33</f>
        <v/>
      </c>
      <c r="O33" s="318">
        <f>IF(J33=0,"***",N33/J33)</f>
        <v/>
      </c>
      <c r="P33" s="370" t="n">
        <v>749</v>
      </c>
      <c r="Q33" s="351" t="n">
        <v>2041</v>
      </c>
      <c r="R33" s="316" t="n">
        <v>1800</v>
      </c>
      <c r="S33" s="351" t="n">
        <v>779.1</v>
      </c>
      <c r="T33" s="317">
        <f>S33-R33</f>
        <v/>
      </c>
      <c r="U33" s="317">
        <f>S33-Q33</f>
        <v/>
      </c>
      <c r="V33" s="318">
        <f>IF(Q33=0,"***",U33/Q33)</f>
        <v/>
      </c>
      <c r="W33" s="319">
        <f>IF(I33=0,"***",P33/I33)</f>
        <v/>
      </c>
      <c r="X33" s="320">
        <f>IF(J33=0,"***",Q33/J33)</f>
        <v/>
      </c>
      <c r="Y33" s="320">
        <f>IF(K33=0,"***",R33/K33)</f>
        <v/>
      </c>
      <c r="Z33" s="320">
        <f>IF(L33=0,"***",S33/L33)</f>
        <v/>
      </c>
      <c r="AA33" s="321">
        <f>IF(Y33="***","***",Z33-X33)</f>
        <v/>
      </c>
      <c r="AB33" s="320">
        <f>IF(Z33="***","***",Z33-X33)</f>
        <v/>
      </c>
      <c r="AC33" s="31" t="n"/>
    </row>
    <row r="34">
      <c r="D34" s="8" t="n"/>
      <c r="E34" s="9" t="n"/>
      <c r="F34" s="9" t="n"/>
      <c r="G34" s="95" t="inlineStr">
        <is>
          <t>自治体</t>
        </is>
      </c>
      <c r="H34" s="23" t="n"/>
      <c r="I34" s="322" t="n">
        <v>0</v>
      </c>
      <c r="J34" s="323" t="n">
        <v>0</v>
      </c>
      <c r="K34" s="324" t="n">
        <v>0</v>
      </c>
      <c r="L34" s="323" t="n">
        <v>0</v>
      </c>
      <c r="M34" s="325">
        <f>L34-K34</f>
        <v/>
      </c>
      <c r="N34" s="325">
        <f>L34-J34</f>
        <v/>
      </c>
      <c r="O34" s="326">
        <f>IF(J34=0,"***",N34/J34)</f>
        <v/>
      </c>
      <c r="P34" s="327" t="n">
        <v>0</v>
      </c>
      <c r="Q34" s="328" t="n">
        <v>0</v>
      </c>
      <c r="R34" s="324" t="n">
        <v>0</v>
      </c>
      <c r="S34" s="328" t="n">
        <v>0</v>
      </c>
      <c r="T34" s="325">
        <f>S34-R34</f>
        <v/>
      </c>
      <c r="U34" s="325">
        <f>S34-Q34</f>
        <v/>
      </c>
      <c r="V34" s="326">
        <f>IF(Q34=0,"***",U34/Q34)</f>
        <v/>
      </c>
      <c r="W34" s="329">
        <f>IF(I34=0,"***",P34/I34)</f>
        <v/>
      </c>
      <c r="X34" s="330">
        <f>IF(J34=0,"***",Q34/J34)</f>
        <v/>
      </c>
      <c r="Y34" s="330">
        <f>IF(K34=0,"***",R34/K34)</f>
        <v/>
      </c>
      <c r="Z34" s="330">
        <f>IF(L34=0,"***",S34/L34)</f>
        <v/>
      </c>
      <c r="AA34" s="331">
        <f>IF(Y34="***","***",Z34-X34)</f>
        <v/>
      </c>
      <c r="AB34" s="330">
        <f>IF(Z34="***","***",Z34-X34)</f>
        <v/>
      </c>
      <c r="AC34" s="45" t="n"/>
    </row>
    <row r="35">
      <c r="D35" s="8" t="n"/>
      <c r="E35" s="9" t="n"/>
      <c r="F35" s="9" t="n"/>
      <c r="G35" s="22" t="inlineStr">
        <is>
          <t>海外</t>
        </is>
      </c>
      <c r="H35" s="23" t="n"/>
      <c r="I35" s="332" t="n">
        <v>1452.4</v>
      </c>
      <c r="J35" s="333" t="n">
        <v>604.22</v>
      </c>
      <c r="K35" s="334" t="n">
        <v>1390</v>
      </c>
      <c r="L35" s="333" t="n">
        <v>130.06</v>
      </c>
      <c r="M35" s="335">
        <f>L35-K35</f>
        <v/>
      </c>
      <c r="N35" s="335">
        <f>L35-J35</f>
        <v/>
      </c>
      <c r="O35" s="336">
        <f>IF(J35=0,"***",N35/J35)</f>
        <v/>
      </c>
      <c r="P35" s="371" t="n">
        <v>218.502</v>
      </c>
      <c r="Q35" s="338" t="n">
        <v>117.704</v>
      </c>
      <c r="R35" s="334" t="n">
        <v>230</v>
      </c>
      <c r="S35" s="372" t="n">
        <v>29.11</v>
      </c>
      <c r="T35" s="335">
        <f>S35-R35</f>
        <v/>
      </c>
      <c r="U35" s="335">
        <f>S35-Q35</f>
        <v/>
      </c>
      <c r="V35" s="336">
        <f>IF(Q35=0,"***",U35/Q35)</f>
        <v/>
      </c>
      <c r="W35" s="339">
        <f>IF(I35=0,"***",P35/I35)</f>
        <v/>
      </c>
      <c r="X35" s="340">
        <f>IF(J35=0,"***",Q35/J35)</f>
        <v/>
      </c>
      <c r="Y35" s="340">
        <f>IF(K35=0,"***",R35/K35)</f>
        <v/>
      </c>
      <c r="Z35" s="340">
        <f>IF(L35=0,"***",S35/L35)</f>
        <v/>
      </c>
      <c r="AA35" s="341">
        <f>IF(Y35="***","***",Z35-X35)</f>
        <v/>
      </c>
      <c r="AB35" s="340">
        <f>IF(Z35="***","***",Z35-X35)</f>
        <v/>
      </c>
      <c r="AC35" s="59" t="n"/>
    </row>
    <row r="36">
      <c r="D36" s="8" t="n"/>
      <c r="E36" s="10" t="inlineStr">
        <is>
          <t>営業部門合計</t>
        </is>
      </c>
      <c r="F36" s="5" t="n"/>
      <c r="G36" s="5" t="n"/>
      <c r="H36" s="61" t="n"/>
      <c r="I36" s="373">
        <f>I30+I21+I16+I10+I5</f>
        <v/>
      </c>
      <c r="J36" s="373">
        <f>J30+J21+J16+J10+J5</f>
        <v/>
      </c>
      <c r="K36" s="307">
        <f>K30+K21+K16+K10+K5</f>
        <v/>
      </c>
      <c r="L36" s="357">
        <f>L30+L21+L16+L10+L5</f>
        <v/>
      </c>
      <c r="M36" s="359">
        <f>L36-K36</f>
        <v/>
      </c>
      <c r="N36" s="359">
        <f>L36-J36</f>
        <v/>
      </c>
      <c r="O36" s="318">
        <f>IF(J36=0,"***",N36/J36)</f>
        <v/>
      </c>
      <c r="P36" s="356">
        <f>P30+P21+P16+P10+P5</f>
        <v/>
      </c>
      <c r="Q36" s="357">
        <f>Q30+Q21+Q16+Q10+Q5</f>
        <v/>
      </c>
      <c r="R36" s="307">
        <f>R30+R21+R16+R10+R5</f>
        <v/>
      </c>
      <c r="S36" s="357">
        <f>S30+S21+S16+S10+S5</f>
        <v/>
      </c>
      <c r="T36" s="374">
        <f>S36-R36</f>
        <v/>
      </c>
      <c r="U36" s="374">
        <f>S36-Q36</f>
        <v/>
      </c>
      <c r="V36" s="309">
        <f>IF(Q36=0,"***",U36/Q36)</f>
        <v/>
      </c>
      <c r="W36" s="311">
        <f>IF(I36=0,"***",P36/I36)</f>
        <v/>
      </c>
      <c r="X36" s="312">
        <f>IF(J36=0,"***",Q36/J36)</f>
        <v/>
      </c>
      <c r="Y36" s="312">
        <f>IF(K36=0,"***",R36/K36)</f>
        <v/>
      </c>
      <c r="Z36" s="312">
        <f>IF(L36=0,"***",S36/L36)</f>
        <v/>
      </c>
      <c r="AA36" s="312">
        <f>IF(Y36="***","***",Z36-X36)</f>
        <v/>
      </c>
      <c r="AB36" s="312">
        <f>IF(Z36="***","***",Z36-X36)</f>
        <v/>
      </c>
      <c r="AC36" s="375" t="n"/>
    </row>
    <row r="37">
      <c r="D37" s="8" t="n"/>
      <c r="E37" s="9" t="n"/>
      <c r="H37" s="33" t="inlineStr">
        <is>
          <t>機械以外</t>
        </is>
      </c>
      <c r="I37" s="315">
        <f>I36-I38-I39-I40</f>
        <v/>
      </c>
      <c r="J37" s="315">
        <f>J36-J38-J39-J40</f>
        <v/>
      </c>
      <c r="K37" s="316">
        <f>K36-K38-K39-K40</f>
        <v/>
      </c>
      <c r="L37" s="315">
        <f>L36-L38-L39-L40</f>
        <v/>
      </c>
      <c r="M37" s="359">
        <f>L37-K37</f>
        <v/>
      </c>
      <c r="N37" s="359">
        <f>L37-J37</f>
        <v/>
      </c>
      <c r="O37" s="318">
        <f>IF(J37=0,"***",N37/J37)</f>
        <v/>
      </c>
      <c r="P37" s="314">
        <f>P36-P38-P39-P40</f>
        <v/>
      </c>
      <c r="Q37" s="315">
        <f>Q36-Q38-Q39-Q40</f>
        <v/>
      </c>
      <c r="R37" s="316">
        <f>R36-R38-R39-R40</f>
        <v/>
      </c>
      <c r="S37" s="315">
        <f>S36-S38-S39-S40</f>
        <v/>
      </c>
      <c r="T37" s="359">
        <f>S37-R37</f>
        <v/>
      </c>
      <c r="U37" s="359">
        <f>S37-Q37</f>
        <v/>
      </c>
      <c r="V37" s="318">
        <f>IF(Q37=0,"***",U37/Q37)</f>
        <v/>
      </c>
      <c r="W37" s="319">
        <f>IF(I37=0,"***",P37/I37)</f>
        <v/>
      </c>
      <c r="X37" s="320">
        <f>IF(J37=0,"***",Q37/J37)</f>
        <v/>
      </c>
      <c r="Y37" s="320">
        <f>IF(K37=0,"***",R37/K37)</f>
        <v/>
      </c>
      <c r="Z37" s="320">
        <f>IF(L37=0,"***",S37/L37)</f>
        <v/>
      </c>
      <c r="AA37" s="320">
        <f>IF(Y37="***","***",Z37-X37)</f>
        <v/>
      </c>
      <c r="AB37" s="320">
        <f>IF(Z37="***","***",Z37-X37)</f>
        <v/>
      </c>
      <c r="AC37" s="376" t="n"/>
    </row>
    <row r="38">
      <c r="D38" s="8" t="n"/>
      <c r="E38" s="9" t="n"/>
      <c r="H38" s="34" t="inlineStr">
        <is>
          <t>機械</t>
        </is>
      </c>
      <c r="I38" s="314">
        <f>I33+I23+I19+I13+I8</f>
        <v/>
      </c>
      <c r="J38" s="315">
        <f>J33+J23+J19+J13+J8</f>
        <v/>
      </c>
      <c r="K38" s="316">
        <f>K33+K23+K19+K13+K8</f>
        <v/>
      </c>
      <c r="L38" s="315">
        <f>L33+L23+L19+L13+L8</f>
        <v/>
      </c>
      <c r="M38" s="359">
        <f>L38-K38</f>
        <v/>
      </c>
      <c r="N38" s="359">
        <f>L38-J38</f>
        <v/>
      </c>
      <c r="O38" s="318">
        <f>IF(J38=0,"***",N38/J38)</f>
        <v/>
      </c>
      <c r="P38" s="314">
        <f>P33+P23+P19+P13+P8</f>
        <v/>
      </c>
      <c r="Q38" s="315">
        <f>Q33+Q23+Q19+Q13+Q8</f>
        <v/>
      </c>
      <c r="R38" s="316">
        <f>R33+R23+R19+R13+R8</f>
        <v/>
      </c>
      <c r="S38" s="315">
        <f>S33+S23+S19+S13+S8</f>
        <v/>
      </c>
      <c r="T38" s="359">
        <f>S38-R38</f>
        <v/>
      </c>
      <c r="U38" s="359">
        <f>S38-Q38</f>
        <v/>
      </c>
      <c r="V38" s="318">
        <f>IF(Q38=0,"***",U38/Q38)</f>
        <v/>
      </c>
      <c r="W38" s="319">
        <f>IF(I38=0,"***",P38/I38)</f>
        <v/>
      </c>
      <c r="X38" s="320">
        <f>IF(J38=0,"***",Q38/J38)</f>
        <v/>
      </c>
      <c r="Y38" s="320">
        <f>IF(K38=0,"***",R38/K38)</f>
        <v/>
      </c>
      <c r="Z38" s="320">
        <f>IF(L38=0,"***",S38/L38)</f>
        <v/>
      </c>
      <c r="AA38" s="320">
        <f>IF(Y38="***","***",Z38-X38)</f>
        <v/>
      </c>
      <c r="AB38" s="320">
        <f>IF(Z38="***","***",Z38-X38)</f>
        <v/>
      </c>
      <c r="AC38" s="376" t="n"/>
    </row>
    <row r="39">
      <c r="D39" s="8" t="n"/>
      <c r="E39" s="9" t="n"/>
      <c r="H39" s="33" t="inlineStr">
        <is>
          <t>自治体</t>
        </is>
      </c>
      <c r="I39" s="314">
        <f>I34+I20+I14+I9</f>
        <v/>
      </c>
      <c r="J39" s="315">
        <f>J34+J20+J14+J9</f>
        <v/>
      </c>
      <c r="K39" s="316">
        <f>K34+K20+K14+K9</f>
        <v/>
      </c>
      <c r="L39" s="315">
        <f>L34+L20+L14+L9</f>
        <v/>
      </c>
      <c r="M39" s="359">
        <f>L39-K39</f>
        <v/>
      </c>
      <c r="N39" s="359">
        <f>L39-J39</f>
        <v/>
      </c>
      <c r="O39" s="318">
        <f>IF(J39=0,"***",N39/J39)</f>
        <v/>
      </c>
      <c r="P39" s="314">
        <f>P34+P20+P14+P9</f>
        <v/>
      </c>
      <c r="Q39" s="315">
        <f>Q34+Q20+Q14+Q9</f>
        <v/>
      </c>
      <c r="R39" s="316">
        <f>R34+R20+R14+R9</f>
        <v/>
      </c>
      <c r="S39" s="315">
        <f>S34+S20+S14+S9</f>
        <v/>
      </c>
      <c r="T39" s="359">
        <f>S39-R39</f>
        <v/>
      </c>
      <c r="U39" s="359">
        <f>S39-Q39</f>
        <v/>
      </c>
      <c r="V39" s="318">
        <f>IF(Q39=0,"***",U39/Q39)</f>
        <v/>
      </c>
      <c r="W39" s="319">
        <f>IF(I39=0,"***",P39/I39)</f>
        <v/>
      </c>
      <c r="X39" s="320">
        <f>IF(J39=0,"***",Q39/J39)</f>
        <v/>
      </c>
      <c r="Y39" s="320">
        <f>IF(K39=0,"***",R39/K39)</f>
        <v/>
      </c>
      <c r="Z39" s="320">
        <f>IF(L39=0,"***",S39/L39)</f>
        <v/>
      </c>
      <c r="AA39" s="320">
        <f>IF(Y39="***","***",Z39-X39)</f>
        <v/>
      </c>
      <c r="AB39" s="377">
        <f>IF(Z39="***","***",Z39-X39)</f>
        <v/>
      </c>
      <c r="AC39" s="376" t="n"/>
    </row>
    <row r="40">
      <c r="D40" s="8" t="n"/>
      <c r="E40" s="9" t="n"/>
      <c r="H40" s="103" t="inlineStr">
        <is>
          <t>海外</t>
        </is>
      </c>
      <c r="I40" s="378">
        <f>I35+I15</f>
        <v/>
      </c>
      <c r="J40" s="379">
        <f>J35+J15</f>
        <v/>
      </c>
      <c r="K40" s="334">
        <f>K35+K15</f>
        <v/>
      </c>
      <c r="L40" s="379">
        <f>L35+L15</f>
        <v/>
      </c>
      <c r="M40" s="366">
        <f>L40-K40</f>
        <v/>
      </c>
      <c r="N40" s="366">
        <f>L40-J40</f>
        <v/>
      </c>
      <c r="O40" s="336">
        <f>IF(J40=0,"***",N40/J40)</f>
        <v/>
      </c>
      <c r="P40" s="378">
        <f>P35+P15</f>
        <v/>
      </c>
      <c r="Q40" s="379">
        <f>Q35+Q15</f>
        <v/>
      </c>
      <c r="R40" s="334">
        <f>R35+R15</f>
        <v/>
      </c>
      <c r="S40" s="379">
        <f>S35+S15</f>
        <v/>
      </c>
      <c r="T40" s="366">
        <f>S40-R40</f>
        <v/>
      </c>
      <c r="U40" s="366">
        <f>S40-Q40</f>
        <v/>
      </c>
      <c r="V40" s="336">
        <f>IF(Q40=0,"***",U40/Q40)</f>
        <v/>
      </c>
      <c r="W40" s="339">
        <f>IF(I40=0,"***",P40/I40)</f>
        <v/>
      </c>
      <c r="X40" s="340">
        <f>IF(J40=0,"***",Q40/J40)</f>
        <v/>
      </c>
      <c r="Y40" s="340">
        <f>IF(K40=0,"***",R40/K40)</f>
        <v/>
      </c>
      <c r="Z40" s="340">
        <f>IF(L40=0,"***",S40/L40)</f>
        <v/>
      </c>
      <c r="AA40" s="340">
        <f>IF(Y40="***","***",Z40-X40)</f>
        <v/>
      </c>
      <c r="AB40" s="380">
        <f>IF(Z40="***","***",Z40-X40)</f>
        <v/>
      </c>
      <c r="AC40" s="381" t="n"/>
    </row>
    <row r="41">
      <c r="D41" s="8" t="n"/>
      <c r="E41" s="60" t="inlineStr">
        <is>
          <t>水産部</t>
        </is>
      </c>
      <c r="F41" s="5" t="n"/>
      <c r="G41" s="5" t="n"/>
      <c r="H41" s="5" t="n"/>
      <c r="I41" s="367" t="n">
        <v>24207.034</v>
      </c>
      <c r="J41" s="306" t="n">
        <v>30541.112</v>
      </c>
      <c r="K41" s="307" t="n">
        <v>33380</v>
      </c>
      <c r="L41" s="306" t="n">
        <v>34074.957</v>
      </c>
      <c r="M41" s="308">
        <f>L41-K41</f>
        <v/>
      </c>
      <c r="N41" s="308">
        <f>L41-J41</f>
        <v/>
      </c>
      <c r="O41" s="309">
        <f>IF(J41=0,"***",N41/J41)</f>
        <v/>
      </c>
      <c r="P41" s="367" t="n">
        <v>6086.468</v>
      </c>
      <c r="Q41" s="306" t="n">
        <v>9851.241</v>
      </c>
      <c r="R41" s="307" t="n">
        <v>10330</v>
      </c>
      <c r="S41" s="306" t="n">
        <v>9682.956</v>
      </c>
      <c r="T41" s="308">
        <f>S41-R41</f>
        <v/>
      </c>
      <c r="U41" s="308">
        <f>S41-Q41</f>
        <v/>
      </c>
      <c r="V41" s="309">
        <f>IF(Q41=0,"***",U41/Q41)</f>
        <v/>
      </c>
      <c r="W41" s="382">
        <f>IF(I41=0,"***",P41/I41)</f>
        <v/>
      </c>
      <c r="X41" s="383">
        <f>IF(J41=0,"***",Q41/J41)</f>
        <v/>
      </c>
      <c r="Y41" s="383">
        <f>IF(K41=0,"***",R41/K41)</f>
        <v/>
      </c>
      <c r="Z41" s="383">
        <f>IF(L41=0,"***",S41/L41)</f>
        <v/>
      </c>
      <c r="AA41" s="383">
        <f>IF(Y41="***","***",Z41-X41)</f>
        <v/>
      </c>
      <c r="AB41" s="384">
        <f>IF(Z41="***","***",Z41-X41)</f>
        <v/>
      </c>
      <c r="AC41" s="21" t="n"/>
    </row>
    <row r="42">
      <c r="D42" s="8" t="n"/>
      <c r="E42" s="9" t="n"/>
      <c r="H42" s="33" t="inlineStr">
        <is>
          <t>包装資材</t>
        </is>
      </c>
      <c r="I42" s="385">
        <f>I41-I43-I44</f>
        <v/>
      </c>
      <c r="J42" s="344">
        <f>J41-J43-J44</f>
        <v/>
      </c>
      <c r="K42" s="344">
        <f>K41-K43-K44</f>
        <v/>
      </c>
      <c r="L42" s="344">
        <f>L41-L43-L44</f>
        <v/>
      </c>
      <c r="M42" s="345">
        <f>L42-K42</f>
        <v/>
      </c>
      <c r="N42" s="345">
        <f>L42-J42</f>
        <v/>
      </c>
      <c r="O42" s="346">
        <f>IF(J42=0,"***",N42/J42)</f>
        <v/>
      </c>
      <c r="P42" s="385">
        <f>P41-P43-P44</f>
        <v/>
      </c>
      <c r="Q42" s="344">
        <f>Q41-Q43-Q44</f>
        <v/>
      </c>
      <c r="R42" s="344">
        <f>R41-R43-R44</f>
        <v/>
      </c>
      <c r="S42" s="344">
        <f>S41-S43-S44</f>
        <v/>
      </c>
      <c r="T42" s="345">
        <f>S42-R42</f>
        <v/>
      </c>
      <c r="U42" s="345">
        <f>S42-Q42</f>
        <v/>
      </c>
      <c r="V42" s="346">
        <f>IF(Q42=0,"***",U42/Q42)</f>
        <v/>
      </c>
      <c r="W42" s="386">
        <f>IF(I42=0,"***",P42/I42)</f>
        <v/>
      </c>
      <c r="X42" s="387">
        <f>IF(J42=0,"***",Q42/J42)</f>
        <v/>
      </c>
      <c r="Y42" s="387">
        <f>IF(K42=0,"***",R42/K42)</f>
        <v/>
      </c>
      <c r="Z42" s="387">
        <f>IF(L42=0,"***",S42/L42)</f>
        <v/>
      </c>
      <c r="AA42" s="387">
        <f>IF(Y42="***","***",Z42-X42)</f>
        <v/>
      </c>
      <c r="AB42" s="388">
        <f>IF(Z42="***","***",Z42-X42)</f>
        <v/>
      </c>
      <c r="AC42" s="389" t="n"/>
    </row>
    <row r="43">
      <c r="D43" s="8" t="n"/>
      <c r="E43" s="9" t="n"/>
      <c r="H43" s="34" t="inlineStr">
        <is>
          <t>荷役</t>
        </is>
      </c>
      <c r="I43" s="305" t="n">
        <v>4384.316</v>
      </c>
      <c r="J43" s="390" t="n">
        <v>6674.31</v>
      </c>
      <c r="K43" s="390" t="n">
        <v>8260</v>
      </c>
      <c r="L43" s="390" t="n">
        <v>7054.138</v>
      </c>
      <c r="M43" s="345">
        <f>L43-K43</f>
        <v/>
      </c>
      <c r="N43" s="345">
        <f>L43-J43</f>
        <v/>
      </c>
      <c r="O43" s="346">
        <f>IF(J43=0,"***",N43/J43)</f>
        <v/>
      </c>
      <c r="P43" s="305" t="n">
        <v>2682.293</v>
      </c>
      <c r="Q43" s="390" t="n">
        <v>4250.887</v>
      </c>
      <c r="R43" s="390" t="n">
        <v>5060</v>
      </c>
      <c r="S43" s="390" t="n">
        <v>4182.469</v>
      </c>
      <c r="T43" s="345">
        <f>S43-R43</f>
        <v/>
      </c>
      <c r="U43" s="345">
        <f>S43-Q43</f>
        <v/>
      </c>
      <c r="V43" s="346">
        <f>IF(Q43=0,"***",U43/Q43)</f>
        <v/>
      </c>
      <c r="W43" s="386">
        <f>IF(I43=0,"***",P43/I43)</f>
        <v/>
      </c>
      <c r="X43" s="387">
        <f>IF(J43=0,"***",Q43/J43)</f>
        <v/>
      </c>
      <c r="Y43" s="387">
        <f>IF(K43=0,"***",R43/K43)</f>
        <v/>
      </c>
      <c r="Z43" s="387">
        <f>IF(L43=0,"***",S43/L43)</f>
        <v/>
      </c>
      <c r="AA43" s="387" t="n"/>
      <c r="AB43" s="388" t="n"/>
      <c r="AC43" s="389" t="n"/>
    </row>
    <row r="44">
      <c r="D44" s="8" t="n"/>
      <c r="E44" s="46" t="n"/>
      <c r="F44" s="116" t="n"/>
      <c r="G44" s="116" t="n"/>
      <c r="H44" s="103" t="inlineStr">
        <is>
          <t>機械</t>
        </is>
      </c>
      <c r="I44" s="305" t="n">
        <v>2222.56</v>
      </c>
      <c r="J44" s="390" t="n">
        <v>76.3</v>
      </c>
      <c r="K44" s="390" t="n">
        <v>390</v>
      </c>
      <c r="L44" s="390" t="n">
        <v>242.24</v>
      </c>
      <c r="M44" s="345">
        <f>L44-K44</f>
        <v/>
      </c>
      <c r="N44" s="345">
        <f>L44-J44</f>
        <v/>
      </c>
      <c r="O44" s="346">
        <f>IF(J44=0,"***",N44/J44)</f>
        <v/>
      </c>
      <c r="P44" s="305" t="n">
        <v>440.665</v>
      </c>
      <c r="Q44" s="390" t="n">
        <v>24.7</v>
      </c>
      <c r="R44" s="390" t="n">
        <v>80</v>
      </c>
      <c r="S44" s="390" t="n">
        <v>39.5</v>
      </c>
      <c r="T44" s="345">
        <f>S44-R44</f>
        <v/>
      </c>
      <c r="U44" s="345">
        <f>S44-Q44</f>
        <v/>
      </c>
      <c r="V44" s="346">
        <f>IF(Q44=0,"***",U44/Q44)</f>
        <v/>
      </c>
      <c r="W44" s="386">
        <f>IF(I44=0,"***",P44/I44)</f>
        <v/>
      </c>
      <c r="X44" s="387">
        <f>IF(J44=0,"***",Q44/J44)</f>
        <v/>
      </c>
      <c r="Y44" s="387">
        <f>IF(K44=0,"***",R44/K44)</f>
        <v/>
      </c>
      <c r="Z44" s="387">
        <f>IF(L44=0,"***",S44/L44)</f>
        <v/>
      </c>
      <c r="AA44" s="387">
        <f>IF(Y44="***","***",Z44-X44)</f>
        <v/>
      </c>
      <c r="AB44" s="388">
        <f>IF(Z44="***","***",Z44-X44)</f>
        <v/>
      </c>
      <c r="AC44" s="389" t="n"/>
    </row>
    <row r="45">
      <c r="D45" s="117" t="inlineStr">
        <is>
          <t>合計</t>
        </is>
      </c>
      <c r="E45" s="118" t="n"/>
      <c r="F45" s="118" t="n"/>
      <c r="G45" s="118" t="n"/>
      <c r="H45" s="119" t="n"/>
      <c r="I45" s="391">
        <f>I41+I36</f>
        <v/>
      </c>
      <c r="J45" s="392">
        <f>J41+J36</f>
        <v/>
      </c>
      <c r="K45" s="393">
        <f>K41+K36</f>
        <v/>
      </c>
      <c r="L45" s="393">
        <f>L41+L36</f>
        <v/>
      </c>
      <c r="M45" s="394">
        <f>L45-K45</f>
        <v/>
      </c>
      <c r="N45" s="394">
        <f>L45-J45</f>
        <v/>
      </c>
      <c r="O45" s="395">
        <f>IF(J45=0,"***",N45/J45)</f>
        <v/>
      </c>
      <c r="P45" s="396">
        <f>P41+P36</f>
        <v/>
      </c>
      <c r="Q45" s="393">
        <f>Q41+Q36</f>
        <v/>
      </c>
      <c r="R45" s="393">
        <f>R41+R36</f>
        <v/>
      </c>
      <c r="S45" s="393">
        <f>S41+S36</f>
        <v/>
      </c>
      <c r="T45" s="394">
        <f>S45-R45</f>
        <v/>
      </c>
      <c r="U45" s="394">
        <f>S45-Q45</f>
        <v/>
      </c>
      <c r="V45" s="395">
        <f>IF(Q45=0,"***",U45/Q45)</f>
        <v/>
      </c>
      <c r="W45" s="397">
        <f>IF(I45=0,"***",P45/I45)</f>
        <v/>
      </c>
      <c r="X45" s="398">
        <f>IF(J45=0,"***",Q45/J45)</f>
        <v/>
      </c>
      <c r="Y45" s="398">
        <f>IF(K45=0,"***",R45/K45)</f>
        <v/>
      </c>
      <c r="Z45" s="398">
        <f>IF(L45=0,"***",S45/L45)</f>
        <v/>
      </c>
      <c r="AA45" s="398">
        <f>IF(Y45="***","***",Z45-X45)</f>
        <v/>
      </c>
      <c r="AB45" s="399">
        <f>IF(Z45="***","***",Z45-X45)</f>
        <v/>
      </c>
      <c r="AC45" s="400" t="n"/>
    </row>
    <row r="46">
      <c r="D46" s="8" t="n"/>
      <c r="E46" s="118" t="n"/>
      <c r="F46" s="118" t="n"/>
      <c r="G46" s="118" t="n"/>
      <c r="H46" s="130" t="inlineStr">
        <is>
          <t>機械以外</t>
        </is>
      </c>
      <c r="I46" s="401">
        <f>I45-I47</f>
        <v/>
      </c>
      <c r="J46" s="402">
        <f>J45-J47</f>
        <v/>
      </c>
      <c r="K46" s="403">
        <f>K45-K47</f>
        <v/>
      </c>
      <c r="L46" s="403">
        <f>L45-L47</f>
        <v/>
      </c>
      <c r="M46" s="404">
        <f>L46-K46</f>
        <v/>
      </c>
      <c r="N46" s="404">
        <f>L46-J46</f>
        <v/>
      </c>
      <c r="O46" s="405">
        <f>IF(J46=0,"***",N46/J46)</f>
        <v/>
      </c>
      <c r="P46" s="406">
        <f>P45-P47</f>
        <v/>
      </c>
      <c r="Q46" s="403">
        <f>Q45-Q47</f>
        <v/>
      </c>
      <c r="R46" s="403">
        <f>R45-R47</f>
        <v/>
      </c>
      <c r="S46" s="403">
        <f>S45-S47</f>
        <v/>
      </c>
      <c r="T46" s="404">
        <f>S46-R46</f>
        <v/>
      </c>
      <c r="U46" s="404">
        <f>S46-Q46</f>
        <v/>
      </c>
      <c r="V46" s="405">
        <f>IF(Q46=0,"***",U46/Q46)</f>
        <v/>
      </c>
      <c r="W46" s="407">
        <f>IF(I46=0,"***",P46/I46)</f>
        <v/>
      </c>
      <c r="X46" s="408">
        <f>IF(J46=0,"***",Q46/J46)</f>
        <v/>
      </c>
      <c r="Y46" s="408">
        <f>IF(K46=0,"***",R46/K46)</f>
        <v/>
      </c>
      <c r="Z46" s="408">
        <f>IF(L46=0,"***",S46/L46)</f>
        <v/>
      </c>
      <c r="AA46" s="408">
        <f>IF(Y46="***","***",Z46-X46)</f>
        <v/>
      </c>
      <c r="AB46" s="409">
        <f>IF(Z46="***","***",Z46-X46)</f>
        <v/>
      </c>
      <c r="AC46" s="410" t="n"/>
    </row>
    <row r="47">
      <c r="D47" s="8" t="n"/>
      <c r="E47" s="118" t="n"/>
      <c r="F47" s="118" t="n"/>
      <c r="G47" s="141" t="n"/>
      <c r="H47" s="130" t="inlineStr">
        <is>
          <t>機械</t>
        </is>
      </c>
      <c r="I47" s="411">
        <f>I38+I44</f>
        <v/>
      </c>
      <c r="J47" s="412">
        <f>J38+J44</f>
        <v/>
      </c>
      <c r="K47" s="412">
        <f>K38+K44</f>
        <v/>
      </c>
      <c r="L47" s="412">
        <f>L38+L44</f>
        <v/>
      </c>
      <c r="M47" s="413">
        <f>L47-K47</f>
        <v/>
      </c>
      <c r="N47" s="413">
        <f>L47-J47</f>
        <v/>
      </c>
      <c r="O47" s="414">
        <f>IF(J47=0,"***",N47/J47)</f>
        <v/>
      </c>
      <c r="P47" s="415">
        <f>P38+P44</f>
        <v/>
      </c>
      <c r="Q47" s="412">
        <f>Q38+Q44</f>
        <v/>
      </c>
      <c r="R47" s="412">
        <f>R38+R44</f>
        <v/>
      </c>
      <c r="S47" s="412">
        <f>S38+S44</f>
        <v/>
      </c>
      <c r="T47" s="413">
        <f>S47-R47</f>
        <v/>
      </c>
      <c r="U47" s="413">
        <f>S47-Q47</f>
        <v/>
      </c>
      <c r="V47" s="414">
        <f>IF(Q47=0,"***",U47/Q47)</f>
        <v/>
      </c>
      <c r="W47" s="416">
        <f>IF(I47=0,"***",P47/I47)</f>
        <v/>
      </c>
      <c r="X47" s="417">
        <f>IF(J47=0,"***",Q47/J47)</f>
        <v/>
      </c>
      <c r="Y47" s="417">
        <f>IF(K47=0,"***",R47/K47)</f>
        <v/>
      </c>
      <c r="Z47" s="417">
        <f>IF(L47=0,"***",S47/L47)</f>
        <v/>
      </c>
      <c r="AA47" s="417">
        <f>IF(Y47="***","***",Z47-X47)</f>
        <v/>
      </c>
      <c r="AB47" s="418">
        <f>IF(Z47="***","***",Z47-X47)</f>
        <v/>
      </c>
      <c r="AC47" s="419" t="n"/>
    </row>
    <row r="48">
      <c r="D48" s="8" t="n"/>
      <c r="E48" s="118" t="n"/>
      <c r="F48" s="118" t="n"/>
      <c r="G48" s="141" t="n"/>
      <c r="H48" s="130" t="inlineStr">
        <is>
          <t>自治体</t>
        </is>
      </c>
      <c r="I48" s="420">
        <f>I39</f>
        <v/>
      </c>
      <c r="J48" s="403">
        <f>J39</f>
        <v/>
      </c>
      <c r="K48" s="403">
        <f>K39</f>
        <v/>
      </c>
      <c r="L48" s="403">
        <f>L39</f>
        <v/>
      </c>
      <c r="M48" s="404">
        <f>L48-K48</f>
        <v/>
      </c>
      <c r="N48" s="404">
        <f>L48-J48</f>
        <v/>
      </c>
      <c r="O48" s="405">
        <f>IF(J48=0,"***",N48/J48)</f>
        <v/>
      </c>
      <c r="P48" s="406">
        <f>P39</f>
        <v/>
      </c>
      <c r="Q48" s="403">
        <f>Q39</f>
        <v/>
      </c>
      <c r="R48" s="403">
        <f>R39</f>
        <v/>
      </c>
      <c r="S48" s="403">
        <f>S39</f>
        <v/>
      </c>
      <c r="T48" s="404">
        <f>S48-R48</f>
        <v/>
      </c>
      <c r="U48" s="404">
        <f>S48-Q48</f>
        <v/>
      </c>
      <c r="V48" s="405">
        <f>IF(Q48=0,"***",U48/Q48)</f>
        <v/>
      </c>
      <c r="W48" s="407">
        <f>IF(I48=0,"***",P48/I48)</f>
        <v/>
      </c>
      <c r="X48" s="408">
        <f>IF(J48=0,"***",Q48/J48)</f>
        <v/>
      </c>
      <c r="Y48" s="408">
        <f>IF(K48=0,"***",R48/K48)</f>
        <v/>
      </c>
      <c r="Z48" s="408">
        <f>IF(L48=0,"***",S48/L48)</f>
        <v/>
      </c>
      <c r="AA48" s="408">
        <f>IF(Y48="***","***",Z48-X48)</f>
        <v/>
      </c>
      <c r="AB48" s="409">
        <f>IF(Z48="***","***",Z48-X48)</f>
        <v/>
      </c>
      <c r="AC48" s="410" t="n"/>
    </row>
    <row r="49">
      <c r="D49" s="152" t="n"/>
      <c r="E49" s="153" t="n"/>
      <c r="F49" s="153" t="n"/>
      <c r="G49" s="154" t="n"/>
      <c r="H49" s="155" t="inlineStr">
        <is>
          <t>海外</t>
        </is>
      </c>
      <c r="I49" s="421">
        <f>I40</f>
        <v/>
      </c>
      <c r="J49" s="422">
        <f>J40</f>
        <v/>
      </c>
      <c r="K49" s="422">
        <f>K40</f>
        <v/>
      </c>
      <c r="L49" s="422">
        <f>L40</f>
        <v/>
      </c>
      <c r="M49" s="423">
        <f>L49-K49</f>
        <v/>
      </c>
      <c r="N49" s="423">
        <f>L49-J49</f>
        <v/>
      </c>
      <c r="O49" s="424">
        <f>IF(J49=0,"***",N49/J49)</f>
        <v/>
      </c>
      <c r="P49" s="425">
        <f>P40</f>
        <v/>
      </c>
      <c r="Q49" s="422">
        <f>Q40</f>
        <v/>
      </c>
      <c r="R49" s="422">
        <f>R40</f>
        <v/>
      </c>
      <c r="S49" s="422">
        <f>S40</f>
        <v/>
      </c>
      <c r="T49" s="423">
        <f>S49-R49</f>
        <v/>
      </c>
      <c r="U49" s="423">
        <f>S49-Q49</f>
        <v/>
      </c>
      <c r="V49" s="424">
        <f>IF(Q49=0,"***",U49/Q49)</f>
        <v/>
      </c>
      <c r="W49" s="426">
        <f>IF(I49=0,"***",P49/I49)</f>
        <v/>
      </c>
      <c r="X49" s="427">
        <f>IF(J49=0,"***",Q49/J49)</f>
        <v/>
      </c>
      <c r="Y49" s="427">
        <f>IF(K49=0,"***",R49/K49)</f>
        <v/>
      </c>
      <c r="Z49" s="427">
        <f>IF(L49=0,"***",S49/L49)</f>
        <v/>
      </c>
      <c r="AA49" s="427">
        <f>IF(Y49="***","***",Z49-X49)</f>
        <v/>
      </c>
      <c r="AB49" s="428">
        <f>IF(Z49="***","***",Z49-X49)</f>
        <v/>
      </c>
      <c r="AC49" s="429" t="n"/>
    </row>
    <row r="50">
      <c r="D50" s="165" t="inlineStr">
        <is>
          <t>キョウワ（税抜）</t>
        </is>
      </c>
      <c r="E50" s="166" t="n"/>
      <c r="F50" s="166" t="n"/>
      <c r="G50" s="166" t="n"/>
      <c r="H50" s="47" t="n"/>
      <c r="I50" s="430" t="n">
        <v>2390</v>
      </c>
      <c r="J50" s="431" t="n">
        <v>2100</v>
      </c>
      <c r="K50" s="431" t="n">
        <v>2190</v>
      </c>
      <c r="L50" s="431" t="n">
        <v>2329</v>
      </c>
      <c r="M50" s="432">
        <f>L50-K50</f>
        <v/>
      </c>
      <c r="N50" s="432">
        <f>L50-J50</f>
        <v/>
      </c>
      <c r="O50" s="433">
        <f>IF(J50=0,"***",N50/J50)</f>
        <v/>
      </c>
      <c r="P50" s="430" t="n">
        <v>1080</v>
      </c>
      <c r="Q50" s="431" t="n">
        <v>1150</v>
      </c>
      <c r="R50" s="431" t="n">
        <v>1090</v>
      </c>
      <c r="S50" s="431" t="n">
        <v>1227</v>
      </c>
      <c r="T50" s="432">
        <f>S50-R50</f>
        <v/>
      </c>
      <c r="U50" s="432">
        <f>S50-Q50</f>
        <v/>
      </c>
      <c r="V50" s="433">
        <f>IF(Q50=0,"***",U50/Q50)</f>
        <v/>
      </c>
      <c r="W50" s="434">
        <f>IF(I50=0,"***",P50/I50)</f>
        <v/>
      </c>
      <c r="X50" s="435">
        <f>IF(J50=0,"***",Q50/J50)</f>
        <v/>
      </c>
      <c r="Y50" s="435">
        <f>IF(K50=0,"***",R50/K50)</f>
        <v/>
      </c>
      <c r="Z50" s="435">
        <f>IF(L50=0,"***",S50/L50)</f>
        <v/>
      </c>
      <c r="AA50" s="435">
        <f>IF(Y50="***","***",Z50-X50)</f>
        <v/>
      </c>
      <c r="AB50" s="433">
        <f>IF(Z50="***","***",Z50-X50)</f>
        <v/>
      </c>
      <c r="AC50" s="436" t="n"/>
    </row>
  </sheetData>
  <mergeCells count="14">
    <mergeCell ref="K3:K4"/>
    <mergeCell ref="AC3:AC4"/>
    <mergeCell ref="L3:L4"/>
    <mergeCell ref="P3:P4"/>
    <mergeCell ref="D3:H4"/>
    <mergeCell ref="Q3:Q4"/>
    <mergeCell ref="R3:R4"/>
    <mergeCell ref="I3:I4"/>
    <mergeCell ref="S3:S4"/>
    <mergeCell ref="X3:X4"/>
    <mergeCell ref="W3:W4"/>
    <mergeCell ref="Y3:Y4"/>
    <mergeCell ref="Z3:Z4"/>
    <mergeCell ref="J3:J4"/>
  </mergeCells>
  <pageMargins left="0.708333333333333" right="0.708333333333333" top="0.747916666666667" bottom="0.747916666666667" header="0.511811023622047" footer="0.511811023622047"/>
  <pageSetup orientation="landscape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C50"/>
  <sheetViews>
    <sheetView workbookViewId="0">
      <selection activeCell="K10" sqref="K10"/>
    </sheetView>
  </sheetViews>
  <sheetFormatPr baseColWidth="8" defaultColWidth="8.5" defaultRowHeight="18.75"/>
  <cols>
    <col width="2.375" customWidth="1" style="1" min="4" max="4"/>
    <col width="2.875" customWidth="1" style="1" min="5" max="5"/>
    <col width="3.125" customWidth="1" style="1" min="6" max="7"/>
    <col width="16" customWidth="1" style="1" min="8" max="8"/>
    <col width="8.5" customWidth="1" style="302" min="13" max="14"/>
    <col width="8.5" customWidth="1" style="302" min="20" max="21"/>
    <col width="60.5" customWidth="1" style="1" min="29" max="29"/>
  </cols>
  <sheetData>
    <row r="1" ht="23.25" customHeight="1" s="1">
      <c r="D1" s="2" t="inlineStr">
        <is>
          <t>1．単月</t>
        </is>
      </c>
    </row>
    <row r="2"/>
    <row r="3" ht="18.75" customHeight="1" s="1">
      <c r="D3" s="284" t="n"/>
      <c r="E3" s="285" t="n"/>
      <c r="F3" s="285" t="n"/>
      <c r="G3" s="285" t="n"/>
      <c r="H3" s="286" t="n"/>
      <c r="I3" s="282" t="inlineStr">
        <is>
          <t>2024年6月売上実績</t>
        </is>
      </c>
      <c r="J3" s="290" t="inlineStr">
        <is>
          <t>2025年6月売上実績</t>
        </is>
      </c>
      <c r="K3" s="292" t="inlineStr">
        <is>
          <t>2026年6月売上計画</t>
        </is>
      </c>
      <c r="L3" s="292" t="inlineStr">
        <is>
          <t>2026年6月売上実績</t>
        </is>
      </c>
      <c r="M3" s="303" t="n"/>
      <c r="N3" s="303" t="n"/>
      <c r="O3" s="4" t="n"/>
      <c r="P3" s="282" t="inlineStr">
        <is>
          <t>2024年6月粗利益実績</t>
        </is>
      </c>
      <c r="Q3" s="290" t="inlineStr">
        <is>
          <t>2025年6月粗利益実績</t>
        </is>
      </c>
      <c r="R3" s="292" t="inlineStr">
        <is>
          <t>2026年6月粗利益計画</t>
        </is>
      </c>
      <c r="S3" s="292" t="inlineStr">
        <is>
          <t>2026年6月粗利益実績</t>
        </is>
      </c>
      <c r="T3" s="303" t="n"/>
      <c r="U3" s="303" t="n"/>
      <c r="V3" s="4" t="n"/>
      <c r="W3" s="297" t="inlineStr">
        <is>
          <t>2024年6月粗利益率実績</t>
        </is>
      </c>
      <c r="X3" s="298" t="inlineStr">
        <is>
          <t>2025年6月粗利益率実績</t>
        </is>
      </c>
      <c r="Y3" s="294" t="inlineStr">
        <is>
          <t>2026年6月粗利益率計画</t>
        </is>
      </c>
      <c r="Z3" s="294" t="inlineStr">
        <is>
          <t>2026年6月粗利益率実績</t>
        </is>
      </c>
      <c r="AA3" s="5" t="n"/>
      <c r="AB3" s="5" t="n"/>
      <c r="AC3" s="295" t="inlineStr">
        <is>
          <t>作成根拠</t>
        </is>
      </c>
    </row>
    <row r="4">
      <c r="D4" s="287" t="n"/>
      <c r="E4" s="288" t="n"/>
      <c r="F4" s="288" t="n"/>
      <c r="G4" s="288" t="n"/>
      <c r="H4" s="289" t="n"/>
      <c r="I4" s="283" t="n"/>
      <c r="J4" s="291" t="n"/>
      <c r="K4" s="293" t="n"/>
      <c r="L4" s="293" t="n"/>
      <c r="M4" s="304" t="inlineStr">
        <is>
          <t>計画比</t>
        </is>
      </c>
      <c r="N4" s="304" t="inlineStr">
        <is>
          <t>前期比</t>
        </is>
      </c>
      <c r="O4" s="7" t="inlineStr">
        <is>
          <t>年率</t>
        </is>
      </c>
      <c r="P4" s="283" t="n"/>
      <c r="Q4" s="291" t="n"/>
      <c r="R4" s="293" t="n"/>
      <c r="S4" s="293" t="n"/>
      <c r="T4" s="304" t="inlineStr">
        <is>
          <t>計画比</t>
        </is>
      </c>
      <c r="U4" s="304" t="inlineStr">
        <is>
          <t>前期比</t>
        </is>
      </c>
      <c r="V4" s="7" t="inlineStr">
        <is>
          <t>年率</t>
        </is>
      </c>
      <c r="W4" s="283" t="n"/>
      <c r="X4" s="291" t="n"/>
      <c r="Y4" s="293" t="n"/>
      <c r="Z4" s="293" t="n"/>
      <c r="AA4" s="6" t="inlineStr">
        <is>
          <t>計画比</t>
        </is>
      </c>
      <c r="AB4" s="6" t="inlineStr">
        <is>
          <t>前期比</t>
        </is>
      </c>
      <c r="AC4" s="296" t="n"/>
    </row>
    <row r="5">
      <c r="D5" s="8" t="n"/>
      <c r="E5" s="9" t="n"/>
      <c r="F5" s="10" t="inlineStr">
        <is>
          <t>石見営業所</t>
        </is>
      </c>
      <c r="H5" s="11" t="n"/>
      <c r="I5" s="305" t="n">
        <v>63134.792</v>
      </c>
      <c r="J5" s="306" t="n">
        <v>53593.012</v>
      </c>
      <c r="K5" s="307" t="n">
        <v>68200</v>
      </c>
      <c r="L5" s="306" t="n">
        <v>70877.17</v>
      </c>
      <c r="M5" s="308">
        <f>L5-K5</f>
        <v/>
      </c>
      <c r="N5" s="308">
        <f>L5-J5</f>
        <v/>
      </c>
      <c r="O5" s="309">
        <f>IF(J5=0,"***",N5/J5)</f>
        <v/>
      </c>
      <c r="P5" s="310" t="n">
        <v>16549.5405</v>
      </c>
      <c r="Q5" s="310" t="n">
        <v>15104.3545</v>
      </c>
      <c r="R5" s="310" t="n">
        <v>17730</v>
      </c>
      <c r="S5" s="310" t="n">
        <v>20534.803</v>
      </c>
      <c r="T5" s="308">
        <f>S5-R5</f>
        <v/>
      </c>
      <c r="U5" s="308">
        <f>S5-Q5</f>
        <v/>
      </c>
      <c r="V5" s="309">
        <f>IF(Q5=0,"***",U5/Q5)</f>
        <v/>
      </c>
      <c r="W5" s="311">
        <f>IF(I5=0,"***",P5/I5)</f>
        <v/>
      </c>
      <c r="X5" s="312">
        <f>IF(J5=0,"***",Q5/J5)</f>
        <v/>
      </c>
      <c r="Y5" s="312">
        <f>IF(K5=0,"***",R5/K5)</f>
        <v/>
      </c>
      <c r="Z5" s="312">
        <f>IF(L5=0,"***",S5/L5)</f>
        <v/>
      </c>
      <c r="AA5" s="313">
        <f>IF(Y5="***","***",Z5-X5)</f>
        <v/>
      </c>
      <c r="AB5" s="312">
        <f>IF(Z5="***","***",Z5-X5)</f>
        <v/>
      </c>
      <c r="AC5" s="21" t="n"/>
    </row>
    <row r="6">
      <c r="D6" s="8" t="n"/>
      <c r="E6" s="9" t="n"/>
      <c r="F6" s="9" t="n"/>
      <c r="G6" s="22" t="inlineStr">
        <is>
          <t>営業</t>
        </is>
      </c>
      <c r="H6" s="23" t="n"/>
      <c r="I6" s="314">
        <f>I5-I9</f>
        <v/>
      </c>
      <c r="J6" s="315">
        <f>J5-J9</f>
        <v/>
      </c>
      <c r="K6" s="316">
        <f>K5-K9</f>
        <v/>
      </c>
      <c r="L6" s="315">
        <f>L5-L9</f>
        <v/>
      </c>
      <c r="M6" s="317">
        <f>L6-K6</f>
        <v/>
      </c>
      <c r="N6" s="317">
        <f>L6-J6</f>
        <v/>
      </c>
      <c r="O6" s="318">
        <f>IF(J6=0,"***",N6/J6)</f>
        <v/>
      </c>
      <c r="P6" s="314">
        <f>P5-P9</f>
        <v/>
      </c>
      <c r="Q6" s="315">
        <f>Q5-Q9</f>
        <v/>
      </c>
      <c r="R6" s="316">
        <f>R5-R9</f>
        <v/>
      </c>
      <c r="S6" s="315">
        <f>S5-S9</f>
        <v/>
      </c>
      <c r="T6" s="317">
        <f>S6-R6</f>
        <v/>
      </c>
      <c r="U6" s="317">
        <f>S6-Q6</f>
        <v/>
      </c>
      <c r="V6" s="318">
        <f>IF(Q6=0,"***",U6/Q6)</f>
        <v/>
      </c>
      <c r="W6" s="319">
        <f>IF(I6=0,"***",P6/I6)</f>
        <v/>
      </c>
      <c r="X6" s="320">
        <f>IF(J6=0,"***",Q6/J6)</f>
        <v/>
      </c>
      <c r="Y6" s="320">
        <f>IF(K6=0,"***",R6/K6)</f>
        <v/>
      </c>
      <c r="Z6" s="320">
        <f>IF(L6=0,"***",S6/L6)</f>
        <v/>
      </c>
      <c r="AA6" s="321">
        <f>IF(Y6="***","***",Z6-X6)</f>
        <v/>
      </c>
      <c r="AB6" s="320">
        <f>IF(Z6="***","***",Z6-X6)</f>
        <v/>
      </c>
      <c r="AC6" s="31" t="n"/>
    </row>
    <row r="7">
      <c r="D7" s="8" t="n"/>
      <c r="E7" s="9" t="n"/>
      <c r="F7" s="9" t="n"/>
      <c r="G7" s="32" t="n"/>
      <c r="H7" s="33" t="inlineStr">
        <is>
          <t>包装資材</t>
        </is>
      </c>
      <c r="I7" s="314">
        <f>I6-I8</f>
        <v/>
      </c>
      <c r="J7" s="315">
        <f>J6-J8</f>
        <v/>
      </c>
      <c r="K7" s="316">
        <f>K6-K8</f>
        <v/>
      </c>
      <c r="L7" s="315">
        <f>L6-L8</f>
        <v/>
      </c>
      <c r="M7" s="317">
        <f>L7-K7</f>
        <v/>
      </c>
      <c r="N7" s="317">
        <f>L7-J7</f>
        <v/>
      </c>
      <c r="O7" s="318">
        <f>IF(J7=0,"***",N7/J7)</f>
        <v/>
      </c>
      <c r="P7" s="314">
        <f>P6-P8</f>
        <v/>
      </c>
      <c r="Q7" s="315">
        <f>Q6-Q8</f>
        <v/>
      </c>
      <c r="R7" s="316">
        <f>R6-R8</f>
        <v/>
      </c>
      <c r="S7" s="315">
        <f>S6-S8</f>
        <v/>
      </c>
      <c r="T7" s="317">
        <f>S7-R7</f>
        <v/>
      </c>
      <c r="U7" s="317">
        <f>S7-Q7</f>
        <v/>
      </c>
      <c r="V7" s="318">
        <f>IF(Q7=0,"***",U7/Q7)</f>
        <v/>
      </c>
      <c r="W7" s="319">
        <f>IF(I7=0,"***",P7/I7)</f>
        <v/>
      </c>
      <c r="X7" s="320">
        <f>IF(J7=0,"***",Q7/J7)</f>
        <v/>
      </c>
      <c r="Y7" s="320">
        <f>IF(K7=0,"***",R7/K7)</f>
        <v/>
      </c>
      <c r="Z7" s="320">
        <f>IF(L7=0,"***",S7/L7)</f>
        <v/>
      </c>
      <c r="AA7" s="321">
        <f>IF(Y7="***","***",Z7-X7)</f>
        <v/>
      </c>
      <c r="AB7" s="320">
        <f>IF(Z7="***","***",Z7-X7)</f>
        <v/>
      </c>
      <c r="AC7" s="31" t="n"/>
    </row>
    <row r="8">
      <c r="D8" s="8" t="n"/>
      <c r="E8" s="9" t="n"/>
      <c r="F8" s="9" t="n"/>
      <c r="G8" s="32" t="n"/>
      <c r="H8" s="34" t="inlineStr">
        <is>
          <t>機械</t>
        </is>
      </c>
      <c r="I8" s="322" t="n">
        <v>1286.941</v>
      </c>
      <c r="J8" s="323" t="n">
        <v>1278.963</v>
      </c>
      <c r="K8" s="324" t="n">
        <v>4000</v>
      </c>
      <c r="L8" s="323" t="n">
        <v>2907.643</v>
      </c>
      <c r="M8" s="325">
        <f>L8-K8</f>
        <v/>
      </c>
      <c r="N8" s="325">
        <f>L8-J8</f>
        <v/>
      </c>
      <c r="O8" s="326">
        <f>IF(J8=0,"***",N8/J8)</f>
        <v/>
      </c>
      <c r="P8" s="327" t="n">
        <v>280.698</v>
      </c>
      <c r="Q8" s="328" t="n">
        <v>248.231</v>
      </c>
      <c r="R8" s="324" t="n">
        <v>640</v>
      </c>
      <c r="S8" s="328" t="n">
        <v>579.211</v>
      </c>
      <c r="T8" s="325">
        <f>S8-R8</f>
        <v/>
      </c>
      <c r="U8" s="325">
        <f>S8-Q8</f>
        <v/>
      </c>
      <c r="V8" s="326">
        <f>IF(Q8=0,"***",U8/Q8)</f>
        <v/>
      </c>
      <c r="W8" s="329">
        <f>IF(I8=0,"***",P8/I8)</f>
        <v/>
      </c>
      <c r="X8" s="330">
        <f>IF(J8=0,"***",Q8/J8)</f>
        <v/>
      </c>
      <c r="Y8" s="330">
        <f>IF(K8=0,"***",R8/K8)</f>
        <v/>
      </c>
      <c r="Z8" s="330">
        <f>IF(L8=0,"***",S8/L8)</f>
        <v/>
      </c>
      <c r="AA8" s="331">
        <f>IF(Y8="***","***",Z8-X8)</f>
        <v/>
      </c>
      <c r="AB8" s="330">
        <f>IF(Z8="***","***",Z8-X8)</f>
        <v/>
      </c>
      <c r="AC8" s="45" t="n"/>
    </row>
    <row r="9">
      <c r="D9" s="8" t="n"/>
      <c r="E9" s="9" t="n"/>
      <c r="F9" s="46" t="n"/>
      <c r="G9" s="47" t="inlineStr">
        <is>
          <t>自治体</t>
        </is>
      </c>
      <c r="H9" s="48" t="n"/>
      <c r="I9" s="332" t="n">
        <v>420</v>
      </c>
      <c r="J9" s="333" t="n">
        <v>900</v>
      </c>
      <c r="K9" s="334" t="n">
        <v>1340</v>
      </c>
      <c r="L9" s="333" t="n">
        <v>180.2</v>
      </c>
      <c r="M9" s="335">
        <f>L9-K9</f>
        <v/>
      </c>
      <c r="N9" s="335">
        <f>L9-J9</f>
        <v/>
      </c>
      <c r="O9" s="336">
        <f>IF(J9=0,"***",N9/J9)</f>
        <v/>
      </c>
      <c r="P9" s="337" t="n">
        <v>60.9</v>
      </c>
      <c r="Q9" s="338" t="n">
        <v>83.5</v>
      </c>
      <c r="R9" s="334" t="n">
        <v>210</v>
      </c>
      <c r="S9" s="338" t="n">
        <v>13.77</v>
      </c>
      <c r="T9" s="335">
        <f>S9-R9</f>
        <v/>
      </c>
      <c r="U9" s="335">
        <f>S9-Q9</f>
        <v/>
      </c>
      <c r="V9" s="336">
        <f>IF(Q9=0,"***",U9/Q9)</f>
        <v/>
      </c>
      <c r="W9" s="339">
        <f>IF(I9=0,"***",P9/I9)</f>
        <v/>
      </c>
      <c r="X9" s="340">
        <f>IF(J9=0,"***",Q9/J9)</f>
        <v/>
      </c>
      <c r="Y9" s="340">
        <f>IF(K9=0,"***",R9/K9)</f>
        <v/>
      </c>
      <c r="Z9" s="340">
        <f>IF(L9=0,"***",S9/L9)</f>
        <v/>
      </c>
      <c r="AA9" s="341">
        <f>IF(Y9="***","***",Z9-X9)</f>
        <v/>
      </c>
      <c r="AB9" s="340">
        <f>IF(Z9="***","***",Z9-X9)</f>
        <v/>
      </c>
      <c r="AC9" s="59" t="n"/>
    </row>
    <row r="10">
      <c r="D10" s="8" t="n"/>
      <c r="E10" s="9" t="n"/>
      <c r="F10" s="60" t="inlineStr">
        <is>
          <t>下関営業所</t>
        </is>
      </c>
      <c r="G10" s="5" t="n"/>
      <c r="H10" s="61" t="n"/>
      <c r="I10" s="342" t="n">
        <v>40381.899</v>
      </c>
      <c r="J10" s="343" t="n">
        <v>38382.356</v>
      </c>
      <c r="K10" s="344" t="n">
        <v>40400</v>
      </c>
      <c r="L10" s="343" t="n">
        <v>48853.433</v>
      </c>
      <c r="M10" s="345">
        <f>L10-K10</f>
        <v/>
      </c>
      <c r="N10" s="345">
        <f>L10-J10</f>
        <v/>
      </c>
      <c r="O10" s="346">
        <f>IF(J10=0,"***",N10/J10)</f>
        <v/>
      </c>
      <c r="P10" s="342" t="n">
        <v>7914.464</v>
      </c>
      <c r="Q10" s="343" t="n">
        <v>7913.423</v>
      </c>
      <c r="R10" s="344" t="n">
        <v>8310</v>
      </c>
      <c r="S10" s="343" t="n">
        <v>10231.525</v>
      </c>
      <c r="T10" s="345">
        <f>S10-R10</f>
        <v/>
      </c>
      <c r="U10" s="345">
        <f>S10-Q10</f>
        <v/>
      </c>
      <c r="V10" s="346">
        <f>IF(Q10=0,"***",U10/Q10)</f>
        <v/>
      </c>
      <c r="W10" s="347">
        <f>IF(I10=0,"***",P10/I10)</f>
        <v/>
      </c>
      <c r="X10" s="348">
        <f>IF(J10=0,"***",Q10/J10)</f>
        <v/>
      </c>
      <c r="Y10" s="348">
        <f>IF(K10=0,"***",R10/K10)</f>
        <v/>
      </c>
      <c r="Z10" s="348">
        <f>IF(L10=0,"***",S10/L10)</f>
        <v/>
      </c>
      <c r="AA10" s="349">
        <f>IF(Y10="***","***",Z10-X10)</f>
        <v/>
      </c>
      <c r="AB10" s="348">
        <f>IF(Z10="***","***",Z10-X10)</f>
        <v/>
      </c>
      <c r="AC10" s="70" t="n"/>
    </row>
    <row r="11">
      <c r="D11" s="8" t="n"/>
      <c r="E11" s="9" t="n"/>
      <c r="F11" s="9" t="n"/>
      <c r="G11" s="22" t="inlineStr">
        <is>
          <t>営業</t>
        </is>
      </c>
      <c r="H11" s="23" t="n"/>
      <c r="I11" s="314">
        <f>I10-I15-I14</f>
        <v/>
      </c>
      <c r="J11" s="315">
        <f>J10-J15-J14</f>
        <v/>
      </c>
      <c r="K11" s="316">
        <f>K10-K15-K14</f>
        <v/>
      </c>
      <c r="L11" s="315">
        <f>L10-L15-L14</f>
        <v/>
      </c>
      <c r="M11" s="317">
        <f>L11-K11</f>
        <v/>
      </c>
      <c r="N11" s="317">
        <f>L11-J11</f>
        <v/>
      </c>
      <c r="O11" s="318">
        <f>IF(J11=0,"***",N11/J11)</f>
        <v/>
      </c>
      <c r="P11" s="314">
        <f>P10-P15-P14</f>
        <v/>
      </c>
      <c r="Q11" s="315">
        <f>Q10-Q15-Q14</f>
        <v/>
      </c>
      <c r="R11" s="316">
        <f>R10-R15-R14</f>
        <v/>
      </c>
      <c r="S11" s="315">
        <f>S10-S15-S14</f>
        <v/>
      </c>
      <c r="T11" s="317">
        <f>S11-R11</f>
        <v/>
      </c>
      <c r="U11" s="317">
        <f>S11-Q11</f>
        <v/>
      </c>
      <c r="V11" s="318">
        <f>IF(Q11=0,"***",U11/Q11)</f>
        <v/>
      </c>
      <c r="W11" s="319">
        <f>IF(I11=0,"***",P11/I11)</f>
        <v/>
      </c>
      <c r="X11" s="320">
        <f>IF(J11=0,"***",Q11/J11)</f>
        <v/>
      </c>
      <c r="Y11" s="320">
        <f>IF(K11=0,"***",R11/K11)</f>
        <v/>
      </c>
      <c r="Z11" s="320">
        <f>IF(L11=0,"***",S11/L11)</f>
        <v/>
      </c>
      <c r="AA11" s="321">
        <f>IF(Y11="***","***",Z11-X11)</f>
        <v/>
      </c>
      <c r="AB11" s="320">
        <f>IF(Z11="***","***",Z11-X11)</f>
        <v/>
      </c>
      <c r="AC11" s="31" t="n"/>
    </row>
    <row r="12">
      <c r="D12" s="8" t="n"/>
      <c r="E12" s="9" t="n"/>
      <c r="F12" s="9" t="n"/>
      <c r="G12" s="71" t="n"/>
      <c r="H12" s="33" t="inlineStr">
        <is>
          <t>包装資材</t>
        </is>
      </c>
      <c r="I12" s="314">
        <f>I11-I13</f>
        <v/>
      </c>
      <c r="J12" s="315">
        <f>J11-J13</f>
        <v/>
      </c>
      <c r="K12" s="316">
        <f>K11-K13</f>
        <v/>
      </c>
      <c r="L12" s="315">
        <f>L11-L13</f>
        <v/>
      </c>
      <c r="M12" s="317">
        <f>L12-K12</f>
        <v/>
      </c>
      <c r="N12" s="317">
        <f>L12-J12</f>
        <v/>
      </c>
      <c r="O12" s="318">
        <f>IF(J12=0,"***",N12/J12)</f>
        <v/>
      </c>
      <c r="P12" s="314">
        <f>P11-P13</f>
        <v/>
      </c>
      <c r="Q12" s="315">
        <f>Q11-Q13</f>
        <v/>
      </c>
      <c r="R12" s="316">
        <f>R11-R13</f>
        <v/>
      </c>
      <c r="S12" s="315">
        <f>S11-S13</f>
        <v/>
      </c>
      <c r="T12" s="317">
        <f>S12-R12</f>
        <v/>
      </c>
      <c r="U12" s="317">
        <f>S12-Q12</f>
        <v/>
      </c>
      <c r="V12" s="318">
        <f>IF(Q12=0,"***",U12/Q12)</f>
        <v/>
      </c>
      <c r="W12" s="319">
        <f>IF(I12=0,"***",P12/I12)</f>
        <v/>
      </c>
      <c r="X12" s="320">
        <f>IF(J12=0,"***",Q12/J12)</f>
        <v/>
      </c>
      <c r="Y12" s="320">
        <f>IF(K12=0,"***",R12/K12)</f>
        <v/>
      </c>
      <c r="Z12" s="320">
        <f>IF(L12=0,"***",S12/L12)</f>
        <v/>
      </c>
      <c r="AA12" s="321">
        <f>IF(Y12="***","***",Z12-X12)</f>
        <v/>
      </c>
      <c r="AB12" s="320">
        <f>IF(Z12="***","***",Z12-X12)</f>
        <v/>
      </c>
      <c r="AC12" s="31" t="n"/>
    </row>
    <row r="13">
      <c r="D13" s="8" t="n"/>
      <c r="E13" s="9" t="n"/>
      <c r="F13" s="9" t="n"/>
      <c r="G13" s="72" t="n"/>
      <c r="H13" s="34" t="inlineStr">
        <is>
          <t>機械</t>
        </is>
      </c>
      <c r="I13" s="350" t="n">
        <v>225</v>
      </c>
      <c r="J13" s="351" t="n">
        <v>266</v>
      </c>
      <c r="K13" s="316" t="n">
        <v>300</v>
      </c>
      <c r="L13" s="351" t="n">
        <v>169.95</v>
      </c>
      <c r="M13" s="317">
        <f>L13-K13</f>
        <v/>
      </c>
      <c r="N13" s="317">
        <f>L13-J13</f>
        <v/>
      </c>
      <c r="O13" s="318">
        <f>IF(J13=0,"***",N13/J13)</f>
        <v/>
      </c>
      <c r="P13" s="350" t="n">
        <v>-33</v>
      </c>
      <c r="Q13" s="351" t="n">
        <v>40</v>
      </c>
      <c r="R13" s="316" t="n">
        <v>50</v>
      </c>
      <c r="S13" s="351" t="n">
        <v>28.82</v>
      </c>
      <c r="T13" s="317">
        <f>S13-R13</f>
        <v/>
      </c>
      <c r="U13" s="317">
        <f>S13-Q13</f>
        <v/>
      </c>
      <c r="V13" s="318">
        <f>IF(Q13=0,"***",U13/Q13)</f>
        <v/>
      </c>
      <c r="W13" s="319">
        <f>IF(I13=0,"***",P13/I13)</f>
        <v/>
      </c>
      <c r="X13" s="320">
        <f>IF(J13=0,"***",Q13/J13)</f>
        <v/>
      </c>
      <c r="Y13" s="320">
        <f>IF(K13=0,"***",R13/K13)</f>
        <v/>
      </c>
      <c r="Z13" s="320">
        <f>IF(L13=0,"***",S13/L13)</f>
        <v/>
      </c>
      <c r="AA13" s="321">
        <f>IF(Y13="***","***",Z13-X13)</f>
        <v/>
      </c>
      <c r="AB13" s="320">
        <f>IF(Z13="***","***",Z13-X13)</f>
        <v/>
      </c>
      <c r="AC13" s="31" t="n"/>
    </row>
    <row r="14">
      <c r="D14" s="8" t="n"/>
      <c r="E14" s="9" t="n"/>
      <c r="F14" s="9" t="n"/>
      <c r="G14" s="75" t="inlineStr">
        <is>
          <t>自治体</t>
        </is>
      </c>
      <c r="H14" s="23" t="n"/>
      <c r="I14" s="352" t="n">
        <v>0</v>
      </c>
      <c r="J14" s="328" t="n">
        <v>0</v>
      </c>
      <c r="K14" s="324" t="n">
        <v>100</v>
      </c>
      <c r="L14" s="328" t="n">
        <v>94.2</v>
      </c>
      <c r="M14" s="325">
        <f>L14-K14</f>
        <v/>
      </c>
      <c r="N14" s="325">
        <f>L14-J14</f>
        <v/>
      </c>
      <c r="O14" s="326">
        <f>IF(J14=0,"***",N14/J14)</f>
        <v/>
      </c>
      <c r="P14" s="352" t="n">
        <v>0</v>
      </c>
      <c r="Q14" s="328" t="n">
        <v>0</v>
      </c>
      <c r="R14" s="324" t="n">
        <v>10</v>
      </c>
      <c r="S14" s="328" t="n">
        <v>3.15</v>
      </c>
      <c r="T14" s="325">
        <f>S14-R14</f>
        <v/>
      </c>
      <c r="U14" s="325">
        <f>S14-Q14</f>
        <v/>
      </c>
      <c r="V14" s="326">
        <f>IF(Q14=0,"***",U14/Q14)</f>
        <v/>
      </c>
      <c r="W14" s="329">
        <f>IF(I14=0,"***",P14/I14)</f>
        <v/>
      </c>
      <c r="X14" s="330">
        <f>IF(J14=0,"***",Q14/J14)</f>
        <v/>
      </c>
      <c r="Y14" s="330">
        <f>IF(K14=0,"***",R14/K14)</f>
        <v/>
      </c>
      <c r="Z14" s="330">
        <f>IF(L14=0,"***",S14/L14)</f>
        <v/>
      </c>
      <c r="AA14" s="331" t="n"/>
      <c r="AB14" s="330" t="n"/>
      <c r="AC14" s="45" t="n"/>
    </row>
    <row r="15">
      <c r="D15" s="8" t="n"/>
      <c r="E15" s="9" t="n"/>
      <c r="F15" s="46" t="n"/>
      <c r="G15" s="47" t="inlineStr">
        <is>
          <t>海外</t>
        </is>
      </c>
      <c r="H15" s="48" t="n"/>
      <c r="I15" s="353" t="n">
        <v>0</v>
      </c>
      <c r="J15" s="338" t="n">
        <v>0</v>
      </c>
      <c r="K15" s="334" t="n">
        <v>0</v>
      </c>
      <c r="L15" s="338" t="n">
        <v>0</v>
      </c>
      <c r="M15" s="335">
        <f>L15-K15</f>
        <v/>
      </c>
      <c r="N15" s="335">
        <f>L15-J15</f>
        <v/>
      </c>
      <c r="O15" s="336">
        <f>IF(J15=0,"***",N15/J15)</f>
        <v/>
      </c>
      <c r="P15" s="353" t="n">
        <v>0</v>
      </c>
      <c r="Q15" s="338" t="n">
        <v>0</v>
      </c>
      <c r="R15" s="334" t="n">
        <v>0</v>
      </c>
      <c r="S15" s="338" t="n">
        <v>0</v>
      </c>
      <c r="T15" s="335">
        <f>S15-R15</f>
        <v/>
      </c>
      <c r="U15" s="335">
        <f>S15-Q15</f>
        <v/>
      </c>
      <c r="V15" s="336">
        <f>IF(Q15=0,"***",U15/Q15)</f>
        <v/>
      </c>
      <c r="W15" s="339">
        <f>IF(I15=0,"***",P15/I15)</f>
        <v/>
      </c>
      <c r="X15" s="340">
        <f>IF(J15=0,"***",Q15/J15)</f>
        <v/>
      </c>
      <c r="Y15" s="340">
        <f>IF(K15=0,"***",R15/K15)</f>
        <v/>
      </c>
      <c r="Z15" s="340">
        <f>IF(L15=0,"***",S15/L15)</f>
        <v/>
      </c>
      <c r="AA15" s="341">
        <f>IF(Y15="***","***",Z15-X15)</f>
        <v/>
      </c>
      <c r="AB15" s="340">
        <f>IF(Z15="***","***",Z15-X15)</f>
        <v/>
      </c>
      <c r="AC15" s="59" t="n"/>
    </row>
    <row r="16">
      <c r="D16" s="8" t="n"/>
      <c r="E16" s="9" t="n"/>
      <c r="F16" s="60" t="inlineStr">
        <is>
          <t>松江営業所</t>
        </is>
      </c>
      <c r="G16" s="5" t="n"/>
      <c r="H16" s="61" t="n"/>
      <c r="I16" s="305" t="n">
        <v>35151.204</v>
      </c>
      <c r="J16" s="306" t="n">
        <v>35614.253</v>
      </c>
      <c r="K16" s="307" t="n">
        <v>27100</v>
      </c>
      <c r="L16" s="306" t="n">
        <v>30509.583</v>
      </c>
      <c r="M16" s="308">
        <f>L16-K16</f>
        <v/>
      </c>
      <c r="N16" s="308">
        <f>L16-J16</f>
        <v/>
      </c>
      <c r="O16" s="309">
        <f>IF(J16=0,"***",N16/J16)</f>
        <v/>
      </c>
      <c r="P16" s="305" t="n">
        <v>5869.811</v>
      </c>
      <c r="Q16" s="306" t="n">
        <v>6588.7728</v>
      </c>
      <c r="R16" s="307" t="n">
        <v>6710</v>
      </c>
      <c r="S16" s="306" t="n">
        <v>7800.534</v>
      </c>
      <c r="T16" s="308">
        <f>S16-R16</f>
        <v/>
      </c>
      <c r="U16" s="308">
        <f>S16-Q16</f>
        <v/>
      </c>
      <c r="V16" s="309">
        <f>IF(Q16=0,"***",U16/Q16)</f>
        <v/>
      </c>
      <c r="W16" s="311">
        <f>IF(I16=0,"***",P16/I16)</f>
        <v/>
      </c>
      <c r="X16" s="312">
        <f>IF(J16=0,"***",Q16/J16)</f>
        <v/>
      </c>
      <c r="Y16" s="312">
        <f>IF(K16=0,"***",R16/K16)</f>
        <v/>
      </c>
      <c r="Z16" s="312">
        <f>IF(L16=0,"***",S16/L16)</f>
        <v/>
      </c>
      <c r="AA16" s="312">
        <f>IF(Y16="***","***",Z16-X16)</f>
        <v/>
      </c>
      <c r="AB16" s="312">
        <f>IF(Z16="***","***",Z16-X16)</f>
        <v/>
      </c>
      <c r="AC16" s="21" t="n"/>
    </row>
    <row r="17">
      <c r="D17" s="8" t="n"/>
      <c r="E17" s="9" t="n"/>
      <c r="F17" s="9" t="n"/>
      <c r="G17" s="22" t="inlineStr">
        <is>
          <t>営業</t>
        </is>
      </c>
      <c r="H17" s="23" t="n"/>
      <c r="I17" s="314">
        <f>I16-I20</f>
        <v/>
      </c>
      <c r="J17" s="315">
        <f>J16-J20</f>
        <v/>
      </c>
      <c r="K17" s="316">
        <f>K16-K20</f>
        <v/>
      </c>
      <c r="L17" s="315">
        <f>L16-L20</f>
        <v/>
      </c>
      <c r="M17" s="317">
        <f>L17-K17</f>
        <v/>
      </c>
      <c r="N17" s="317">
        <f>L17-J17</f>
        <v/>
      </c>
      <c r="O17" s="318">
        <f>IF(J17=0,"***",N17/J17)</f>
        <v/>
      </c>
      <c r="P17" s="314">
        <f>P16-P20</f>
        <v/>
      </c>
      <c r="Q17" s="315">
        <f>Q16-Q20</f>
        <v/>
      </c>
      <c r="R17" s="316">
        <f>R16-R20</f>
        <v/>
      </c>
      <c r="S17" s="315">
        <f>S16-S20</f>
        <v/>
      </c>
      <c r="T17" s="317">
        <f>S17-R17</f>
        <v/>
      </c>
      <c r="U17" s="317">
        <f>S17-Q17</f>
        <v/>
      </c>
      <c r="V17" s="318">
        <f>IF(Q17=0,"***",U17/Q17)</f>
        <v/>
      </c>
      <c r="W17" s="319">
        <f>IF(I17=0,"***",P17/I17)</f>
        <v/>
      </c>
      <c r="X17" s="320">
        <f>IF(J17=0,"***",Q17/J17)</f>
        <v/>
      </c>
      <c r="Y17" s="320">
        <f>IF(K17=0,"***",R17/K17)</f>
        <v/>
      </c>
      <c r="Z17" s="320">
        <f>IF(L17=0,"***",S17/L17)</f>
        <v/>
      </c>
      <c r="AA17" s="320">
        <f>IF(Y17="***","***",Z17-X17)</f>
        <v/>
      </c>
      <c r="AB17" s="320">
        <f>IF(Z17="***","***",Z17-X17)</f>
        <v/>
      </c>
      <c r="AC17" s="31" t="n"/>
    </row>
    <row r="18">
      <c r="D18" s="8" t="n"/>
      <c r="E18" s="9" t="n"/>
      <c r="F18" s="9" t="n"/>
      <c r="G18" s="32" t="n"/>
      <c r="H18" s="33" t="inlineStr">
        <is>
          <t>包装資材</t>
        </is>
      </c>
      <c r="I18" s="314">
        <f>I17-I19</f>
        <v/>
      </c>
      <c r="J18" s="315">
        <f>J17-J19</f>
        <v/>
      </c>
      <c r="K18" s="316">
        <f>K17-K19</f>
        <v/>
      </c>
      <c r="L18" s="315">
        <f>L17-L19</f>
        <v/>
      </c>
      <c r="M18" s="317">
        <f>L18-K18</f>
        <v/>
      </c>
      <c r="N18" s="317">
        <f>L18-J18</f>
        <v/>
      </c>
      <c r="O18" s="318">
        <f>IF(J18=0,"***",N18/J18)</f>
        <v/>
      </c>
      <c r="P18" s="314">
        <f>P17-P19</f>
        <v/>
      </c>
      <c r="Q18" s="315">
        <f>Q17-Q19</f>
        <v/>
      </c>
      <c r="R18" s="316">
        <f>R17-R19</f>
        <v/>
      </c>
      <c r="S18" s="315">
        <f>S17-S19</f>
        <v/>
      </c>
      <c r="T18" s="317">
        <f>S18-R18</f>
        <v/>
      </c>
      <c r="U18" s="317">
        <f>S18-Q18</f>
        <v/>
      </c>
      <c r="V18" s="318">
        <f>IF(Q18=0,"***",U18/Q18)</f>
        <v/>
      </c>
      <c r="W18" s="319">
        <f>IF(I18=0,"***",P18/I18)</f>
        <v/>
      </c>
      <c r="X18" s="320">
        <f>IF(J18=0,"***",Q18/J18)</f>
        <v/>
      </c>
      <c r="Y18" s="320">
        <f>IF(K18=0,"***",R18/K18)</f>
        <v/>
      </c>
      <c r="Z18" s="320">
        <f>IF(L18=0,"***",S18/L18)</f>
        <v/>
      </c>
      <c r="AA18" s="320">
        <f>IF(Y18="***","***",Z18-X18)</f>
        <v/>
      </c>
      <c r="AB18" s="320">
        <f>IF(Z18="***","***",Z18-X18)</f>
        <v/>
      </c>
      <c r="AC18" s="31" t="n"/>
    </row>
    <row r="19">
      <c r="D19" s="8" t="n"/>
      <c r="E19" s="9" t="n"/>
      <c r="F19" s="9" t="n"/>
      <c r="G19" s="32" t="n"/>
      <c r="H19" s="34" t="inlineStr">
        <is>
          <t>機械</t>
        </is>
      </c>
      <c r="I19" s="354" t="n">
        <v>412</v>
      </c>
      <c r="J19" s="355" t="n">
        <v>290</v>
      </c>
      <c r="K19" s="80" t="n">
        <v>500</v>
      </c>
      <c r="L19" s="355" t="n">
        <v>1932.04</v>
      </c>
      <c r="M19" s="317">
        <f>L19-K19</f>
        <v/>
      </c>
      <c r="N19" s="317">
        <f>L19-J19</f>
        <v/>
      </c>
      <c r="O19" s="318">
        <f>IF(J19=0,"***",N19/J19)</f>
        <v/>
      </c>
      <c r="P19" s="354" t="n">
        <v>63</v>
      </c>
      <c r="Q19" s="355" t="n">
        <v>84</v>
      </c>
      <c r="R19" s="80" t="n">
        <v>120</v>
      </c>
      <c r="S19" s="355" t="n">
        <v>444.39</v>
      </c>
      <c r="T19" s="317">
        <f>S19-R19</f>
        <v/>
      </c>
      <c r="U19" s="317">
        <f>S19-Q19</f>
        <v/>
      </c>
      <c r="V19" s="318">
        <f>IF(Q19=0,"***",U19/Q19)</f>
        <v/>
      </c>
      <c r="W19" s="319">
        <f>IF(I19=0,"***",P19/I19)</f>
        <v/>
      </c>
      <c r="X19" s="320">
        <f>IF(J19=0,"***",Q19/J19)</f>
        <v/>
      </c>
      <c r="Y19" s="320">
        <f>IF(K19=0,"***",R19/K19)</f>
        <v/>
      </c>
      <c r="Z19" s="320">
        <f>IF(L19=0,"***",S19/L19)</f>
        <v/>
      </c>
      <c r="AA19" s="320">
        <f>IF(Y19="***","***",Z19-X19)</f>
        <v/>
      </c>
      <c r="AB19" s="320">
        <f>IF(Z19="***","***",Z19-X19)</f>
        <v/>
      </c>
      <c r="AC19" s="31" t="n"/>
    </row>
    <row r="20">
      <c r="D20" s="8" t="n"/>
      <c r="E20" s="9" t="n"/>
      <c r="F20" s="46" t="n"/>
      <c r="G20" s="47" t="inlineStr">
        <is>
          <t>自治体</t>
        </is>
      </c>
      <c r="H20" s="48" t="n"/>
      <c r="I20" s="332" t="n">
        <v>10715.25</v>
      </c>
      <c r="J20" s="333" t="n">
        <v>11193.008</v>
      </c>
      <c r="K20" s="334" t="n">
        <v>0</v>
      </c>
      <c r="L20" s="333" t="n">
        <v>0</v>
      </c>
      <c r="M20" s="335">
        <f>L20-K20</f>
        <v/>
      </c>
      <c r="N20" s="335">
        <f>L20-J20</f>
        <v/>
      </c>
      <c r="O20" s="336">
        <f>IF(J20=0,"***",N20/J20)</f>
        <v/>
      </c>
      <c r="P20" s="332" t="n">
        <v>183.74</v>
      </c>
      <c r="Q20" s="333" t="n">
        <v>196.128</v>
      </c>
      <c r="R20" s="334" t="n">
        <v>0</v>
      </c>
      <c r="S20" s="333" t="n">
        <v>0</v>
      </c>
      <c r="T20" s="335">
        <f>S20-R20</f>
        <v/>
      </c>
      <c r="U20" s="335">
        <f>S20-Q20</f>
        <v/>
      </c>
      <c r="V20" s="336">
        <f>IF(Q20=0,"***",U20/Q20)</f>
        <v/>
      </c>
      <c r="W20" s="339">
        <f>IF(I20=0,"***",P20/I20)</f>
        <v/>
      </c>
      <c r="X20" s="340">
        <f>IF(J20=0,"***",Q20/J20)</f>
        <v/>
      </c>
      <c r="Y20" s="340">
        <f>IF(K20=0,"***",R20/K20)</f>
        <v/>
      </c>
      <c r="Z20" s="340">
        <f>IF(L20=0,"***",S20/L20)</f>
        <v/>
      </c>
      <c r="AA20" s="340">
        <f>IF(Y20="***","***",Z20-X20)</f>
        <v/>
      </c>
      <c r="AB20" s="340">
        <f>IF(Z20="***","***",Z20-X20)</f>
        <v/>
      </c>
      <c r="AC20" s="59" t="n"/>
    </row>
    <row r="21">
      <c r="D21" s="8" t="n"/>
      <c r="E21" s="9" t="n"/>
      <c r="F21" s="60" t="inlineStr">
        <is>
          <t>広域営業部</t>
        </is>
      </c>
      <c r="G21" s="5" t="n"/>
      <c r="H21" s="61" t="n"/>
      <c r="I21" s="356" t="n">
        <v>37320.214</v>
      </c>
      <c r="J21" s="357" t="n">
        <v>41558.181</v>
      </c>
      <c r="K21" s="307" t="n">
        <v>42200</v>
      </c>
      <c r="L21" s="357" t="n">
        <v>48123.343</v>
      </c>
      <c r="M21" s="308">
        <f>L21-K21</f>
        <v/>
      </c>
      <c r="N21" s="308">
        <f>L21-J21</f>
        <v/>
      </c>
      <c r="O21" s="309">
        <f>IF(J21=0,"***",N21/J21)</f>
        <v/>
      </c>
      <c r="P21" s="356" t="n">
        <v>5253.283</v>
      </c>
      <c r="Q21" s="357" t="n">
        <v>6363.87</v>
      </c>
      <c r="R21" s="307" t="n">
        <v>6270</v>
      </c>
      <c r="S21" s="357" t="n">
        <v>10330.853</v>
      </c>
      <c r="T21" s="308">
        <f>S21-R21</f>
        <v/>
      </c>
      <c r="U21" s="308">
        <f>S21-Q21</f>
        <v/>
      </c>
      <c r="V21" s="309">
        <f>IF(Q21=0,"***",U21/Q21)</f>
        <v/>
      </c>
      <c r="W21" s="319">
        <f>IF(I21=0,"***",P21/I21)</f>
        <v/>
      </c>
      <c r="X21" s="320">
        <f>IF(J21=0,"***",Q21/J21)</f>
        <v/>
      </c>
      <c r="Y21" s="320">
        <f>IF(K21=0,"***",R21/K21)</f>
        <v/>
      </c>
      <c r="Z21" s="320">
        <f>IF(L21=0,"***",S21/L21)</f>
        <v/>
      </c>
      <c r="AA21" s="320">
        <f>IF(Y21="***","***",Z21-X21)</f>
        <v/>
      </c>
      <c r="AB21" s="320">
        <f>IF(Z21="***","***",Z21-X21)</f>
        <v/>
      </c>
      <c r="AC21" s="21" t="n"/>
    </row>
    <row r="22">
      <c r="D22" s="8" t="n"/>
      <c r="E22" s="9" t="n"/>
      <c r="F22" s="9" t="n"/>
      <c r="H22" s="33" t="inlineStr">
        <is>
          <t>包装資材</t>
        </is>
      </c>
      <c r="I22" s="358">
        <f>I21-I23</f>
        <v/>
      </c>
      <c r="J22" s="315">
        <f>J21-J23</f>
        <v/>
      </c>
      <c r="K22" s="316">
        <f>K21-K23</f>
        <v/>
      </c>
      <c r="L22" s="315">
        <f>L21-L23</f>
        <v/>
      </c>
      <c r="M22" s="359">
        <f>L22-K22</f>
        <v/>
      </c>
      <c r="N22" s="359">
        <f>L22-J22</f>
        <v/>
      </c>
      <c r="O22" s="318">
        <f>IF(J22=0,"***",N22/J22)</f>
        <v/>
      </c>
      <c r="P22" s="314">
        <f>P21-P23</f>
        <v/>
      </c>
      <c r="Q22" s="315">
        <f>Q21-Q23</f>
        <v/>
      </c>
      <c r="R22" s="316">
        <f>R21-R23</f>
        <v/>
      </c>
      <c r="S22" s="315">
        <f>S21-S23</f>
        <v/>
      </c>
      <c r="T22" s="359">
        <f>S22-R22</f>
        <v/>
      </c>
      <c r="U22" s="359">
        <f>S22-Q22</f>
        <v/>
      </c>
      <c r="V22" s="318">
        <f>IF(Q22=0,"***",U22/Q22)</f>
        <v/>
      </c>
      <c r="W22" s="319">
        <f>IF(I22=0,"***",P22/I22)</f>
        <v/>
      </c>
      <c r="X22" s="320">
        <f>IF(J22=0,"***",Q22/J22)</f>
        <v/>
      </c>
      <c r="Y22" s="320">
        <f>IF(K22=0,"***",R22/K22)</f>
        <v/>
      </c>
      <c r="Z22" s="320">
        <f>IF(L22=0,"***",S22/L22)</f>
        <v/>
      </c>
      <c r="AA22" s="320">
        <f>IF(Y22="***","***",Z22-X22)</f>
        <v/>
      </c>
      <c r="AB22" s="320">
        <f>IF(Z22="***","***",Z22-X22)</f>
        <v/>
      </c>
      <c r="AC22" s="31" t="n"/>
    </row>
    <row r="23">
      <c r="D23" s="8" t="n"/>
      <c r="E23" s="9" t="n"/>
      <c r="F23" s="9" t="n"/>
      <c r="H23" s="34" t="inlineStr">
        <is>
          <t>機械</t>
        </is>
      </c>
      <c r="I23" s="358" t="n">
        <v>139</v>
      </c>
      <c r="J23" s="315" t="n">
        <v>207</v>
      </c>
      <c r="K23" s="316" t="n">
        <v>1000</v>
      </c>
      <c r="L23" s="315" t="n">
        <v>360.181</v>
      </c>
      <c r="M23" s="359">
        <f>L23-K23</f>
        <v/>
      </c>
      <c r="N23" s="359">
        <f>L23-J23</f>
        <v/>
      </c>
      <c r="O23" s="318">
        <f>IF(J23=0,"***",N23/J23)</f>
        <v/>
      </c>
      <c r="P23" s="314" t="n">
        <v>13</v>
      </c>
      <c r="Q23" s="315" t="n">
        <v>34</v>
      </c>
      <c r="R23" s="316" t="n">
        <v>110</v>
      </c>
      <c r="S23" s="315" t="n">
        <v>14.891</v>
      </c>
      <c r="T23" s="359">
        <f>S23-R23</f>
        <v/>
      </c>
      <c r="U23" s="359">
        <f>S23-Q23</f>
        <v/>
      </c>
      <c r="V23" s="318">
        <f>IF(Q23=0,"***",U23/Q23)</f>
        <v/>
      </c>
      <c r="W23" s="319">
        <f>IF(I23=0,"***",P23/I23)</f>
        <v/>
      </c>
      <c r="X23" s="320">
        <f>IF(J23=0,"***",Q23/J23)</f>
        <v/>
      </c>
      <c r="Y23" s="320">
        <f>IF(K23=0,"***",R23/K23)</f>
        <v/>
      </c>
      <c r="Z23" s="320">
        <f>IF(L23=0,"***",S23/L23)</f>
        <v/>
      </c>
      <c r="AA23" s="320">
        <f>IF(Y23="***","***",Z23-X23)</f>
        <v/>
      </c>
      <c r="AB23" s="320">
        <f>IF(Z23="***","***",Z23-X23)</f>
        <v/>
      </c>
      <c r="AC23" s="31" t="n"/>
    </row>
    <row r="24">
      <c r="D24" s="8" t="n"/>
      <c r="E24" s="9" t="n"/>
      <c r="F24" s="9" t="n"/>
      <c r="G24" s="22" t="inlineStr">
        <is>
          <t>リンガーハット</t>
        </is>
      </c>
      <c r="H24" s="23" t="n"/>
      <c r="I24" s="354" t="n">
        <v>26248.349</v>
      </c>
      <c r="J24" s="355" t="n">
        <v>27401.864</v>
      </c>
      <c r="K24" s="316" t="n">
        <v>27113.48525</v>
      </c>
      <c r="L24" s="355" t="n">
        <v>36356.804</v>
      </c>
      <c r="M24" s="359">
        <f>L24-K24</f>
        <v/>
      </c>
      <c r="N24" s="359">
        <f>L24-J24</f>
        <v/>
      </c>
      <c r="O24" s="318">
        <f>IF(J24=0,"***",N24/J24)</f>
        <v/>
      </c>
      <c r="P24" s="350" t="n">
        <v>3729.589</v>
      </c>
      <c r="Q24" s="351" t="n">
        <v>4290.655</v>
      </c>
      <c r="R24" s="316" t="n">
        <v>4150.3885</v>
      </c>
      <c r="S24" s="351" t="n">
        <v>8432.142</v>
      </c>
      <c r="T24" s="359">
        <f>S24-R24</f>
        <v/>
      </c>
      <c r="U24" s="359">
        <f>S24-Q24</f>
        <v/>
      </c>
      <c r="V24" s="318">
        <f>IF(Q24=0,"***",U24/Q24)</f>
        <v/>
      </c>
      <c r="W24" s="319">
        <f>IF(I24=0,"***",P24/I24)</f>
        <v/>
      </c>
      <c r="X24" s="320">
        <f>IF(J24=0,"***",Q24/J24)</f>
        <v/>
      </c>
      <c r="Y24" s="320">
        <f>IF(K24=0,"***",R24/K24)</f>
        <v/>
      </c>
      <c r="Z24" s="320">
        <f>IF(L24=0,"***",S24/L24)</f>
        <v/>
      </c>
      <c r="AA24" s="320">
        <f>IF(Y24="***","***",Z24-X24)</f>
        <v/>
      </c>
      <c r="AB24" s="320">
        <f>IF(Z24="***","***",Z24-X24)</f>
        <v/>
      </c>
      <c r="AC24" s="31" t="n"/>
    </row>
    <row r="25">
      <c r="D25" s="8" t="n"/>
      <c r="E25" s="9" t="n"/>
      <c r="F25" s="9" t="n"/>
      <c r="G25" s="32" t="n"/>
      <c r="H25" s="33" t="inlineStr">
        <is>
          <t>包装資材</t>
        </is>
      </c>
      <c r="I25" s="314">
        <f>I24-I26</f>
        <v/>
      </c>
      <c r="J25" s="315">
        <f>J24-J26</f>
        <v/>
      </c>
      <c r="K25" s="316">
        <f>K24-K26</f>
        <v/>
      </c>
      <c r="L25" s="315">
        <f>L24-L26</f>
        <v/>
      </c>
      <c r="M25" s="359">
        <f>L25-K25</f>
        <v/>
      </c>
      <c r="N25" s="359">
        <f>L25-J25</f>
        <v/>
      </c>
      <c r="O25" s="318">
        <f>IF(J25=0,"***",N25/J25)</f>
        <v/>
      </c>
      <c r="P25" s="314">
        <f>P24-P26</f>
        <v/>
      </c>
      <c r="Q25" s="315">
        <f>Q24-Q26</f>
        <v/>
      </c>
      <c r="R25" s="316">
        <f>R24-R26</f>
        <v/>
      </c>
      <c r="S25" s="315">
        <f>S24-S26</f>
        <v/>
      </c>
      <c r="T25" s="359">
        <f>S25-R25</f>
        <v/>
      </c>
      <c r="U25" s="359">
        <f>S25-Q25</f>
        <v/>
      </c>
      <c r="V25" s="318">
        <f>IF(Q25=0,"***",U25/Q25)</f>
        <v/>
      </c>
      <c r="W25" s="319">
        <f>IF(I25=0,"***",P25/I25)</f>
        <v/>
      </c>
      <c r="X25" s="320">
        <f>IF(J25=0,"***",Q25/J25)</f>
        <v/>
      </c>
      <c r="Y25" s="320">
        <f>IF(K25=0,"***",R25/K25)</f>
        <v/>
      </c>
      <c r="Z25" s="320">
        <f>IF(L25=0,"***",S25/L25)</f>
        <v/>
      </c>
      <c r="AA25" s="320">
        <f>IF(Y25="***","***",Z25-X25)</f>
        <v/>
      </c>
      <c r="AB25" s="320">
        <f>IF(Z25="***","***",Z25-X25)</f>
        <v/>
      </c>
      <c r="AC25" s="31" t="n"/>
    </row>
    <row r="26">
      <c r="D26" s="8" t="n"/>
      <c r="E26" s="9" t="n"/>
      <c r="F26" s="9" t="n"/>
      <c r="G26" s="32" t="n"/>
      <c r="H26" s="34" t="inlineStr">
        <is>
          <t>機械</t>
        </is>
      </c>
      <c r="I26" s="354" t="n">
        <v>27</v>
      </c>
      <c r="J26" s="355" t="n">
        <v>155</v>
      </c>
      <c r="K26" s="316" t="n">
        <v>123</v>
      </c>
      <c r="L26" s="355" t="n">
        <v>29.42</v>
      </c>
      <c r="M26" s="359">
        <f>L26-K26</f>
        <v/>
      </c>
      <c r="N26" s="359">
        <f>L26-J26</f>
        <v/>
      </c>
      <c r="O26" s="318">
        <f>IF(J26=0,"***",N26/J26)</f>
        <v/>
      </c>
      <c r="P26" s="354" t="n">
        <v>-1</v>
      </c>
      <c r="Q26" s="355" t="n">
        <v>0</v>
      </c>
      <c r="R26" s="316" t="n">
        <v>-0.25</v>
      </c>
      <c r="S26" s="355" t="n">
        <v>5.78</v>
      </c>
      <c r="T26" s="359">
        <f>S26-R26</f>
        <v/>
      </c>
      <c r="U26" s="359">
        <f>S26-Q26</f>
        <v/>
      </c>
      <c r="V26" s="318">
        <f>IF(Q26=0,"***",U26/Q26)</f>
        <v/>
      </c>
      <c r="W26" s="319">
        <f>IF(I26=0,"***",P26/I26)</f>
        <v/>
      </c>
      <c r="X26" s="320">
        <f>IF(J26=0,"***",Q26/J26)</f>
        <v/>
      </c>
      <c r="Y26" s="320">
        <f>IF(K26=0,"***",R26/K26)</f>
        <v/>
      </c>
      <c r="Z26" s="320">
        <f>IF(L26=0,"***",S26/L26)</f>
        <v/>
      </c>
      <c r="AA26" s="320">
        <f>IF(Y26="***","***",Z26-X26)</f>
        <v/>
      </c>
      <c r="AB26" s="320">
        <f>IF(Z26="***","***",Z26-X26)</f>
        <v/>
      </c>
      <c r="AC26" s="31" t="n"/>
    </row>
    <row r="27">
      <c r="D27" s="8" t="n"/>
      <c r="E27" s="9" t="n"/>
      <c r="F27" s="9" t="n"/>
      <c r="G27" s="22" t="inlineStr">
        <is>
          <t>リンガーハット以外</t>
        </is>
      </c>
      <c r="H27" s="23" t="n"/>
      <c r="I27" s="360">
        <f>I21-I24</f>
        <v/>
      </c>
      <c r="J27" s="316">
        <f>J21-J24</f>
        <v/>
      </c>
      <c r="K27" s="316">
        <f>K21-K24</f>
        <v/>
      </c>
      <c r="L27" s="316">
        <f>L21-L24</f>
        <v/>
      </c>
      <c r="M27" s="361">
        <f>L27-K27</f>
        <v/>
      </c>
      <c r="N27" s="361">
        <f>L27-J27</f>
        <v/>
      </c>
      <c r="O27" s="362">
        <f>IF(J27=0,"***",N27/J27)</f>
        <v/>
      </c>
      <c r="P27" s="360">
        <f>P21-P24</f>
        <v/>
      </c>
      <c r="Q27" s="316">
        <f>Q21-Q24</f>
        <v/>
      </c>
      <c r="R27" s="316">
        <f>R21-R24</f>
        <v/>
      </c>
      <c r="S27" s="316">
        <f>S21-S24</f>
        <v/>
      </c>
      <c r="T27" s="359">
        <f>S27-R27</f>
        <v/>
      </c>
      <c r="U27" s="359">
        <f>S27-Q27</f>
        <v/>
      </c>
      <c r="V27" s="318">
        <f>IF(Q27=0,"***",U27/Q27)</f>
        <v/>
      </c>
      <c r="W27" s="319">
        <f>IF(I27=0,"***",P27/I27)</f>
        <v/>
      </c>
      <c r="X27" s="320">
        <f>IF(J27=0,"***",Q27/J27)</f>
        <v/>
      </c>
      <c r="Y27" s="320">
        <f>IF(K27=0,"***",R27/K27)</f>
        <v/>
      </c>
      <c r="Z27" s="320">
        <f>IF(L27=0,"***",S27/L27)</f>
        <v/>
      </c>
      <c r="AA27" s="320">
        <f>IF(Y27="***","***",Z27-X27)</f>
        <v/>
      </c>
      <c r="AB27" s="320">
        <f>IF(Z27="***","***",Z27-X27)</f>
        <v/>
      </c>
      <c r="AC27" s="31" t="n"/>
    </row>
    <row r="28">
      <c r="D28" s="8" t="n"/>
      <c r="E28" s="9" t="n"/>
      <c r="F28" s="9" t="n"/>
      <c r="G28" s="32" t="n"/>
      <c r="H28" s="33" t="inlineStr">
        <is>
          <t>包装資材</t>
        </is>
      </c>
      <c r="I28" s="360">
        <f>I27-I29</f>
        <v/>
      </c>
      <c r="J28" s="316">
        <f>J27-J29</f>
        <v/>
      </c>
      <c r="K28" s="316">
        <f>K27-K29</f>
        <v/>
      </c>
      <c r="L28" s="316">
        <f>L27-L29</f>
        <v/>
      </c>
      <c r="M28" s="361">
        <f>L28-K28</f>
        <v/>
      </c>
      <c r="N28" s="361">
        <f>L28-J28</f>
        <v/>
      </c>
      <c r="O28" s="362">
        <f>IF(J28=0,"***",N28/J28)</f>
        <v/>
      </c>
      <c r="P28" s="360">
        <f>P27-P29</f>
        <v/>
      </c>
      <c r="Q28" s="316">
        <f>Q27-Q29</f>
        <v/>
      </c>
      <c r="R28" s="316">
        <f>R27-R29</f>
        <v/>
      </c>
      <c r="S28" s="316">
        <f>S27-S29</f>
        <v/>
      </c>
      <c r="T28" s="359">
        <f>S28-R28</f>
        <v/>
      </c>
      <c r="U28" s="359">
        <f>S28-Q28</f>
        <v/>
      </c>
      <c r="V28" s="318">
        <f>IF(Q28=0,"***",U28/Q28)</f>
        <v/>
      </c>
      <c r="W28" s="319">
        <f>IF(I28=0,"***",P28/I28)</f>
        <v/>
      </c>
      <c r="X28" s="320">
        <f>IF(J28=0,"***",Q28/J28)</f>
        <v/>
      </c>
      <c r="Y28" s="320">
        <f>IF(K28=0,"***",R28/K28)</f>
        <v/>
      </c>
      <c r="Z28" s="320">
        <f>IF(L28=0,"***",S28/L28)</f>
        <v/>
      </c>
      <c r="AA28" s="320">
        <f>IF(Y28="***","***",Z28-X28)</f>
        <v/>
      </c>
      <c r="AB28" s="320">
        <f>IF(Z28="***","***",Z28-X28)</f>
        <v/>
      </c>
      <c r="AC28" s="31" t="n"/>
    </row>
    <row r="29">
      <c r="D29" s="8" t="n"/>
      <c r="E29" s="9" t="n"/>
      <c r="F29" s="86" t="n"/>
      <c r="G29" s="87" t="n"/>
      <c r="H29" s="33" t="inlineStr">
        <is>
          <t>機械</t>
        </is>
      </c>
      <c r="I29" s="363">
        <f>I23-I26</f>
        <v/>
      </c>
      <c r="J29" s="334">
        <f>J23-J26</f>
        <v/>
      </c>
      <c r="K29" s="334">
        <f>K23-K26</f>
        <v/>
      </c>
      <c r="L29" s="334">
        <f>L23-L26</f>
        <v/>
      </c>
      <c r="M29" s="364">
        <f>L29-K29</f>
        <v/>
      </c>
      <c r="N29" s="364">
        <f>L29-J29</f>
        <v/>
      </c>
      <c r="O29" s="365">
        <f>IF(J29=0,"***",N29/J29)</f>
        <v/>
      </c>
      <c r="P29" s="363">
        <f>P23-P26</f>
        <v/>
      </c>
      <c r="Q29" s="334">
        <f>Q23-Q26</f>
        <v/>
      </c>
      <c r="R29" s="334">
        <f>R23-R26</f>
        <v/>
      </c>
      <c r="S29" s="334">
        <f>S23-S26</f>
        <v/>
      </c>
      <c r="T29" s="366">
        <f>S29-R29</f>
        <v/>
      </c>
      <c r="U29" s="366">
        <f>S29-Q29</f>
        <v/>
      </c>
      <c r="V29" s="336">
        <f>IF(Q29=0,"***",U29/Q29)</f>
        <v/>
      </c>
      <c r="W29" s="339">
        <f>IF(I29=0,"***",P29/I29)</f>
        <v/>
      </c>
      <c r="X29" s="340">
        <f>IF(J29=0,"***",Q29/J29)</f>
        <v/>
      </c>
      <c r="Y29" s="340">
        <f>IF(K29=0,"***",R29/K29)</f>
        <v/>
      </c>
      <c r="Z29" s="340">
        <f>IF(L29=0,"***",S29/L29)</f>
        <v/>
      </c>
      <c r="AA29" s="340">
        <f>IF(Y29="***","***",Z29-X29)</f>
        <v/>
      </c>
      <c r="AB29" s="340">
        <f>IF(Z29="***","***",Z29-X29)</f>
        <v/>
      </c>
      <c r="AC29" s="59" t="n"/>
    </row>
    <row r="30">
      <c r="D30" s="8" t="n"/>
      <c r="E30" s="9" t="n"/>
      <c r="F30" s="60" t="inlineStr">
        <is>
          <t>境港営業所</t>
        </is>
      </c>
      <c r="G30" s="5" t="n"/>
      <c r="H30" s="61" t="n"/>
      <c r="I30" s="367" t="n">
        <v>38205.584</v>
      </c>
      <c r="J30" s="306" t="n">
        <v>40249.765</v>
      </c>
      <c r="K30" s="307" t="n">
        <v>63650</v>
      </c>
      <c r="L30" s="306" t="n">
        <v>68710.341</v>
      </c>
      <c r="M30" s="308">
        <f>L30-K30</f>
        <v/>
      </c>
      <c r="N30" s="308">
        <f>L30-J30</f>
        <v/>
      </c>
      <c r="O30" s="309">
        <f>IF(J30=0,"***",N30/J30)</f>
        <v/>
      </c>
      <c r="P30" s="310" t="n">
        <v>6910.526</v>
      </c>
      <c r="Q30" s="368" t="n">
        <v>8493.501</v>
      </c>
      <c r="R30" s="307" t="n">
        <v>14300</v>
      </c>
      <c r="S30" s="368" t="n">
        <v>14973.697</v>
      </c>
      <c r="T30" s="308">
        <f>S30-R30</f>
        <v/>
      </c>
      <c r="U30" s="308">
        <f>S30-Q30</f>
        <v/>
      </c>
      <c r="V30" s="309">
        <f>IF(Q30=0,"***",U30/Q30)</f>
        <v/>
      </c>
      <c r="W30" s="311">
        <f>IF(I30=0,"***",P30/I30)</f>
        <v/>
      </c>
      <c r="X30" s="312">
        <f>IF(J30=0,"***",Q30/J30)</f>
        <v/>
      </c>
      <c r="Y30" s="312">
        <f>IF(K30=0,"***",R30/K30)</f>
        <v/>
      </c>
      <c r="Z30" s="312">
        <f>IF(L30=0,"***",S30/L30)</f>
        <v/>
      </c>
      <c r="AA30" s="313">
        <f>IF(Y30="***","***",Z30-X30)</f>
        <v/>
      </c>
      <c r="AB30" s="312">
        <f>IF(Z30="***","***",Z30-X30)</f>
        <v/>
      </c>
      <c r="AC30" s="21" t="n"/>
    </row>
    <row r="31">
      <c r="D31" s="8" t="n"/>
      <c r="E31" s="9" t="n"/>
      <c r="F31" s="9" t="n"/>
      <c r="G31" s="22" t="inlineStr">
        <is>
          <t>営業</t>
        </is>
      </c>
      <c r="H31" s="23" t="n"/>
      <c r="I31" s="314">
        <f>I30-I35-I34</f>
        <v/>
      </c>
      <c r="J31" s="315">
        <f>J30-J35-J34</f>
        <v/>
      </c>
      <c r="K31" s="316">
        <f>K30-K35-K34</f>
        <v/>
      </c>
      <c r="L31" s="315">
        <f>L30-L35-L34</f>
        <v/>
      </c>
      <c r="M31" s="317">
        <f>L31-K31</f>
        <v/>
      </c>
      <c r="N31" s="317">
        <f>L31-J31</f>
        <v/>
      </c>
      <c r="O31" s="318">
        <f>IF(J31=0,"***",N31/J31)</f>
        <v/>
      </c>
      <c r="P31" s="369">
        <f>P30-P35-P34</f>
        <v/>
      </c>
      <c r="Q31" s="315">
        <f>Q30-Q35-Q34</f>
        <v/>
      </c>
      <c r="R31" s="316">
        <f>R30-R35-R34</f>
        <v/>
      </c>
      <c r="S31" s="315">
        <f>S30-S35-S34</f>
        <v/>
      </c>
      <c r="T31" s="317">
        <f>S31-R31</f>
        <v/>
      </c>
      <c r="U31" s="317">
        <f>S31-Q31</f>
        <v/>
      </c>
      <c r="V31" s="318">
        <f>IF(Q31=0,"***",U31/Q31)</f>
        <v/>
      </c>
      <c r="W31" s="319">
        <f>IF(I31=0,"***",P31/I31)</f>
        <v/>
      </c>
      <c r="X31" s="320">
        <f>IF(J31=0,"***",Q31/J31)</f>
        <v/>
      </c>
      <c r="Y31" s="320">
        <f>IF(K31=0,"***",R31/K31)</f>
        <v/>
      </c>
      <c r="Z31" s="320">
        <f>IF(L31=0,"***",S31/L31)</f>
        <v/>
      </c>
      <c r="AA31" s="321">
        <f>IF(Y31="***","***",Z31-X31)</f>
        <v/>
      </c>
      <c r="AB31" s="320">
        <f>IF(Z31="***","***",Z31-X31)</f>
        <v/>
      </c>
      <c r="AC31" s="31" t="n"/>
    </row>
    <row r="32">
      <c r="D32" s="8" t="n"/>
      <c r="E32" s="9" t="n"/>
      <c r="F32" s="9" t="n"/>
      <c r="G32" s="32" t="n"/>
      <c r="H32" s="33" t="inlineStr">
        <is>
          <t>包装資材</t>
        </is>
      </c>
      <c r="I32" s="314">
        <f>I31-I33</f>
        <v/>
      </c>
      <c r="J32" s="315">
        <f>J31-J33</f>
        <v/>
      </c>
      <c r="K32" s="316">
        <f>K31-K33</f>
        <v/>
      </c>
      <c r="L32" s="315">
        <f>L31-L33</f>
        <v/>
      </c>
      <c r="M32" s="317">
        <f>L32-K32</f>
        <v/>
      </c>
      <c r="N32" s="317">
        <f>L32-J32</f>
        <v/>
      </c>
      <c r="O32" s="318">
        <f>IF(J32=0,"***",N32/J32)</f>
        <v/>
      </c>
      <c r="P32" s="369">
        <f>P31-P33</f>
        <v/>
      </c>
      <c r="Q32" s="315">
        <f>Q31-Q33</f>
        <v/>
      </c>
      <c r="R32" s="316">
        <f>R31-R33</f>
        <v/>
      </c>
      <c r="S32" s="315">
        <f>S31-S33</f>
        <v/>
      </c>
      <c r="T32" s="317">
        <f>S32-R32</f>
        <v/>
      </c>
      <c r="U32" s="317">
        <f>S32-Q32</f>
        <v/>
      </c>
      <c r="V32" s="318">
        <f>IF(Q32=0,"***",U32/Q32)</f>
        <v/>
      </c>
      <c r="W32" s="319">
        <f>IF(I32=0,"***",P32/I32)</f>
        <v/>
      </c>
      <c r="X32" s="320">
        <f>IF(J32=0,"***",Q32/J32)</f>
        <v/>
      </c>
      <c r="Y32" s="320">
        <f>IF(K32=0,"***",R32/K32)</f>
        <v/>
      </c>
      <c r="Z32" s="320">
        <f>IF(L32=0,"***",S32/L32)</f>
        <v/>
      </c>
      <c r="AA32" s="321">
        <f>IF(Y32="***","***",Z32-X32)</f>
        <v/>
      </c>
      <c r="AB32" s="320">
        <f>IF(Z32="***","***",Z32-X32)</f>
        <v/>
      </c>
      <c r="AC32" s="31" t="n"/>
    </row>
    <row r="33">
      <c r="D33" s="8" t="n"/>
      <c r="E33" s="9" t="n"/>
      <c r="F33" s="9" t="n"/>
      <c r="G33" s="32" t="n"/>
      <c r="H33" s="34" t="inlineStr">
        <is>
          <t>機械</t>
        </is>
      </c>
      <c r="I33" s="354" t="n">
        <v>3558</v>
      </c>
      <c r="J33" s="355" t="n">
        <v>8193</v>
      </c>
      <c r="K33" s="316" t="n">
        <v>27100</v>
      </c>
      <c r="L33" s="355" t="n">
        <v>22289.31</v>
      </c>
      <c r="M33" s="317">
        <f>L33-K33</f>
        <v/>
      </c>
      <c r="N33" s="317">
        <f>L33-J33</f>
        <v/>
      </c>
      <c r="O33" s="318">
        <f>IF(J33=0,"***",N33/J33)</f>
        <v/>
      </c>
      <c r="P33" s="370" t="n">
        <v>905</v>
      </c>
      <c r="Q33" s="351" t="n">
        <v>2229</v>
      </c>
      <c r="R33" s="316" t="n">
        <v>7210</v>
      </c>
      <c r="S33" s="351" t="n">
        <v>6004.501</v>
      </c>
      <c r="T33" s="317">
        <f>S33-R33</f>
        <v/>
      </c>
      <c r="U33" s="317">
        <f>S33-Q33</f>
        <v/>
      </c>
      <c r="V33" s="318">
        <f>IF(Q33=0,"***",U33/Q33)</f>
        <v/>
      </c>
      <c r="W33" s="319">
        <f>IF(I33=0,"***",P33/I33)</f>
        <v/>
      </c>
      <c r="X33" s="320">
        <f>IF(J33=0,"***",Q33/J33)</f>
        <v/>
      </c>
      <c r="Y33" s="320">
        <f>IF(K33=0,"***",R33/K33)</f>
        <v/>
      </c>
      <c r="Z33" s="320">
        <f>IF(L33=0,"***",S33/L33)</f>
        <v/>
      </c>
      <c r="AA33" s="321">
        <f>IF(Y33="***","***",Z33-X33)</f>
        <v/>
      </c>
      <c r="AB33" s="320">
        <f>IF(Z33="***","***",Z33-X33)</f>
        <v/>
      </c>
      <c r="AC33" s="31" t="n"/>
    </row>
    <row r="34">
      <c r="D34" s="8" t="n"/>
      <c r="E34" s="9" t="n"/>
      <c r="F34" s="9" t="n"/>
      <c r="G34" s="95" t="inlineStr">
        <is>
          <t>自治体</t>
        </is>
      </c>
      <c r="H34" s="23" t="n"/>
      <c r="I34" s="322" t="n">
        <v>56.54</v>
      </c>
      <c r="J34" s="323" t="n">
        <v>0</v>
      </c>
      <c r="K34" s="324" t="n">
        <v>0</v>
      </c>
      <c r="L34" s="323" t="n">
        <v>82.104</v>
      </c>
      <c r="M34" s="325">
        <f>L34-K34</f>
        <v/>
      </c>
      <c r="N34" s="325">
        <f>L34-J34</f>
        <v/>
      </c>
      <c r="O34" s="326">
        <f>IF(J34=0,"***",N34/J34)</f>
        <v/>
      </c>
      <c r="P34" s="327" t="n">
        <v>1.751</v>
      </c>
      <c r="Q34" s="328" t="n">
        <v>0</v>
      </c>
      <c r="R34" s="324" t="n">
        <v>0</v>
      </c>
      <c r="S34" s="328" t="n">
        <v>2.476</v>
      </c>
      <c r="T34" s="325">
        <f>S34-R34</f>
        <v/>
      </c>
      <c r="U34" s="325">
        <f>S34-Q34</f>
        <v/>
      </c>
      <c r="V34" s="326">
        <f>IF(Q34=0,"***",U34/Q34)</f>
        <v/>
      </c>
      <c r="W34" s="329">
        <f>IF(I34=0,"***",P34/I34)</f>
        <v/>
      </c>
      <c r="X34" s="330">
        <f>IF(J34=0,"***",Q34/J34)</f>
        <v/>
      </c>
      <c r="Y34" s="330">
        <f>IF(K34=0,"***",R34/K34)</f>
        <v/>
      </c>
      <c r="Z34" s="330">
        <f>IF(L34=0,"***",S34/L34)</f>
        <v/>
      </c>
      <c r="AA34" s="331">
        <f>IF(Y34="***","***",Z34-X34)</f>
        <v/>
      </c>
      <c r="AB34" s="330">
        <f>IF(Z34="***","***",Z34-X34)</f>
        <v/>
      </c>
      <c r="AC34" s="45" t="n"/>
    </row>
    <row r="35">
      <c r="D35" s="8" t="n"/>
      <c r="E35" s="9" t="n"/>
      <c r="F35" s="9" t="n"/>
      <c r="G35" s="22" t="inlineStr">
        <is>
          <t>海外</t>
        </is>
      </c>
      <c r="H35" s="23" t="n"/>
      <c r="I35" s="332" t="n">
        <v>378.6</v>
      </c>
      <c r="J35" s="333" t="n">
        <v>1376.87</v>
      </c>
      <c r="K35" s="334" t="n">
        <v>860</v>
      </c>
      <c r="L35" s="333" t="n">
        <v>2659.97</v>
      </c>
      <c r="M35" s="335">
        <f>L35-K35</f>
        <v/>
      </c>
      <c r="N35" s="335">
        <f>L35-J35</f>
        <v/>
      </c>
      <c r="O35" s="336">
        <f>IF(J35=0,"***",N35/J35)</f>
        <v/>
      </c>
      <c r="P35" s="371" t="n">
        <v>89.88</v>
      </c>
      <c r="Q35" s="338" t="n">
        <v>289.41</v>
      </c>
      <c r="R35" s="334" t="n">
        <v>190</v>
      </c>
      <c r="S35" s="372" t="n">
        <v>713.36</v>
      </c>
      <c r="T35" s="335">
        <f>S35-R35</f>
        <v/>
      </c>
      <c r="U35" s="335">
        <f>S35-Q35</f>
        <v/>
      </c>
      <c r="V35" s="336">
        <f>IF(Q35=0,"***",U35/Q35)</f>
        <v/>
      </c>
      <c r="W35" s="339">
        <f>IF(I35=0,"***",P35/I35)</f>
        <v/>
      </c>
      <c r="X35" s="340">
        <f>IF(J35=0,"***",Q35/J35)</f>
        <v/>
      </c>
      <c r="Y35" s="340">
        <f>IF(K35=0,"***",R35/K35)</f>
        <v/>
      </c>
      <c r="Z35" s="340">
        <f>IF(L35=0,"***",S35/L35)</f>
        <v/>
      </c>
      <c r="AA35" s="341">
        <f>IF(Y35="***","***",Z35-X35)</f>
        <v/>
      </c>
      <c r="AB35" s="340">
        <f>IF(Z35="***","***",Z35-X35)</f>
        <v/>
      </c>
      <c r="AC35" s="59" t="n"/>
    </row>
    <row r="36">
      <c r="D36" s="8" t="n"/>
      <c r="E36" s="10" t="inlineStr">
        <is>
          <t>営業部門合計</t>
        </is>
      </c>
      <c r="F36" s="5" t="n"/>
      <c r="G36" s="5" t="n"/>
      <c r="H36" s="61" t="n"/>
      <c r="I36" s="373">
        <f>I30+I21+I16+I10+I5</f>
        <v/>
      </c>
      <c r="J36" s="373">
        <f>J30+J21+J16+J10+J5</f>
        <v/>
      </c>
      <c r="K36" s="307">
        <f>K30+K21+K16+K10+K5</f>
        <v/>
      </c>
      <c r="L36" s="357">
        <f>L30+L21+L16+L10+L5</f>
        <v/>
      </c>
      <c r="M36" s="359">
        <f>L36-K36</f>
        <v/>
      </c>
      <c r="N36" s="359">
        <f>L36-J36</f>
        <v/>
      </c>
      <c r="O36" s="318">
        <f>IF(J36=0,"***",N36/J36)</f>
        <v/>
      </c>
      <c r="P36" s="356">
        <f>P30+P21+P16+P10+P5</f>
        <v/>
      </c>
      <c r="Q36" s="357">
        <f>Q30+Q21+Q16+Q10+Q5</f>
        <v/>
      </c>
      <c r="R36" s="307">
        <f>R30+R21+R16+R10+R5</f>
        <v/>
      </c>
      <c r="S36" s="357">
        <f>S30+S21+S16+S10+S5</f>
        <v/>
      </c>
      <c r="T36" s="374">
        <f>S36-R36</f>
        <v/>
      </c>
      <c r="U36" s="374">
        <f>S36-Q36</f>
        <v/>
      </c>
      <c r="V36" s="309">
        <f>IF(Q36=0,"***",U36/Q36)</f>
        <v/>
      </c>
      <c r="W36" s="311">
        <f>IF(I36=0,"***",P36/I36)</f>
        <v/>
      </c>
      <c r="X36" s="312">
        <f>IF(J36=0,"***",Q36/J36)</f>
        <v/>
      </c>
      <c r="Y36" s="312">
        <f>IF(K36=0,"***",R36/K36)</f>
        <v/>
      </c>
      <c r="Z36" s="312">
        <f>IF(L36=0,"***",S36/L36)</f>
        <v/>
      </c>
      <c r="AA36" s="312">
        <f>IF(Y36="***","***",Z36-X36)</f>
        <v/>
      </c>
      <c r="AB36" s="312">
        <f>IF(Z36="***","***",Z36-X36)</f>
        <v/>
      </c>
      <c r="AC36" s="375" t="n"/>
    </row>
    <row r="37">
      <c r="D37" s="8" t="n"/>
      <c r="E37" s="9" t="n"/>
      <c r="H37" s="33" t="inlineStr">
        <is>
          <t>機械以外</t>
        </is>
      </c>
      <c r="I37" s="315">
        <f>I36-I38-I39-I40</f>
        <v/>
      </c>
      <c r="J37" s="315">
        <f>J36-J38-J39-J40</f>
        <v/>
      </c>
      <c r="K37" s="316">
        <f>K36-K38-K39-K40</f>
        <v/>
      </c>
      <c r="L37" s="315">
        <f>L36-L38-L39-L40</f>
        <v/>
      </c>
      <c r="M37" s="359">
        <f>L37-K37</f>
        <v/>
      </c>
      <c r="N37" s="359">
        <f>L37-J37</f>
        <v/>
      </c>
      <c r="O37" s="318">
        <f>IF(J37=0,"***",N37/J37)</f>
        <v/>
      </c>
      <c r="P37" s="314">
        <f>P36-P38-P39-P40</f>
        <v/>
      </c>
      <c r="Q37" s="315">
        <f>Q36-Q38-Q39-Q40</f>
        <v/>
      </c>
      <c r="R37" s="316">
        <f>R36-R38-R39-R40</f>
        <v/>
      </c>
      <c r="S37" s="315">
        <f>S36-S38-S39-S40</f>
        <v/>
      </c>
      <c r="T37" s="359">
        <f>S37-R37</f>
        <v/>
      </c>
      <c r="U37" s="359">
        <f>S37-Q37</f>
        <v/>
      </c>
      <c r="V37" s="318">
        <f>IF(Q37=0,"***",U37/Q37)</f>
        <v/>
      </c>
      <c r="W37" s="319">
        <f>IF(I37=0,"***",P37/I37)</f>
        <v/>
      </c>
      <c r="X37" s="320">
        <f>IF(J37=0,"***",Q37/J37)</f>
        <v/>
      </c>
      <c r="Y37" s="320">
        <f>IF(K37=0,"***",R37/K37)</f>
        <v/>
      </c>
      <c r="Z37" s="320">
        <f>IF(L37=0,"***",S37/L37)</f>
        <v/>
      </c>
      <c r="AA37" s="320">
        <f>IF(Y37="***","***",Z37-X37)</f>
        <v/>
      </c>
      <c r="AB37" s="320">
        <f>IF(Z37="***","***",Z37-X37)</f>
        <v/>
      </c>
      <c r="AC37" s="376" t="n"/>
    </row>
    <row r="38">
      <c r="D38" s="8" t="n"/>
      <c r="E38" s="9" t="n"/>
      <c r="H38" s="34" t="inlineStr">
        <is>
          <t>機械</t>
        </is>
      </c>
      <c r="I38" s="314">
        <f>I33+I23+I19+I13+I8</f>
        <v/>
      </c>
      <c r="J38" s="315">
        <f>J33+J23+J19+J13+J8</f>
        <v/>
      </c>
      <c r="K38" s="316">
        <f>K33+K23+K19+K13+K8</f>
        <v/>
      </c>
      <c r="L38" s="315">
        <f>L33+L23+L19+L13+L8</f>
        <v/>
      </c>
      <c r="M38" s="359">
        <f>L38-K38</f>
        <v/>
      </c>
      <c r="N38" s="359">
        <f>L38-J38</f>
        <v/>
      </c>
      <c r="O38" s="318">
        <f>IF(J38=0,"***",N38/J38)</f>
        <v/>
      </c>
      <c r="P38" s="314">
        <f>P33+P23+P19+P13+P8</f>
        <v/>
      </c>
      <c r="Q38" s="315">
        <f>Q33+Q23+Q19+Q13+Q8</f>
        <v/>
      </c>
      <c r="R38" s="316">
        <f>R33+R23+R19+R13+R8</f>
        <v/>
      </c>
      <c r="S38" s="315">
        <f>S33+S23+S19+S13+S8</f>
        <v/>
      </c>
      <c r="T38" s="359">
        <f>S38-R38</f>
        <v/>
      </c>
      <c r="U38" s="359">
        <f>S38-Q38</f>
        <v/>
      </c>
      <c r="V38" s="318">
        <f>IF(Q38=0,"***",U38/Q38)</f>
        <v/>
      </c>
      <c r="W38" s="319">
        <f>IF(I38=0,"***",P38/I38)</f>
        <v/>
      </c>
      <c r="X38" s="320">
        <f>IF(J38=0,"***",Q38/J38)</f>
        <v/>
      </c>
      <c r="Y38" s="320">
        <f>IF(K38=0,"***",R38/K38)</f>
        <v/>
      </c>
      <c r="Z38" s="320">
        <f>IF(L38=0,"***",S38/L38)</f>
        <v/>
      </c>
      <c r="AA38" s="320">
        <f>IF(Y38="***","***",Z38-X38)</f>
        <v/>
      </c>
      <c r="AB38" s="320">
        <f>IF(Z38="***","***",Z38-X38)</f>
        <v/>
      </c>
      <c r="AC38" s="376" t="n"/>
    </row>
    <row r="39">
      <c r="D39" s="8" t="n"/>
      <c r="E39" s="9" t="n"/>
      <c r="H39" s="33" t="inlineStr">
        <is>
          <t>自治体</t>
        </is>
      </c>
      <c r="I39" s="314">
        <f>I34+I20+I14+I9</f>
        <v/>
      </c>
      <c r="J39" s="315">
        <f>J34+J20+J14+J9</f>
        <v/>
      </c>
      <c r="K39" s="316">
        <f>K34+K20+K14+K9</f>
        <v/>
      </c>
      <c r="L39" s="315">
        <f>L34+L20+L14+L9</f>
        <v/>
      </c>
      <c r="M39" s="359">
        <f>L39-K39</f>
        <v/>
      </c>
      <c r="N39" s="359">
        <f>L39-J39</f>
        <v/>
      </c>
      <c r="O39" s="318">
        <f>IF(J39=0,"***",N39/J39)</f>
        <v/>
      </c>
      <c r="P39" s="314">
        <f>P34+P20+P14+P9</f>
        <v/>
      </c>
      <c r="Q39" s="315">
        <f>Q34+Q20+Q14+Q9</f>
        <v/>
      </c>
      <c r="R39" s="316">
        <f>R34+R20+R14+R9</f>
        <v/>
      </c>
      <c r="S39" s="315">
        <f>S34+S20+S14+S9</f>
        <v/>
      </c>
      <c r="T39" s="359">
        <f>S39-R39</f>
        <v/>
      </c>
      <c r="U39" s="359">
        <f>S39-Q39</f>
        <v/>
      </c>
      <c r="V39" s="318">
        <f>IF(Q39=0,"***",U39/Q39)</f>
        <v/>
      </c>
      <c r="W39" s="319">
        <f>IF(I39=0,"***",P39/I39)</f>
        <v/>
      </c>
      <c r="X39" s="320">
        <f>IF(J39=0,"***",Q39/J39)</f>
        <v/>
      </c>
      <c r="Y39" s="320">
        <f>IF(K39=0,"***",R39/K39)</f>
        <v/>
      </c>
      <c r="Z39" s="320">
        <f>IF(L39=0,"***",S39/L39)</f>
        <v/>
      </c>
      <c r="AA39" s="320">
        <f>IF(Y39="***","***",Z39-X39)</f>
        <v/>
      </c>
      <c r="AB39" s="377">
        <f>IF(Z39="***","***",Z39-X39)</f>
        <v/>
      </c>
      <c r="AC39" s="376" t="n"/>
    </row>
    <row r="40">
      <c r="D40" s="8" t="n"/>
      <c r="E40" s="9" t="n"/>
      <c r="H40" s="103" t="inlineStr">
        <is>
          <t>海外</t>
        </is>
      </c>
      <c r="I40" s="378">
        <f>I35+I15</f>
        <v/>
      </c>
      <c r="J40" s="379">
        <f>J35+J15</f>
        <v/>
      </c>
      <c r="K40" s="334">
        <f>K35+K15</f>
        <v/>
      </c>
      <c r="L40" s="379">
        <f>L35+L15</f>
        <v/>
      </c>
      <c r="M40" s="366">
        <f>L40-K40</f>
        <v/>
      </c>
      <c r="N40" s="366">
        <f>L40-J40</f>
        <v/>
      </c>
      <c r="O40" s="336">
        <f>IF(J40=0,"***",N40/J40)</f>
        <v/>
      </c>
      <c r="P40" s="378">
        <f>P35+P15</f>
        <v/>
      </c>
      <c r="Q40" s="379">
        <f>Q35+Q15</f>
        <v/>
      </c>
      <c r="R40" s="334">
        <f>R35+R15</f>
        <v/>
      </c>
      <c r="S40" s="379">
        <f>S35+S15</f>
        <v/>
      </c>
      <c r="T40" s="366">
        <f>S40-R40</f>
        <v/>
      </c>
      <c r="U40" s="366">
        <f>S40-Q40</f>
        <v/>
      </c>
      <c r="V40" s="336">
        <f>IF(Q40=0,"***",U40/Q40)</f>
        <v/>
      </c>
      <c r="W40" s="339">
        <f>IF(I40=0,"***",P40/I40)</f>
        <v/>
      </c>
      <c r="X40" s="340">
        <f>IF(J40=0,"***",Q40/J40)</f>
        <v/>
      </c>
      <c r="Y40" s="340">
        <f>IF(K40=0,"***",R40/K40)</f>
        <v/>
      </c>
      <c r="Z40" s="340">
        <f>IF(L40=0,"***",S40/L40)</f>
        <v/>
      </c>
      <c r="AA40" s="340">
        <f>IF(Y40="***","***",Z40-X40)</f>
        <v/>
      </c>
      <c r="AB40" s="380">
        <f>IF(Z40="***","***",Z40-X40)</f>
        <v/>
      </c>
      <c r="AC40" s="381" t="n"/>
    </row>
    <row r="41">
      <c r="D41" s="8" t="n"/>
      <c r="E41" s="60" t="inlineStr">
        <is>
          <t>水産部</t>
        </is>
      </c>
      <c r="F41" s="5" t="n"/>
      <c r="G41" s="5" t="n"/>
      <c r="H41" s="5" t="n"/>
      <c r="I41" s="367" t="n">
        <v>30689.771</v>
      </c>
      <c r="J41" s="306" t="n">
        <v>40170.488</v>
      </c>
      <c r="K41" s="307" t="n">
        <v>42680</v>
      </c>
      <c r="L41" s="306" t="n">
        <v>56375.36</v>
      </c>
      <c r="M41" s="308">
        <f>L41-K41</f>
        <v/>
      </c>
      <c r="N41" s="308">
        <f>L41-J41</f>
        <v/>
      </c>
      <c r="O41" s="309">
        <f>IF(J41=0,"***",N41/J41)</f>
        <v/>
      </c>
      <c r="P41" s="367" t="n">
        <v>6934.191</v>
      </c>
      <c r="Q41" s="306" t="n">
        <v>13121.934</v>
      </c>
      <c r="R41" s="307" t="n">
        <v>12370</v>
      </c>
      <c r="S41" s="306" t="n">
        <v>16495.904</v>
      </c>
      <c r="T41" s="308">
        <f>S41-R41</f>
        <v/>
      </c>
      <c r="U41" s="308">
        <f>S41-Q41</f>
        <v/>
      </c>
      <c r="V41" s="309">
        <f>IF(Q41=0,"***",U41/Q41)</f>
        <v/>
      </c>
      <c r="W41" s="382">
        <f>IF(I41=0,"***",P41/I41)</f>
        <v/>
      </c>
      <c r="X41" s="383">
        <f>IF(J41=0,"***",Q41/J41)</f>
        <v/>
      </c>
      <c r="Y41" s="383">
        <f>IF(K41=0,"***",R41/K41)</f>
        <v/>
      </c>
      <c r="Z41" s="383">
        <f>IF(L41=0,"***",S41/L41)</f>
        <v/>
      </c>
      <c r="AA41" s="383">
        <f>IF(Y41="***","***",Z41-X41)</f>
        <v/>
      </c>
      <c r="AB41" s="384">
        <f>IF(Z41="***","***",Z41-X41)</f>
        <v/>
      </c>
      <c r="AC41" s="21" t="n"/>
    </row>
    <row r="42">
      <c r="D42" s="8" t="n"/>
      <c r="E42" s="9" t="n"/>
      <c r="H42" s="33" t="inlineStr">
        <is>
          <t>包装資材</t>
        </is>
      </c>
      <c r="I42" s="385">
        <f>I41-I43-I44</f>
        <v/>
      </c>
      <c r="J42" s="344">
        <f>J41-J43-J44</f>
        <v/>
      </c>
      <c r="K42" s="344">
        <f>K41-K43-K44</f>
        <v/>
      </c>
      <c r="L42" s="344">
        <f>L41-L43-L44</f>
        <v/>
      </c>
      <c r="M42" s="345">
        <f>L42-K42</f>
        <v/>
      </c>
      <c r="N42" s="345">
        <f>L42-J42</f>
        <v/>
      </c>
      <c r="O42" s="346">
        <f>IF(J42=0,"***",N42/J42)</f>
        <v/>
      </c>
      <c r="P42" s="385">
        <f>P41-P43-P44</f>
        <v/>
      </c>
      <c r="Q42" s="344">
        <f>Q41-Q43-Q44</f>
        <v/>
      </c>
      <c r="R42" s="344">
        <f>R41-R43-R44</f>
        <v/>
      </c>
      <c r="S42" s="344">
        <f>S41-S43-S44</f>
        <v/>
      </c>
      <c r="T42" s="345">
        <f>S42-R42</f>
        <v/>
      </c>
      <c r="U42" s="345">
        <f>S42-Q42</f>
        <v/>
      </c>
      <c r="V42" s="346">
        <f>IF(Q42=0,"***",U42/Q42)</f>
        <v/>
      </c>
      <c r="W42" s="386">
        <f>IF(I42=0,"***",P42/I42)</f>
        <v/>
      </c>
      <c r="X42" s="387">
        <f>IF(J42=0,"***",Q42/J42)</f>
        <v/>
      </c>
      <c r="Y42" s="387">
        <f>IF(K42=0,"***",R42/K42)</f>
        <v/>
      </c>
      <c r="Z42" s="387">
        <f>IF(L42=0,"***",S42/L42)</f>
        <v/>
      </c>
      <c r="AA42" s="387">
        <f>IF(Y42="***","***",Z42-X42)</f>
        <v/>
      </c>
      <c r="AB42" s="388">
        <f>IF(Z42="***","***",Z42-X42)</f>
        <v/>
      </c>
      <c r="AC42" s="389" t="n"/>
    </row>
    <row r="43">
      <c r="D43" s="8" t="n"/>
      <c r="E43" s="9" t="n"/>
      <c r="H43" s="34" t="inlineStr">
        <is>
          <t>荷役</t>
        </is>
      </c>
      <c r="I43" s="305" t="n">
        <v>4445.574</v>
      </c>
      <c r="J43" s="390" t="n">
        <v>8526.431</v>
      </c>
      <c r="K43" s="390" t="n">
        <v>8820</v>
      </c>
      <c r="L43" s="390" t="n">
        <v>7930.423</v>
      </c>
      <c r="M43" s="345">
        <f>L43-K43</f>
        <v/>
      </c>
      <c r="N43" s="345">
        <f>L43-J43</f>
        <v/>
      </c>
      <c r="O43" s="346">
        <f>IF(J43=0,"***",N43/J43)</f>
        <v/>
      </c>
      <c r="P43" s="305" t="n">
        <v>2635.511</v>
      </c>
      <c r="Q43" s="390" t="n">
        <v>5937.06</v>
      </c>
      <c r="R43" s="390" t="n">
        <v>4810</v>
      </c>
      <c r="S43" s="390" t="n">
        <v>5071.4</v>
      </c>
      <c r="T43" s="345">
        <f>S43-R43</f>
        <v/>
      </c>
      <c r="U43" s="345">
        <f>S43-Q43</f>
        <v/>
      </c>
      <c r="V43" s="346">
        <f>IF(Q43=0,"***",U43/Q43)</f>
        <v/>
      </c>
      <c r="W43" s="386">
        <f>IF(I43=0,"***",P43/I43)</f>
        <v/>
      </c>
      <c r="X43" s="387">
        <f>IF(J43=0,"***",Q43/J43)</f>
        <v/>
      </c>
      <c r="Y43" s="387">
        <f>IF(K43=0,"***",R43/K43)</f>
        <v/>
      </c>
      <c r="Z43" s="387">
        <f>IF(L43=0,"***",S43/L43)</f>
        <v/>
      </c>
      <c r="AA43" s="387" t="n"/>
      <c r="AB43" s="388" t="n"/>
      <c r="AC43" s="389" t="n"/>
    </row>
    <row r="44">
      <c r="D44" s="8" t="n"/>
      <c r="E44" s="46" t="n"/>
      <c r="F44" s="116" t="n"/>
      <c r="G44" s="116" t="n"/>
      <c r="H44" s="103" t="inlineStr">
        <is>
          <t>機械</t>
        </is>
      </c>
      <c r="I44" s="305" t="n">
        <v>39</v>
      </c>
      <c r="J44" s="390" t="n">
        <v>49.2</v>
      </c>
      <c r="K44" s="390" t="n">
        <v>90</v>
      </c>
      <c r="L44" s="390" t="n">
        <v>526.91</v>
      </c>
      <c r="M44" s="345">
        <f>L44-K44</f>
        <v/>
      </c>
      <c r="N44" s="345">
        <f>L44-J44</f>
        <v/>
      </c>
      <c r="O44" s="346">
        <f>IF(J44=0,"***",N44/J44)</f>
        <v/>
      </c>
      <c r="P44" s="305" t="n">
        <v>3.8</v>
      </c>
      <c r="Q44" s="390" t="n">
        <v>6.5</v>
      </c>
      <c r="R44" s="390" t="n">
        <v>20</v>
      </c>
      <c r="S44" s="390" t="n">
        <v>140.36</v>
      </c>
      <c r="T44" s="345">
        <f>S44-R44</f>
        <v/>
      </c>
      <c r="U44" s="345">
        <f>S44-Q44</f>
        <v/>
      </c>
      <c r="V44" s="346">
        <f>IF(Q44=0,"***",U44/Q44)</f>
        <v/>
      </c>
      <c r="W44" s="386">
        <f>IF(I44=0,"***",P44/I44)</f>
        <v/>
      </c>
      <c r="X44" s="387">
        <f>IF(J44=0,"***",Q44/J44)</f>
        <v/>
      </c>
      <c r="Y44" s="387">
        <f>IF(K44=0,"***",R44/K44)</f>
        <v/>
      </c>
      <c r="Z44" s="387">
        <f>IF(L44=0,"***",S44/L44)</f>
        <v/>
      </c>
      <c r="AA44" s="387">
        <f>IF(Y44="***","***",Z44-X44)</f>
        <v/>
      </c>
      <c r="AB44" s="388">
        <f>IF(Z44="***","***",Z44-X44)</f>
        <v/>
      </c>
      <c r="AC44" s="389" t="n"/>
    </row>
    <row r="45">
      <c r="D45" s="117" t="inlineStr">
        <is>
          <t>合計</t>
        </is>
      </c>
      <c r="E45" s="118" t="n"/>
      <c r="F45" s="118" t="n"/>
      <c r="G45" s="118" t="n"/>
      <c r="H45" s="119" t="n"/>
      <c r="I45" s="391">
        <f>I41+I36</f>
        <v/>
      </c>
      <c r="J45" s="392">
        <f>J41+J36</f>
        <v/>
      </c>
      <c r="K45" s="393">
        <f>K41+K36</f>
        <v/>
      </c>
      <c r="L45" s="393">
        <f>L41+L36</f>
        <v/>
      </c>
      <c r="M45" s="394">
        <f>L45-K45</f>
        <v/>
      </c>
      <c r="N45" s="394">
        <f>L45-J45</f>
        <v/>
      </c>
      <c r="O45" s="395">
        <f>IF(J45=0,"***",N45/J45)</f>
        <v/>
      </c>
      <c r="P45" s="396">
        <f>P41+P36</f>
        <v/>
      </c>
      <c r="Q45" s="393">
        <f>Q41+Q36</f>
        <v/>
      </c>
      <c r="R45" s="393">
        <f>R41+R36</f>
        <v/>
      </c>
      <c r="S45" s="393">
        <f>S41+S36</f>
        <v/>
      </c>
      <c r="T45" s="394">
        <f>S45-R45</f>
        <v/>
      </c>
      <c r="U45" s="394">
        <f>S45-Q45</f>
        <v/>
      </c>
      <c r="V45" s="395">
        <f>IF(Q45=0,"***",U45/Q45)</f>
        <v/>
      </c>
      <c r="W45" s="397">
        <f>IF(I45=0,"***",P45/I45)</f>
        <v/>
      </c>
      <c r="X45" s="398">
        <f>IF(J45=0,"***",Q45/J45)</f>
        <v/>
      </c>
      <c r="Y45" s="398">
        <f>IF(K45=0,"***",R45/K45)</f>
        <v/>
      </c>
      <c r="Z45" s="398">
        <f>IF(L45=0,"***",S45/L45)</f>
        <v/>
      </c>
      <c r="AA45" s="398">
        <f>IF(Y45="***","***",Z45-X45)</f>
        <v/>
      </c>
      <c r="AB45" s="399">
        <f>IF(Z45="***","***",Z45-X45)</f>
        <v/>
      </c>
      <c r="AC45" s="400" t="n"/>
    </row>
    <row r="46">
      <c r="D46" s="8" t="n"/>
      <c r="E46" s="118" t="n"/>
      <c r="F46" s="118" t="n"/>
      <c r="G46" s="118" t="n"/>
      <c r="H46" s="130" t="inlineStr">
        <is>
          <t>機械以外</t>
        </is>
      </c>
      <c r="I46" s="401">
        <f>I45-I47</f>
        <v/>
      </c>
      <c r="J46" s="402">
        <f>J45-J47</f>
        <v/>
      </c>
      <c r="K46" s="403">
        <f>K45-K47</f>
        <v/>
      </c>
      <c r="L46" s="403">
        <f>L45-L47</f>
        <v/>
      </c>
      <c r="M46" s="404">
        <f>L46-K46</f>
        <v/>
      </c>
      <c r="N46" s="404">
        <f>L46-J46</f>
        <v/>
      </c>
      <c r="O46" s="405">
        <f>IF(J46=0,"***",N46/J46)</f>
        <v/>
      </c>
      <c r="P46" s="406">
        <f>P45-P47</f>
        <v/>
      </c>
      <c r="Q46" s="403">
        <f>Q45-Q47</f>
        <v/>
      </c>
      <c r="R46" s="403">
        <f>R45-R47</f>
        <v/>
      </c>
      <c r="S46" s="403">
        <f>S45-S47</f>
        <v/>
      </c>
      <c r="T46" s="404">
        <f>S46-R46</f>
        <v/>
      </c>
      <c r="U46" s="404">
        <f>S46-Q46</f>
        <v/>
      </c>
      <c r="V46" s="405">
        <f>IF(Q46=0,"***",U46/Q46)</f>
        <v/>
      </c>
      <c r="W46" s="407">
        <f>IF(I46=0,"***",P46/I46)</f>
        <v/>
      </c>
      <c r="X46" s="408">
        <f>IF(J46=0,"***",Q46/J46)</f>
        <v/>
      </c>
      <c r="Y46" s="408">
        <f>IF(K46=0,"***",R46/K46)</f>
        <v/>
      </c>
      <c r="Z46" s="408">
        <f>IF(L46=0,"***",S46/L46)</f>
        <v/>
      </c>
      <c r="AA46" s="408">
        <f>IF(Y46="***","***",Z46-X46)</f>
        <v/>
      </c>
      <c r="AB46" s="409">
        <f>IF(Z46="***","***",Z46-X46)</f>
        <v/>
      </c>
      <c r="AC46" s="410" t="n"/>
    </row>
    <row r="47">
      <c r="D47" s="8" t="n"/>
      <c r="E47" s="118" t="n"/>
      <c r="F47" s="118" t="n"/>
      <c r="G47" s="141" t="n"/>
      <c r="H47" s="130" t="inlineStr">
        <is>
          <t>機械</t>
        </is>
      </c>
      <c r="I47" s="411">
        <f>I38+I44</f>
        <v/>
      </c>
      <c r="J47" s="412">
        <f>J38+J44</f>
        <v/>
      </c>
      <c r="K47" s="412">
        <f>K38+K44</f>
        <v/>
      </c>
      <c r="L47" s="412">
        <f>L38+L44</f>
        <v/>
      </c>
      <c r="M47" s="413">
        <f>L47-K47</f>
        <v/>
      </c>
      <c r="N47" s="413">
        <f>L47-J47</f>
        <v/>
      </c>
      <c r="O47" s="414">
        <f>IF(J47=0,"***",N47/J47)</f>
        <v/>
      </c>
      <c r="P47" s="415">
        <f>P38+P44</f>
        <v/>
      </c>
      <c r="Q47" s="412">
        <f>Q38+Q44</f>
        <v/>
      </c>
      <c r="R47" s="412">
        <f>R38+R44</f>
        <v/>
      </c>
      <c r="S47" s="412">
        <f>S38+S44</f>
        <v/>
      </c>
      <c r="T47" s="413">
        <f>S47-R47</f>
        <v/>
      </c>
      <c r="U47" s="413">
        <f>S47-Q47</f>
        <v/>
      </c>
      <c r="V47" s="414">
        <f>IF(Q47=0,"***",U47/Q47)</f>
        <v/>
      </c>
      <c r="W47" s="416">
        <f>IF(I47=0,"***",P47/I47)</f>
        <v/>
      </c>
      <c r="X47" s="417">
        <f>IF(J47=0,"***",Q47/J47)</f>
        <v/>
      </c>
      <c r="Y47" s="417">
        <f>IF(K47=0,"***",R47/K47)</f>
        <v/>
      </c>
      <c r="Z47" s="417">
        <f>IF(L47=0,"***",S47/L47)</f>
        <v/>
      </c>
      <c r="AA47" s="417">
        <f>IF(Y47="***","***",Z47-X47)</f>
        <v/>
      </c>
      <c r="AB47" s="418">
        <f>IF(Z47="***","***",Z47-X47)</f>
        <v/>
      </c>
      <c r="AC47" s="419" t="n"/>
    </row>
    <row r="48">
      <c r="D48" s="8" t="n"/>
      <c r="E48" s="118" t="n"/>
      <c r="F48" s="118" t="n"/>
      <c r="G48" s="141" t="n"/>
      <c r="H48" s="130" t="inlineStr">
        <is>
          <t>自治体</t>
        </is>
      </c>
      <c r="I48" s="420">
        <f>I39</f>
        <v/>
      </c>
      <c r="J48" s="403">
        <f>J39</f>
        <v/>
      </c>
      <c r="K48" s="403">
        <f>K39</f>
        <v/>
      </c>
      <c r="L48" s="403">
        <f>L39</f>
        <v/>
      </c>
      <c r="M48" s="404">
        <f>L48-K48</f>
        <v/>
      </c>
      <c r="N48" s="404">
        <f>L48-J48</f>
        <v/>
      </c>
      <c r="O48" s="405">
        <f>IF(J48=0,"***",N48/J48)</f>
        <v/>
      </c>
      <c r="P48" s="406">
        <f>P39</f>
        <v/>
      </c>
      <c r="Q48" s="403">
        <f>Q39</f>
        <v/>
      </c>
      <c r="R48" s="403">
        <f>R39</f>
        <v/>
      </c>
      <c r="S48" s="403">
        <f>S39</f>
        <v/>
      </c>
      <c r="T48" s="404">
        <f>S48-R48</f>
        <v/>
      </c>
      <c r="U48" s="404">
        <f>S48-Q48</f>
        <v/>
      </c>
      <c r="V48" s="405">
        <f>IF(Q48=0,"***",U48/Q48)</f>
        <v/>
      </c>
      <c r="W48" s="407">
        <f>IF(I48=0,"***",P48/I48)</f>
        <v/>
      </c>
      <c r="X48" s="408">
        <f>IF(J48=0,"***",Q48/J48)</f>
        <v/>
      </c>
      <c r="Y48" s="408">
        <f>IF(K48=0,"***",R48/K48)</f>
        <v/>
      </c>
      <c r="Z48" s="408">
        <f>IF(L48=0,"***",S48/L48)</f>
        <v/>
      </c>
      <c r="AA48" s="408">
        <f>IF(Y48="***","***",Z48-X48)</f>
        <v/>
      </c>
      <c r="AB48" s="409">
        <f>IF(Z48="***","***",Z48-X48)</f>
        <v/>
      </c>
      <c r="AC48" s="410" t="n"/>
    </row>
    <row r="49">
      <c r="D49" s="152" t="n"/>
      <c r="E49" s="153" t="n"/>
      <c r="F49" s="153" t="n"/>
      <c r="G49" s="154" t="n"/>
      <c r="H49" s="155" t="inlineStr">
        <is>
          <t>海外</t>
        </is>
      </c>
      <c r="I49" s="421">
        <f>I40</f>
        <v/>
      </c>
      <c r="J49" s="422">
        <f>J40</f>
        <v/>
      </c>
      <c r="K49" s="422">
        <f>K40</f>
        <v/>
      </c>
      <c r="L49" s="422">
        <f>L40</f>
        <v/>
      </c>
      <c r="M49" s="423">
        <f>L49-K49</f>
        <v/>
      </c>
      <c r="N49" s="423">
        <f>L49-J49</f>
        <v/>
      </c>
      <c r="O49" s="424">
        <f>IF(J49=0,"***",N49/J49)</f>
        <v/>
      </c>
      <c r="P49" s="425">
        <f>P40</f>
        <v/>
      </c>
      <c r="Q49" s="422">
        <f>Q40</f>
        <v/>
      </c>
      <c r="R49" s="422">
        <f>R40</f>
        <v/>
      </c>
      <c r="S49" s="422">
        <f>S40</f>
        <v/>
      </c>
      <c r="T49" s="423">
        <f>S49-R49</f>
        <v/>
      </c>
      <c r="U49" s="423">
        <f>S49-Q49</f>
        <v/>
      </c>
      <c r="V49" s="424">
        <f>IF(Q49=0,"***",U49/Q49)</f>
        <v/>
      </c>
      <c r="W49" s="426">
        <f>IF(I49=0,"***",P49/I49)</f>
        <v/>
      </c>
      <c r="X49" s="427">
        <f>IF(J49=0,"***",Q49/J49)</f>
        <v/>
      </c>
      <c r="Y49" s="427">
        <f>IF(K49=0,"***",R49/K49)</f>
        <v/>
      </c>
      <c r="Z49" s="427">
        <f>IF(L49=0,"***",S49/L49)</f>
        <v/>
      </c>
      <c r="AA49" s="427">
        <f>IF(Y49="***","***",Z49-X49)</f>
        <v/>
      </c>
      <c r="AB49" s="428">
        <f>IF(Z49="***","***",Z49-X49)</f>
        <v/>
      </c>
      <c r="AC49" s="429" t="n"/>
    </row>
    <row r="50">
      <c r="D50" s="165" t="inlineStr">
        <is>
          <t>キョウワ（税抜）</t>
        </is>
      </c>
      <c r="E50" s="166" t="n"/>
      <c r="F50" s="166" t="n"/>
      <c r="G50" s="166" t="n"/>
      <c r="H50" s="47" t="n"/>
      <c r="I50" s="430" t="n">
        <v>2810</v>
      </c>
      <c r="J50" s="431" t="n">
        <v>3860</v>
      </c>
      <c r="K50" s="431" t="n">
        <v>3250</v>
      </c>
      <c r="L50" s="431" t="n">
        <v>2382</v>
      </c>
      <c r="M50" s="432">
        <f>L50-K50</f>
        <v/>
      </c>
      <c r="N50" s="432">
        <f>L50-J50</f>
        <v/>
      </c>
      <c r="O50" s="433">
        <f>IF(J50=0,"***",N50/J50)</f>
        <v/>
      </c>
      <c r="P50" s="430" t="n">
        <v>1030</v>
      </c>
      <c r="Q50" s="431" t="n">
        <v>2620</v>
      </c>
      <c r="R50" s="431" t="n">
        <v>1770</v>
      </c>
      <c r="S50" s="431" t="n">
        <v>1466</v>
      </c>
      <c r="T50" s="432">
        <f>S50-R50</f>
        <v/>
      </c>
      <c r="U50" s="432">
        <f>S50-Q50</f>
        <v/>
      </c>
      <c r="V50" s="433">
        <f>IF(Q50=0,"***",U50/Q50)</f>
        <v/>
      </c>
      <c r="W50" s="434">
        <f>IF(I50=0,"***",P50/I50)</f>
        <v/>
      </c>
      <c r="X50" s="435">
        <f>IF(J50=0,"***",Q50/J50)</f>
        <v/>
      </c>
      <c r="Y50" s="435">
        <f>IF(K50=0,"***",R50/K50)</f>
        <v/>
      </c>
      <c r="Z50" s="435">
        <f>IF(L50=0,"***",S50/L50)</f>
        <v/>
      </c>
      <c r="AA50" s="435">
        <f>IF(Y50="***","***",Z50-X50)</f>
        <v/>
      </c>
      <c r="AB50" s="433">
        <f>IF(Z50="***","***",Z50-X50)</f>
        <v/>
      </c>
      <c r="AC50" s="436" t="n"/>
    </row>
  </sheetData>
  <mergeCells count="14">
    <mergeCell ref="K3:K4"/>
    <mergeCell ref="AC3:AC4"/>
    <mergeCell ref="L3:L4"/>
    <mergeCell ref="P3:P4"/>
    <mergeCell ref="D3:H4"/>
    <mergeCell ref="Q3:Q4"/>
    <mergeCell ref="R3:R4"/>
    <mergeCell ref="I3:I4"/>
    <mergeCell ref="S3:S4"/>
    <mergeCell ref="X3:X4"/>
    <mergeCell ref="W3:W4"/>
    <mergeCell ref="Y3:Y4"/>
    <mergeCell ref="Z3:Z4"/>
    <mergeCell ref="J3:J4"/>
  </mergeCells>
  <pageMargins left="0.708333333333333" right="0.708333333333333" top="0.747916666666667" bottom="0.747916666666667" header="0.511811023622047" footer="0.511811023622047"/>
  <pageSetup orientation="landscape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C50"/>
  <sheetViews>
    <sheetView workbookViewId="0">
      <selection activeCell="D2" sqref="D2"/>
    </sheetView>
  </sheetViews>
  <sheetFormatPr baseColWidth="8" defaultColWidth="8.5" defaultRowHeight="18.75"/>
  <cols>
    <col width="2.375" customWidth="1" style="1" min="4" max="4"/>
    <col width="2.875" customWidth="1" style="1" min="5" max="5"/>
    <col width="3.125" customWidth="1" style="1" min="6" max="7"/>
    <col width="16" customWidth="1" style="1" min="8" max="8"/>
    <col width="8.5" customWidth="1" style="302" min="13" max="14"/>
    <col width="8.5" customWidth="1" style="302" min="20" max="21"/>
    <col width="60.5" customWidth="1" style="1" min="29" max="29"/>
  </cols>
  <sheetData>
    <row r="1" ht="23.25" customHeight="1" s="1">
      <c r="D1" s="2" t="inlineStr">
        <is>
          <t>1．単月</t>
        </is>
      </c>
    </row>
    <row r="2"/>
    <row r="3" ht="18.75" customHeight="1" s="1">
      <c r="D3" s="284" t="n"/>
      <c r="E3" s="285" t="n"/>
      <c r="F3" s="285" t="n"/>
      <c r="G3" s="285" t="n"/>
      <c r="H3" s="286" t="n"/>
      <c r="I3" s="282" t="inlineStr">
        <is>
          <t>2024年5月売上実績</t>
        </is>
      </c>
      <c r="J3" s="290" t="inlineStr">
        <is>
          <t>2025年5月売上実績</t>
        </is>
      </c>
      <c r="K3" s="292" t="inlineStr">
        <is>
          <t>2026年5月売上計画</t>
        </is>
      </c>
      <c r="L3" s="292" t="inlineStr">
        <is>
          <t>2026年5月売上実績</t>
        </is>
      </c>
      <c r="M3" s="303" t="n"/>
      <c r="N3" s="303" t="n"/>
      <c r="O3" s="4" t="n"/>
      <c r="P3" s="282" t="inlineStr">
        <is>
          <t>2024年5月粗利益実績</t>
        </is>
      </c>
      <c r="Q3" s="290" t="inlineStr">
        <is>
          <t>2025年5月粗利益実績</t>
        </is>
      </c>
      <c r="R3" s="292" t="inlineStr">
        <is>
          <t>2026年5月粗利益計画</t>
        </is>
      </c>
      <c r="S3" s="292" t="inlineStr">
        <is>
          <t>2026年5月粗利益実績</t>
        </is>
      </c>
      <c r="T3" s="303" t="n"/>
      <c r="U3" s="303" t="n"/>
      <c r="V3" s="4" t="n"/>
      <c r="W3" s="297" t="inlineStr">
        <is>
          <t>2024年5月粗利益率実績</t>
        </is>
      </c>
      <c r="X3" s="298" t="inlineStr">
        <is>
          <t>2025年5月粗利益率実績</t>
        </is>
      </c>
      <c r="Y3" s="294" t="inlineStr">
        <is>
          <t>2026年5月粗利益率計画</t>
        </is>
      </c>
      <c r="Z3" s="294" t="inlineStr">
        <is>
          <t>2026年5月粗利益率実績</t>
        </is>
      </c>
      <c r="AA3" s="5" t="n"/>
      <c r="AB3" s="5" t="n"/>
      <c r="AC3" s="295" t="inlineStr">
        <is>
          <t>作成根拠</t>
        </is>
      </c>
    </row>
    <row r="4">
      <c r="D4" s="287" t="n"/>
      <c r="E4" s="288" t="n"/>
      <c r="F4" s="288" t="n"/>
      <c r="G4" s="288" t="n"/>
      <c r="H4" s="289" t="n"/>
      <c r="I4" s="283" t="n"/>
      <c r="J4" s="291" t="n"/>
      <c r="K4" s="293" t="n"/>
      <c r="L4" s="293" t="n"/>
      <c r="M4" s="304" t="inlineStr">
        <is>
          <t>計画比</t>
        </is>
      </c>
      <c r="N4" s="304" t="inlineStr">
        <is>
          <t>前期比</t>
        </is>
      </c>
      <c r="O4" s="7" t="inlineStr">
        <is>
          <t>年率</t>
        </is>
      </c>
      <c r="P4" s="283" t="n"/>
      <c r="Q4" s="291" t="n"/>
      <c r="R4" s="293" t="n"/>
      <c r="S4" s="293" t="n"/>
      <c r="T4" s="304" t="inlineStr">
        <is>
          <t>計画比</t>
        </is>
      </c>
      <c r="U4" s="304" t="inlineStr">
        <is>
          <t>前期比</t>
        </is>
      </c>
      <c r="V4" s="7" t="inlineStr">
        <is>
          <t>年率</t>
        </is>
      </c>
      <c r="W4" s="283" t="n"/>
      <c r="X4" s="291" t="n"/>
      <c r="Y4" s="293" t="n"/>
      <c r="Z4" s="293" t="n"/>
      <c r="AA4" s="6" t="inlineStr">
        <is>
          <t>計画比</t>
        </is>
      </c>
      <c r="AB4" s="6" t="inlineStr">
        <is>
          <t>前期比</t>
        </is>
      </c>
      <c r="AC4" s="296" t="n"/>
    </row>
    <row r="5">
      <c r="D5" s="8" t="n"/>
      <c r="E5" s="9" t="n"/>
      <c r="F5" s="10" t="inlineStr">
        <is>
          <t>石見営業所</t>
        </is>
      </c>
      <c r="H5" s="11" t="n"/>
      <c r="I5" s="305" t="n">
        <v>68619.12300000001</v>
      </c>
      <c r="J5" s="306" t="n">
        <v>58850.135</v>
      </c>
      <c r="K5" s="307" t="n">
        <v>68980</v>
      </c>
      <c r="L5" s="306" t="n">
        <v>67381.86199999999</v>
      </c>
      <c r="M5" s="308">
        <f>L5-K5</f>
        <v/>
      </c>
      <c r="N5" s="308">
        <f>L5-J5</f>
        <v/>
      </c>
      <c r="O5" s="309">
        <f>IF(J5=0,"***",N5/J5)</f>
        <v/>
      </c>
      <c r="P5" s="310" t="n">
        <v>17589.754</v>
      </c>
      <c r="Q5" s="310" t="n">
        <v>17093.582</v>
      </c>
      <c r="R5" s="310" t="n">
        <v>18460</v>
      </c>
      <c r="S5" s="310" t="n">
        <v>20280.868</v>
      </c>
      <c r="T5" s="308">
        <f>S5-R5</f>
        <v/>
      </c>
      <c r="U5" s="308">
        <f>S5-Q5</f>
        <v/>
      </c>
      <c r="V5" s="309">
        <f>IF(Q5=0,"***",U5/Q5)</f>
        <v/>
      </c>
      <c r="W5" s="311">
        <f>IF(I5=0,"***",P5/I5)</f>
        <v/>
      </c>
      <c r="X5" s="312">
        <f>IF(J5=0,"***",Q5/J5)</f>
        <v/>
      </c>
      <c r="Y5" s="312">
        <f>IF(K5=0,"***",R5/K5)</f>
        <v/>
      </c>
      <c r="Z5" s="312">
        <f>IF(L5=0,"***",S5/L5)</f>
        <v/>
      </c>
      <c r="AA5" s="313">
        <f>IF(Y5="***","***",Z5-X5)</f>
        <v/>
      </c>
      <c r="AB5" s="312">
        <f>IF(Z5="***","***",Z5-X5)</f>
        <v/>
      </c>
      <c r="AC5" s="21" t="n"/>
    </row>
    <row r="6">
      <c r="D6" s="8" t="n"/>
      <c r="E6" s="9" t="n"/>
      <c r="F6" s="9" t="n"/>
      <c r="G6" s="22" t="inlineStr">
        <is>
          <t>営業</t>
        </is>
      </c>
      <c r="H6" s="23" t="n"/>
      <c r="I6" s="314">
        <f>I5-I9</f>
        <v/>
      </c>
      <c r="J6" s="315">
        <f>J5-J9</f>
        <v/>
      </c>
      <c r="K6" s="316">
        <f>K5-K9</f>
        <v/>
      </c>
      <c r="L6" s="315">
        <f>L5-L9</f>
        <v/>
      </c>
      <c r="M6" s="317">
        <f>L6-K6</f>
        <v/>
      </c>
      <c r="N6" s="317">
        <f>L6-J6</f>
        <v/>
      </c>
      <c r="O6" s="318">
        <f>IF(J6=0,"***",N6/J6)</f>
        <v/>
      </c>
      <c r="P6" s="314">
        <f>P5-P9</f>
        <v/>
      </c>
      <c r="Q6" s="315">
        <f>Q5-Q9</f>
        <v/>
      </c>
      <c r="R6" s="316">
        <f>R5-R9</f>
        <v/>
      </c>
      <c r="S6" s="315">
        <f>S5-S9</f>
        <v/>
      </c>
      <c r="T6" s="317">
        <f>S6-R6</f>
        <v/>
      </c>
      <c r="U6" s="317">
        <f>S6-Q6</f>
        <v/>
      </c>
      <c r="V6" s="318">
        <f>IF(Q6=0,"***",U6/Q6)</f>
        <v/>
      </c>
      <c r="W6" s="319">
        <f>IF(I6=0,"***",P6/I6)</f>
        <v/>
      </c>
      <c r="X6" s="320">
        <f>IF(J6=0,"***",Q6/J6)</f>
        <v/>
      </c>
      <c r="Y6" s="320">
        <f>IF(K6=0,"***",R6/K6)</f>
        <v/>
      </c>
      <c r="Z6" s="320">
        <f>IF(L6=0,"***",S6/L6)</f>
        <v/>
      </c>
      <c r="AA6" s="321">
        <f>IF(Y6="***","***",Z6-X6)</f>
        <v/>
      </c>
      <c r="AB6" s="320">
        <f>IF(Z6="***","***",Z6-X6)</f>
        <v/>
      </c>
      <c r="AC6" s="31" t="n"/>
    </row>
    <row r="7">
      <c r="D7" s="8" t="n"/>
      <c r="E7" s="9" t="n"/>
      <c r="F7" s="9" t="n"/>
      <c r="G7" s="32" t="n"/>
      <c r="H7" s="33" t="inlineStr">
        <is>
          <t>包装資材</t>
        </is>
      </c>
      <c r="I7" s="314">
        <f>I6-I8</f>
        <v/>
      </c>
      <c r="J7" s="315">
        <f>J6-J8</f>
        <v/>
      </c>
      <c r="K7" s="316">
        <f>K6-K8</f>
        <v/>
      </c>
      <c r="L7" s="315">
        <f>L6-L8</f>
        <v/>
      </c>
      <c r="M7" s="317">
        <f>L7-K7</f>
        <v/>
      </c>
      <c r="N7" s="317">
        <f>L7-J7</f>
        <v/>
      </c>
      <c r="O7" s="318">
        <f>IF(J7=0,"***",N7/J7)</f>
        <v/>
      </c>
      <c r="P7" s="314">
        <f>P6-P8</f>
        <v/>
      </c>
      <c r="Q7" s="315">
        <f>Q6-Q8</f>
        <v/>
      </c>
      <c r="R7" s="316">
        <f>R6-R8</f>
        <v/>
      </c>
      <c r="S7" s="315">
        <f>S6-S8</f>
        <v/>
      </c>
      <c r="T7" s="317">
        <f>S7-R7</f>
        <v/>
      </c>
      <c r="U7" s="317">
        <f>S7-Q7</f>
        <v/>
      </c>
      <c r="V7" s="318">
        <f>IF(Q7=0,"***",U7/Q7)</f>
        <v/>
      </c>
      <c r="W7" s="319">
        <f>IF(I7=0,"***",P7/I7)</f>
        <v/>
      </c>
      <c r="X7" s="320">
        <f>IF(J7=0,"***",Q7/J7)</f>
        <v/>
      </c>
      <c r="Y7" s="320">
        <f>IF(K7=0,"***",R7/K7)</f>
        <v/>
      </c>
      <c r="Z7" s="320">
        <f>IF(L7=0,"***",S7/L7)</f>
        <v/>
      </c>
      <c r="AA7" s="321">
        <f>IF(Y7="***","***",Z7-X7)</f>
        <v/>
      </c>
      <c r="AB7" s="320">
        <f>IF(Z7="***","***",Z7-X7)</f>
        <v/>
      </c>
      <c r="AC7" s="31" t="n"/>
    </row>
    <row r="8">
      <c r="D8" s="8" t="n"/>
      <c r="E8" s="9" t="n"/>
      <c r="F8" s="9" t="n"/>
      <c r="G8" s="32" t="n"/>
      <c r="H8" s="34" t="inlineStr">
        <is>
          <t>機械</t>
        </is>
      </c>
      <c r="I8" s="322" t="n">
        <v>8338.946</v>
      </c>
      <c r="J8" s="323" t="n">
        <v>986.4690000000001</v>
      </c>
      <c r="K8" s="324" t="n">
        <v>4000</v>
      </c>
      <c r="L8" s="323" t="n">
        <v>884.859</v>
      </c>
      <c r="M8" s="325">
        <f>L8-K8</f>
        <v/>
      </c>
      <c r="N8" s="325">
        <f>L8-J8</f>
        <v/>
      </c>
      <c r="O8" s="326">
        <f>IF(J8=0,"***",N8/J8)</f>
        <v/>
      </c>
      <c r="P8" s="327" t="n">
        <v>1204.194</v>
      </c>
      <c r="Q8" s="328" t="n">
        <v>302.817</v>
      </c>
      <c r="R8" s="324" t="n">
        <v>640</v>
      </c>
      <c r="S8" s="328" t="n">
        <v>137.62</v>
      </c>
      <c r="T8" s="325">
        <f>S8-R8</f>
        <v/>
      </c>
      <c r="U8" s="325">
        <f>S8-Q8</f>
        <v/>
      </c>
      <c r="V8" s="326">
        <f>IF(Q8=0,"***",U8/Q8)</f>
        <v/>
      </c>
      <c r="W8" s="329">
        <f>IF(I8=0,"***",P8/I8)</f>
        <v/>
      </c>
      <c r="X8" s="330">
        <f>IF(J8=0,"***",Q8/J8)</f>
        <v/>
      </c>
      <c r="Y8" s="330">
        <f>IF(K8=0,"***",R8/K8)</f>
        <v/>
      </c>
      <c r="Z8" s="330">
        <f>IF(L8=0,"***",S8/L8)</f>
        <v/>
      </c>
      <c r="AA8" s="331">
        <f>IF(Y8="***","***",Z8-X8)</f>
        <v/>
      </c>
      <c r="AB8" s="330">
        <f>IF(Z8="***","***",Z8-X8)</f>
        <v/>
      </c>
      <c r="AC8" s="45" t="n"/>
    </row>
    <row r="9">
      <c r="D9" s="8" t="n"/>
      <c r="E9" s="9" t="n"/>
      <c r="F9" s="46" t="n"/>
      <c r="G9" s="47" t="inlineStr">
        <is>
          <t>自治体</t>
        </is>
      </c>
      <c r="H9" s="48" t="n"/>
      <c r="I9" s="332" t="n">
        <v>2257.6</v>
      </c>
      <c r="J9" s="333" t="n">
        <v>0</v>
      </c>
      <c r="K9" s="334" t="n">
        <v>1340</v>
      </c>
      <c r="L9" s="333" t="n">
        <v>450</v>
      </c>
      <c r="M9" s="335">
        <f>L9-K9</f>
        <v/>
      </c>
      <c r="N9" s="335">
        <f>L9-J9</f>
        <v/>
      </c>
      <c r="O9" s="336">
        <f>IF(J9=0,"***",N9/J9)</f>
        <v/>
      </c>
      <c r="P9" s="337" t="n">
        <v>519.756</v>
      </c>
      <c r="Q9" s="338" t="n">
        <v>0</v>
      </c>
      <c r="R9" s="334" t="n">
        <v>210</v>
      </c>
      <c r="S9" s="338" t="n">
        <v>61.1</v>
      </c>
      <c r="T9" s="335">
        <f>S9-R9</f>
        <v/>
      </c>
      <c r="U9" s="335">
        <f>S9-Q9</f>
        <v/>
      </c>
      <c r="V9" s="336">
        <f>IF(Q9=0,"***",U9/Q9)</f>
        <v/>
      </c>
      <c r="W9" s="339">
        <f>IF(I9=0,"***",P9/I9)</f>
        <v/>
      </c>
      <c r="X9" s="340">
        <f>IF(J9=0,"***",Q9/J9)</f>
        <v/>
      </c>
      <c r="Y9" s="340">
        <f>IF(K9=0,"***",R9/K9)</f>
        <v/>
      </c>
      <c r="Z9" s="340">
        <f>IF(L9=0,"***",S9/L9)</f>
        <v/>
      </c>
      <c r="AA9" s="341">
        <f>IF(Y9="***","***",Z9-X9)</f>
        <v/>
      </c>
      <c r="AB9" s="340">
        <f>IF(Z9="***","***",Z9-X9)</f>
        <v/>
      </c>
      <c r="AC9" s="59" t="n"/>
    </row>
    <row r="10">
      <c r="D10" s="8" t="n"/>
      <c r="E10" s="9" t="n"/>
      <c r="F10" s="60" t="inlineStr">
        <is>
          <t>下関営業所</t>
        </is>
      </c>
      <c r="G10" s="5" t="n"/>
      <c r="H10" s="61" t="n"/>
      <c r="I10" s="342" t="n">
        <v>41524.558</v>
      </c>
      <c r="J10" s="343" t="n">
        <v>41016.074</v>
      </c>
      <c r="K10" s="344" t="n">
        <v>42800</v>
      </c>
      <c r="L10" s="343" t="n">
        <v>49979.891</v>
      </c>
      <c r="M10" s="345">
        <f>L10-K10</f>
        <v/>
      </c>
      <c r="N10" s="345">
        <f>L10-J10</f>
        <v/>
      </c>
      <c r="O10" s="346">
        <f>IF(J10=0,"***",N10/J10)</f>
        <v/>
      </c>
      <c r="P10" s="342" t="n">
        <v>8340.645</v>
      </c>
      <c r="Q10" s="343" t="n">
        <v>8519.389999999999</v>
      </c>
      <c r="R10" s="344" t="n">
        <v>8750</v>
      </c>
      <c r="S10" s="343" t="n">
        <v>9724.739</v>
      </c>
      <c r="T10" s="345">
        <f>S10-R10</f>
        <v/>
      </c>
      <c r="U10" s="345">
        <f>S10-Q10</f>
        <v/>
      </c>
      <c r="V10" s="346">
        <f>IF(Q10=0,"***",U10/Q10)</f>
        <v/>
      </c>
      <c r="W10" s="347">
        <f>IF(I10=0,"***",P10/I10)</f>
        <v/>
      </c>
      <c r="X10" s="348">
        <f>IF(J10=0,"***",Q10/J10)</f>
        <v/>
      </c>
      <c r="Y10" s="348">
        <f>IF(K10=0,"***",R10/K10)</f>
        <v/>
      </c>
      <c r="Z10" s="348">
        <f>IF(L10=0,"***",S10/L10)</f>
        <v/>
      </c>
      <c r="AA10" s="349">
        <f>IF(Y10="***","***",Z10-X10)</f>
        <v/>
      </c>
      <c r="AB10" s="348">
        <f>IF(Z10="***","***",Z10-X10)</f>
        <v/>
      </c>
      <c r="AC10" s="70" t="n"/>
    </row>
    <row r="11">
      <c r="D11" s="8" t="n"/>
      <c r="E11" s="9" t="n"/>
      <c r="F11" s="9" t="n"/>
      <c r="G11" s="22" t="inlineStr">
        <is>
          <t>営業</t>
        </is>
      </c>
      <c r="H11" s="23" t="n"/>
      <c r="I11" s="314">
        <f>I10-I15-I14</f>
        <v/>
      </c>
      <c r="J11" s="315">
        <f>J10-J15-J14</f>
        <v/>
      </c>
      <c r="K11" s="316">
        <f>K10-K15-K14</f>
        <v/>
      </c>
      <c r="L11" s="315">
        <f>L10-L15-L14</f>
        <v/>
      </c>
      <c r="M11" s="317">
        <f>L11-K11</f>
        <v/>
      </c>
      <c r="N11" s="317">
        <f>L11-J11</f>
        <v/>
      </c>
      <c r="O11" s="318">
        <f>IF(J11=0,"***",N11/J11)</f>
        <v/>
      </c>
      <c r="P11" s="314">
        <f>P10-P15-P14</f>
        <v/>
      </c>
      <c r="Q11" s="315">
        <f>Q10-Q15-Q14</f>
        <v/>
      </c>
      <c r="R11" s="316">
        <f>R10-R15-R14</f>
        <v/>
      </c>
      <c r="S11" s="315">
        <f>S10-S15-S14</f>
        <v/>
      </c>
      <c r="T11" s="317">
        <f>S11-R11</f>
        <v/>
      </c>
      <c r="U11" s="317">
        <f>S11-Q11</f>
        <v/>
      </c>
      <c r="V11" s="318">
        <f>IF(Q11=0,"***",U11/Q11)</f>
        <v/>
      </c>
      <c r="W11" s="319">
        <f>IF(I11=0,"***",P11/I11)</f>
        <v/>
      </c>
      <c r="X11" s="320">
        <f>IF(J11=0,"***",Q11/J11)</f>
        <v/>
      </c>
      <c r="Y11" s="320">
        <f>IF(K11=0,"***",R11/K11)</f>
        <v/>
      </c>
      <c r="Z11" s="320">
        <f>IF(L11=0,"***",S11/L11)</f>
        <v/>
      </c>
      <c r="AA11" s="321">
        <f>IF(Y11="***","***",Z11-X11)</f>
        <v/>
      </c>
      <c r="AB11" s="320">
        <f>IF(Z11="***","***",Z11-X11)</f>
        <v/>
      </c>
      <c r="AC11" s="31" t="n"/>
    </row>
    <row r="12">
      <c r="D12" s="8" t="n"/>
      <c r="E12" s="9" t="n"/>
      <c r="F12" s="9" t="n"/>
      <c r="G12" s="71" t="n"/>
      <c r="H12" s="33" t="inlineStr">
        <is>
          <t>包装資材</t>
        </is>
      </c>
      <c r="I12" s="314">
        <f>I11-I13</f>
        <v/>
      </c>
      <c r="J12" s="315">
        <f>J11-J13</f>
        <v/>
      </c>
      <c r="K12" s="316">
        <f>K11-K13</f>
        <v/>
      </c>
      <c r="L12" s="315">
        <f>L11-L13</f>
        <v/>
      </c>
      <c r="M12" s="317">
        <f>L12-K12</f>
        <v/>
      </c>
      <c r="N12" s="317">
        <f>L12-J12</f>
        <v/>
      </c>
      <c r="O12" s="318">
        <f>IF(J12=0,"***",N12/J12)</f>
        <v/>
      </c>
      <c r="P12" s="314">
        <f>P11-P13</f>
        <v/>
      </c>
      <c r="Q12" s="315">
        <f>Q11-Q13</f>
        <v/>
      </c>
      <c r="R12" s="316">
        <f>R11-R13</f>
        <v/>
      </c>
      <c r="S12" s="315">
        <f>S11-S13</f>
        <v/>
      </c>
      <c r="T12" s="317">
        <f>S12-R12</f>
        <v/>
      </c>
      <c r="U12" s="317">
        <f>S12-Q12</f>
        <v/>
      </c>
      <c r="V12" s="318">
        <f>IF(Q12=0,"***",U12/Q12)</f>
        <v/>
      </c>
      <c r="W12" s="319">
        <f>IF(I12=0,"***",P12/I12)</f>
        <v/>
      </c>
      <c r="X12" s="320">
        <f>IF(J12=0,"***",Q12/J12)</f>
        <v/>
      </c>
      <c r="Y12" s="320">
        <f>IF(K12=0,"***",R12/K12)</f>
        <v/>
      </c>
      <c r="Z12" s="320">
        <f>IF(L12=0,"***",S12/L12)</f>
        <v/>
      </c>
      <c r="AA12" s="321">
        <f>IF(Y12="***","***",Z12-X12)</f>
        <v/>
      </c>
      <c r="AB12" s="320">
        <f>IF(Z12="***","***",Z12-X12)</f>
        <v/>
      </c>
      <c r="AC12" s="31" t="n"/>
    </row>
    <row r="13">
      <c r="D13" s="8" t="n"/>
      <c r="E13" s="9" t="n"/>
      <c r="F13" s="9" t="n"/>
      <c r="G13" s="72" t="n"/>
      <c r="H13" s="34" t="inlineStr">
        <is>
          <t>機械</t>
        </is>
      </c>
      <c r="I13" s="350" t="n">
        <v>1804</v>
      </c>
      <c r="J13" s="351" t="n">
        <v>298</v>
      </c>
      <c r="K13" s="316" t="n">
        <v>500</v>
      </c>
      <c r="L13" s="351" t="n">
        <v>3684.67</v>
      </c>
      <c r="M13" s="317">
        <f>L13-K13</f>
        <v/>
      </c>
      <c r="N13" s="317">
        <f>L13-J13</f>
        <v/>
      </c>
      <c r="O13" s="318">
        <f>IF(J13=0,"***",N13/J13)</f>
        <v/>
      </c>
      <c r="P13" s="350" t="n">
        <v>334</v>
      </c>
      <c r="Q13" s="351" t="n">
        <v>51</v>
      </c>
      <c r="R13" s="316" t="n">
        <v>90</v>
      </c>
      <c r="S13" s="351" t="n">
        <v>477.469</v>
      </c>
      <c r="T13" s="317">
        <f>S13-R13</f>
        <v/>
      </c>
      <c r="U13" s="317">
        <f>S13-Q13</f>
        <v/>
      </c>
      <c r="V13" s="318">
        <f>IF(Q13=0,"***",U13/Q13)</f>
        <v/>
      </c>
      <c r="W13" s="319">
        <f>IF(I13=0,"***",P13/I13)</f>
        <v/>
      </c>
      <c r="X13" s="320">
        <f>IF(J13=0,"***",Q13/J13)</f>
        <v/>
      </c>
      <c r="Y13" s="320">
        <f>IF(K13=0,"***",R13/K13)</f>
        <v/>
      </c>
      <c r="Z13" s="320">
        <f>IF(L13=0,"***",S13/L13)</f>
        <v/>
      </c>
      <c r="AA13" s="321">
        <f>IF(Y13="***","***",Z13-X13)</f>
        <v/>
      </c>
      <c r="AB13" s="320">
        <f>IF(Z13="***","***",Z13-X13)</f>
        <v/>
      </c>
      <c r="AC13" s="31" t="n"/>
    </row>
    <row r="14">
      <c r="D14" s="8" t="n"/>
      <c r="E14" s="9" t="n"/>
      <c r="F14" s="9" t="n"/>
      <c r="G14" s="75" t="inlineStr">
        <is>
          <t>自治体</t>
        </is>
      </c>
      <c r="H14" s="23" t="n"/>
      <c r="I14" s="352" t="n">
        <v>0</v>
      </c>
      <c r="J14" s="328" t="n">
        <v>0</v>
      </c>
      <c r="K14" s="324" t="n">
        <v>0</v>
      </c>
      <c r="L14" s="328" t="n">
        <v>0</v>
      </c>
      <c r="M14" s="325">
        <f>L14-K14</f>
        <v/>
      </c>
      <c r="N14" s="325">
        <f>L14-J14</f>
        <v/>
      </c>
      <c r="O14" s="326">
        <f>IF(J14=0,"***",N14/J14)</f>
        <v/>
      </c>
      <c r="P14" s="352" t="n">
        <v>0</v>
      </c>
      <c r="Q14" s="328" t="n">
        <v>0</v>
      </c>
      <c r="R14" s="324" t="n">
        <v>0</v>
      </c>
      <c r="S14" s="328" t="n">
        <v>0</v>
      </c>
      <c r="T14" s="325">
        <f>S14-R14</f>
        <v/>
      </c>
      <c r="U14" s="325">
        <f>S14-Q14</f>
        <v/>
      </c>
      <c r="V14" s="326">
        <f>IF(Q14=0,"***",U14/Q14)</f>
        <v/>
      </c>
      <c r="W14" s="329">
        <f>IF(I14=0,"***",P14/I14)</f>
        <v/>
      </c>
      <c r="X14" s="330">
        <f>IF(J14=0,"***",Q14/J14)</f>
        <v/>
      </c>
      <c r="Y14" s="330">
        <f>IF(K14=0,"***",R14/K14)</f>
        <v/>
      </c>
      <c r="Z14" s="330">
        <f>IF(L14=0,"***",S14/L14)</f>
        <v/>
      </c>
      <c r="AA14" s="331" t="n"/>
      <c r="AB14" s="330" t="n"/>
      <c r="AC14" s="45" t="n"/>
    </row>
    <row r="15">
      <c r="D15" s="8" t="n"/>
      <c r="E15" s="9" t="n"/>
      <c r="F15" s="46" t="n"/>
      <c r="G15" s="47" t="inlineStr">
        <is>
          <t>海外</t>
        </is>
      </c>
      <c r="H15" s="48" t="n"/>
      <c r="I15" s="353" t="n">
        <v>0</v>
      </c>
      <c r="J15" s="338" t="n">
        <v>0</v>
      </c>
      <c r="K15" s="334" t="n">
        <v>0</v>
      </c>
      <c r="L15" s="338" t="n">
        <v>0</v>
      </c>
      <c r="M15" s="335">
        <f>L15-K15</f>
        <v/>
      </c>
      <c r="N15" s="335">
        <f>L15-J15</f>
        <v/>
      </c>
      <c r="O15" s="336">
        <f>IF(J15=0,"***",N15/J15)</f>
        <v/>
      </c>
      <c r="P15" s="353" t="n">
        <v>0</v>
      </c>
      <c r="Q15" s="338" t="n">
        <v>0</v>
      </c>
      <c r="R15" s="334" t="n">
        <v>0</v>
      </c>
      <c r="S15" s="338" t="n">
        <v>0</v>
      </c>
      <c r="T15" s="335">
        <f>S15-R15</f>
        <v/>
      </c>
      <c r="U15" s="335">
        <f>S15-Q15</f>
        <v/>
      </c>
      <c r="V15" s="336">
        <f>IF(Q15=0,"***",U15/Q15)</f>
        <v/>
      </c>
      <c r="W15" s="339">
        <f>IF(I15=0,"***",P15/I15)</f>
        <v/>
      </c>
      <c r="X15" s="340">
        <f>IF(J15=0,"***",Q15/J15)</f>
        <v/>
      </c>
      <c r="Y15" s="340">
        <f>IF(K15=0,"***",R15/K15)</f>
        <v/>
      </c>
      <c r="Z15" s="340">
        <f>IF(L15=0,"***",S15/L15)</f>
        <v/>
      </c>
      <c r="AA15" s="341">
        <f>IF(Y15="***","***",Z15-X15)</f>
        <v/>
      </c>
      <c r="AB15" s="340">
        <f>IF(Z15="***","***",Z15-X15)</f>
        <v/>
      </c>
      <c r="AC15" s="59" t="n"/>
    </row>
    <row r="16">
      <c r="D16" s="8" t="n"/>
      <c r="E16" s="9" t="n"/>
      <c r="F16" s="60" t="inlineStr">
        <is>
          <t>松江営業所</t>
        </is>
      </c>
      <c r="G16" s="5" t="n"/>
      <c r="H16" s="61" t="n"/>
      <c r="I16" s="305" t="n">
        <v>27154.919</v>
      </c>
      <c r="J16" s="306" t="n">
        <v>26294.918</v>
      </c>
      <c r="K16" s="307" t="n">
        <v>26670</v>
      </c>
      <c r="L16" s="306" t="n">
        <v>29622.077</v>
      </c>
      <c r="M16" s="308">
        <f>L16-K16</f>
        <v/>
      </c>
      <c r="N16" s="308">
        <f>L16-J16</f>
        <v/>
      </c>
      <c r="O16" s="309">
        <f>IF(J16=0,"***",N16/J16)</f>
        <v/>
      </c>
      <c r="P16" s="305" t="n">
        <v>5985.344</v>
      </c>
      <c r="Q16" s="306" t="n">
        <v>6768.047</v>
      </c>
      <c r="R16" s="307" t="n">
        <v>7030</v>
      </c>
      <c r="S16" s="306" t="n">
        <v>8216.221</v>
      </c>
      <c r="T16" s="308">
        <f>S16-R16</f>
        <v/>
      </c>
      <c r="U16" s="308">
        <f>S16-Q16</f>
        <v/>
      </c>
      <c r="V16" s="309">
        <f>IF(Q16=0,"***",U16/Q16)</f>
        <v/>
      </c>
      <c r="W16" s="311">
        <f>IF(I16=0,"***",P16/I16)</f>
        <v/>
      </c>
      <c r="X16" s="312">
        <f>IF(J16=0,"***",Q16/J16)</f>
        <v/>
      </c>
      <c r="Y16" s="312">
        <f>IF(K16=0,"***",R16/K16)</f>
        <v/>
      </c>
      <c r="Z16" s="312">
        <f>IF(L16=0,"***",S16/L16)</f>
        <v/>
      </c>
      <c r="AA16" s="312">
        <f>IF(Y16="***","***",Z16-X16)</f>
        <v/>
      </c>
      <c r="AB16" s="312">
        <f>IF(Z16="***","***",Z16-X16)</f>
        <v/>
      </c>
      <c r="AC16" s="21" t="n"/>
    </row>
    <row r="17">
      <c r="D17" s="8" t="n"/>
      <c r="E17" s="9" t="n"/>
      <c r="F17" s="9" t="n"/>
      <c r="G17" s="22" t="inlineStr">
        <is>
          <t>営業</t>
        </is>
      </c>
      <c r="H17" s="23" t="n"/>
      <c r="I17" s="314">
        <f>I16-I20</f>
        <v/>
      </c>
      <c r="J17" s="315">
        <f>J16-J20</f>
        <v/>
      </c>
      <c r="K17" s="316">
        <f>K16-K20</f>
        <v/>
      </c>
      <c r="L17" s="315">
        <f>L16-L20</f>
        <v/>
      </c>
      <c r="M17" s="317">
        <f>L17-K17</f>
        <v/>
      </c>
      <c r="N17" s="317">
        <f>L17-J17</f>
        <v/>
      </c>
      <c r="O17" s="318">
        <f>IF(J17=0,"***",N17/J17)</f>
        <v/>
      </c>
      <c r="P17" s="314">
        <f>P16-P20</f>
        <v/>
      </c>
      <c r="Q17" s="315">
        <f>Q16-Q20</f>
        <v/>
      </c>
      <c r="R17" s="316">
        <f>R16-R20</f>
        <v/>
      </c>
      <c r="S17" s="315">
        <f>S16-S20</f>
        <v/>
      </c>
      <c r="T17" s="317">
        <f>S17-R17</f>
        <v/>
      </c>
      <c r="U17" s="317">
        <f>S17-Q17</f>
        <v/>
      </c>
      <c r="V17" s="318">
        <f>IF(Q17=0,"***",U17/Q17)</f>
        <v/>
      </c>
      <c r="W17" s="319">
        <f>IF(I17=0,"***",P17/I17)</f>
        <v/>
      </c>
      <c r="X17" s="320">
        <f>IF(J17=0,"***",Q17/J17)</f>
        <v/>
      </c>
      <c r="Y17" s="320">
        <f>IF(K17=0,"***",R17/K17)</f>
        <v/>
      </c>
      <c r="Z17" s="320">
        <f>IF(L17=0,"***",S17/L17)</f>
        <v/>
      </c>
      <c r="AA17" s="320">
        <f>IF(Y17="***","***",Z17-X17)</f>
        <v/>
      </c>
      <c r="AB17" s="320">
        <f>IF(Z17="***","***",Z17-X17)</f>
        <v/>
      </c>
      <c r="AC17" s="31" t="n"/>
    </row>
    <row r="18">
      <c r="D18" s="8" t="n"/>
      <c r="E18" s="9" t="n"/>
      <c r="F18" s="9" t="n"/>
      <c r="G18" s="32" t="n"/>
      <c r="H18" s="33" t="inlineStr">
        <is>
          <t>包装資材</t>
        </is>
      </c>
      <c r="I18" s="314">
        <f>I17-I19</f>
        <v/>
      </c>
      <c r="J18" s="315">
        <f>J17-J19</f>
        <v/>
      </c>
      <c r="K18" s="316">
        <f>K17-K19</f>
        <v/>
      </c>
      <c r="L18" s="315">
        <f>L17-L19</f>
        <v/>
      </c>
      <c r="M18" s="317">
        <f>L18-K18</f>
        <v/>
      </c>
      <c r="N18" s="317">
        <f>L18-J18</f>
        <v/>
      </c>
      <c r="O18" s="318">
        <f>IF(J18=0,"***",N18/J18)</f>
        <v/>
      </c>
      <c r="P18" s="314">
        <f>P17-P19</f>
        <v/>
      </c>
      <c r="Q18" s="315">
        <f>Q17-Q19</f>
        <v/>
      </c>
      <c r="R18" s="316">
        <f>R17-R19</f>
        <v/>
      </c>
      <c r="S18" s="315">
        <f>S17-S19</f>
        <v/>
      </c>
      <c r="T18" s="317">
        <f>S18-R18</f>
        <v/>
      </c>
      <c r="U18" s="317">
        <f>S18-Q18</f>
        <v/>
      </c>
      <c r="V18" s="318">
        <f>IF(Q18=0,"***",U18/Q18)</f>
        <v/>
      </c>
      <c r="W18" s="319">
        <f>IF(I18=0,"***",P18/I18)</f>
        <v/>
      </c>
      <c r="X18" s="320">
        <f>IF(J18=0,"***",Q18/J18)</f>
        <v/>
      </c>
      <c r="Y18" s="320">
        <f>IF(K18=0,"***",R18/K18)</f>
        <v/>
      </c>
      <c r="Z18" s="320">
        <f>IF(L18=0,"***",S18/L18)</f>
        <v/>
      </c>
      <c r="AA18" s="320">
        <f>IF(Y18="***","***",Z18-X18)</f>
        <v/>
      </c>
      <c r="AB18" s="320">
        <f>IF(Z18="***","***",Z18-X18)</f>
        <v/>
      </c>
      <c r="AC18" s="31" t="n"/>
    </row>
    <row r="19">
      <c r="D19" s="8" t="n"/>
      <c r="E19" s="9" t="n"/>
      <c r="F19" s="9" t="n"/>
      <c r="G19" s="32" t="n"/>
      <c r="H19" s="34" t="inlineStr">
        <is>
          <t>機械</t>
        </is>
      </c>
      <c r="I19" s="354" t="n">
        <v>3050</v>
      </c>
      <c r="J19" s="355" t="n">
        <v>254</v>
      </c>
      <c r="K19" s="80" t="n">
        <v>500</v>
      </c>
      <c r="L19" s="355" t="n">
        <v>442.305</v>
      </c>
      <c r="M19" s="317">
        <f>L19-K19</f>
        <v/>
      </c>
      <c r="N19" s="317">
        <f>L19-J19</f>
        <v/>
      </c>
      <c r="O19" s="318">
        <f>IF(J19=0,"***",N19/J19)</f>
        <v/>
      </c>
      <c r="P19" s="354" t="n">
        <v>638</v>
      </c>
      <c r="Q19" s="355" t="n">
        <v>42</v>
      </c>
      <c r="R19" s="80" t="n">
        <v>120</v>
      </c>
      <c r="S19" s="355" t="n">
        <v>100.019</v>
      </c>
      <c r="T19" s="317">
        <f>S19-R19</f>
        <v/>
      </c>
      <c r="U19" s="317">
        <f>S19-Q19</f>
        <v/>
      </c>
      <c r="V19" s="318">
        <f>IF(Q19=0,"***",U19/Q19)</f>
        <v/>
      </c>
      <c r="W19" s="319">
        <f>IF(I19=0,"***",P19/I19)</f>
        <v/>
      </c>
      <c r="X19" s="320">
        <f>IF(J19=0,"***",Q19/J19)</f>
        <v/>
      </c>
      <c r="Y19" s="320">
        <f>IF(K19=0,"***",R19/K19)</f>
        <v/>
      </c>
      <c r="Z19" s="320">
        <f>IF(L19=0,"***",S19/L19)</f>
        <v/>
      </c>
      <c r="AA19" s="320">
        <f>IF(Y19="***","***",Z19-X19)</f>
        <v/>
      </c>
      <c r="AB19" s="320">
        <f>IF(Z19="***","***",Z19-X19)</f>
        <v/>
      </c>
      <c r="AC19" s="31" t="n"/>
    </row>
    <row r="20">
      <c r="D20" s="8" t="n"/>
      <c r="E20" s="9" t="n"/>
      <c r="F20" s="46" t="n"/>
      <c r="G20" s="47" t="inlineStr">
        <is>
          <t>自治体</t>
        </is>
      </c>
      <c r="H20" s="48" t="n"/>
      <c r="I20" s="332" t="n">
        <v>3182.96</v>
      </c>
      <c r="J20" s="333" t="n">
        <v>2209.46</v>
      </c>
      <c r="K20" s="334" t="n">
        <v>0</v>
      </c>
      <c r="L20" s="333" t="n">
        <v>0</v>
      </c>
      <c r="M20" s="335">
        <f>L20-K20</f>
        <v/>
      </c>
      <c r="N20" s="335">
        <f>L20-J20</f>
        <v/>
      </c>
      <c r="O20" s="336">
        <f>IF(J20=0,"***",N20/J20)</f>
        <v/>
      </c>
      <c r="P20" s="332" t="n">
        <v>57.56</v>
      </c>
      <c r="Q20" s="333" t="n">
        <v>19.31</v>
      </c>
      <c r="R20" s="334" t="n">
        <v>0</v>
      </c>
      <c r="S20" s="333" t="n">
        <v>0</v>
      </c>
      <c r="T20" s="335">
        <f>S20-R20</f>
        <v/>
      </c>
      <c r="U20" s="335">
        <f>S20-Q20</f>
        <v/>
      </c>
      <c r="V20" s="336">
        <f>IF(Q20=0,"***",U20/Q20)</f>
        <v/>
      </c>
      <c r="W20" s="339">
        <f>IF(I20=0,"***",P20/I20)</f>
        <v/>
      </c>
      <c r="X20" s="340">
        <f>IF(J20=0,"***",Q20/J20)</f>
        <v/>
      </c>
      <c r="Y20" s="340">
        <f>IF(K20=0,"***",R20/K20)</f>
        <v/>
      </c>
      <c r="Z20" s="340">
        <f>IF(L20=0,"***",S20/L20)</f>
        <v/>
      </c>
      <c r="AA20" s="340">
        <f>IF(Y20="***","***",Z20-X20)</f>
        <v/>
      </c>
      <c r="AB20" s="340">
        <f>IF(Z20="***","***",Z20-X20)</f>
        <v/>
      </c>
      <c r="AC20" s="59" t="n"/>
    </row>
    <row r="21">
      <c r="D21" s="8" t="n"/>
      <c r="E21" s="9" t="n"/>
      <c r="F21" s="60" t="inlineStr">
        <is>
          <t>広域営業部</t>
        </is>
      </c>
      <c r="G21" s="5" t="n"/>
      <c r="H21" s="61" t="n"/>
      <c r="I21" s="356" t="n">
        <v>30502.722</v>
      </c>
      <c r="J21" s="357" t="n">
        <v>38070.247</v>
      </c>
      <c r="K21" s="307" t="n">
        <v>40000</v>
      </c>
      <c r="L21" s="357" t="n">
        <v>40666.049</v>
      </c>
      <c r="M21" s="308">
        <f>L21-K21</f>
        <v/>
      </c>
      <c r="N21" s="308">
        <f>L21-J21</f>
        <v/>
      </c>
      <c r="O21" s="309">
        <f>IF(J21=0,"***",N21/J21)</f>
        <v/>
      </c>
      <c r="P21" s="356" t="n">
        <v>4479.711</v>
      </c>
      <c r="Q21" s="357" t="n">
        <v>5260.267</v>
      </c>
      <c r="R21" s="307" t="n">
        <v>5825</v>
      </c>
      <c r="S21" s="357" t="n">
        <v>9213.385</v>
      </c>
      <c r="T21" s="308">
        <f>S21-R21</f>
        <v/>
      </c>
      <c r="U21" s="308">
        <f>S21-Q21</f>
        <v/>
      </c>
      <c r="V21" s="309">
        <f>IF(Q21=0,"***",U21/Q21)</f>
        <v/>
      </c>
      <c r="W21" s="319">
        <f>IF(I21=0,"***",P21/I21)</f>
        <v/>
      </c>
      <c r="X21" s="320">
        <f>IF(J21=0,"***",Q21/J21)</f>
        <v/>
      </c>
      <c r="Y21" s="320">
        <f>IF(K21=0,"***",R21/K21)</f>
        <v/>
      </c>
      <c r="Z21" s="320">
        <f>IF(L21=0,"***",S21/L21)</f>
        <v/>
      </c>
      <c r="AA21" s="320">
        <f>IF(Y21="***","***",Z21-X21)</f>
        <v/>
      </c>
      <c r="AB21" s="320">
        <f>IF(Z21="***","***",Z21-X21)</f>
        <v/>
      </c>
      <c r="AC21" s="21" t="n"/>
    </row>
    <row r="22">
      <c r="D22" s="8" t="n"/>
      <c r="E22" s="9" t="n"/>
      <c r="F22" s="9" t="n"/>
      <c r="H22" s="33" t="inlineStr">
        <is>
          <t>包装資材</t>
        </is>
      </c>
      <c r="I22" s="358">
        <f>I21-I23</f>
        <v/>
      </c>
      <c r="J22" s="315">
        <f>J21-J23</f>
        <v/>
      </c>
      <c r="K22" s="316">
        <f>K21-K23</f>
        <v/>
      </c>
      <c r="L22" s="315">
        <f>L21-L23</f>
        <v/>
      </c>
      <c r="M22" s="359">
        <f>L22-K22</f>
        <v/>
      </c>
      <c r="N22" s="359">
        <f>L22-J22</f>
        <v/>
      </c>
      <c r="O22" s="318">
        <f>IF(J22=0,"***",N22/J22)</f>
        <v/>
      </c>
      <c r="P22" s="314">
        <f>P21-P23</f>
        <v/>
      </c>
      <c r="Q22" s="315">
        <f>Q21-Q23</f>
        <v/>
      </c>
      <c r="R22" s="316">
        <f>R21-R23</f>
        <v/>
      </c>
      <c r="S22" s="315">
        <f>S21-S23</f>
        <v/>
      </c>
      <c r="T22" s="359">
        <f>S22-R22</f>
        <v/>
      </c>
      <c r="U22" s="359">
        <f>S22-Q22</f>
        <v/>
      </c>
      <c r="V22" s="318">
        <f>IF(Q22=0,"***",U22/Q22)</f>
        <v/>
      </c>
      <c r="W22" s="319">
        <f>IF(I22=0,"***",P22/I22)</f>
        <v/>
      </c>
      <c r="X22" s="320">
        <f>IF(J22=0,"***",Q22/J22)</f>
        <v/>
      </c>
      <c r="Y22" s="320">
        <f>IF(K22=0,"***",R22/K22)</f>
        <v/>
      </c>
      <c r="Z22" s="320">
        <f>IF(L22=0,"***",S22/L22)</f>
        <v/>
      </c>
      <c r="AA22" s="320">
        <f>IF(Y22="***","***",Z22-X22)</f>
        <v/>
      </c>
      <c r="AB22" s="320">
        <f>IF(Z22="***","***",Z22-X22)</f>
        <v/>
      </c>
      <c r="AC22" s="31" t="n"/>
    </row>
    <row r="23">
      <c r="D23" s="8" t="n"/>
      <c r="E23" s="9" t="n"/>
      <c r="F23" s="9" t="n"/>
      <c r="H23" s="34" t="inlineStr">
        <is>
          <t>機械</t>
        </is>
      </c>
      <c r="I23" s="358" t="n">
        <v>246</v>
      </c>
      <c r="J23" s="315" t="n">
        <v>80</v>
      </c>
      <c r="K23" s="316" t="n">
        <v>1000</v>
      </c>
      <c r="L23" s="315" t="n">
        <v>98.8</v>
      </c>
      <c r="M23" s="359">
        <f>L23-K23</f>
        <v/>
      </c>
      <c r="N23" s="359">
        <f>L23-J23</f>
        <v/>
      </c>
      <c r="O23" s="318">
        <f>IF(J23=0,"***",N23/J23)</f>
        <v/>
      </c>
      <c r="P23" s="314" t="n">
        <v>12</v>
      </c>
      <c r="Q23" s="315" t="n">
        <v>11</v>
      </c>
      <c r="R23" s="316" t="n">
        <v>110</v>
      </c>
      <c r="S23" s="315" t="n">
        <v>19.64</v>
      </c>
      <c r="T23" s="359">
        <f>S23-R23</f>
        <v/>
      </c>
      <c r="U23" s="359">
        <f>S23-Q23</f>
        <v/>
      </c>
      <c r="V23" s="318">
        <f>IF(Q23=0,"***",U23/Q23)</f>
        <v/>
      </c>
      <c r="W23" s="319">
        <f>IF(I23=0,"***",P23/I23)</f>
        <v/>
      </c>
      <c r="X23" s="320">
        <f>IF(J23=0,"***",Q23/J23)</f>
        <v/>
      </c>
      <c r="Y23" s="320">
        <f>IF(K23=0,"***",R23/K23)</f>
        <v/>
      </c>
      <c r="Z23" s="320">
        <f>IF(L23=0,"***",S23/L23)</f>
        <v/>
      </c>
      <c r="AA23" s="320">
        <f>IF(Y23="***","***",Z23-X23)</f>
        <v/>
      </c>
      <c r="AB23" s="320">
        <f>IF(Z23="***","***",Z23-X23)</f>
        <v/>
      </c>
      <c r="AC23" s="31" t="n"/>
    </row>
    <row r="24">
      <c r="D24" s="8" t="n"/>
      <c r="E24" s="9" t="n"/>
      <c r="F24" s="9" t="n"/>
      <c r="G24" s="22" t="inlineStr">
        <is>
          <t>リンガーハット</t>
        </is>
      </c>
      <c r="H24" s="23" t="n"/>
      <c r="I24" s="354" t="n">
        <v>21871.365</v>
      </c>
      <c r="J24" s="355" t="n">
        <v>25889.141</v>
      </c>
      <c r="K24" s="316" t="n">
        <v>24884.697</v>
      </c>
      <c r="L24" s="355" t="n">
        <v>31723.222</v>
      </c>
      <c r="M24" s="359">
        <f>L24-K24</f>
        <v/>
      </c>
      <c r="N24" s="359">
        <f>L24-J24</f>
        <v/>
      </c>
      <c r="O24" s="318">
        <f>IF(J24=0,"***",N24/J24)</f>
        <v/>
      </c>
      <c r="P24" s="350" t="n">
        <v>3148.576</v>
      </c>
      <c r="Q24" s="351" t="n">
        <v>3628.179</v>
      </c>
      <c r="R24" s="316" t="n">
        <v>3508.278</v>
      </c>
      <c r="S24" s="351" t="n">
        <v>7752.55</v>
      </c>
      <c r="T24" s="359">
        <f>S24-R24</f>
        <v/>
      </c>
      <c r="U24" s="359">
        <f>S24-Q24</f>
        <v/>
      </c>
      <c r="V24" s="318">
        <f>IF(Q24=0,"***",U24/Q24)</f>
        <v/>
      </c>
      <c r="W24" s="319">
        <f>IF(I24=0,"***",P24/I24)</f>
        <v/>
      </c>
      <c r="X24" s="320">
        <f>IF(J24=0,"***",Q24/J24)</f>
        <v/>
      </c>
      <c r="Y24" s="320">
        <f>IF(K24=0,"***",R24/K24)</f>
        <v/>
      </c>
      <c r="Z24" s="320">
        <f>IF(L24=0,"***",S24/L24)</f>
        <v/>
      </c>
      <c r="AA24" s="320">
        <f>IF(Y24="***","***",Z24-X24)</f>
        <v/>
      </c>
      <c r="AB24" s="320">
        <f>IF(Z24="***","***",Z24-X24)</f>
        <v/>
      </c>
      <c r="AC24" s="31" t="n"/>
    </row>
    <row r="25">
      <c r="D25" s="8" t="n"/>
      <c r="E25" s="9" t="n"/>
      <c r="F25" s="9" t="n"/>
      <c r="G25" s="32" t="n"/>
      <c r="H25" s="33" t="inlineStr">
        <is>
          <t>包装資材</t>
        </is>
      </c>
      <c r="I25" s="314">
        <f>I24-I26</f>
        <v/>
      </c>
      <c r="J25" s="315">
        <f>J24-J26</f>
        <v/>
      </c>
      <c r="K25" s="316">
        <f>K24-K26</f>
        <v/>
      </c>
      <c r="L25" s="315">
        <f>L24-L26</f>
        <v/>
      </c>
      <c r="M25" s="359">
        <f>L25-K25</f>
        <v/>
      </c>
      <c r="N25" s="359">
        <f>L25-J25</f>
        <v/>
      </c>
      <c r="O25" s="318">
        <f>IF(J25=0,"***",N25/J25)</f>
        <v/>
      </c>
      <c r="P25" s="314">
        <f>P24-P26</f>
        <v/>
      </c>
      <c r="Q25" s="315">
        <f>Q24-Q26</f>
        <v/>
      </c>
      <c r="R25" s="316">
        <f>R24-R26</f>
        <v/>
      </c>
      <c r="S25" s="315">
        <f>S24-S26</f>
        <v/>
      </c>
      <c r="T25" s="359">
        <f>S25-R25</f>
        <v/>
      </c>
      <c r="U25" s="359">
        <f>S25-Q25</f>
        <v/>
      </c>
      <c r="V25" s="318">
        <f>IF(Q25=0,"***",U25/Q25)</f>
        <v/>
      </c>
      <c r="W25" s="319">
        <f>IF(I25=0,"***",P25/I25)</f>
        <v/>
      </c>
      <c r="X25" s="320">
        <f>IF(J25=0,"***",Q25/J25)</f>
        <v/>
      </c>
      <c r="Y25" s="320">
        <f>IF(K25=0,"***",R25/K25)</f>
        <v/>
      </c>
      <c r="Z25" s="320">
        <f>IF(L25=0,"***",S25/L25)</f>
        <v/>
      </c>
      <c r="AA25" s="320">
        <f>IF(Y25="***","***",Z25-X25)</f>
        <v/>
      </c>
      <c r="AB25" s="320">
        <f>IF(Z25="***","***",Z25-X25)</f>
        <v/>
      </c>
      <c r="AC25" s="31" t="n"/>
    </row>
    <row r="26">
      <c r="D26" s="8" t="n"/>
      <c r="E26" s="9" t="n"/>
      <c r="F26" s="9" t="n"/>
      <c r="G26" s="32" t="n"/>
      <c r="H26" s="34" t="inlineStr">
        <is>
          <t>機械</t>
        </is>
      </c>
      <c r="I26" s="354" t="n">
        <v>148</v>
      </c>
      <c r="J26" s="355" t="n">
        <v>62</v>
      </c>
      <c r="K26" s="316" t="n">
        <v>83.5</v>
      </c>
      <c r="L26" s="355" t="n">
        <v>49.6</v>
      </c>
      <c r="M26" s="359">
        <f>L26-K26</f>
        <v/>
      </c>
      <c r="N26" s="359">
        <f>L26-J26</f>
        <v/>
      </c>
      <c r="O26" s="318">
        <f>IF(J26=0,"***",N26/J26)</f>
        <v/>
      </c>
      <c r="P26" s="354" t="n">
        <v>4</v>
      </c>
      <c r="Q26" s="355" t="n">
        <v>44</v>
      </c>
      <c r="R26" s="316" t="n">
        <v>34</v>
      </c>
      <c r="S26" s="355" t="n">
        <v>4.94</v>
      </c>
      <c r="T26" s="359">
        <f>S26-R26</f>
        <v/>
      </c>
      <c r="U26" s="359">
        <f>S26-Q26</f>
        <v/>
      </c>
      <c r="V26" s="318">
        <f>IF(Q26=0,"***",U26/Q26)</f>
        <v/>
      </c>
      <c r="W26" s="319">
        <f>IF(I26=0,"***",P26/I26)</f>
        <v/>
      </c>
      <c r="X26" s="320">
        <f>IF(J26=0,"***",Q26/J26)</f>
        <v/>
      </c>
      <c r="Y26" s="320">
        <f>IF(K26=0,"***",R26/K26)</f>
        <v/>
      </c>
      <c r="Z26" s="320">
        <f>IF(L26=0,"***",S26/L26)</f>
        <v/>
      </c>
      <c r="AA26" s="320">
        <f>IF(Y26="***","***",Z26-X26)</f>
        <v/>
      </c>
      <c r="AB26" s="320">
        <f>IF(Z26="***","***",Z26-X26)</f>
        <v/>
      </c>
      <c r="AC26" s="31" t="n"/>
    </row>
    <row r="27">
      <c r="D27" s="8" t="n"/>
      <c r="E27" s="9" t="n"/>
      <c r="F27" s="9" t="n"/>
      <c r="G27" s="22" t="inlineStr">
        <is>
          <t>リンガーハット以外</t>
        </is>
      </c>
      <c r="H27" s="23" t="n"/>
      <c r="I27" s="360">
        <f>I21-I24</f>
        <v/>
      </c>
      <c r="J27" s="316">
        <f>J21-J24</f>
        <v/>
      </c>
      <c r="K27" s="316">
        <f>K21-K24</f>
        <v/>
      </c>
      <c r="L27" s="316">
        <f>L21-L24</f>
        <v/>
      </c>
      <c r="M27" s="361">
        <f>L27-K27</f>
        <v/>
      </c>
      <c r="N27" s="361">
        <f>L27-J27</f>
        <v/>
      </c>
      <c r="O27" s="362">
        <f>IF(J27=0,"***",N27/J27)</f>
        <v/>
      </c>
      <c r="P27" s="360">
        <f>P21-P24</f>
        <v/>
      </c>
      <c r="Q27" s="316">
        <f>Q21-Q24</f>
        <v/>
      </c>
      <c r="R27" s="316">
        <f>R21-R24</f>
        <v/>
      </c>
      <c r="S27" s="316">
        <f>S21-S24</f>
        <v/>
      </c>
      <c r="T27" s="359">
        <f>S27-R27</f>
        <v/>
      </c>
      <c r="U27" s="359">
        <f>S27-Q27</f>
        <v/>
      </c>
      <c r="V27" s="318">
        <f>IF(Q27=0,"***",U27/Q27)</f>
        <v/>
      </c>
      <c r="W27" s="319">
        <f>IF(I27=0,"***",P27/I27)</f>
        <v/>
      </c>
      <c r="X27" s="320">
        <f>IF(J27=0,"***",Q27/J27)</f>
        <v/>
      </c>
      <c r="Y27" s="320">
        <f>IF(K27=0,"***",R27/K27)</f>
        <v/>
      </c>
      <c r="Z27" s="320">
        <f>IF(L27=0,"***",S27/L27)</f>
        <v/>
      </c>
      <c r="AA27" s="320">
        <f>IF(Y27="***","***",Z27-X27)</f>
        <v/>
      </c>
      <c r="AB27" s="320">
        <f>IF(Z27="***","***",Z27-X27)</f>
        <v/>
      </c>
      <c r="AC27" s="31" t="n"/>
    </row>
    <row r="28">
      <c r="D28" s="8" t="n"/>
      <c r="E28" s="9" t="n"/>
      <c r="F28" s="9" t="n"/>
      <c r="G28" s="32" t="n"/>
      <c r="H28" s="33" t="inlineStr">
        <is>
          <t>包装資材</t>
        </is>
      </c>
      <c r="I28" s="360">
        <f>I27-I29</f>
        <v/>
      </c>
      <c r="J28" s="316">
        <f>J27-J29</f>
        <v/>
      </c>
      <c r="K28" s="316">
        <f>K27-K29</f>
        <v/>
      </c>
      <c r="L28" s="316">
        <f>L27-L29</f>
        <v/>
      </c>
      <c r="M28" s="361">
        <f>L28-K28</f>
        <v/>
      </c>
      <c r="N28" s="361">
        <f>L28-J28</f>
        <v/>
      </c>
      <c r="O28" s="362">
        <f>IF(J28=0,"***",N28/J28)</f>
        <v/>
      </c>
      <c r="P28" s="360">
        <f>P27-P29</f>
        <v/>
      </c>
      <c r="Q28" s="316">
        <f>Q27-Q29</f>
        <v/>
      </c>
      <c r="R28" s="316">
        <f>R27-R29</f>
        <v/>
      </c>
      <c r="S28" s="316">
        <f>S27-S29</f>
        <v/>
      </c>
      <c r="T28" s="359">
        <f>S28-R28</f>
        <v/>
      </c>
      <c r="U28" s="359">
        <f>S28-Q28</f>
        <v/>
      </c>
      <c r="V28" s="318">
        <f>IF(Q28=0,"***",U28/Q28)</f>
        <v/>
      </c>
      <c r="W28" s="319">
        <f>IF(I28=0,"***",P28/I28)</f>
        <v/>
      </c>
      <c r="X28" s="320">
        <f>IF(J28=0,"***",Q28/J28)</f>
        <v/>
      </c>
      <c r="Y28" s="320">
        <f>IF(K28=0,"***",R28/K28)</f>
        <v/>
      </c>
      <c r="Z28" s="320">
        <f>IF(L28=0,"***",S28/L28)</f>
        <v/>
      </c>
      <c r="AA28" s="320">
        <f>IF(Y28="***","***",Z28-X28)</f>
        <v/>
      </c>
      <c r="AB28" s="320">
        <f>IF(Z28="***","***",Z28-X28)</f>
        <v/>
      </c>
      <c r="AC28" s="31" t="n"/>
    </row>
    <row r="29">
      <c r="D29" s="8" t="n"/>
      <c r="E29" s="9" t="n"/>
      <c r="F29" s="86" t="n"/>
      <c r="G29" s="87" t="n"/>
      <c r="H29" s="33" t="inlineStr">
        <is>
          <t>機械</t>
        </is>
      </c>
      <c r="I29" s="363">
        <f>I23-I26</f>
        <v/>
      </c>
      <c r="J29" s="334">
        <f>J23-J26</f>
        <v/>
      </c>
      <c r="K29" s="334">
        <f>K23-K26</f>
        <v/>
      </c>
      <c r="L29" s="334">
        <f>L23-L26</f>
        <v/>
      </c>
      <c r="M29" s="364">
        <f>L29-K29</f>
        <v/>
      </c>
      <c r="N29" s="364">
        <f>L29-J29</f>
        <v/>
      </c>
      <c r="O29" s="365">
        <f>IF(J29=0,"***",N29/J29)</f>
        <v/>
      </c>
      <c r="P29" s="363">
        <f>P23-P26</f>
        <v/>
      </c>
      <c r="Q29" s="334">
        <f>Q23-Q26</f>
        <v/>
      </c>
      <c r="R29" s="334">
        <f>R23-R26</f>
        <v/>
      </c>
      <c r="S29" s="334">
        <f>S23-S26</f>
        <v/>
      </c>
      <c r="T29" s="366">
        <f>S29-R29</f>
        <v/>
      </c>
      <c r="U29" s="366">
        <f>S29-Q29</f>
        <v/>
      </c>
      <c r="V29" s="336">
        <f>IF(Q29=0,"***",U29/Q29)</f>
        <v/>
      </c>
      <c r="W29" s="339">
        <f>IF(I29=0,"***",P29/I29)</f>
        <v/>
      </c>
      <c r="X29" s="340">
        <f>IF(J29=0,"***",Q29/J29)</f>
        <v/>
      </c>
      <c r="Y29" s="340">
        <f>IF(K29=0,"***",R29/K29)</f>
        <v/>
      </c>
      <c r="Z29" s="340">
        <f>IF(L29=0,"***",S29/L29)</f>
        <v/>
      </c>
      <c r="AA29" s="340">
        <f>IF(Y29="***","***",Z29-X29)</f>
        <v/>
      </c>
      <c r="AB29" s="340">
        <f>IF(Z29="***","***",Z29-X29)</f>
        <v/>
      </c>
      <c r="AC29" s="59" t="n"/>
    </row>
    <row r="30">
      <c r="D30" s="8" t="n"/>
      <c r="E30" s="9" t="n"/>
      <c r="F30" s="60" t="inlineStr">
        <is>
          <t>境港営業所</t>
        </is>
      </c>
      <c r="G30" s="5" t="n"/>
      <c r="H30" s="61" t="n"/>
      <c r="I30" s="367" t="n">
        <v>67323.048</v>
      </c>
      <c r="J30" s="306" t="n">
        <v>42976.807</v>
      </c>
      <c r="K30" s="307" t="n">
        <v>54050</v>
      </c>
      <c r="L30" s="306" t="n">
        <v>54709.881</v>
      </c>
      <c r="M30" s="308">
        <f>L30-K30</f>
        <v/>
      </c>
      <c r="N30" s="308">
        <f>L30-J30</f>
        <v/>
      </c>
      <c r="O30" s="309">
        <f>IF(J30=0,"***",N30/J30)</f>
        <v/>
      </c>
      <c r="P30" s="310" t="n">
        <v>12416.884</v>
      </c>
      <c r="Q30" s="368" t="n">
        <v>8263.245999999999</v>
      </c>
      <c r="R30" s="307" t="n">
        <v>10850</v>
      </c>
      <c r="S30" s="368" t="n">
        <v>11355.972</v>
      </c>
      <c r="T30" s="308">
        <f>S30-R30</f>
        <v/>
      </c>
      <c r="U30" s="308">
        <f>S30-Q30</f>
        <v/>
      </c>
      <c r="V30" s="309">
        <f>IF(Q30=0,"***",U30/Q30)</f>
        <v/>
      </c>
      <c r="W30" s="311">
        <f>IF(I30=0,"***",P30/I30)</f>
        <v/>
      </c>
      <c r="X30" s="312">
        <f>IF(J30=0,"***",Q30/J30)</f>
        <v/>
      </c>
      <c r="Y30" s="312">
        <f>IF(K30=0,"***",R30/K30)</f>
        <v/>
      </c>
      <c r="Z30" s="312">
        <f>IF(L30=0,"***",S30/L30)</f>
        <v/>
      </c>
      <c r="AA30" s="313">
        <f>IF(Y30="***","***",Z30-X30)</f>
        <v/>
      </c>
      <c r="AB30" s="312">
        <f>IF(Z30="***","***",Z30-X30)</f>
        <v/>
      </c>
      <c r="AC30" s="21" t="n"/>
    </row>
    <row r="31">
      <c r="D31" s="8" t="n"/>
      <c r="E31" s="9" t="n"/>
      <c r="F31" s="9" t="n"/>
      <c r="G31" s="22" t="inlineStr">
        <is>
          <t>営業</t>
        </is>
      </c>
      <c r="H31" s="23" t="n"/>
      <c r="I31" s="314">
        <f>I30-I35-I34</f>
        <v/>
      </c>
      <c r="J31" s="315">
        <f>J30-J35-J34</f>
        <v/>
      </c>
      <c r="K31" s="316">
        <f>K30-K35-K34</f>
        <v/>
      </c>
      <c r="L31" s="315">
        <f>L30-L35-L34</f>
        <v/>
      </c>
      <c r="M31" s="317">
        <f>L31-K31</f>
        <v/>
      </c>
      <c r="N31" s="317">
        <f>L31-J31</f>
        <v/>
      </c>
      <c r="O31" s="318">
        <f>IF(J31=0,"***",N31/J31)</f>
        <v/>
      </c>
      <c r="P31" s="369">
        <f>P30-P35-P34</f>
        <v/>
      </c>
      <c r="Q31" s="315">
        <f>Q30-Q35-Q34</f>
        <v/>
      </c>
      <c r="R31" s="316">
        <f>R30-R35-R34</f>
        <v/>
      </c>
      <c r="S31" s="315">
        <f>S30-S35-S34</f>
        <v/>
      </c>
      <c r="T31" s="317">
        <f>S31-R31</f>
        <v/>
      </c>
      <c r="U31" s="317">
        <f>S31-Q31</f>
        <v/>
      </c>
      <c r="V31" s="318">
        <f>IF(Q31=0,"***",U31/Q31)</f>
        <v/>
      </c>
      <c r="W31" s="319">
        <f>IF(I31=0,"***",P31/I31)</f>
        <v/>
      </c>
      <c r="X31" s="320">
        <f>IF(J31=0,"***",Q31/J31)</f>
        <v/>
      </c>
      <c r="Y31" s="320">
        <f>IF(K31=0,"***",R31/K31)</f>
        <v/>
      </c>
      <c r="Z31" s="320">
        <f>IF(L31=0,"***",S31/L31)</f>
        <v/>
      </c>
      <c r="AA31" s="321">
        <f>IF(Y31="***","***",Z31-X31)</f>
        <v/>
      </c>
      <c r="AB31" s="320">
        <f>IF(Z31="***","***",Z31-X31)</f>
        <v/>
      </c>
      <c r="AC31" s="31" t="n"/>
    </row>
    <row r="32">
      <c r="D32" s="8" t="n"/>
      <c r="E32" s="9" t="n"/>
      <c r="F32" s="9" t="n"/>
      <c r="G32" s="32" t="n"/>
      <c r="H32" s="33" t="inlineStr">
        <is>
          <t>包装資材</t>
        </is>
      </c>
      <c r="I32" s="314">
        <f>I31-I33</f>
        <v/>
      </c>
      <c r="J32" s="315">
        <f>J31-J33</f>
        <v/>
      </c>
      <c r="K32" s="316">
        <f>K31-K33</f>
        <v/>
      </c>
      <c r="L32" s="315">
        <f>L31-L33</f>
        <v/>
      </c>
      <c r="M32" s="317">
        <f>L32-K32</f>
        <v/>
      </c>
      <c r="N32" s="317">
        <f>L32-J32</f>
        <v/>
      </c>
      <c r="O32" s="318">
        <f>IF(J32=0,"***",N32/J32)</f>
        <v/>
      </c>
      <c r="P32" s="369">
        <f>P31-P33</f>
        <v/>
      </c>
      <c r="Q32" s="315">
        <f>Q31-Q33</f>
        <v/>
      </c>
      <c r="R32" s="316">
        <f>R31-R33</f>
        <v/>
      </c>
      <c r="S32" s="315">
        <f>S31-S33</f>
        <v/>
      </c>
      <c r="T32" s="317">
        <f>S32-R32</f>
        <v/>
      </c>
      <c r="U32" s="317">
        <f>S32-Q32</f>
        <v/>
      </c>
      <c r="V32" s="318">
        <f>IF(Q32=0,"***",U32/Q32)</f>
        <v/>
      </c>
      <c r="W32" s="319">
        <f>IF(I32=0,"***",P32/I32)</f>
        <v/>
      </c>
      <c r="X32" s="320">
        <f>IF(J32=0,"***",Q32/J32)</f>
        <v/>
      </c>
      <c r="Y32" s="320">
        <f>IF(K32=0,"***",R32/K32)</f>
        <v/>
      </c>
      <c r="Z32" s="320">
        <f>IF(L32=0,"***",S32/L32)</f>
        <v/>
      </c>
      <c r="AA32" s="321">
        <f>IF(Y32="***","***",Z32-X32)</f>
        <v/>
      </c>
      <c r="AB32" s="320">
        <f>IF(Z32="***","***",Z32-X32)</f>
        <v/>
      </c>
      <c r="AC32" s="31" t="n"/>
    </row>
    <row r="33">
      <c r="D33" s="8" t="n"/>
      <c r="E33" s="9" t="n"/>
      <c r="F33" s="9" t="n"/>
      <c r="G33" s="32" t="n"/>
      <c r="H33" s="34" t="inlineStr">
        <is>
          <t>機械</t>
        </is>
      </c>
      <c r="I33" s="354" t="n">
        <v>32157</v>
      </c>
      <c r="J33" s="355" t="n">
        <v>2878</v>
      </c>
      <c r="K33" s="316" t="n">
        <v>9100</v>
      </c>
      <c r="L33" s="355" t="n">
        <v>10613</v>
      </c>
      <c r="M33" s="317">
        <f>L33-K33</f>
        <v/>
      </c>
      <c r="N33" s="317">
        <f>L33-J33</f>
        <v/>
      </c>
      <c r="O33" s="318">
        <f>IF(J33=0,"***",N33/J33)</f>
        <v/>
      </c>
      <c r="P33" s="370" t="n">
        <v>6276</v>
      </c>
      <c r="Q33" s="351" t="n">
        <v>674</v>
      </c>
      <c r="R33" s="316" t="n">
        <v>2050</v>
      </c>
      <c r="S33" s="351" t="n">
        <v>2668</v>
      </c>
      <c r="T33" s="317">
        <f>S33-R33</f>
        <v/>
      </c>
      <c r="U33" s="317">
        <f>S33-Q33</f>
        <v/>
      </c>
      <c r="V33" s="318">
        <f>IF(Q33=0,"***",U33/Q33)</f>
        <v/>
      </c>
      <c r="W33" s="319">
        <f>IF(I33=0,"***",P33/I33)</f>
        <v/>
      </c>
      <c r="X33" s="320">
        <f>IF(J33=0,"***",Q33/J33)</f>
        <v/>
      </c>
      <c r="Y33" s="320">
        <f>IF(K33=0,"***",R33/K33)</f>
        <v/>
      </c>
      <c r="Z33" s="320">
        <f>IF(L33=0,"***",S33/L33)</f>
        <v/>
      </c>
      <c r="AA33" s="321">
        <f>IF(Y33="***","***",Z33-X33)</f>
        <v/>
      </c>
      <c r="AB33" s="320">
        <f>IF(Z33="***","***",Z33-X33)</f>
        <v/>
      </c>
      <c r="AC33" s="31" t="n"/>
    </row>
    <row r="34">
      <c r="D34" s="8" t="n"/>
      <c r="E34" s="9" t="n"/>
      <c r="F34" s="9" t="n"/>
      <c r="G34" s="95" t="inlineStr">
        <is>
          <t>自治体</t>
        </is>
      </c>
      <c r="H34" s="23" t="n"/>
      <c r="I34" s="322" t="n">
        <v>0</v>
      </c>
      <c r="J34" s="323" t="n">
        <v>87.14</v>
      </c>
      <c r="K34" s="324" t="n">
        <v>0</v>
      </c>
      <c r="L34" s="323" t="n">
        <v>0</v>
      </c>
      <c r="M34" s="325">
        <f>L34-K34</f>
        <v/>
      </c>
      <c r="N34" s="325">
        <f>L34-J34</f>
        <v/>
      </c>
      <c r="O34" s="326">
        <f>IF(J34=0,"***",N34/J34)</f>
        <v/>
      </c>
      <c r="P34" s="327" t="n">
        <v>0</v>
      </c>
      <c r="Q34" s="328" t="n">
        <v>4.893</v>
      </c>
      <c r="R34" s="324" t="n">
        <v>0</v>
      </c>
      <c r="S34" s="328" t="n">
        <v>0</v>
      </c>
      <c r="T34" s="325">
        <f>S34-R34</f>
        <v/>
      </c>
      <c r="U34" s="325">
        <f>S34-Q34</f>
        <v/>
      </c>
      <c r="V34" s="326">
        <f>IF(Q34=0,"***",U34/Q34)</f>
        <v/>
      </c>
      <c r="W34" s="329">
        <f>IF(I34=0,"***",P34/I34)</f>
        <v/>
      </c>
      <c r="X34" s="330">
        <f>IF(J34=0,"***",Q34/J34)</f>
        <v/>
      </c>
      <c r="Y34" s="330">
        <f>IF(K34=0,"***",R34/K34)</f>
        <v/>
      </c>
      <c r="Z34" s="330">
        <f>IF(L34=0,"***",S34/L34)</f>
        <v/>
      </c>
      <c r="AA34" s="331">
        <f>IF(Y34="***","***",Z34-X34)</f>
        <v/>
      </c>
      <c r="AB34" s="330">
        <f>IF(Z34="***","***",Z34-X34)</f>
        <v/>
      </c>
      <c r="AC34" s="45" t="n"/>
    </row>
    <row r="35">
      <c r="D35" s="8" t="n"/>
      <c r="E35" s="9" t="n"/>
      <c r="F35" s="9" t="n"/>
      <c r="G35" s="22" t="inlineStr">
        <is>
          <t>海外</t>
        </is>
      </c>
      <c r="H35" s="23" t="n"/>
      <c r="I35" s="332" t="n">
        <v>2599.656</v>
      </c>
      <c r="J35" s="333" t="n">
        <v>2423.2</v>
      </c>
      <c r="K35" s="334" t="n">
        <v>2000</v>
      </c>
      <c r="L35" s="333" t="n">
        <v>5289.97</v>
      </c>
      <c r="M35" s="335">
        <f>L35-K35</f>
        <v/>
      </c>
      <c r="N35" s="335">
        <f>L35-J35</f>
        <v/>
      </c>
      <c r="O35" s="336">
        <f>IF(J35=0,"***",N35/J35)</f>
        <v/>
      </c>
      <c r="P35" s="371" t="n">
        <v>474.93</v>
      </c>
      <c r="Q35" s="338" t="n">
        <v>339.583</v>
      </c>
      <c r="R35" s="334" t="n">
        <v>430</v>
      </c>
      <c r="S35" s="372" t="n">
        <v>806.5359999999999</v>
      </c>
      <c r="T35" s="335">
        <f>S35-R35</f>
        <v/>
      </c>
      <c r="U35" s="335">
        <f>S35-Q35</f>
        <v/>
      </c>
      <c r="V35" s="336">
        <f>IF(Q35=0,"***",U35/Q35)</f>
        <v/>
      </c>
      <c r="W35" s="339">
        <f>IF(I35=0,"***",P35/I35)</f>
        <v/>
      </c>
      <c r="X35" s="340">
        <f>IF(J35=0,"***",Q35/J35)</f>
        <v/>
      </c>
      <c r="Y35" s="340">
        <f>IF(K35=0,"***",R35/K35)</f>
        <v/>
      </c>
      <c r="Z35" s="340">
        <f>IF(L35=0,"***",S35/L35)</f>
        <v/>
      </c>
      <c r="AA35" s="341">
        <f>IF(Y35="***","***",Z35-X35)</f>
        <v/>
      </c>
      <c r="AB35" s="340">
        <f>IF(Z35="***","***",Z35-X35)</f>
        <v/>
      </c>
      <c r="AC35" s="59" t="n"/>
    </row>
    <row r="36">
      <c r="D36" s="8" t="n"/>
      <c r="E36" s="10" t="inlineStr">
        <is>
          <t>営業部門合計</t>
        </is>
      </c>
      <c r="F36" s="5" t="n"/>
      <c r="G36" s="5" t="n"/>
      <c r="H36" s="61" t="n"/>
      <c r="I36" s="373">
        <f>I30+I21+I16+I10+I5</f>
        <v/>
      </c>
      <c r="J36" s="373">
        <f>J30+J21+J16+J10+J5</f>
        <v/>
      </c>
      <c r="K36" s="307">
        <f>K30+K21+K16+K10+K5</f>
        <v/>
      </c>
      <c r="L36" s="357">
        <f>L30+L21+L16+L10+L5</f>
        <v/>
      </c>
      <c r="M36" s="359">
        <f>L36-K36</f>
        <v/>
      </c>
      <c r="N36" s="359">
        <f>L36-J36</f>
        <v/>
      </c>
      <c r="O36" s="318">
        <f>IF(J36=0,"***",N36/J36)</f>
        <v/>
      </c>
      <c r="P36" s="356">
        <f>P30+P21+P16+P10+P5</f>
        <v/>
      </c>
      <c r="Q36" s="357">
        <f>Q30+Q21+Q16+Q10+Q5</f>
        <v/>
      </c>
      <c r="R36" s="307">
        <f>R30+R21+R16+R10+R5</f>
        <v/>
      </c>
      <c r="S36" s="357">
        <f>S30+S21+S16+S10+S5</f>
        <v/>
      </c>
      <c r="T36" s="374">
        <f>S36-R36</f>
        <v/>
      </c>
      <c r="U36" s="374">
        <f>S36-Q36</f>
        <v/>
      </c>
      <c r="V36" s="309">
        <f>IF(Q36=0,"***",U36/Q36)</f>
        <v/>
      </c>
      <c r="W36" s="311">
        <f>IF(I36=0,"***",P36/I36)</f>
        <v/>
      </c>
      <c r="X36" s="312">
        <f>IF(J36=0,"***",Q36/J36)</f>
        <v/>
      </c>
      <c r="Y36" s="312">
        <f>IF(K36=0,"***",R36/K36)</f>
        <v/>
      </c>
      <c r="Z36" s="312">
        <f>IF(L36=0,"***",S36/L36)</f>
        <v/>
      </c>
      <c r="AA36" s="312">
        <f>IF(Y36="***","***",Z36-X36)</f>
        <v/>
      </c>
      <c r="AB36" s="312">
        <f>IF(Z36="***","***",Z36-X36)</f>
        <v/>
      </c>
      <c r="AC36" s="375" t="n"/>
    </row>
    <row r="37">
      <c r="D37" s="8" t="n"/>
      <c r="E37" s="9" t="n"/>
      <c r="H37" s="33" t="inlineStr">
        <is>
          <t>機械以外</t>
        </is>
      </c>
      <c r="I37" s="315">
        <f>I36-I38-I39-I40</f>
        <v/>
      </c>
      <c r="J37" s="315">
        <f>J36-J38-J39-J40</f>
        <v/>
      </c>
      <c r="K37" s="316">
        <f>K36-K38-K39-K40</f>
        <v/>
      </c>
      <c r="L37" s="315">
        <f>L36-L38-L39-L40</f>
        <v/>
      </c>
      <c r="M37" s="359">
        <f>L37-K37</f>
        <v/>
      </c>
      <c r="N37" s="359">
        <f>L37-J37</f>
        <v/>
      </c>
      <c r="O37" s="318">
        <f>IF(J37=0,"***",N37/J37)</f>
        <v/>
      </c>
      <c r="P37" s="314">
        <f>P36-P38-P39-P40</f>
        <v/>
      </c>
      <c r="Q37" s="315">
        <f>Q36-Q38-Q39-Q40</f>
        <v/>
      </c>
      <c r="R37" s="316">
        <f>R36-R38-R39-R40</f>
        <v/>
      </c>
      <c r="S37" s="315">
        <f>S36-S38-S39-S40</f>
        <v/>
      </c>
      <c r="T37" s="359">
        <f>S37-R37</f>
        <v/>
      </c>
      <c r="U37" s="359">
        <f>S37-Q37</f>
        <v/>
      </c>
      <c r="V37" s="318">
        <f>IF(Q37=0,"***",U37/Q37)</f>
        <v/>
      </c>
      <c r="W37" s="319">
        <f>IF(I37=0,"***",P37/I37)</f>
        <v/>
      </c>
      <c r="X37" s="320">
        <f>IF(J37=0,"***",Q37/J37)</f>
        <v/>
      </c>
      <c r="Y37" s="320">
        <f>IF(K37=0,"***",R37/K37)</f>
        <v/>
      </c>
      <c r="Z37" s="320">
        <f>IF(L37=0,"***",S37/L37)</f>
        <v/>
      </c>
      <c r="AA37" s="320">
        <f>IF(Y37="***","***",Z37-X37)</f>
        <v/>
      </c>
      <c r="AB37" s="320">
        <f>IF(Z37="***","***",Z37-X37)</f>
        <v/>
      </c>
      <c r="AC37" s="376" t="n"/>
    </row>
    <row r="38">
      <c r="D38" s="8" t="n"/>
      <c r="E38" s="9" t="n"/>
      <c r="H38" s="34" t="inlineStr">
        <is>
          <t>機械</t>
        </is>
      </c>
      <c r="I38" s="314">
        <f>I33+I23+I19+I13+I8</f>
        <v/>
      </c>
      <c r="J38" s="315">
        <f>J33+J23+J19+J13+J8</f>
        <v/>
      </c>
      <c r="K38" s="316">
        <f>K33+K23+K19+K13+K8</f>
        <v/>
      </c>
      <c r="L38" s="315">
        <f>L33+L23+L19+L13+L8</f>
        <v/>
      </c>
      <c r="M38" s="359">
        <f>L38-K38</f>
        <v/>
      </c>
      <c r="N38" s="359">
        <f>L38-J38</f>
        <v/>
      </c>
      <c r="O38" s="318">
        <f>IF(J38=0,"***",N38/J38)</f>
        <v/>
      </c>
      <c r="P38" s="314">
        <f>P33+P23+P19+P13+P8</f>
        <v/>
      </c>
      <c r="Q38" s="315">
        <f>Q33+Q23+Q19+Q13+Q8</f>
        <v/>
      </c>
      <c r="R38" s="316">
        <f>R33+R23+R19+R13+R8</f>
        <v/>
      </c>
      <c r="S38" s="315">
        <f>S33+S23+S19+S13+S8</f>
        <v/>
      </c>
      <c r="T38" s="359">
        <f>S38-R38</f>
        <v/>
      </c>
      <c r="U38" s="359">
        <f>S38-Q38</f>
        <v/>
      </c>
      <c r="V38" s="318">
        <f>IF(Q38=0,"***",U38/Q38)</f>
        <v/>
      </c>
      <c r="W38" s="319">
        <f>IF(I38=0,"***",P38/I38)</f>
        <v/>
      </c>
      <c r="X38" s="320">
        <f>IF(J38=0,"***",Q38/J38)</f>
        <v/>
      </c>
      <c r="Y38" s="320">
        <f>IF(K38=0,"***",R38/K38)</f>
        <v/>
      </c>
      <c r="Z38" s="320">
        <f>IF(L38=0,"***",S38/L38)</f>
        <v/>
      </c>
      <c r="AA38" s="320">
        <f>IF(Y38="***","***",Z38-X38)</f>
        <v/>
      </c>
      <c r="AB38" s="320">
        <f>IF(Z38="***","***",Z38-X38)</f>
        <v/>
      </c>
      <c r="AC38" s="376" t="n"/>
    </row>
    <row r="39">
      <c r="D39" s="8" t="n"/>
      <c r="E39" s="9" t="n"/>
      <c r="H39" s="33" t="inlineStr">
        <is>
          <t>自治体</t>
        </is>
      </c>
      <c r="I39" s="314">
        <f>I34+I20+I14+I9</f>
        <v/>
      </c>
      <c r="J39" s="315">
        <f>J34+J20+J14+J9</f>
        <v/>
      </c>
      <c r="K39" s="316">
        <f>K34+K20+K14+K9</f>
        <v/>
      </c>
      <c r="L39" s="315">
        <f>L34+L20+L14+L9</f>
        <v/>
      </c>
      <c r="M39" s="359">
        <f>L39-K39</f>
        <v/>
      </c>
      <c r="N39" s="359">
        <f>L39-J39</f>
        <v/>
      </c>
      <c r="O39" s="318">
        <f>IF(J39=0,"***",N39/J39)</f>
        <v/>
      </c>
      <c r="P39" s="314">
        <f>P34+P20+P14+P9</f>
        <v/>
      </c>
      <c r="Q39" s="315">
        <f>Q34+Q20+Q14+Q9</f>
        <v/>
      </c>
      <c r="R39" s="316">
        <f>R34+R20+R14+R9</f>
        <v/>
      </c>
      <c r="S39" s="315">
        <f>S34+S20+S14+S9</f>
        <v/>
      </c>
      <c r="T39" s="359">
        <f>S39-R39</f>
        <v/>
      </c>
      <c r="U39" s="359">
        <f>S39-Q39</f>
        <v/>
      </c>
      <c r="V39" s="318">
        <f>IF(Q39=0,"***",U39/Q39)</f>
        <v/>
      </c>
      <c r="W39" s="319">
        <f>IF(I39=0,"***",P39/I39)</f>
        <v/>
      </c>
      <c r="X39" s="320">
        <f>IF(J39=0,"***",Q39/J39)</f>
        <v/>
      </c>
      <c r="Y39" s="320">
        <f>IF(K39=0,"***",R39/K39)</f>
        <v/>
      </c>
      <c r="Z39" s="320">
        <f>IF(L39=0,"***",S39/L39)</f>
        <v/>
      </c>
      <c r="AA39" s="320">
        <f>IF(Y39="***","***",Z39-X39)</f>
        <v/>
      </c>
      <c r="AB39" s="377">
        <f>IF(Z39="***","***",Z39-X39)</f>
        <v/>
      </c>
      <c r="AC39" s="376" t="n"/>
    </row>
    <row r="40">
      <c r="D40" s="8" t="n"/>
      <c r="E40" s="9" t="n"/>
      <c r="H40" s="103" t="inlineStr">
        <is>
          <t>海外</t>
        </is>
      </c>
      <c r="I40" s="378">
        <f>I35+I15</f>
        <v/>
      </c>
      <c r="J40" s="379">
        <f>J35+J15</f>
        <v/>
      </c>
      <c r="K40" s="334">
        <f>K35+K15</f>
        <v/>
      </c>
      <c r="L40" s="379">
        <f>L35+L15</f>
        <v/>
      </c>
      <c r="M40" s="366">
        <f>L40-K40</f>
        <v/>
      </c>
      <c r="N40" s="366">
        <f>L40-J40</f>
        <v/>
      </c>
      <c r="O40" s="336">
        <f>IF(J40=0,"***",N40/J40)</f>
        <v/>
      </c>
      <c r="P40" s="378">
        <f>P35+P15</f>
        <v/>
      </c>
      <c r="Q40" s="379">
        <f>Q35+Q15</f>
        <v/>
      </c>
      <c r="R40" s="334">
        <f>R35+R15</f>
        <v/>
      </c>
      <c r="S40" s="379">
        <f>S35+S15</f>
        <v/>
      </c>
      <c r="T40" s="366">
        <f>S40-R40</f>
        <v/>
      </c>
      <c r="U40" s="366">
        <f>S40-Q40</f>
        <v/>
      </c>
      <c r="V40" s="336">
        <f>IF(Q40=0,"***",U40/Q40)</f>
        <v/>
      </c>
      <c r="W40" s="339">
        <f>IF(I40=0,"***",P40/I40)</f>
        <v/>
      </c>
      <c r="X40" s="340">
        <f>IF(J40=0,"***",Q40/J40)</f>
        <v/>
      </c>
      <c r="Y40" s="340">
        <f>IF(K40=0,"***",R40/K40)</f>
        <v/>
      </c>
      <c r="Z40" s="340">
        <f>IF(L40=0,"***",S40/L40)</f>
        <v/>
      </c>
      <c r="AA40" s="340">
        <f>IF(Y40="***","***",Z40-X40)</f>
        <v/>
      </c>
      <c r="AB40" s="380">
        <f>IF(Z40="***","***",Z40-X40)</f>
        <v/>
      </c>
      <c r="AC40" s="381" t="n"/>
    </row>
    <row r="41">
      <c r="D41" s="8" t="n"/>
      <c r="E41" s="60" t="inlineStr">
        <is>
          <t>水産部</t>
        </is>
      </c>
      <c r="F41" s="5" t="n"/>
      <c r="G41" s="5" t="n"/>
      <c r="H41" s="5" t="n"/>
      <c r="I41" s="367" t="n">
        <v>38673.289</v>
      </c>
      <c r="J41" s="306" t="n">
        <v>43469.795</v>
      </c>
      <c r="K41" s="307" t="n">
        <v>46340</v>
      </c>
      <c r="L41" s="306" t="n">
        <v>54652.489</v>
      </c>
      <c r="M41" s="308">
        <f>L41-K41</f>
        <v/>
      </c>
      <c r="N41" s="308">
        <f>L41-J41</f>
        <v/>
      </c>
      <c r="O41" s="309">
        <f>IF(J41=0,"***",N41/J41)</f>
        <v/>
      </c>
      <c r="P41" s="367" t="n">
        <v>10043.395</v>
      </c>
      <c r="Q41" s="306" t="n">
        <v>13493.576</v>
      </c>
      <c r="R41" s="307" t="n">
        <v>14640</v>
      </c>
      <c r="S41" s="306" t="n">
        <v>17486.522</v>
      </c>
      <c r="T41" s="308">
        <f>S41-R41</f>
        <v/>
      </c>
      <c r="U41" s="308">
        <f>S41-Q41</f>
        <v/>
      </c>
      <c r="V41" s="309">
        <f>IF(Q41=0,"***",U41/Q41)</f>
        <v/>
      </c>
      <c r="W41" s="382">
        <f>IF(I41=0,"***",P41/I41)</f>
        <v/>
      </c>
      <c r="X41" s="383">
        <f>IF(J41=0,"***",Q41/J41)</f>
        <v/>
      </c>
      <c r="Y41" s="383">
        <f>IF(K41=0,"***",R41/K41)</f>
        <v/>
      </c>
      <c r="Z41" s="383">
        <f>IF(L41=0,"***",S41/L41)</f>
        <v/>
      </c>
      <c r="AA41" s="383">
        <f>IF(Y41="***","***",Z41-X41)</f>
        <v/>
      </c>
      <c r="AB41" s="384">
        <f>IF(Z41="***","***",Z41-X41)</f>
        <v/>
      </c>
      <c r="AC41" s="21" t="n"/>
    </row>
    <row r="42">
      <c r="D42" s="8" t="n"/>
      <c r="E42" s="9" t="n"/>
      <c r="H42" s="33" t="inlineStr">
        <is>
          <t>包装資材</t>
        </is>
      </c>
      <c r="I42" s="385">
        <f>I41-I43-I44</f>
        <v/>
      </c>
      <c r="J42" s="344">
        <f>J41-J43-J44</f>
        <v/>
      </c>
      <c r="K42" s="344">
        <f>K41-K43-K44</f>
        <v/>
      </c>
      <c r="L42" s="344">
        <f>L41-L43-L44</f>
        <v/>
      </c>
      <c r="M42" s="345">
        <f>L42-K42</f>
        <v/>
      </c>
      <c r="N42" s="345">
        <f>L42-J42</f>
        <v/>
      </c>
      <c r="O42" s="346">
        <f>IF(J42=0,"***",N42/J42)</f>
        <v/>
      </c>
      <c r="P42" s="385">
        <f>P41-P43-P44</f>
        <v/>
      </c>
      <c r="Q42" s="344">
        <f>Q41-Q43-Q44</f>
        <v/>
      </c>
      <c r="R42" s="344">
        <f>R41-R43-R44</f>
        <v/>
      </c>
      <c r="S42" s="344">
        <f>S41-S43-S44</f>
        <v/>
      </c>
      <c r="T42" s="345">
        <f>S42-R42</f>
        <v/>
      </c>
      <c r="U42" s="345">
        <f>S42-Q42</f>
        <v/>
      </c>
      <c r="V42" s="346">
        <f>IF(Q42=0,"***",U42/Q42)</f>
        <v/>
      </c>
      <c r="W42" s="386">
        <f>IF(I42=0,"***",P42/I42)</f>
        <v/>
      </c>
      <c r="X42" s="387">
        <f>IF(J42=0,"***",Q42/J42)</f>
        <v/>
      </c>
      <c r="Y42" s="387">
        <f>IF(K42=0,"***",R42/K42)</f>
        <v/>
      </c>
      <c r="Z42" s="387">
        <f>IF(L42=0,"***",S42/L42)</f>
        <v/>
      </c>
      <c r="AA42" s="387">
        <f>IF(Y42="***","***",Z42-X42)</f>
        <v/>
      </c>
      <c r="AB42" s="388">
        <f>IF(Z42="***","***",Z42-X42)</f>
        <v/>
      </c>
      <c r="AC42" s="389" t="n"/>
    </row>
    <row r="43">
      <c r="D43" s="8" t="n"/>
      <c r="E43" s="9" t="n"/>
      <c r="H43" s="34" t="inlineStr">
        <is>
          <t>荷役</t>
        </is>
      </c>
      <c r="I43" s="305" t="n">
        <v>8874.963</v>
      </c>
      <c r="J43" s="390" t="n">
        <v>8587.513000000001</v>
      </c>
      <c r="K43" s="390" t="n">
        <v>9740</v>
      </c>
      <c r="L43" s="390" t="n">
        <v>10152.326</v>
      </c>
      <c r="M43" s="345">
        <f>L43-K43</f>
        <v/>
      </c>
      <c r="N43" s="345">
        <f>L43-J43</f>
        <v/>
      </c>
      <c r="O43" s="346">
        <f>IF(J43=0,"***",N43/J43)</f>
        <v/>
      </c>
      <c r="P43" s="305" t="n">
        <v>4712.972</v>
      </c>
      <c r="Q43" s="390" t="n">
        <v>5203.461</v>
      </c>
      <c r="R43" s="390" t="n">
        <v>5580</v>
      </c>
      <c r="S43" s="390" t="n">
        <v>5901.976</v>
      </c>
      <c r="T43" s="345">
        <f>S43-R43</f>
        <v/>
      </c>
      <c r="U43" s="345">
        <f>S43-Q43</f>
        <v/>
      </c>
      <c r="V43" s="346">
        <f>IF(Q43=0,"***",U43/Q43)</f>
        <v/>
      </c>
      <c r="W43" s="386">
        <f>IF(I43=0,"***",P43/I43)</f>
        <v/>
      </c>
      <c r="X43" s="387">
        <f>IF(J43=0,"***",Q43/J43)</f>
        <v/>
      </c>
      <c r="Y43" s="387">
        <f>IF(K43=0,"***",R43/K43)</f>
        <v/>
      </c>
      <c r="Z43" s="387">
        <f>IF(L43=0,"***",S43/L43)</f>
        <v/>
      </c>
      <c r="AA43" s="387" t="n"/>
      <c r="AB43" s="388" t="n"/>
      <c r="AC43" s="389" t="n"/>
    </row>
    <row r="44">
      <c r="D44" s="8" t="n"/>
      <c r="E44" s="46" t="n"/>
      <c r="F44" s="116" t="n"/>
      <c r="G44" s="116" t="n"/>
      <c r="H44" s="103" t="inlineStr">
        <is>
          <t>機械</t>
        </is>
      </c>
      <c r="I44" s="305" t="n">
        <v>28</v>
      </c>
      <c r="J44" s="390" t="n">
        <v>188.5</v>
      </c>
      <c r="K44" s="390" t="n">
        <v>90</v>
      </c>
      <c r="L44" s="390" t="n">
        <v>205.68</v>
      </c>
      <c r="M44" s="345">
        <f>L44-K44</f>
        <v/>
      </c>
      <c r="N44" s="345">
        <f>L44-J44</f>
        <v/>
      </c>
      <c r="O44" s="346">
        <f>IF(J44=0,"***",N44/J44)</f>
        <v/>
      </c>
      <c r="P44" s="305" t="n">
        <v>2.7</v>
      </c>
      <c r="Q44" s="390" t="n">
        <v>45.9</v>
      </c>
      <c r="R44" s="390" t="n">
        <v>20</v>
      </c>
      <c r="S44" s="390" t="n">
        <v>26.08</v>
      </c>
      <c r="T44" s="345">
        <f>S44-R44</f>
        <v/>
      </c>
      <c r="U44" s="345">
        <f>S44-Q44</f>
        <v/>
      </c>
      <c r="V44" s="346">
        <f>IF(Q44=0,"***",U44/Q44)</f>
        <v/>
      </c>
      <c r="W44" s="386">
        <f>IF(I44=0,"***",P44/I44)</f>
        <v/>
      </c>
      <c r="X44" s="387">
        <f>IF(J44=0,"***",Q44/J44)</f>
        <v/>
      </c>
      <c r="Y44" s="387">
        <f>IF(K44=0,"***",R44/K44)</f>
        <v/>
      </c>
      <c r="Z44" s="387">
        <f>IF(L44=0,"***",S44/L44)</f>
        <v/>
      </c>
      <c r="AA44" s="387">
        <f>IF(Y44="***","***",Z44-X44)</f>
        <v/>
      </c>
      <c r="AB44" s="388">
        <f>IF(Z44="***","***",Z44-X44)</f>
        <v/>
      </c>
      <c r="AC44" s="389" t="n"/>
    </row>
    <row r="45">
      <c r="D45" s="117" t="inlineStr">
        <is>
          <t>合計</t>
        </is>
      </c>
      <c r="E45" s="118" t="n"/>
      <c r="F45" s="118" t="n"/>
      <c r="G45" s="118" t="n"/>
      <c r="H45" s="119" t="n"/>
      <c r="I45" s="391">
        <f>I41+I36</f>
        <v/>
      </c>
      <c r="J45" s="392">
        <f>J41+J36</f>
        <v/>
      </c>
      <c r="K45" s="393">
        <f>K41+K36</f>
        <v/>
      </c>
      <c r="L45" s="393">
        <f>L41+L36</f>
        <v/>
      </c>
      <c r="M45" s="394">
        <f>L45-K45</f>
        <v/>
      </c>
      <c r="N45" s="394">
        <f>L45-J45</f>
        <v/>
      </c>
      <c r="O45" s="395">
        <f>IF(J45=0,"***",N45/J45)</f>
        <v/>
      </c>
      <c r="P45" s="396">
        <f>P41+P36</f>
        <v/>
      </c>
      <c r="Q45" s="393">
        <f>Q41+Q36</f>
        <v/>
      </c>
      <c r="R45" s="393">
        <f>R41+R36</f>
        <v/>
      </c>
      <c r="S45" s="393">
        <f>S41+S36</f>
        <v/>
      </c>
      <c r="T45" s="394">
        <f>S45-R45</f>
        <v/>
      </c>
      <c r="U45" s="394">
        <f>S45-Q45</f>
        <v/>
      </c>
      <c r="V45" s="395">
        <f>IF(Q45=0,"***",U45/Q45)</f>
        <v/>
      </c>
      <c r="W45" s="397">
        <f>IF(I45=0,"***",P45/I45)</f>
        <v/>
      </c>
      <c r="X45" s="398">
        <f>IF(J45=0,"***",Q45/J45)</f>
        <v/>
      </c>
      <c r="Y45" s="398">
        <f>IF(K45=0,"***",R45/K45)</f>
        <v/>
      </c>
      <c r="Z45" s="398">
        <f>IF(L45=0,"***",S45/L45)</f>
        <v/>
      </c>
      <c r="AA45" s="398">
        <f>IF(Y45="***","***",Z45-X45)</f>
        <v/>
      </c>
      <c r="AB45" s="399">
        <f>IF(Z45="***","***",Z45-X45)</f>
        <v/>
      </c>
      <c r="AC45" s="400" t="n"/>
    </row>
    <row r="46">
      <c r="D46" s="8" t="n"/>
      <c r="E46" s="118" t="n"/>
      <c r="F46" s="118" t="n"/>
      <c r="G46" s="118" t="n"/>
      <c r="H46" s="130" t="inlineStr">
        <is>
          <t>機械以外</t>
        </is>
      </c>
      <c r="I46" s="401">
        <f>I45-I47</f>
        <v/>
      </c>
      <c r="J46" s="402">
        <f>J45-J47</f>
        <v/>
      </c>
      <c r="K46" s="403">
        <f>K45-K47</f>
        <v/>
      </c>
      <c r="L46" s="403">
        <f>L45-L47</f>
        <v/>
      </c>
      <c r="M46" s="404">
        <f>L46-K46</f>
        <v/>
      </c>
      <c r="N46" s="404">
        <f>L46-J46</f>
        <v/>
      </c>
      <c r="O46" s="405">
        <f>IF(J46=0,"***",N46/J46)</f>
        <v/>
      </c>
      <c r="P46" s="406">
        <f>P45-P47</f>
        <v/>
      </c>
      <c r="Q46" s="403">
        <f>Q45-Q47</f>
        <v/>
      </c>
      <c r="R46" s="403">
        <f>R45-R47</f>
        <v/>
      </c>
      <c r="S46" s="403">
        <f>S45-S47</f>
        <v/>
      </c>
      <c r="T46" s="404">
        <f>S46-R46</f>
        <v/>
      </c>
      <c r="U46" s="404">
        <f>S46-Q46</f>
        <v/>
      </c>
      <c r="V46" s="405">
        <f>IF(Q46=0,"***",U46/Q46)</f>
        <v/>
      </c>
      <c r="W46" s="407">
        <f>IF(I46=0,"***",P46/I46)</f>
        <v/>
      </c>
      <c r="X46" s="408">
        <f>IF(J46=0,"***",Q46/J46)</f>
        <v/>
      </c>
      <c r="Y46" s="408">
        <f>IF(K46=0,"***",R46/K46)</f>
        <v/>
      </c>
      <c r="Z46" s="408">
        <f>IF(L46=0,"***",S46/L46)</f>
        <v/>
      </c>
      <c r="AA46" s="408">
        <f>IF(Y46="***","***",Z46-X46)</f>
        <v/>
      </c>
      <c r="AB46" s="409">
        <f>IF(Z46="***","***",Z46-X46)</f>
        <v/>
      </c>
      <c r="AC46" s="410" t="n"/>
    </row>
    <row r="47">
      <c r="D47" s="8" t="n"/>
      <c r="E47" s="118" t="n"/>
      <c r="F47" s="118" t="n"/>
      <c r="G47" s="141" t="n"/>
      <c r="H47" s="130" t="inlineStr">
        <is>
          <t>機械</t>
        </is>
      </c>
      <c r="I47" s="411">
        <f>I38+I44</f>
        <v/>
      </c>
      <c r="J47" s="412">
        <f>J38+J44</f>
        <v/>
      </c>
      <c r="K47" s="412">
        <f>K38+K44</f>
        <v/>
      </c>
      <c r="L47" s="412">
        <f>L38+L44</f>
        <v/>
      </c>
      <c r="M47" s="413">
        <f>L47-K47</f>
        <v/>
      </c>
      <c r="N47" s="413">
        <f>L47-J47</f>
        <v/>
      </c>
      <c r="O47" s="414">
        <f>IF(J47=0,"***",N47/J47)</f>
        <v/>
      </c>
      <c r="P47" s="415">
        <f>P38+P44</f>
        <v/>
      </c>
      <c r="Q47" s="412">
        <f>Q38+Q44</f>
        <v/>
      </c>
      <c r="R47" s="412">
        <f>R38+R44</f>
        <v/>
      </c>
      <c r="S47" s="412">
        <f>S38+S44</f>
        <v/>
      </c>
      <c r="T47" s="413">
        <f>S47-R47</f>
        <v/>
      </c>
      <c r="U47" s="413">
        <f>S47-Q47</f>
        <v/>
      </c>
      <c r="V47" s="414">
        <f>IF(Q47=0,"***",U47/Q47)</f>
        <v/>
      </c>
      <c r="W47" s="416">
        <f>IF(I47=0,"***",P47/I47)</f>
        <v/>
      </c>
      <c r="X47" s="417">
        <f>IF(J47=0,"***",Q47/J47)</f>
        <v/>
      </c>
      <c r="Y47" s="417">
        <f>IF(K47=0,"***",R47/K47)</f>
        <v/>
      </c>
      <c r="Z47" s="417">
        <f>IF(L47=0,"***",S47/L47)</f>
        <v/>
      </c>
      <c r="AA47" s="417">
        <f>IF(Y47="***","***",Z47-X47)</f>
        <v/>
      </c>
      <c r="AB47" s="418">
        <f>IF(Z47="***","***",Z47-X47)</f>
        <v/>
      </c>
      <c r="AC47" s="419" t="n"/>
    </row>
    <row r="48">
      <c r="D48" s="8" t="n"/>
      <c r="E48" s="118" t="n"/>
      <c r="F48" s="118" t="n"/>
      <c r="G48" s="141" t="n"/>
      <c r="H48" s="130" t="inlineStr">
        <is>
          <t>自治体</t>
        </is>
      </c>
      <c r="I48" s="420">
        <f>I39</f>
        <v/>
      </c>
      <c r="J48" s="403">
        <f>J39</f>
        <v/>
      </c>
      <c r="K48" s="403">
        <f>K39</f>
        <v/>
      </c>
      <c r="L48" s="403">
        <f>L39</f>
        <v/>
      </c>
      <c r="M48" s="404">
        <f>L48-K48</f>
        <v/>
      </c>
      <c r="N48" s="404">
        <f>L48-J48</f>
        <v/>
      </c>
      <c r="O48" s="405">
        <f>IF(J48=0,"***",N48/J48)</f>
        <v/>
      </c>
      <c r="P48" s="406">
        <f>P39</f>
        <v/>
      </c>
      <c r="Q48" s="403">
        <f>Q39</f>
        <v/>
      </c>
      <c r="R48" s="403">
        <f>R39</f>
        <v/>
      </c>
      <c r="S48" s="403">
        <f>S39</f>
        <v/>
      </c>
      <c r="T48" s="404">
        <f>S48-R48</f>
        <v/>
      </c>
      <c r="U48" s="404">
        <f>S48-Q48</f>
        <v/>
      </c>
      <c r="V48" s="405">
        <f>IF(Q48=0,"***",U48/Q48)</f>
        <v/>
      </c>
      <c r="W48" s="407">
        <f>IF(I48=0,"***",P48/I48)</f>
        <v/>
      </c>
      <c r="X48" s="408">
        <f>IF(J48=0,"***",Q48/J48)</f>
        <v/>
      </c>
      <c r="Y48" s="408">
        <f>IF(K48=0,"***",R48/K48)</f>
        <v/>
      </c>
      <c r="Z48" s="408">
        <f>IF(L48=0,"***",S48/L48)</f>
        <v/>
      </c>
      <c r="AA48" s="408">
        <f>IF(Y48="***","***",Z48-X48)</f>
        <v/>
      </c>
      <c r="AB48" s="409">
        <f>IF(Z48="***","***",Z48-X48)</f>
        <v/>
      </c>
      <c r="AC48" s="410" t="n"/>
    </row>
    <row r="49">
      <c r="D49" s="152" t="n"/>
      <c r="E49" s="153" t="n"/>
      <c r="F49" s="153" t="n"/>
      <c r="G49" s="154" t="n"/>
      <c r="H49" s="155" t="inlineStr">
        <is>
          <t>海外</t>
        </is>
      </c>
      <c r="I49" s="421">
        <f>I40</f>
        <v/>
      </c>
      <c r="J49" s="422">
        <f>J40</f>
        <v/>
      </c>
      <c r="K49" s="422">
        <f>K40</f>
        <v/>
      </c>
      <c r="L49" s="422">
        <f>L40</f>
        <v/>
      </c>
      <c r="M49" s="423">
        <f>L49-K49</f>
        <v/>
      </c>
      <c r="N49" s="423">
        <f>L49-J49</f>
        <v/>
      </c>
      <c r="O49" s="424">
        <f>IF(J49=0,"***",N49/J49)</f>
        <v/>
      </c>
      <c r="P49" s="425">
        <f>P40</f>
        <v/>
      </c>
      <c r="Q49" s="422">
        <f>Q40</f>
        <v/>
      </c>
      <c r="R49" s="422">
        <f>R40</f>
        <v/>
      </c>
      <c r="S49" s="422">
        <f>S40</f>
        <v/>
      </c>
      <c r="T49" s="423">
        <f>S49-R49</f>
        <v/>
      </c>
      <c r="U49" s="423">
        <f>S49-Q49</f>
        <v/>
      </c>
      <c r="V49" s="424">
        <f>IF(Q49=0,"***",U49/Q49)</f>
        <v/>
      </c>
      <c r="W49" s="426">
        <f>IF(I49=0,"***",P49/I49)</f>
        <v/>
      </c>
      <c r="X49" s="427">
        <f>IF(J49=0,"***",Q49/J49)</f>
        <v/>
      </c>
      <c r="Y49" s="427">
        <f>IF(K49=0,"***",R49/K49)</f>
        <v/>
      </c>
      <c r="Z49" s="427">
        <f>IF(L49=0,"***",S49/L49)</f>
        <v/>
      </c>
      <c r="AA49" s="427">
        <f>IF(Y49="***","***",Z49-X49)</f>
        <v/>
      </c>
      <c r="AB49" s="428">
        <f>IF(Z49="***","***",Z49-X49)</f>
        <v/>
      </c>
      <c r="AC49" s="429" t="n"/>
    </row>
    <row r="50">
      <c r="D50" s="165" t="inlineStr">
        <is>
          <t>キョウワ（税抜）</t>
        </is>
      </c>
      <c r="E50" s="166" t="n"/>
      <c r="F50" s="166" t="n"/>
      <c r="G50" s="166" t="n"/>
      <c r="H50" s="47" t="n"/>
      <c r="I50" s="430" t="n">
        <v>2310</v>
      </c>
      <c r="J50" s="431" t="n">
        <v>1800</v>
      </c>
      <c r="K50" s="431" t="n">
        <v>2010</v>
      </c>
      <c r="L50" s="431" t="n">
        <v>1869</v>
      </c>
      <c r="M50" s="432">
        <f>L50-K50</f>
        <v/>
      </c>
      <c r="N50" s="432">
        <f>L50-J50</f>
        <v/>
      </c>
      <c r="O50" s="433">
        <f>IF(J50=0,"***",N50/J50)</f>
        <v/>
      </c>
      <c r="P50" s="430" t="n">
        <v>1130</v>
      </c>
      <c r="Q50" s="431" t="n">
        <v>1160</v>
      </c>
      <c r="R50" s="431" t="n">
        <v>1120</v>
      </c>
      <c r="S50" s="431" t="n">
        <v>1317</v>
      </c>
      <c r="T50" s="432">
        <f>S50-R50</f>
        <v/>
      </c>
      <c r="U50" s="432">
        <f>S50-Q50</f>
        <v/>
      </c>
      <c r="V50" s="433">
        <f>IF(Q50=0,"***",U50/Q50)</f>
        <v/>
      </c>
      <c r="W50" s="434">
        <f>IF(I50=0,"***",P50/I50)</f>
        <v/>
      </c>
      <c r="X50" s="435">
        <f>IF(J50=0,"***",Q50/J50)</f>
        <v/>
      </c>
      <c r="Y50" s="435">
        <f>IF(K50=0,"***",R50/K50)</f>
        <v/>
      </c>
      <c r="Z50" s="435">
        <f>IF(L50=0,"***",S50/L50)</f>
        <v/>
      </c>
      <c r="AA50" s="435">
        <f>IF(Y50="***","***",Z50-X50)</f>
        <v/>
      </c>
      <c r="AB50" s="433">
        <f>IF(Z50="***","***",Z50-X50)</f>
        <v/>
      </c>
      <c r="AC50" s="436" t="n"/>
    </row>
  </sheetData>
  <mergeCells count="14">
    <mergeCell ref="K3:K4"/>
    <mergeCell ref="L3:L4"/>
    <mergeCell ref="AC3:AC4"/>
    <mergeCell ref="P3:P4"/>
    <mergeCell ref="D3:H4"/>
    <mergeCell ref="I3:I4"/>
    <mergeCell ref="Q3:Q4"/>
    <mergeCell ref="R3:R4"/>
    <mergeCell ref="J3:J4"/>
    <mergeCell ref="X3:X4"/>
    <mergeCell ref="Y3:Y4"/>
    <mergeCell ref="S3:S4"/>
    <mergeCell ref="Z3:Z4"/>
    <mergeCell ref="W3:W4"/>
  </mergeCells>
  <pageMargins left="0.708333333333333" right="0.708333333333333" top="0.747916666666667" bottom="0.747916666666667" header="0.511811023622047" footer="0.511811023622047"/>
  <pageSetup orientation="landscape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C50"/>
  <sheetViews>
    <sheetView zoomScaleNormal="100" workbookViewId="0">
      <selection activeCell="J7" sqref="J7"/>
    </sheetView>
  </sheetViews>
  <sheetFormatPr baseColWidth="8" defaultColWidth="8.5" defaultRowHeight="18.75"/>
  <cols>
    <col width="2.375" customWidth="1" style="1" min="4" max="4"/>
    <col width="2.875" customWidth="1" style="1" min="5" max="5"/>
    <col width="3.125" customWidth="1" style="1" min="6" max="7"/>
    <col width="16" customWidth="1" style="1" min="8" max="8"/>
    <col width="8.5" customWidth="1" style="302" min="13" max="14"/>
    <col width="8.5" customWidth="1" style="302" min="20" max="21"/>
    <col width="60.5" customWidth="1" style="1" min="29" max="29"/>
  </cols>
  <sheetData>
    <row r="1" ht="23.25" customHeight="1" s="1">
      <c r="D1" s="2" t="inlineStr">
        <is>
          <t>2．単月</t>
        </is>
      </c>
    </row>
    <row r="2"/>
    <row r="3" ht="18.75" customHeight="1" s="1">
      <c r="D3" s="284" t="n"/>
      <c r="E3" s="285" t="n"/>
      <c r="F3" s="285" t="n"/>
      <c r="G3" s="285" t="n"/>
      <c r="H3" s="286" t="n"/>
      <c r="I3" s="282" t="inlineStr">
        <is>
          <t>2024年4月売上実績</t>
        </is>
      </c>
      <c r="J3" s="290" t="inlineStr">
        <is>
          <t>2025年4月売上実績</t>
        </is>
      </c>
      <c r="K3" s="292" t="inlineStr">
        <is>
          <t>2026年4月売上計画</t>
        </is>
      </c>
      <c r="L3" s="292" t="inlineStr">
        <is>
          <t>2026年4月売上実績</t>
        </is>
      </c>
      <c r="M3" s="303" t="n"/>
      <c r="N3" s="303" t="n"/>
      <c r="O3" s="4" t="n"/>
      <c r="P3" s="282" t="inlineStr">
        <is>
          <t>2024年4月粗利益実績</t>
        </is>
      </c>
      <c r="Q3" s="290" t="inlineStr">
        <is>
          <t>2025年4月粗利益実績</t>
        </is>
      </c>
      <c r="R3" s="292" t="inlineStr">
        <is>
          <t>2026年4月粗利益計画</t>
        </is>
      </c>
      <c r="S3" s="292" t="inlineStr">
        <is>
          <t>2026年4月粗利益実績</t>
        </is>
      </c>
      <c r="T3" s="303" t="n"/>
      <c r="U3" s="303" t="n"/>
      <c r="V3" s="4" t="n"/>
      <c r="W3" s="297" t="inlineStr">
        <is>
          <t>2024年4月粗利益率実績</t>
        </is>
      </c>
      <c r="X3" s="298" t="inlineStr">
        <is>
          <t>2025年4月粗利益率実績</t>
        </is>
      </c>
      <c r="Y3" s="294" t="inlineStr">
        <is>
          <t>2026年4月粗利益率計画</t>
        </is>
      </c>
      <c r="Z3" s="294" t="inlineStr">
        <is>
          <t>2026年4月粗利益率実績</t>
        </is>
      </c>
      <c r="AA3" s="5" t="n"/>
      <c r="AB3" s="5" t="n"/>
      <c r="AC3" s="295" t="inlineStr">
        <is>
          <t>作成根拠</t>
        </is>
      </c>
    </row>
    <row r="4">
      <c r="D4" s="287" t="n"/>
      <c r="E4" s="288" t="n"/>
      <c r="F4" s="288" t="n"/>
      <c r="G4" s="288" t="n"/>
      <c r="H4" s="289" t="n"/>
      <c r="I4" s="283" t="n"/>
      <c r="J4" s="291" t="n"/>
      <c r="K4" s="293" t="n"/>
      <c r="L4" s="293" t="n"/>
      <c r="M4" s="304" t="inlineStr">
        <is>
          <t>計画比</t>
        </is>
      </c>
      <c r="N4" s="304" t="inlineStr">
        <is>
          <t>前期比</t>
        </is>
      </c>
      <c r="O4" s="7" t="inlineStr">
        <is>
          <t>年率</t>
        </is>
      </c>
      <c r="P4" s="283" t="n"/>
      <c r="Q4" s="291" t="n"/>
      <c r="R4" s="293" t="n"/>
      <c r="S4" s="293" t="n"/>
      <c r="T4" s="304" t="inlineStr">
        <is>
          <t>計画比</t>
        </is>
      </c>
      <c r="U4" s="304" t="inlineStr">
        <is>
          <t>前期比</t>
        </is>
      </c>
      <c r="V4" s="7" t="inlineStr">
        <is>
          <t>年率</t>
        </is>
      </c>
      <c r="W4" s="283" t="n"/>
      <c r="X4" s="291" t="n"/>
      <c r="Y4" s="293" t="n"/>
      <c r="Z4" s="293" t="n"/>
      <c r="AA4" s="6" t="inlineStr">
        <is>
          <t>計画比</t>
        </is>
      </c>
      <c r="AB4" s="6" t="inlineStr">
        <is>
          <t>前期比</t>
        </is>
      </c>
      <c r="AC4" s="296" t="n"/>
    </row>
    <row r="5">
      <c r="D5" s="8" t="n"/>
      <c r="E5" s="9" t="n"/>
      <c r="F5" s="10" t="inlineStr">
        <is>
          <t>石見営業所</t>
        </is>
      </c>
      <c r="H5" s="11" t="n"/>
      <c r="I5" s="305" t="n">
        <v>62274.009</v>
      </c>
      <c r="J5" s="306" t="n">
        <v>65485.854</v>
      </c>
      <c r="K5" s="307" t="n">
        <v>73350</v>
      </c>
      <c r="L5" s="306" t="n">
        <v>86809.298</v>
      </c>
      <c r="M5" s="308">
        <f>L5-K5</f>
        <v/>
      </c>
      <c r="N5" s="308">
        <f>L5-J5</f>
        <v/>
      </c>
      <c r="O5" s="309">
        <f>IF(J5=0,"***",N5/J5)</f>
        <v/>
      </c>
      <c r="P5" s="310" t="n">
        <v>16694.301</v>
      </c>
      <c r="Q5" s="310" t="n">
        <v>18670.176</v>
      </c>
      <c r="R5" s="310" t="n">
        <v>19540</v>
      </c>
      <c r="S5" s="310" t="n">
        <v>24673.721</v>
      </c>
      <c r="T5" s="308">
        <f>S5-R5</f>
        <v/>
      </c>
      <c r="U5" s="308">
        <f>S5-Q5</f>
        <v/>
      </c>
      <c r="V5" s="309">
        <f>IF(Q5=0,"***",U5/Q5)</f>
        <v/>
      </c>
      <c r="W5" s="311">
        <f>IF(I5=0,"***",P5/I5)</f>
        <v/>
      </c>
      <c r="X5" s="312">
        <f>IF(J5=0,"***",Q5/J5)</f>
        <v/>
      </c>
      <c r="Y5" s="312">
        <f>IF(K5=0,"***",R5/K5)</f>
        <v/>
      </c>
      <c r="Z5" s="312">
        <f>IF(L5=0,"***",S5/L5)</f>
        <v/>
      </c>
      <c r="AA5" s="313">
        <f>IF(Y5="***","***",Z5-X5)</f>
        <v/>
      </c>
      <c r="AB5" s="312">
        <f>IF(Z5="***","***",Z5-X5)</f>
        <v/>
      </c>
      <c r="AC5" s="21" t="n"/>
    </row>
    <row r="6">
      <c r="D6" s="8" t="n"/>
      <c r="E6" s="9" t="n"/>
      <c r="F6" s="9" t="n"/>
      <c r="G6" s="22" t="inlineStr">
        <is>
          <t>営業</t>
        </is>
      </c>
      <c r="H6" s="23" t="n"/>
      <c r="I6" s="314">
        <f>I5-I9</f>
        <v/>
      </c>
      <c r="J6" s="315">
        <f>J5-J9</f>
        <v/>
      </c>
      <c r="K6" s="316">
        <f>K5-K9</f>
        <v/>
      </c>
      <c r="L6" s="315">
        <f>L5-L9</f>
        <v/>
      </c>
      <c r="M6" s="317">
        <f>L6-K6</f>
        <v/>
      </c>
      <c r="N6" s="317">
        <f>L6-J6</f>
        <v/>
      </c>
      <c r="O6" s="318">
        <f>IF(J6=0,"***",N6/J6)</f>
        <v/>
      </c>
      <c r="P6" s="314">
        <f>P5-P9</f>
        <v/>
      </c>
      <c r="Q6" s="315">
        <f>Q5-Q9</f>
        <v/>
      </c>
      <c r="R6" s="316">
        <f>R5-R9</f>
        <v/>
      </c>
      <c r="S6" s="315">
        <f>S5-S9</f>
        <v/>
      </c>
      <c r="T6" s="317">
        <f>S6-R6</f>
        <v/>
      </c>
      <c r="U6" s="317">
        <f>S6-Q6</f>
        <v/>
      </c>
      <c r="V6" s="318">
        <f>IF(Q6=0,"***",U6/Q6)</f>
        <v/>
      </c>
      <c r="W6" s="319">
        <f>IF(I6=0,"***",P6/I6)</f>
        <v/>
      </c>
      <c r="X6" s="320">
        <f>IF(J6=0,"***",Q6/J6)</f>
        <v/>
      </c>
      <c r="Y6" s="320">
        <f>IF(K6=0,"***",R6/K6)</f>
        <v/>
      </c>
      <c r="Z6" s="320">
        <f>IF(L6=0,"***",S6/L6)</f>
        <v/>
      </c>
      <c r="AA6" s="321">
        <f>IF(Y6="***","***",Z6-X6)</f>
        <v/>
      </c>
      <c r="AB6" s="320">
        <f>IF(Z6="***","***",Z6-X6)</f>
        <v/>
      </c>
      <c r="AC6" s="31" t="n"/>
    </row>
    <row r="7">
      <c r="D7" s="8" t="n"/>
      <c r="E7" s="9" t="n"/>
      <c r="F7" s="9" t="n"/>
      <c r="G7" s="32" t="n"/>
      <c r="H7" s="33" t="inlineStr">
        <is>
          <t>包装資材</t>
        </is>
      </c>
      <c r="I7" s="314">
        <f>I6-I8</f>
        <v/>
      </c>
      <c r="J7" s="315">
        <f>J6-J8</f>
        <v/>
      </c>
      <c r="K7" s="316">
        <f>K6-K8</f>
        <v/>
      </c>
      <c r="L7" s="315">
        <f>L6-L8</f>
        <v/>
      </c>
      <c r="M7" s="317">
        <f>L7-K7</f>
        <v/>
      </c>
      <c r="N7" s="317">
        <f>L7-J7</f>
        <v/>
      </c>
      <c r="O7" s="318">
        <f>IF(J7=0,"***",N7/J7)</f>
        <v/>
      </c>
      <c r="P7" s="314">
        <f>P6-P8</f>
        <v/>
      </c>
      <c r="Q7" s="315">
        <f>Q6-Q8</f>
        <v/>
      </c>
      <c r="R7" s="316">
        <f>R6-R8</f>
        <v/>
      </c>
      <c r="S7" s="315">
        <f>S6-S8</f>
        <v/>
      </c>
      <c r="T7" s="317">
        <f>S7-R7</f>
        <v/>
      </c>
      <c r="U7" s="317">
        <f>S7-Q7</f>
        <v/>
      </c>
      <c r="V7" s="318">
        <f>IF(Q7=0,"***",U7/Q7)</f>
        <v/>
      </c>
      <c r="W7" s="319">
        <f>IF(I7=0,"***",P7/I7)</f>
        <v/>
      </c>
      <c r="X7" s="320">
        <f>IF(J7=0,"***",Q7/J7)</f>
        <v/>
      </c>
      <c r="Y7" s="320">
        <f>IF(K7=0,"***",R7/K7)</f>
        <v/>
      </c>
      <c r="Z7" s="320">
        <f>IF(L7=0,"***",S7/L7)</f>
        <v/>
      </c>
      <c r="AA7" s="321">
        <f>IF(Y7="***","***",Z7-X7)</f>
        <v/>
      </c>
      <c r="AB7" s="320">
        <f>IF(Z7="***","***",Z7-X7)</f>
        <v/>
      </c>
      <c r="AC7" s="31" t="n"/>
    </row>
    <row r="8">
      <c r="D8" s="8" t="n"/>
      <c r="E8" s="9" t="n"/>
      <c r="F8" s="9" t="n"/>
      <c r="G8" s="32" t="n"/>
      <c r="H8" s="34" t="inlineStr">
        <is>
          <t>機械</t>
        </is>
      </c>
      <c r="I8" s="322" t="n">
        <v>1423.561</v>
      </c>
      <c r="J8" s="323" t="n">
        <v>1161.392</v>
      </c>
      <c r="K8" s="324" t="n">
        <v>4000</v>
      </c>
      <c r="L8" s="323" t="n">
        <v>1935.36</v>
      </c>
      <c r="M8" s="325">
        <f>L8-K8</f>
        <v/>
      </c>
      <c r="N8" s="325">
        <f>L8-J8</f>
        <v/>
      </c>
      <c r="O8" s="326">
        <f>IF(J8=0,"***",N8/J8)</f>
        <v/>
      </c>
      <c r="P8" s="327" t="n">
        <v>264.047</v>
      </c>
      <c r="Q8" s="328" t="n">
        <v>322.742</v>
      </c>
      <c r="R8" s="324" t="n">
        <v>640</v>
      </c>
      <c r="S8" s="328" t="n">
        <v>446.549</v>
      </c>
      <c r="T8" s="325">
        <f>S8-R8</f>
        <v/>
      </c>
      <c r="U8" s="325">
        <f>S8-Q8</f>
        <v/>
      </c>
      <c r="V8" s="326">
        <f>IF(Q8=0,"***",U8/Q8)</f>
        <v/>
      </c>
      <c r="W8" s="329">
        <f>IF(I8=0,"***",P8/I8)</f>
        <v/>
      </c>
      <c r="X8" s="330">
        <f>IF(J8=0,"***",Q8/J8)</f>
        <v/>
      </c>
      <c r="Y8" s="330">
        <f>IF(K8=0,"***",R8/K8)</f>
        <v/>
      </c>
      <c r="Z8" s="330">
        <f>IF(L8=0,"***",S8/L8)</f>
        <v/>
      </c>
      <c r="AA8" s="331">
        <f>IF(Y8="***","***",Z8-X8)</f>
        <v/>
      </c>
      <c r="AB8" s="330">
        <f>IF(Z8="***","***",Z8-X8)</f>
        <v/>
      </c>
      <c r="AC8" s="45" t="n"/>
    </row>
    <row r="9">
      <c r="D9" s="8" t="n"/>
      <c r="E9" s="9" t="n"/>
      <c r="F9" s="46" t="n"/>
      <c r="G9" s="47" t="inlineStr">
        <is>
          <t>自治体</t>
        </is>
      </c>
      <c r="H9" s="48" t="n"/>
      <c r="I9" s="332" t="n">
        <v>0.864</v>
      </c>
      <c r="J9" s="333" t="n">
        <v>7.177</v>
      </c>
      <c r="K9" s="334" t="n">
        <v>1340</v>
      </c>
      <c r="L9" s="333" t="n">
        <v>7.177</v>
      </c>
      <c r="M9" s="335">
        <f>L9-K9</f>
        <v/>
      </c>
      <c r="N9" s="335">
        <f>L9-J9</f>
        <v/>
      </c>
      <c r="O9" s="336">
        <f>IF(J9=0,"***",N9/J9)</f>
        <v/>
      </c>
      <c r="P9" s="337" t="n">
        <v>0.302</v>
      </c>
      <c r="Q9" s="338" t="n">
        <v>1.664</v>
      </c>
      <c r="R9" s="334" t="n">
        <v>210</v>
      </c>
      <c r="S9" s="338" t="n">
        <v>1.514</v>
      </c>
      <c r="T9" s="335">
        <f>S9-R9</f>
        <v/>
      </c>
      <c r="U9" s="335">
        <f>S9-Q9</f>
        <v/>
      </c>
      <c r="V9" s="336">
        <f>IF(Q9=0,"***",U9/Q9)</f>
        <v/>
      </c>
      <c r="W9" s="339">
        <f>IF(I9=0,"***",P9/I9)</f>
        <v/>
      </c>
      <c r="X9" s="340">
        <f>IF(J9=0,"***",Q9/J9)</f>
        <v/>
      </c>
      <c r="Y9" s="340">
        <f>IF(K9=0,"***",R9/K9)</f>
        <v/>
      </c>
      <c r="Z9" s="340">
        <f>IF(L9=0,"***",S9/L9)</f>
        <v/>
      </c>
      <c r="AA9" s="341">
        <f>IF(Y9="***","***",Z9-X9)</f>
        <v/>
      </c>
      <c r="AB9" s="340">
        <f>IF(Z9="***","***",Z9-X9)</f>
        <v/>
      </c>
      <c r="AC9" s="59" t="n"/>
    </row>
    <row r="10">
      <c r="D10" s="8" t="n"/>
      <c r="E10" s="9" t="n"/>
      <c r="F10" s="60" t="inlineStr">
        <is>
          <t>下関営業所</t>
        </is>
      </c>
      <c r="G10" s="5" t="n"/>
      <c r="H10" s="61" t="n"/>
      <c r="I10" s="342" t="n">
        <v>51416.76</v>
      </c>
      <c r="J10" s="343" t="n">
        <v>50408.376</v>
      </c>
      <c r="K10" s="344" t="n">
        <v>53500</v>
      </c>
      <c r="L10" s="343" t="n">
        <v>51889.48</v>
      </c>
      <c r="M10" s="345">
        <f>L10-K10</f>
        <v/>
      </c>
      <c r="N10" s="345">
        <f>L10-J10</f>
        <v/>
      </c>
      <c r="O10" s="346">
        <f>IF(J10=0,"***",N10/J10)</f>
        <v/>
      </c>
      <c r="P10" s="342" t="n">
        <v>9989.813</v>
      </c>
      <c r="Q10" s="343" t="n">
        <v>10299.452</v>
      </c>
      <c r="R10" s="344" t="n">
        <v>10800</v>
      </c>
      <c r="S10" s="343" t="n">
        <v>11189.149</v>
      </c>
      <c r="T10" s="345">
        <f>S10-R10</f>
        <v/>
      </c>
      <c r="U10" s="345">
        <f>S10-Q10</f>
        <v/>
      </c>
      <c r="V10" s="346">
        <f>IF(Q10=0,"***",U10/Q10)</f>
        <v/>
      </c>
      <c r="W10" s="347">
        <f>IF(I10=0,"***",P10/I10)</f>
        <v/>
      </c>
      <c r="X10" s="348">
        <f>IF(J10=0,"***",Q10/J10)</f>
        <v/>
      </c>
      <c r="Y10" s="348">
        <f>IF(K10=0,"***",R10/K10)</f>
        <v/>
      </c>
      <c r="Z10" s="348">
        <f>IF(L10=0,"***",S10/L10)</f>
        <v/>
      </c>
      <c r="AA10" s="349">
        <f>IF(Y10="***","***",Z10-X10)</f>
        <v/>
      </c>
      <c r="AB10" s="348">
        <f>IF(Z10="***","***",Z10-X10)</f>
        <v/>
      </c>
      <c r="AC10" s="70" t="n"/>
    </row>
    <row r="11">
      <c r="D11" s="8" t="n"/>
      <c r="E11" s="9" t="n"/>
      <c r="F11" s="9" t="n"/>
      <c r="G11" s="22" t="inlineStr">
        <is>
          <t>営業</t>
        </is>
      </c>
      <c r="H11" s="23" t="n"/>
      <c r="I11" s="314">
        <f>I10-I15-I14</f>
        <v/>
      </c>
      <c r="J11" s="315">
        <f>J10-J15-J14</f>
        <v/>
      </c>
      <c r="K11" s="316">
        <f>K10-K15-K14</f>
        <v/>
      </c>
      <c r="L11" s="315">
        <f>L10-L15-L14</f>
        <v/>
      </c>
      <c r="M11" s="317">
        <f>L11-K11</f>
        <v/>
      </c>
      <c r="N11" s="317">
        <f>L11-J11</f>
        <v/>
      </c>
      <c r="O11" s="318">
        <f>IF(J11=0,"***",N11/J11)</f>
        <v/>
      </c>
      <c r="P11" s="314">
        <f>P10-P15-P14</f>
        <v/>
      </c>
      <c r="Q11" s="315">
        <f>Q10-Q15-Q14</f>
        <v/>
      </c>
      <c r="R11" s="316">
        <f>R10-R15-R14</f>
        <v/>
      </c>
      <c r="S11" s="315">
        <f>S10-S15-S14</f>
        <v/>
      </c>
      <c r="T11" s="317">
        <f>S11-R11</f>
        <v/>
      </c>
      <c r="U11" s="317">
        <f>S11-Q11</f>
        <v/>
      </c>
      <c r="V11" s="318">
        <f>IF(Q11=0,"***",U11/Q11)</f>
        <v/>
      </c>
      <c r="W11" s="319">
        <f>IF(I11=0,"***",P11/I11)</f>
        <v/>
      </c>
      <c r="X11" s="320">
        <f>IF(J11=0,"***",Q11/J11)</f>
        <v/>
      </c>
      <c r="Y11" s="320">
        <f>IF(K11=0,"***",R11/K11)</f>
        <v/>
      </c>
      <c r="Z11" s="320">
        <f>IF(L11=0,"***",S11/L11)</f>
        <v/>
      </c>
      <c r="AA11" s="321">
        <f>IF(Y11="***","***",Z11-X11)</f>
        <v/>
      </c>
      <c r="AB11" s="320">
        <f>IF(Z11="***","***",Z11-X11)</f>
        <v/>
      </c>
      <c r="AC11" s="31" t="n"/>
    </row>
    <row r="12">
      <c r="D12" s="8" t="n"/>
      <c r="E12" s="9" t="n"/>
      <c r="F12" s="9" t="n"/>
      <c r="G12" s="71" t="n"/>
      <c r="H12" s="33" t="inlineStr">
        <is>
          <t>包装資材</t>
        </is>
      </c>
      <c r="I12" s="314">
        <f>I11-I13</f>
        <v/>
      </c>
      <c r="J12" s="315">
        <f>J11-J13</f>
        <v/>
      </c>
      <c r="K12" s="316">
        <f>K11-K13</f>
        <v/>
      </c>
      <c r="L12" s="315">
        <f>L11-L13</f>
        <v/>
      </c>
      <c r="M12" s="317">
        <f>L12-K12</f>
        <v/>
      </c>
      <c r="N12" s="317">
        <f>L12-J12</f>
        <v/>
      </c>
      <c r="O12" s="318">
        <f>IF(J12=0,"***",N12/J12)</f>
        <v/>
      </c>
      <c r="P12" s="314">
        <f>P11-P13</f>
        <v/>
      </c>
      <c r="Q12" s="315">
        <f>Q11-Q13</f>
        <v/>
      </c>
      <c r="R12" s="316">
        <f>R11-R13</f>
        <v/>
      </c>
      <c r="S12" s="315">
        <f>S11-S13</f>
        <v/>
      </c>
      <c r="T12" s="317">
        <f>S12-R12</f>
        <v/>
      </c>
      <c r="U12" s="317">
        <f>S12-Q12</f>
        <v/>
      </c>
      <c r="V12" s="318">
        <f>IF(Q12=0,"***",U12/Q12)</f>
        <v/>
      </c>
      <c r="W12" s="319">
        <f>IF(I12=0,"***",P12/I12)</f>
        <v/>
      </c>
      <c r="X12" s="320">
        <f>IF(J12=0,"***",Q12/J12)</f>
        <v/>
      </c>
      <c r="Y12" s="320">
        <f>IF(K12=0,"***",R12/K12)</f>
        <v/>
      </c>
      <c r="Z12" s="320">
        <f>IF(L12=0,"***",S12/L12)</f>
        <v/>
      </c>
      <c r="AA12" s="321">
        <f>IF(Y12="***","***",Z12-X12)</f>
        <v/>
      </c>
      <c r="AB12" s="320">
        <f>IF(Z12="***","***",Z12-X12)</f>
        <v/>
      </c>
      <c r="AC12" s="31" t="n"/>
    </row>
    <row r="13">
      <c r="D13" s="8" t="n"/>
      <c r="E13" s="9" t="n"/>
      <c r="F13" s="9" t="n"/>
      <c r="G13" s="72" t="n"/>
      <c r="H13" s="34" t="inlineStr">
        <is>
          <t>機械</t>
        </is>
      </c>
      <c r="I13" s="350" t="n">
        <v>465</v>
      </c>
      <c r="J13" s="351" t="n">
        <v>2645</v>
      </c>
      <c r="K13" s="316" t="n">
        <v>3740</v>
      </c>
      <c r="L13" s="351" t="n">
        <v>685.95</v>
      </c>
      <c r="M13" s="317">
        <f>L13-K13</f>
        <v/>
      </c>
      <c r="N13" s="317">
        <f>L13-J13</f>
        <v/>
      </c>
      <c r="O13" s="318">
        <f>IF(J13=0,"***",N13/J13)</f>
        <v/>
      </c>
      <c r="P13" s="350" t="n">
        <v>81</v>
      </c>
      <c r="Q13" s="351" t="n">
        <v>290</v>
      </c>
      <c r="R13" s="316" t="n">
        <v>520</v>
      </c>
      <c r="S13" s="351" t="n">
        <v>104.49</v>
      </c>
      <c r="T13" s="317">
        <f>S13-R13</f>
        <v/>
      </c>
      <c r="U13" s="317">
        <f>S13-Q13</f>
        <v/>
      </c>
      <c r="V13" s="318">
        <f>IF(Q13=0,"***",U13/Q13)</f>
        <v/>
      </c>
      <c r="W13" s="319">
        <f>IF(I13=0,"***",P13/I13)</f>
        <v/>
      </c>
      <c r="X13" s="320">
        <f>IF(J13=0,"***",Q13/J13)</f>
        <v/>
      </c>
      <c r="Y13" s="320">
        <f>IF(K13=0,"***",R13/K13)</f>
        <v/>
      </c>
      <c r="Z13" s="320">
        <f>IF(L13=0,"***",S13/L13)</f>
        <v/>
      </c>
      <c r="AA13" s="321">
        <f>IF(Y13="***","***",Z13-X13)</f>
        <v/>
      </c>
      <c r="AB13" s="320">
        <f>IF(Z13="***","***",Z13-X13)</f>
        <v/>
      </c>
      <c r="AC13" s="31" t="n"/>
    </row>
    <row r="14">
      <c r="D14" s="8" t="n"/>
      <c r="E14" s="9" t="n"/>
      <c r="F14" s="9" t="n"/>
      <c r="G14" s="75" t="inlineStr">
        <is>
          <t>自治体</t>
        </is>
      </c>
      <c r="H14" s="23" t="n"/>
      <c r="I14" s="352" t="n">
        <v>0</v>
      </c>
      <c r="J14" s="328" t="n">
        <v>0</v>
      </c>
      <c r="K14" s="324" t="n">
        <v>0</v>
      </c>
      <c r="L14" s="328" t="n">
        <v>0</v>
      </c>
      <c r="M14" s="325">
        <f>L14-K14</f>
        <v/>
      </c>
      <c r="N14" s="325">
        <f>L14-J14</f>
        <v/>
      </c>
      <c r="O14" s="326">
        <f>IF(J14=0,"***",N14/J14)</f>
        <v/>
      </c>
      <c r="P14" s="352" t="n">
        <v>0</v>
      </c>
      <c r="Q14" s="328" t="n">
        <v>0</v>
      </c>
      <c r="R14" s="324" t="n">
        <v>0</v>
      </c>
      <c r="S14" s="328" t="n">
        <v>0</v>
      </c>
      <c r="T14" s="325">
        <f>S14-R14</f>
        <v/>
      </c>
      <c r="U14" s="325">
        <f>S14-Q14</f>
        <v/>
      </c>
      <c r="V14" s="326">
        <f>IF(Q14=0,"***",U14/Q14)</f>
        <v/>
      </c>
      <c r="W14" s="329">
        <f>IF(I14=0,"***",P14/I14)</f>
        <v/>
      </c>
      <c r="X14" s="330">
        <f>IF(J14=0,"***",Q14/J14)</f>
        <v/>
      </c>
      <c r="Y14" s="330">
        <f>IF(K14=0,"***",R14/K14)</f>
        <v/>
      </c>
      <c r="Z14" s="330">
        <f>IF(L14=0,"***",S14/L14)</f>
        <v/>
      </c>
      <c r="AA14" s="331" t="n"/>
      <c r="AB14" s="330" t="n"/>
      <c r="AC14" s="45" t="n"/>
    </row>
    <row r="15">
      <c r="D15" s="8" t="n"/>
      <c r="E15" s="9" t="n"/>
      <c r="F15" s="46" t="n"/>
      <c r="G15" s="47" t="inlineStr">
        <is>
          <t>海外</t>
        </is>
      </c>
      <c r="H15" s="48" t="n"/>
      <c r="I15" s="353" t="n">
        <v>3244.418</v>
      </c>
      <c r="J15" s="338" t="n">
        <v>0</v>
      </c>
      <c r="K15" s="334" t="n">
        <v>0</v>
      </c>
      <c r="L15" s="338" t="n">
        <v>0</v>
      </c>
      <c r="M15" s="335">
        <f>L15-K15</f>
        <v/>
      </c>
      <c r="N15" s="335">
        <f>L15-J15</f>
        <v/>
      </c>
      <c r="O15" s="336">
        <f>IF(J15=0,"***",N15/J15)</f>
        <v/>
      </c>
      <c r="P15" s="353" t="n">
        <v>177.043</v>
      </c>
      <c r="Q15" s="338" t="n">
        <v>0</v>
      </c>
      <c r="R15" s="334" t="n">
        <v>0</v>
      </c>
      <c r="S15" s="338" t="n">
        <v>0</v>
      </c>
      <c r="T15" s="335">
        <f>S15-R15</f>
        <v/>
      </c>
      <c r="U15" s="335">
        <f>S15-Q15</f>
        <v/>
      </c>
      <c r="V15" s="336">
        <f>IF(Q15=0,"***",U15/Q15)</f>
        <v/>
      </c>
      <c r="W15" s="339">
        <f>IF(I15=0,"***",P15/I15)</f>
        <v/>
      </c>
      <c r="X15" s="340">
        <f>IF(J15=0,"***",Q15/J15)</f>
        <v/>
      </c>
      <c r="Y15" s="340">
        <f>IF(K15=0,"***",R15/K15)</f>
        <v/>
      </c>
      <c r="Z15" s="340">
        <f>IF(L15=0,"***",S15/L15)</f>
        <v/>
      </c>
      <c r="AA15" s="341">
        <f>IF(Y15="***","***",Z15-X15)</f>
        <v/>
      </c>
      <c r="AB15" s="340">
        <f>IF(Z15="***","***",Z15-X15)</f>
        <v/>
      </c>
      <c r="AC15" s="59" t="n"/>
    </row>
    <row r="16">
      <c r="D16" s="8" t="n"/>
      <c r="E16" s="9" t="n"/>
      <c r="F16" s="60" t="inlineStr">
        <is>
          <t>松江営業所</t>
        </is>
      </c>
      <c r="G16" s="5" t="n"/>
      <c r="H16" s="61" t="n"/>
      <c r="I16" s="305" t="n">
        <v>35939.496</v>
      </c>
      <c r="J16" s="306" t="n">
        <v>40867.319</v>
      </c>
      <c r="K16" s="307" t="n">
        <v>32650</v>
      </c>
      <c r="L16" s="306" t="n">
        <v>40383.262</v>
      </c>
      <c r="M16" s="308">
        <f>L16-K16</f>
        <v/>
      </c>
      <c r="N16" s="308">
        <f>L16-J16</f>
        <v/>
      </c>
      <c r="O16" s="309">
        <f>IF(J16=0,"***",N16/J16)</f>
        <v/>
      </c>
      <c r="P16" s="305" t="n">
        <v>7080.551</v>
      </c>
      <c r="Q16" s="306" t="n">
        <v>8820.782999999999</v>
      </c>
      <c r="R16" s="307" t="n">
        <v>8630</v>
      </c>
      <c r="S16" s="306" t="n">
        <v>10567.872</v>
      </c>
      <c r="T16" s="308">
        <f>S16-R16</f>
        <v/>
      </c>
      <c r="U16" s="308">
        <f>S16-Q16</f>
        <v/>
      </c>
      <c r="V16" s="309">
        <f>IF(Q16=0,"***",U16/Q16)</f>
        <v/>
      </c>
      <c r="W16" s="311">
        <f>IF(I16=0,"***",P16/I16)</f>
        <v/>
      </c>
      <c r="X16" s="312">
        <f>IF(J16=0,"***",Q16/J16)</f>
        <v/>
      </c>
      <c r="Y16" s="312">
        <f>IF(K16=0,"***",R16/K16)</f>
        <v/>
      </c>
      <c r="Z16" s="312">
        <f>IF(L16=0,"***",S16/L16)</f>
        <v/>
      </c>
      <c r="AA16" s="312">
        <f>IF(Y16="***","***",Z16-X16)</f>
        <v/>
      </c>
      <c r="AB16" s="312">
        <f>IF(Z16="***","***",Z16-X16)</f>
        <v/>
      </c>
      <c r="AC16" s="21" t="n"/>
    </row>
    <row r="17">
      <c r="D17" s="8" t="n"/>
      <c r="E17" s="9" t="n"/>
      <c r="F17" s="9" t="n"/>
      <c r="G17" s="22" t="inlineStr">
        <is>
          <t>営業</t>
        </is>
      </c>
      <c r="H17" s="23" t="n"/>
      <c r="I17" s="314">
        <f>I16-I20</f>
        <v/>
      </c>
      <c r="J17" s="315">
        <f>J16-J20</f>
        <v/>
      </c>
      <c r="K17" s="316">
        <f>K16-K20</f>
        <v/>
      </c>
      <c r="L17" s="315">
        <f>L16-L20</f>
        <v/>
      </c>
      <c r="M17" s="317">
        <f>L17-K17</f>
        <v/>
      </c>
      <c r="N17" s="317">
        <f>L17-J17</f>
        <v/>
      </c>
      <c r="O17" s="318">
        <f>IF(J17=0,"***",N17/J17)</f>
        <v/>
      </c>
      <c r="P17" s="314">
        <f>P16-P20</f>
        <v/>
      </c>
      <c r="Q17" s="315">
        <f>Q16-Q20</f>
        <v/>
      </c>
      <c r="R17" s="316">
        <f>R16-R20</f>
        <v/>
      </c>
      <c r="S17" s="315">
        <f>S16-S20</f>
        <v/>
      </c>
      <c r="T17" s="317">
        <f>S17-R17</f>
        <v/>
      </c>
      <c r="U17" s="317">
        <f>S17-Q17</f>
        <v/>
      </c>
      <c r="V17" s="318">
        <f>IF(Q17=0,"***",U17/Q17)</f>
        <v/>
      </c>
      <c r="W17" s="319">
        <f>IF(I17=0,"***",P17/I17)</f>
        <v/>
      </c>
      <c r="X17" s="320">
        <f>IF(J17=0,"***",Q17/J17)</f>
        <v/>
      </c>
      <c r="Y17" s="320">
        <f>IF(K17=0,"***",R17/K17)</f>
        <v/>
      </c>
      <c r="Z17" s="320">
        <f>IF(L17=0,"***",S17/L17)</f>
        <v/>
      </c>
      <c r="AA17" s="320">
        <f>IF(Y17="***","***",Z17-X17)</f>
        <v/>
      </c>
      <c r="AB17" s="320">
        <f>IF(Z17="***","***",Z17-X17)</f>
        <v/>
      </c>
      <c r="AC17" s="31" t="n"/>
    </row>
    <row r="18">
      <c r="D18" s="8" t="n"/>
      <c r="E18" s="9" t="n"/>
      <c r="F18" s="9" t="n"/>
      <c r="G18" s="32" t="n"/>
      <c r="H18" s="33" t="inlineStr">
        <is>
          <t>包装資材</t>
        </is>
      </c>
      <c r="I18" s="314">
        <f>I17-I19</f>
        <v/>
      </c>
      <c r="J18" s="315">
        <f>J17-J19</f>
        <v/>
      </c>
      <c r="K18" s="316">
        <f>K17-K19</f>
        <v/>
      </c>
      <c r="L18" s="315">
        <f>L17-L19</f>
        <v/>
      </c>
      <c r="M18" s="317">
        <f>L18-K18</f>
        <v/>
      </c>
      <c r="N18" s="317">
        <f>L18-J18</f>
        <v/>
      </c>
      <c r="O18" s="318">
        <f>IF(J18=0,"***",N18/J18)</f>
        <v/>
      </c>
      <c r="P18" s="314">
        <f>P17-P19</f>
        <v/>
      </c>
      <c r="Q18" s="315">
        <f>Q17-Q19</f>
        <v/>
      </c>
      <c r="R18" s="316">
        <f>R17-R19</f>
        <v/>
      </c>
      <c r="S18" s="315">
        <f>S17-S19</f>
        <v/>
      </c>
      <c r="T18" s="317">
        <f>S18-R18</f>
        <v/>
      </c>
      <c r="U18" s="317">
        <f>S18-Q18</f>
        <v/>
      </c>
      <c r="V18" s="318">
        <f>IF(Q18=0,"***",U18/Q18)</f>
        <v/>
      </c>
      <c r="W18" s="319">
        <f>IF(I18=0,"***",P18/I18)</f>
        <v/>
      </c>
      <c r="X18" s="320">
        <f>IF(J18=0,"***",Q18/J18)</f>
        <v/>
      </c>
      <c r="Y18" s="320">
        <f>IF(K18=0,"***",R18/K18)</f>
        <v/>
      </c>
      <c r="Z18" s="320">
        <f>IF(L18=0,"***",S18/L18)</f>
        <v/>
      </c>
      <c r="AA18" s="320">
        <f>IF(Y18="***","***",Z18-X18)</f>
        <v/>
      </c>
      <c r="AB18" s="320">
        <f>IF(Z18="***","***",Z18-X18)</f>
        <v/>
      </c>
      <c r="AC18" s="31" t="n"/>
    </row>
    <row r="19">
      <c r="D19" s="8" t="n"/>
      <c r="E19" s="9" t="n"/>
      <c r="F19" s="9" t="n"/>
      <c r="G19" s="32" t="n"/>
      <c r="H19" s="34" t="inlineStr">
        <is>
          <t>機械</t>
        </is>
      </c>
      <c r="I19" s="354" t="n">
        <v>763</v>
      </c>
      <c r="J19" s="355" t="n">
        <v>881</v>
      </c>
      <c r="K19" s="80" t="n">
        <v>500</v>
      </c>
      <c r="L19" s="355" t="n">
        <v>1167.469</v>
      </c>
      <c r="M19" s="317">
        <f>L19-K19</f>
        <v/>
      </c>
      <c r="N19" s="317">
        <f>L19-J19</f>
        <v/>
      </c>
      <c r="O19" s="318">
        <f>IF(J19=0,"***",N19/J19)</f>
        <v/>
      </c>
      <c r="P19" s="354" t="n">
        <v>175</v>
      </c>
      <c r="Q19" s="355" t="n">
        <v>173</v>
      </c>
      <c r="R19" s="80" t="n">
        <v>120</v>
      </c>
      <c r="S19" s="355" t="n">
        <v>228.819</v>
      </c>
      <c r="T19" s="317">
        <f>S19-R19</f>
        <v/>
      </c>
      <c r="U19" s="317">
        <f>S19-Q19</f>
        <v/>
      </c>
      <c r="V19" s="318">
        <f>IF(Q19=0,"***",U19/Q19)</f>
        <v/>
      </c>
      <c r="W19" s="319">
        <f>IF(I19=0,"***",P19/I19)</f>
        <v/>
      </c>
      <c r="X19" s="320">
        <f>IF(J19=0,"***",Q19/J19)</f>
        <v/>
      </c>
      <c r="Y19" s="320">
        <f>IF(K19=0,"***",R19/K19)</f>
        <v/>
      </c>
      <c r="Z19" s="320">
        <f>IF(L19=0,"***",S19/L19)</f>
        <v/>
      </c>
      <c r="AA19" s="320">
        <f>IF(Y19="***","***",Z19-X19)</f>
        <v/>
      </c>
      <c r="AB19" s="320">
        <f>IF(Z19="***","***",Z19-X19)</f>
        <v/>
      </c>
      <c r="AC19" s="31" t="n"/>
    </row>
    <row r="20">
      <c r="D20" s="8" t="n"/>
      <c r="E20" s="9" t="n"/>
      <c r="F20" s="46" t="n"/>
      <c r="G20" s="47" t="inlineStr">
        <is>
          <t>自治体</t>
        </is>
      </c>
      <c r="H20" s="48" t="n"/>
      <c r="I20" s="332" t="n">
        <v>8514.450000000001</v>
      </c>
      <c r="J20" s="333" t="n">
        <v>9358.208000000001</v>
      </c>
      <c r="K20" s="334" t="n">
        <v>0</v>
      </c>
      <c r="L20" s="333" t="n">
        <v>0</v>
      </c>
      <c r="M20" s="335">
        <f>L20-K20</f>
        <v/>
      </c>
      <c r="N20" s="335">
        <f>L20-J20</f>
        <v/>
      </c>
      <c r="O20" s="336">
        <f>IF(J20=0,"***",N20/J20)</f>
        <v/>
      </c>
      <c r="P20" s="332" t="n">
        <v>154.3</v>
      </c>
      <c r="Q20" s="333" t="n">
        <v>173.928</v>
      </c>
      <c r="R20" s="334" t="n">
        <v>0</v>
      </c>
      <c r="S20" s="333" t="n">
        <v>0</v>
      </c>
      <c r="T20" s="335">
        <f>S20-R20</f>
        <v/>
      </c>
      <c r="U20" s="335">
        <f>S20-Q20</f>
        <v/>
      </c>
      <c r="V20" s="336">
        <f>IF(Q20=0,"***",U20/Q20)</f>
        <v/>
      </c>
      <c r="W20" s="339">
        <f>IF(I20=0,"***",P20/I20)</f>
        <v/>
      </c>
      <c r="X20" s="340">
        <f>IF(J20=0,"***",Q20/J20)</f>
        <v/>
      </c>
      <c r="Y20" s="340">
        <f>IF(K20=0,"***",R20/K20)</f>
        <v/>
      </c>
      <c r="Z20" s="340">
        <f>IF(L20=0,"***",S20/L20)</f>
        <v/>
      </c>
      <c r="AA20" s="340">
        <f>IF(Y20="***","***",Z20-X20)</f>
        <v/>
      </c>
      <c r="AB20" s="340">
        <f>IF(Z20="***","***",Z20-X20)</f>
        <v/>
      </c>
      <c r="AC20" s="59" t="n"/>
    </row>
    <row r="21">
      <c r="D21" s="8" t="n"/>
      <c r="E21" s="9" t="n"/>
      <c r="F21" s="60" t="inlineStr">
        <is>
          <t>広域営業部</t>
        </is>
      </c>
      <c r="G21" s="5" t="n"/>
      <c r="H21" s="61" t="n"/>
      <c r="I21" s="356" t="n">
        <v>33822.751</v>
      </c>
      <c r="J21" s="357" t="n">
        <v>46780.858</v>
      </c>
      <c r="K21" s="307" t="n">
        <v>47900</v>
      </c>
      <c r="L21" s="357" t="n">
        <v>42974</v>
      </c>
      <c r="M21" s="308">
        <f>L21-K21</f>
        <v/>
      </c>
      <c r="N21" s="308">
        <f>L21-J21</f>
        <v/>
      </c>
      <c r="O21" s="309">
        <f>IF(J21=0,"***",N21/J21)</f>
        <v/>
      </c>
      <c r="P21" s="356" t="n">
        <v>5158.48</v>
      </c>
      <c r="Q21" s="357" t="n">
        <v>7453.164</v>
      </c>
      <c r="R21" s="307" t="n">
        <v>7125</v>
      </c>
      <c r="S21" s="357" t="n">
        <v>6723</v>
      </c>
      <c r="T21" s="308">
        <f>S21-R21</f>
        <v/>
      </c>
      <c r="U21" s="308">
        <f>S21-Q21</f>
        <v/>
      </c>
      <c r="V21" s="309">
        <f>IF(Q21=0,"***",U21/Q21)</f>
        <v/>
      </c>
      <c r="W21" s="319">
        <f>IF(I21=0,"***",P21/I21)</f>
        <v/>
      </c>
      <c r="X21" s="320">
        <f>IF(J21=0,"***",Q21/J21)</f>
        <v/>
      </c>
      <c r="Y21" s="320">
        <f>IF(K21=0,"***",R21/K21)</f>
        <v/>
      </c>
      <c r="Z21" s="320">
        <f>IF(L21=0,"***",S21/L21)</f>
        <v/>
      </c>
      <c r="AA21" s="320">
        <f>IF(Y21="***","***",Z21-X21)</f>
        <v/>
      </c>
      <c r="AB21" s="320">
        <f>IF(Z21="***","***",Z21-X21)</f>
        <v/>
      </c>
      <c r="AC21" s="21" t="n"/>
    </row>
    <row r="22">
      <c r="D22" s="8" t="n"/>
      <c r="E22" s="9" t="n"/>
      <c r="F22" s="9" t="n"/>
      <c r="H22" s="33" t="inlineStr">
        <is>
          <t>包装資材</t>
        </is>
      </c>
      <c r="I22" s="358">
        <f>I21-I23</f>
        <v/>
      </c>
      <c r="J22" s="315">
        <f>J21-J23</f>
        <v/>
      </c>
      <c r="K22" s="316">
        <f>K21-K23</f>
        <v/>
      </c>
      <c r="L22" s="315">
        <f>L21-L23</f>
        <v/>
      </c>
      <c r="M22" s="359">
        <f>L22-K22</f>
        <v/>
      </c>
      <c r="N22" s="359">
        <f>L22-J22</f>
        <v/>
      </c>
      <c r="O22" s="318">
        <f>IF(J22=0,"***",N22/J22)</f>
        <v/>
      </c>
      <c r="P22" s="314">
        <f>P21-P23</f>
        <v/>
      </c>
      <c r="Q22" s="315">
        <f>Q21-Q23</f>
        <v/>
      </c>
      <c r="R22" s="316">
        <f>R21-R23</f>
        <v/>
      </c>
      <c r="S22" s="315">
        <f>S21-S23</f>
        <v/>
      </c>
      <c r="T22" s="359">
        <f>S22-R22</f>
        <v/>
      </c>
      <c r="U22" s="359">
        <f>S22-Q22</f>
        <v/>
      </c>
      <c r="V22" s="318">
        <f>IF(Q22=0,"***",U22/Q22)</f>
        <v/>
      </c>
      <c r="W22" s="319">
        <f>IF(I22=0,"***",P22/I22)</f>
        <v/>
      </c>
      <c r="X22" s="320">
        <f>IF(J22=0,"***",Q22/J22)</f>
        <v/>
      </c>
      <c r="Y22" s="320">
        <f>IF(K22=0,"***",R22/K22)</f>
        <v/>
      </c>
      <c r="Z22" s="320">
        <f>IF(L22=0,"***",S22/L22)</f>
        <v/>
      </c>
      <c r="AA22" s="320">
        <f>IF(Y22="***","***",Z22-X22)</f>
        <v/>
      </c>
      <c r="AB22" s="320">
        <f>IF(Z22="***","***",Z22-X22)</f>
        <v/>
      </c>
      <c r="AC22" s="31" t="n"/>
    </row>
    <row r="23">
      <c r="D23" s="8" t="n"/>
      <c r="E23" s="9" t="n"/>
      <c r="F23" s="9" t="n"/>
      <c r="H23" s="34" t="inlineStr">
        <is>
          <t>機械</t>
        </is>
      </c>
      <c r="I23" s="358" t="n">
        <v>55</v>
      </c>
      <c r="J23" s="315" t="n">
        <v>160</v>
      </c>
      <c r="K23" s="316" t="n">
        <v>1000</v>
      </c>
      <c r="L23" s="315" t="n">
        <v>122.985</v>
      </c>
      <c r="M23" s="359">
        <f>L23-K23</f>
        <v/>
      </c>
      <c r="N23" s="359">
        <f>L23-J23</f>
        <v/>
      </c>
      <c r="O23" s="318">
        <f>IF(J23=0,"***",N23/J23)</f>
        <v/>
      </c>
      <c r="P23" s="314" t="n">
        <v>6</v>
      </c>
      <c r="Q23" s="315" t="n">
        <v>41</v>
      </c>
      <c r="R23" s="316" t="n">
        <v>110</v>
      </c>
      <c r="S23" s="315" t="n">
        <v>14.825</v>
      </c>
      <c r="T23" s="359">
        <f>S23-R23</f>
        <v/>
      </c>
      <c r="U23" s="359">
        <f>S23-Q23</f>
        <v/>
      </c>
      <c r="V23" s="318">
        <f>IF(Q23=0,"***",U23/Q23)</f>
        <v/>
      </c>
      <c r="W23" s="319">
        <f>IF(I23=0,"***",P23/I23)</f>
        <v/>
      </c>
      <c r="X23" s="320">
        <f>IF(J23=0,"***",Q23/J23)</f>
        <v/>
      </c>
      <c r="Y23" s="320">
        <f>IF(K23=0,"***",R23/K23)</f>
        <v/>
      </c>
      <c r="Z23" s="320">
        <f>IF(L23=0,"***",S23/L23)</f>
        <v/>
      </c>
      <c r="AA23" s="320">
        <f>IF(Y23="***","***",Z23-X23)</f>
        <v/>
      </c>
      <c r="AB23" s="320">
        <f>IF(Z23="***","***",Z23-X23)</f>
        <v/>
      </c>
      <c r="AC23" s="31" t="n"/>
    </row>
    <row r="24">
      <c r="D24" s="8" t="n"/>
      <c r="E24" s="9" t="n"/>
      <c r="F24" s="9" t="n"/>
      <c r="G24" s="22" t="inlineStr">
        <is>
          <t>リンガーハット</t>
        </is>
      </c>
      <c r="H24" s="23" t="n"/>
      <c r="I24" s="354" t="n">
        <v>24579.713</v>
      </c>
      <c r="J24" s="355" t="n">
        <v>29836.46</v>
      </c>
      <c r="K24" s="316" t="n">
        <v>28522.273</v>
      </c>
      <c r="L24" s="355" t="n">
        <v>29321.996</v>
      </c>
      <c r="M24" s="359">
        <f>L24-K24</f>
        <v/>
      </c>
      <c r="N24" s="359">
        <f>L24-J24</f>
        <v/>
      </c>
      <c r="O24" s="318">
        <f>IF(J24=0,"***",N24/J24)</f>
        <v/>
      </c>
      <c r="P24" s="350" t="n">
        <v>3729.805</v>
      </c>
      <c r="Q24" s="351" t="n">
        <v>4812.843</v>
      </c>
      <c r="R24" s="316" t="n">
        <v>4542.083</v>
      </c>
      <c r="S24" s="351" t="n">
        <v>4712.731</v>
      </c>
      <c r="T24" s="359">
        <f>S24-R24</f>
        <v/>
      </c>
      <c r="U24" s="359">
        <f>S24-Q24</f>
        <v/>
      </c>
      <c r="V24" s="318">
        <f>IF(Q24=0,"***",U24/Q24)</f>
        <v/>
      </c>
      <c r="W24" s="319">
        <f>IF(I24=0,"***",P24/I24)</f>
        <v/>
      </c>
      <c r="X24" s="320">
        <f>IF(J24=0,"***",Q24/J24)</f>
        <v/>
      </c>
      <c r="Y24" s="320">
        <f>IF(K24=0,"***",R24/K24)</f>
        <v/>
      </c>
      <c r="Z24" s="320">
        <f>IF(L24=0,"***",S24/L24)</f>
        <v/>
      </c>
      <c r="AA24" s="320">
        <f>IF(Y24="***","***",Z24-X24)</f>
        <v/>
      </c>
      <c r="AB24" s="320">
        <f>IF(Z24="***","***",Z24-X24)</f>
        <v/>
      </c>
      <c r="AC24" s="31" t="n"/>
    </row>
    <row r="25">
      <c r="D25" s="8" t="n"/>
      <c r="E25" s="9" t="n"/>
      <c r="F25" s="9" t="n"/>
      <c r="G25" s="32" t="n"/>
      <c r="H25" s="33" t="inlineStr">
        <is>
          <t>包装資材</t>
        </is>
      </c>
      <c r="I25" s="314">
        <f>I24-I26</f>
        <v/>
      </c>
      <c r="J25" s="315">
        <f>J24-J26</f>
        <v/>
      </c>
      <c r="K25" s="316">
        <f>K24-K26</f>
        <v/>
      </c>
      <c r="L25" s="315">
        <f>L24-L26</f>
        <v/>
      </c>
      <c r="M25" s="359">
        <f>L25-K25</f>
        <v/>
      </c>
      <c r="N25" s="359">
        <f>L25-J25</f>
        <v/>
      </c>
      <c r="O25" s="318">
        <f>IF(J25=0,"***",N25/J25)</f>
        <v/>
      </c>
      <c r="P25" s="314">
        <f>P24-P26</f>
        <v/>
      </c>
      <c r="Q25" s="315">
        <f>Q24-Q26</f>
        <v/>
      </c>
      <c r="R25" s="316">
        <f>R24-R26</f>
        <v/>
      </c>
      <c r="S25" s="315">
        <f>S24-S26</f>
        <v/>
      </c>
      <c r="T25" s="359">
        <f>S25-R25</f>
        <v/>
      </c>
      <c r="U25" s="359">
        <f>S25-Q25</f>
        <v/>
      </c>
      <c r="V25" s="318">
        <f>IF(Q25=0,"***",U25/Q25)</f>
        <v/>
      </c>
      <c r="W25" s="319">
        <f>IF(I25=0,"***",P25/I25)</f>
        <v/>
      </c>
      <c r="X25" s="320">
        <f>IF(J25=0,"***",Q25/J25)</f>
        <v/>
      </c>
      <c r="Y25" s="320">
        <f>IF(K25=0,"***",R25/K25)</f>
        <v/>
      </c>
      <c r="Z25" s="320">
        <f>IF(L25=0,"***",S25/L25)</f>
        <v/>
      </c>
      <c r="AA25" s="320">
        <f>IF(Y25="***","***",Z25-X25)</f>
        <v/>
      </c>
      <c r="AB25" s="320">
        <f>IF(Z25="***","***",Z25-X25)</f>
        <v/>
      </c>
      <c r="AC25" s="31" t="n"/>
    </row>
    <row r="26">
      <c r="D26" s="8" t="n"/>
      <c r="E26" s="9" t="n"/>
      <c r="F26" s="9" t="n"/>
      <c r="G26" s="32" t="n"/>
      <c r="H26" s="34" t="inlineStr">
        <is>
          <t>機械</t>
        </is>
      </c>
      <c r="I26" s="354" t="n">
        <v>22</v>
      </c>
      <c r="J26" s="355" t="n">
        <v>49</v>
      </c>
      <c r="K26" s="316" t="n">
        <v>42.25</v>
      </c>
      <c r="L26" s="355" t="n">
        <v>44</v>
      </c>
      <c r="M26" s="359">
        <f>L26-K26</f>
        <v/>
      </c>
      <c r="N26" s="359">
        <f>L26-J26</f>
        <v/>
      </c>
      <c r="O26" s="318">
        <f>IF(J26=0,"***",N26/J26)</f>
        <v/>
      </c>
      <c r="P26" s="354" t="n">
        <v>1</v>
      </c>
      <c r="Q26" s="355" t="n">
        <v>0</v>
      </c>
      <c r="R26" s="316" t="n">
        <v>0.25</v>
      </c>
      <c r="S26" s="355" t="n">
        <v>2.8</v>
      </c>
      <c r="T26" s="359">
        <f>S26-R26</f>
        <v/>
      </c>
      <c r="U26" s="359">
        <f>S26-Q26</f>
        <v/>
      </c>
      <c r="V26" s="318">
        <f>IF(Q26=0,"***",U26/Q26)</f>
        <v/>
      </c>
      <c r="W26" s="319">
        <f>IF(I26=0,"***",P26/I26)</f>
        <v/>
      </c>
      <c r="X26" s="320">
        <f>IF(J26=0,"***",Q26/J26)</f>
        <v/>
      </c>
      <c r="Y26" s="320">
        <f>IF(K26=0,"***",R26/K26)</f>
        <v/>
      </c>
      <c r="Z26" s="320">
        <f>IF(L26=0,"***",S26/L26)</f>
        <v/>
      </c>
      <c r="AA26" s="320">
        <f>IF(Y26="***","***",Z26-X26)</f>
        <v/>
      </c>
      <c r="AB26" s="320">
        <f>IF(Z26="***","***",Z26-X26)</f>
        <v/>
      </c>
      <c r="AC26" s="31" t="n"/>
    </row>
    <row r="27">
      <c r="D27" s="8" t="n"/>
      <c r="E27" s="9" t="n"/>
      <c r="F27" s="9" t="n"/>
      <c r="G27" s="22" t="inlineStr">
        <is>
          <t>リンガーハット以外</t>
        </is>
      </c>
      <c r="H27" s="23" t="n"/>
      <c r="I27" s="360">
        <f>I21-I24</f>
        <v/>
      </c>
      <c r="J27" s="316">
        <f>J21-J24</f>
        <v/>
      </c>
      <c r="K27" s="316">
        <f>K21-K24</f>
        <v/>
      </c>
      <c r="L27" s="316">
        <f>L21-L24</f>
        <v/>
      </c>
      <c r="M27" s="361">
        <f>L27-K27</f>
        <v/>
      </c>
      <c r="N27" s="361">
        <f>L27-J27</f>
        <v/>
      </c>
      <c r="O27" s="362">
        <f>IF(J27=0,"***",N27/J27)</f>
        <v/>
      </c>
      <c r="P27" s="360">
        <f>P21-P24</f>
        <v/>
      </c>
      <c r="Q27" s="316">
        <f>Q21-Q24</f>
        <v/>
      </c>
      <c r="R27" s="316">
        <f>R21-R24</f>
        <v/>
      </c>
      <c r="S27" s="316">
        <f>S21-S24</f>
        <v/>
      </c>
      <c r="T27" s="359">
        <f>S27-R27</f>
        <v/>
      </c>
      <c r="U27" s="359">
        <f>S27-Q27</f>
        <v/>
      </c>
      <c r="V27" s="318">
        <f>IF(Q27=0,"***",U27/Q27)</f>
        <v/>
      </c>
      <c r="W27" s="319">
        <f>IF(I27=0,"***",P27/I27)</f>
        <v/>
      </c>
      <c r="X27" s="320">
        <f>IF(J27=0,"***",Q27/J27)</f>
        <v/>
      </c>
      <c r="Y27" s="320">
        <f>IF(K27=0,"***",R27/K27)</f>
        <v/>
      </c>
      <c r="Z27" s="320">
        <f>IF(L27=0,"***",S27/L27)</f>
        <v/>
      </c>
      <c r="AA27" s="320">
        <f>IF(Y27="***","***",Z27-X27)</f>
        <v/>
      </c>
      <c r="AB27" s="320">
        <f>IF(Z27="***","***",Z27-X27)</f>
        <v/>
      </c>
      <c r="AC27" s="31" t="n"/>
    </row>
    <row r="28">
      <c r="D28" s="8" t="n"/>
      <c r="E28" s="9" t="n"/>
      <c r="F28" s="9" t="n"/>
      <c r="G28" s="32" t="n"/>
      <c r="H28" s="33" t="inlineStr">
        <is>
          <t>包装資材</t>
        </is>
      </c>
      <c r="I28" s="360">
        <f>I27-I29</f>
        <v/>
      </c>
      <c r="J28" s="316">
        <f>J27-J29</f>
        <v/>
      </c>
      <c r="K28" s="316">
        <f>K27-K29</f>
        <v/>
      </c>
      <c r="L28" s="316">
        <f>L27-L29</f>
        <v/>
      </c>
      <c r="M28" s="361">
        <f>L28-K28</f>
        <v/>
      </c>
      <c r="N28" s="361">
        <f>L28-J28</f>
        <v/>
      </c>
      <c r="O28" s="362">
        <f>IF(J28=0,"***",N28/J28)</f>
        <v/>
      </c>
      <c r="P28" s="360">
        <f>P27-P29</f>
        <v/>
      </c>
      <c r="Q28" s="316">
        <f>Q27-Q29</f>
        <v/>
      </c>
      <c r="R28" s="316">
        <f>R27-R29</f>
        <v/>
      </c>
      <c r="S28" s="316">
        <f>S27-S29</f>
        <v/>
      </c>
      <c r="T28" s="359">
        <f>S28-R28</f>
        <v/>
      </c>
      <c r="U28" s="359">
        <f>S28-Q28</f>
        <v/>
      </c>
      <c r="V28" s="318">
        <f>IF(Q28=0,"***",U28/Q28)</f>
        <v/>
      </c>
      <c r="W28" s="319">
        <f>IF(I28=0,"***",P28/I28)</f>
        <v/>
      </c>
      <c r="X28" s="320">
        <f>IF(J28=0,"***",Q28/J28)</f>
        <v/>
      </c>
      <c r="Y28" s="320">
        <f>IF(K28=0,"***",R28/K28)</f>
        <v/>
      </c>
      <c r="Z28" s="320">
        <f>IF(L28=0,"***",S28/L28)</f>
        <v/>
      </c>
      <c r="AA28" s="320">
        <f>IF(Y28="***","***",Z28-X28)</f>
        <v/>
      </c>
      <c r="AB28" s="320">
        <f>IF(Z28="***","***",Z28-X28)</f>
        <v/>
      </c>
      <c r="AC28" s="31" t="n"/>
    </row>
    <row r="29">
      <c r="D29" s="8" t="n"/>
      <c r="E29" s="9" t="n"/>
      <c r="F29" s="86" t="n"/>
      <c r="G29" s="87" t="n"/>
      <c r="H29" s="33" t="inlineStr">
        <is>
          <t>機械</t>
        </is>
      </c>
      <c r="I29" s="363">
        <f>I23-I26</f>
        <v/>
      </c>
      <c r="J29" s="334">
        <f>J23-J26</f>
        <v/>
      </c>
      <c r="K29" s="334">
        <f>K23-K26</f>
        <v/>
      </c>
      <c r="L29" s="334">
        <f>L23-L26</f>
        <v/>
      </c>
      <c r="M29" s="364">
        <f>L29-K29</f>
        <v/>
      </c>
      <c r="N29" s="364">
        <f>L29-J29</f>
        <v/>
      </c>
      <c r="O29" s="365">
        <f>IF(J29=0,"***",N29/J29)</f>
        <v/>
      </c>
      <c r="P29" s="363">
        <f>P23-P26</f>
        <v/>
      </c>
      <c r="Q29" s="334">
        <f>Q23-Q26</f>
        <v/>
      </c>
      <c r="R29" s="334">
        <f>R23-R26</f>
        <v/>
      </c>
      <c r="S29" s="334">
        <f>S23-S26</f>
        <v/>
      </c>
      <c r="T29" s="366">
        <f>S29-R29</f>
        <v/>
      </c>
      <c r="U29" s="366">
        <f>S29-Q29</f>
        <v/>
      </c>
      <c r="V29" s="336">
        <f>IF(Q29=0,"***",U29/Q29)</f>
        <v/>
      </c>
      <c r="W29" s="339">
        <f>IF(I29=0,"***",P29/I29)</f>
        <v/>
      </c>
      <c r="X29" s="340">
        <f>IF(J29=0,"***",Q29/J29)</f>
        <v/>
      </c>
      <c r="Y29" s="340">
        <f>IF(K29=0,"***",R29/K29)</f>
        <v/>
      </c>
      <c r="Z29" s="340">
        <f>IF(L29=0,"***",S29/L29)</f>
        <v/>
      </c>
      <c r="AA29" s="340">
        <f>IF(Y29="***","***",Z29-X29)</f>
        <v/>
      </c>
      <c r="AB29" s="340">
        <f>IF(Z29="***","***",Z29-X29)</f>
        <v/>
      </c>
      <c r="AC29" s="59" t="n"/>
    </row>
    <row r="30">
      <c r="D30" s="8" t="n"/>
      <c r="E30" s="9" t="n"/>
      <c r="F30" s="60" t="inlineStr">
        <is>
          <t>境港営業所</t>
        </is>
      </c>
      <c r="G30" s="5" t="n"/>
      <c r="H30" s="61" t="n"/>
      <c r="I30" s="367" t="n">
        <v>47632.931</v>
      </c>
      <c r="J30" s="306" t="n">
        <v>46473.538</v>
      </c>
      <c r="K30" s="307" t="n">
        <v>76460</v>
      </c>
      <c r="L30" s="306" t="n">
        <v>66639.678</v>
      </c>
      <c r="M30" s="308">
        <f>L30-K30</f>
        <v/>
      </c>
      <c r="N30" s="308">
        <f>L30-J30</f>
        <v/>
      </c>
      <c r="O30" s="309">
        <f>IF(J30=0,"***",N30/J30)</f>
        <v/>
      </c>
      <c r="P30" s="310" t="n">
        <v>8611.374</v>
      </c>
      <c r="Q30" s="368" t="n">
        <v>8849.599</v>
      </c>
      <c r="R30" s="307" t="n">
        <v>13390</v>
      </c>
      <c r="S30" s="368" t="n">
        <v>11081.419</v>
      </c>
      <c r="T30" s="308">
        <f>S30-R30</f>
        <v/>
      </c>
      <c r="U30" s="308">
        <f>S30-Q30</f>
        <v/>
      </c>
      <c r="V30" s="309">
        <f>IF(Q30=0,"***",U30/Q30)</f>
        <v/>
      </c>
      <c r="W30" s="311">
        <f>IF(I30=0,"***",P30/I30)</f>
        <v/>
      </c>
      <c r="X30" s="312">
        <f>IF(J30=0,"***",Q30/J30)</f>
        <v/>
      </c>
      <c r="Y30" s="312">
        <f>IF(K30=0,"***",R30/K30)</f>
        <v/>
      </c>
      <c r="Z30" s="312">
        <f>IF(L30=0,"***",S30/L30)</f>
        <v/>
      </c>
      <c r="AA30" s="313">
        <f>IF(Y30="***","***",Z30-X30)</f>
        <v/>
      </c>
      <c r="AB30" s="312">
        <f>IF(Z30="***","***",Z30-X30)</f>
        <v/>
      </c>
      <c r="AC30" s="21" t="n"/>
    </row>
    <row r="31">
      <c r="D31" s="8" t="n"/>
      <c r="E31" s="9" t="n"/>
      <c r="F31" s="9" t="n"/>
      <c r="G31" s="22" t="inlineStr">
        <is>
          <t>営業</t>
        </is>
      </c>
      <c r="H31" s="23" t="n"/>
      <c r="I31" s="314">
        <f>I30-I35-I34</f>
        <v/>
      </c>
      <c r="J31" s="315">
        <f>J30-J35-J34</f>
        <v/>
      </c>
      <c r="K31" s="316">
        <f>K30-K35-K34</f>
        <v/>
      </c>
      <c r="L31" s="315">
        <f>L30-L35-L34</f>
        <v/>
      </c>
      <c r="M31" s="317">
        <f>L31-K31</f>
        <v/>
      </c>
      <c r="N31" s="317">
        <f>L31-J31</f>
        <v/>
      </c>
      <c r="O31" s="318">
        <f>IF(J31=0,"***",N31/J31)</f>
        <v/>
      </c>
      <c r="P31" s="369">
        <f>P30-P35-P34</f>
        <v/>
      </c>
      <c r="Q31" s="315">
        <f>Q30-Q35-Q34</f>
        <v/>
      </c>
      <c r="R31" s="316">
        <f>R30-R35-R34</f>
        <v/>
      </c>
      <c r="S31" s="315">
        <f>S30-S35-S34</f>
        <v/>
      </c>
      <c r="T31" s="317">
        <f>S31-R31</f>
        <v/>
      </c>
      <c r="U31" s="317">
        <f>S31-Q31</f>
        <v/>
      </c>
      <c r="V31" s="318">
        <f>IF(Q31=0,"***",U31/Q31)</f>
        <v/>
      </c>
      <c r="W31" s="319">
        <f>IF(I31=0,"***",P31/I31)</f>
        <v/>
      </c>
      <c r="X31" s="320">
        <f>IF(J31=0,"***",Q31/J31)</f>
        <v/>
      </c>
      <c r="Y31" s="320">
        <f>IF(K31=0,"***",R31/K31)</f>
        <v/>
      </c>
      <c r="Z31" s="320">
        <f>IF(L31=0,"***",S31/L31)</f>
        <v/>
      </c>
      <c r="AA31" s="321">
        <f>IF(Y31="***","***",Z31-X31)</f>
        <v/>
      </c>
      <c r="AB31" s="320">
        <f>IF(Z31="***","***",Z31-X31)</f>
        <v/>
      </c>
      <c r="AC31" s="31" t="n"/>
    </row>
    <row r="32">
      <c r="D32" s="8" t="n"/>
      <c r="E32" s="9" t="n"/>
      <c r="F32" s="9" t="n"/>
      <c r="G32" s="32" t="n"/>
      <c r="H32" s="33" t="inlineStr">
        <is>
          <t>包装資材</t>
        </is>
      </c>
      <c r="I32" s="314">
        <f>I31-I33</f>
        <v/>
      </c>
      <c r="J32" s="315">
        <f>J31-J33</f>
        <v/>
      </c>
      <c r="K32" s="316">
        <f>K31-K33</f>
        <v/>
      </c>
      <c r="L32" s="315">
        <f>L31-L33</f>
        <v/>
      </c>
      <c r="M32" s="317">
        <f>L32-K32</f>
        <v/>
      </c>
      <c r="N32" s="317">
        <f>L32-J32</f>
        <v/>
      </c>
      <c r="O32" s="318">
        <f>IF(J32=0,"***",N32/J32)</f>
        <v/>
      </c>
      <c r="P32" s="369">
        <f>P31-P33</f>
        <v/>
      </c>
      <c r="Q32" s="315">
        <f>Q31-Q33</f>
        <v/>
      </c>
      <c r="R32" s="316">
        <f>R31-R33</f>
        <v/>
      </c>
      <c r="S32" s="315">
        <f>S31-S33</f>
        <v/>
      </c>
      <c r="T32" s="317">
        <f>S32-R32</f>
        <v/>
      </c>
      <c r="U32" s="317">
        <f>S32-Q32</f>
        <v/>
      </c>
      <c r="V32" s="318">
        <f>IF(Q32=0,"***",U32/Q32)</f>
        <v/>
      </c>
      <c r="W32" s="319">
        <f>IF(I32=0,"***",P32/I32)</f>
        <v/>
      </c>
      <c r="X32" s="320">
        <f>IF(J32=0,"***",Q32/J32)</f>
        <v/>
      </c>
      <c r="Y32" s="320">
        <f>IF(K32=0,"***",R32/K32)</f>
        <v/>
      </c>
      <c r="Z32" s="320">
        <f>IF(L32=0,"***",S32/L32)</f>
        <v/>
      </c>
      <c r="AA32" s="321">
        <f>IF(Y32="***","***",Z32-X32)</f>
        <v/>
      </c>
      <c r="AB32" s="320">
        <f>IF(Z32="***","***",Z32-X32)</f>
        <v/>
      </c>
      <c r="AC32" s="31" t="n"/>
    </row>
    <row r="33">
      <c r="D33" s="8" t="n"/>
      <c r="E33" s="9" t="n"/>
      <c r="F33" s="9" t="n"/>
      <c r="G33" s="32" t="n"/>
      <c r="H33" s="34" t="inlineStr">
        <is>
          <t>機械</t>
        </is>
      </c>
      <c r="I33" s="354" t="n">
        <v>9281</v>
      </c>
      <c r="J33" s="355" t="n">
        <v>2643</v>
      </c>
      <c r="K33" s="316" t="n">
        <v>28100</v>
      </c>
      <c r="L33" s="355" t="n">
        <v>22304.8</v>
      </c>
      <c r="M33" s="317">
        <f>L33-K33</f>
        <v/>
      </c>
      <c r="N33" s="317">
        <f>L33-J33</f>
        <v/>
      </c>
      <c r="O33" s="318">
        <f>IF(J33=0,"***",N33/J33)</f>
        <v/>
      </c>
      <c r="P33" s="370" t="n">
        <v>1969</v>
      </c>
      <c r="Q33" s="351" t="n">
        <v>791</v>
      </c>
      <c r="R33" s="316" t="n">
        <v>4320</v>
      </c>
      <c r="S33" s="351" t="n">
        <v>3097.852</v>
      </c>
      <c r="T33" s="317">
        <f>S33-R33</f>
        <v/>
      </c>
      <c r="U33" s="317">
        <f>S33-Q33</f>
        <v/>
      </c>
      <c r="V33" s="318">
        <f>IF(Q33=0,"***",U33/Q33)</f>
        <v/>
      </c>
      <c r="W33" s="319">
        <f>IF(I33=0,"***",P33/I33)</f>
        <v/>
      </c>
      <c r="X33" s="320">
        <f>IF(J33=0,"***",Q33/J33)</f>
        <v/>
      </c>
      <c r="Y33" s="320">
        <f>IF(K33=0,"***",R33/K33)</f>
        <v/>
      </c>
      <c r="Z33" s="320">
        <f>IF(L33=0,"***",S33/L33)</f>
        <v/>
      </c>
      <c r="AA33" s="321">
        <f>IF(Y33="***","***",Z33-X33)</f>
        <v/>
      </c>
      <c r="AB33" s="320">
        <f>IF(Z33="***","***",Z33-X33)</f>
        <v/>
      </c>
      <c r="AC33" s="31" t="n"/>
    </row>
    <row r="34">
      <c r="D34" s="8" t="n"/>
      <c r="E34" s="9" t="n"/>
      <c r="F34" s="9" t="n"/>
      <c r="G34" s="95" t="inlineStr">
        <is>
          <t>自治体</t>
        </is>
      </c>
      <c r="H34" s="23" t="n"/>
      <c r="I34" s="322" t="n">
        <v>0</v>
      </c>
      <c r="J34" s="323" t="n">
        <v>0</v>
      </c>
      <c r="K34" s="324" t="n">
        <v>0</v>
      </c>
      <c r="L34" s="323" t="n">
        <v>0</v>
      </c>
      <c r="M34" s="325">
        <f>L34-K34</f>
        <v/>
      </c>
      <c r="N34" s="325">
        <f>L34-J34</f>
        <v/>
      </c>
      <c r="O34" s="326">
        <f>IF(J34=0,"***",N34/J34)</f>
        <v/>
      </c>
      <c r="P34" s="327" t="n">
        <v>0</v>
      </c>
      <c r="Q34" s="328" t="n">
        <v>0</v>
      </c>
      <c r="R34" s="324" t="n">
        <v>0</v>
      </c>
      <c r="S34" s="328" t="n">
        <v>0</v>
      </c>
      <c r="T34" s="325">
        <f>S34-R34</f>
        <v/>
      </c>
      <c r="U34" s="325">
        <f>S34-Q34</f>
        <v/>
      </c>
      <c r="V34" s="326">
        <f>IF(Q34=0,"***",U34/Q34)</f>
        <v/>
      </c>
      <c r="W34" s="329">
        <f>IF(I34=0,"***",P34/I34)</f>
        <v/>
      </c>
      <c r="X34" s="330">
        <f>IF(J34=0,"***",Q34/J34)</f>
        <v/>
      </c>
      <c r="Y34" s="330">
        <f>IF(K34=0,"***",R34/K34)</f>
        <v/>
      </c>
      <c r="Z34" s="330">
        <f>IF(L34=0,"***",S34/L34)</f>
        <v/>
      </c>
      <c r="AA34" s="331">
        <f>IF(Y34="***","***",Z34-X34)</f>
        <v/>
      </c>
      <c r="AB34" s="330">
        <f>IF(Z34="***","***",Z34-X34)</f>
        <v/>
      </c>
      <c r="AC34" s="45" t="n"/>
    </row>
    <row r="35">
      <c r="D35" s="8" t="n"/>
      <c r="E35" s="9" t="n"/>
      <c r="F35" s="9" t="n"/>
      <c r="G35" s="22" t="inlineStr">
        <is>
          <t>海外</t>
        </is>
      </c>
      <c r="H35" s="23" t="n"/>
      <c r="I35" s="332" t="n">
        <v>462.725</v>
      </c>
      <c r="J35" s="333" t="n">
        <v>1833.894</v>
      </c>
      <c r="K35" s="334" t="n">
        <v>1230</v>
      </c>
      <c r="L35" s="333" t="n">
        <v>2165.5</v>
      </c>
      <c r="M35" s="335">
        <f>L35-K35</f>
        <v/>
      </c>
      <c r="N35" s="335">
        <f>L35-J35</f>
        <v/>
      </c>
      <c r="O35" s="336">
        <f>IF(J35=0,"***",N35/J35)</f>
        <v/>
      </c>
      <c r="P35" s="371" t="n">
        <v>127.104</v>
      </c>
      <c r="Q35" s="338" t="n">
        <v>326.979</v>
      </c>
      <c r="R35" s="334" t="n">
        <v>260</v>
      </c>
      <c r="S35" s="372" t="n">
        <v>413.203</v>
      </c>
      <c r="T35" s="335">
        <f>S35-R35</f>
        <v/>
      </c>
      <c r="U35" s="335">
        <f>S35-Q35</f>
        <v/>
      </c>
      <c r="V35" s="336">
        <f>IF(Q35=0,"***",U35/Q35)</f>
        <v/>
      </c>
      <c r="W35" s="339">
        <f>IF(I35=0,"***",P35/I35)</f>
        <v/>
      </c>
      <c r="X35" s="340">
        <f>IF(J35=0,"***",Q35/J35)</f>
        <v/>
      </c>
      <c r="Y35" s="340">
        <f>IF(K35=0,"***",R35/K35)</f>
        <v/>
      </c>
      <c r="Z35" s="340">
        <f>IF(L35=0,"***",S35/L35)</f>
        <v/>
      </c>
      <c r="AA35" s="341">
        <f>IF(Y35="***","***",Z35-X35)</f>
        <v/>
      </c>
      <c r="AB35" s="340">
        <f>IF(Z35="***","***",Z35-X35)</f>
        <v/>
      </c>
      <c r="AC35" s="59" t="n"/>
    </row>
    <row r="36">
      <c r="D36" s="8" t="n"/>
      <c r="E36" s="10" t="inlineStr">
        <is>
          <t>営業部門合計</t>
        </is>
      </c>
      <c r="F36" s="5" t="n"/>
      <c r="G36" s="5" t="n"/>
      <c r="H36" s="61" t="n"/>
      <c r="I36" s="373">
        <f>I30+I21+I16+I10+I5</f>
        <v/>
      </c>
      <c r="J36" s="373">
        <f>J30+J21+J16+J10+J5</f>
        <v/>
      </c>
      <c r="K36" s="307">
        <f>K30+K21+K16+K10+K5</f>
        <v/>
      </c>
      <c r="L36" s="357">
        <f>L30+L21+L16+L10+L5</f>
        <v/>
      </c>
      <c r="M36" s="359">
        <f>L36-K36</f>
        <v/>
      </c>
      <c r="N36" s="359">
        <f>L36-J36</f>
        <v/>
      </c>
      <c r="O36" s="318">
        <f>IF(J36=0,"***",N36/J36)</f>
        <v/>
      </c>
      <c r="P36" s="356">
        <f>P30+P21+P16+P10+P5</f>
        <v/>
      </c>
      <c r="Q36" s="357">
        <f>Q30+Q21+Q16+Q10+Q5</f>
        <v/>
      </c>
      <c r="R36" s="307">
        <f>R30+R21+R16+R10+R5</f>
        <v/>
      </c>
      <c r="S36" s="357">
        <f>S30+S21+S16+S10+S5</f>
        <v/>
      </c>
      <c r="T36" s="374">
        <f>S36-R36</f>
        <v/>
      </c>
      <c r="U36" s="374">
        <f>S36-Q36</f>
        <v/>
      </c>
      <c r="V36" s="309">
        <f>IF(Q36=0,"***",U36/Q36)</f>
        <v/>
      </c>
      <c r="W36" s="311">
        <f>IF(I36=0,"***",P36/I36)</f>
        <v/>
      </c>
      <c r="X36" s="312">
        <f>IF(J36=0,"***",Q36/J36)</f>
        <v/>
      </c>
      <c r="Y36" s="312">
        <f>IF(K36=0,"***",R36/K36)</f>
        <v/>
      </c>
      <c r="Z36" s="312">
        <f>IF(L36=0,"***",S36/L36)</f>
        <v/>
      </c>
      <c r="AA36" s="312">
        <f>IF(Y36="***","***",Z36-X36)</f>
        <v/>
      </c>
      <c r="AB36" s="312">
        <f>IF(Z36="***","***",Z36-X36)</f>
        <v/>
      </c>
      <c r="AC36" s="375" t="n"/>
    </row>
    <row r="37">
      <c r="D37" s="8" t="n"/>
      <c r="E37" s="9" t="n"/>
      <c r="H37" s="33" t="inlineStr">
        <is>
          <t>機械以外</t>
        </is>
      </c>
      <c r="I37" s="315">
        <f>I36-I38-I39-I40</f>
        <v/>
      </c>
      <c r="J37" s="315">
        <f>J36-J38-J39-J40</f>
        <v/>
      </c>
      <c r="K37" s="316">
        <f>K36-K38-K39-K40</f>
        <v/>
      </c>
      <c r="L37" s="315">
        <f>L36-L38-L39-L40</f>
        <v/>
      </c>
      <c r="M37" s="359">
        <f>L37-K37</f>
        <v/>
      </c>
      <c r="N37" s="359">
        <f>L37-J37</f>
        <v/>
      </c>
      <c r="O37" s="318">
        <f>IF(J37=0,"***",N37/J37)</f>
        <v/>
      </c>
      <c r="P37" s="314">
        <f>P36-P38-P39-P40</f>
        <v/>
      </c>
      <c r="Q37" s="315">
        <f>Q36-Q38-Q39-Q40</f>
        <v/>
      </c>
      <c r="R37" s="316">
        <f>R36-R38-R39-R40</f>
        <v/>
      </c>
      <c r="S37" s="315">
        <f>S36-S38-S39-S40</f>
        <v/>
      </c>
      <c r="T37" s="359">
        <f>S37-R37</f>
        <v/>
      </c>
      <c r="U37" s="359">
        <f>S37-Q37</f>
        <v/>
      </c>
      <c r="V37" s="318">
        <f>IF(Q37=0,"***",U37/Q37)</f>
        <v/>
      </c>
      <c r="W37" s="319">
        <f>IF(I37=0,"***",P37/I37)</f>
        <v/>
      </c>
      <c r="X37" s="320">
        <f>IF(J37=0,"***",Q37/J37)</f>
        <v/>
      </c>
      <c r="Y37" s="320">
        <f>IF(K37=0,"***",R37/K37)</f>
        <v/>
      </c>
      <c r="Z37" s="320">
        <f>IF(L37=0,"***",S37/L37)</f>
        <v/>
      </c>
      <c r="AA37" s="320">
        <f>IF(Y37="***","***",Z37-X37)</f>
        <v/>
      </c>
      <c r="AB37" s="320">
        <f>IF(Z37="***","***",Z37-X37)</f>
        <v/>
      </c>
      <c r="AC37" s="376" t="n"/>
    </row>
    <row r="38">
      <c r="D38" s="8" t="n"/>
      <c r="E38" s="9" t="n"/>
      <c r="H38" s="34" t="inlineStr">
        <is>
          <t>機械</t>
        </is>
      </c>
      <c r="I38" s="314">
        <f>I33+I23+I19+I13+I8</f>
        <v/>
      </c>
      <c r="J38" s="315">
        <f>J33+J23+J19+J13+J8</f>
        <v/>
      </c>
      <c r="K38" s="316">
        <f>K33+K23+K19+K13+K8</f>
        <v/>
      </c>
      <c r="L38" s="315">
        <f>L33+L23+L19+L13+L8</f>
        <v/>
      </c>
      <c r="M38" s="359">
        <f>L38-K38</f>
        <v/>
      </c>
      <c r="N38" s="359">
        <f>L38-J38</f>
        <v/>
      </c>
      <c r="O38" s="318">
        <f>IF(J38=0,"***",N38/J38)</f>
        <v/>
      </c>
      <c r="P38" s="314">
        <f>P33+P23+P19+P13+P8</f>
        <v/>
      </c>
      <c r="Q38" s="315">
        <f>Q33+Q23+Q19+Q13+Q8</f>
        <v/>
      </c>
      <c r="R38" s="316">
        <f>R33+R23+R19+R13+R8</f>
        <v/>
      </c>
      <c r="S38" s="315">
        <f>S33+S23+S19+S13+S8</f>
        <v/>
      </c>
      <c r="T38" s="359">
        <f>S38-R38</f>
        <v/>
      </c>
      <c r="U38" s="359">
        <f>S38-Q38</f>
        <v/>
      </c>
      <c r="V38" s="318">
        <f>IF(Q38=0,"***",U38/Q38)</f>
        <v/>
      </c>
      <c r="W38" s="319">
        <f>IF(I38=0,"***",P38/I38)</f>
        <v/>
      </c>
      <c r="X38" s="320">
        <f>IF(J38=0,"***",Q38/J38)</f>
        <v/>
      </c>
      <c r="Y38" s="320">
        <f>IF(K38=0,"***",R38/K38)</f>
        <v/>
      </c>
      <c r="Z38" s="320">
        <f>IF(L38=0,"***",S38/L38)</f>
        <v/>
      </c>
      <c r="AA38" s="320">
        <f>IF(Y38="***","***",Z38-X38)</f>
        <v/>
      </c>
      <c r="AB38" s="320">
        <f>IF(Z38="***","***",Z38-X38)</f>
        <v/>
      </c>
      <c r="AC38" s="376" t="n"/>
    </row>
    <row r="39">
      <c r="D39" s="8" t="n"/>
      <c r="E39" s="9" t="n"/>
      <c r="H39" s="33" t="inlineStr">
        <is>
          <t>自治体</t>
        </is>
      </c>
      <c r="I39" s="314">
        <f>I34+I20+I14+I9</f>
        <v/>
      </c>
      <c r="J39" s="315">
        <f>J34+J20+J14+J9</f>
        <v/>
      </c>
      <c r="K39" s="316">
        <f>K34+K20+K14+K9</f>
        <v/>
      </c>
      <c r="L39" s="315">
        <f>L34+L20+L14+L9</f>
        <v/>
      </c>
      <c r="M39" s="359">
        <f>L39-K39</f>
        <v/>
      </c>
      <c r="N39" s="359">
        <f>L39-J39</f>
        <v/>
      </c>
      <c r="O39" s="318">
        <f>IF(J39=0,"***",N39/J39)</f>
        <v/>
      </c>
      <c r="P39" s="314">
        <f>P34+P20+P14+P9</f>
        <v/>
      </c>
      <c r="Q39" s="315">
        <f>Q34+Q20+Q14+Q9</f>
        <v/>
      </c>
      <c r="R39" s="316">
        <f>R34+R20+R14+R9</f>
        <v/>
      </c>
      <c r="S39" s="315">
        <f>S34+S20+S14+S9</f>
        <v/>
      </c>
      <c r="T39" s="359">
        <f>S39-R39</f>
        <v/>
      </c>
      <c r="U39" s="359">
        <f>S39-Q39</f>
        <v/>
      </c>
      <c r="V39" s="318">
        <f>IF(Q39=0,"***",U39/Q39)</f>
        <v/>
      </c>
      <c r="W39" s="319">
        <f>IF(I39=0,"***",P39/I39)</f>
        <v/>
      </c>
      <c r="X39" s="320">
        <f>IF(J39=0,"***",Q39/J39)</f>
        <v/>
      </c>
      <c r="Y39" s="320">
        <f>IF(K39=0,"***",R39/K39)</f>
        <v/>
      </c>
      <c r="Z39" s="320">
        <f>IF(L39=0,"***",S39/L39)</f>
        <v/>
      </c>
      <c r="AA39" s="320">
        <f>IF(Y39="***","***",Z39-X39)</f>
        <v/>
      </c>
      <c r="AB39" s="377">
        <f>IF(Z39="***","***",Z39-X39)</f>
        <v/>
      </c>
      <c r="AC39" s="376" t="n"/>
    </row>
    <row r="40">
      <c r="D40" s="8" t="n"/>
      <c r="E40" s="9" t="n"/>
      <c r="H40" s="103" t="inlineStr">
        <is>
          <t>海外</t>
        </is>
      </c>
      <c r="I40" s="378">
        <f>I35+I15</f>
        <v/>
      </c>
      <c r="J40" s="379">
        <f>J35+J15</f>
        <v/>
      </c>
      <c r="K40" s="334">
        <f>K35+K15</f>
        <v/>
      </c>
      <c r="L40" s="379">
        <f>L35+L15</f>
        <v/>
      </c>
      <c r="M40" s="366">
        <f>L40-K40</f>
        <v/>
      </c>
      <c r="N40" s="366">
        <f>L40-J40</f>
        <v/>
      </c>
      <c r="O40" s="336">
        <f>IF(J40=0,"***",N40/J40)</f>
        <v/>
      </c>
      <c r="P40" s="378">
        <f>P35+P15</f>
        <v/>
      </c>
      <c r="Q40" s="379">
        <f>Q35+Q15</f>
        <v/>
      </c>
      <c r="R40" s="334">
        <f>R35+R15</f>
        <v/>
      </c>
      <c r="S40" s="379">
        <f>S35+S15</f>
        <v/>
      </c>
      <c r="T40" s="366">
        <f>S40-R40</f>
        <v/>
      </c>
      <c r="U40" s="366">
        <f>S40-Q40</f>
        <v/>
      </c>
      <c r="V40" s="336">
        <f>IF(Q40=0,"***",U40/Q40)</f>
        <v/>
      </c>
      <c r="W40" s="339">
        <f>IF(I40=0,"***",P40/I40)</f>
        <v/>
      </c>
      <c r="X40" s="340">
        <f>IF(J40=0,"***",Q40/J40)</f>
        <v/>
      </c>
      <c r="Y40" s="340">
        <f>IF(K40=0,"***",R40/K40)</f>
        <v/>
      </c>
      <c r="Z40" s="340">
        <f>IF(L40=0,"***",S40/L40)</f>
        <v/>
      </c>
      <c r="AA40" s="340">
        <f>IF(Y40="***","***",Z40-X40)</f>
        <v/>
      </c>
      <c r="AB40" s="380">
        <f>IF(Z40="***","***",Z40-X40)</f>
        <v/>
      </c>
      <c r="AC40" s="381" t="n"/>
    </row>
    <row r="41">
      <c r="D41" s="8" t="n"/>
      <c r="E41" s="60" t="inlineStr">
        <is>
          <t>水産部</t>
        </is>
      </c>
      <c r="F41" s="5" t="n"/>
      <c r="G41" s="5" t="n"/>
      <c r="H41" s="5" t="n"/>
      <c r="I41" s="367" t="n">
        <v>44155.16</v>
      </c>
      <c r="J41" s="306" t="n">
        <v>35119.998</v>
      </c>
      <c r="K41" s="307" t="n">
        <v>41800</v>
      </c>
      <c r="L41" s="306" t="n">
        <v>56225</v>
      </c>
      <c r="M41" s="308">
        <f>L41-K41</f>
        <v/>
      </c>
      <c r="N41" s="308">
        <f>L41-J41</f>
        <v/>
      </c>
      <c r="O41" s="309">
        <f>IF(J41=0,"***",N41/J41)</f>
        <v/>
      </c>
      <c r="P41" s="367" t="n">
        <v>11564.993</v>
      </c>
      <c r="Q41" s="306" t="n">
        <v>10444.797</v>
      </c>
      <c r="R41" s="307" t="n">
        <v>13420</v>
      </c>
      <c r="S41" s="306" t="n">
        <v>16777</v>
      </c>
      <c r="T41" s="308">
        <f>S41-R41</f>
        <v/>
      </c>
      <c r="U41" s="308">
        <f>S41-Q41</f>
        <v/>
      </c>
      <c r="V41" s="309">
        <f>IF(Q41=0,"***",U41/Q41)</f>
        <v/>
      </c>
      <c r="W41" s="382">
        <f>IF(I41=0,"***",P41/I41)</f>
        <v/>
      </c>
      <c r="X41" s="383">
        <f>IF(J41=0,"***",Q41/J41)</f>
        <v/>
      </c>
      <c r="Y41" s="383">
        <f>IF(K41=0,"***",R41/K41)</f>
        <v/>
      </c>
      <c r="Z41" s="383">
        <f>IF(L41=0,"***",S41/L41)</f>
        <v/>
      </c>
      <c r="AA41" s="383">
        <f>IF(Y41="***","***",Z41-X41)</f>
        <v/>
      </c>
      <c r="AB41" s="384">
        <f>IF(Z41="***","***",Z41-X41)</f>
        <v/>
      </c>
      <c r="AC41" s="21" t="n"/>
    </row>
    <row r="42">
      <c r="D42" s="8" t="n"/>
      <c r="E42" s="9" t="n"/>
      <c r="H42" s="33" t="inlineStr">
        <is>
          <t>包装資材</t>
        </is>
      </c>
      <c r="I42" s="385">
        <f>I41-I43-I44</f>
        <v/>
      </c>
      <c r="J42" s="344">
        <f>J41-J43-J44</f>
        <v/>
      </c>
      <c r="K42" s="344">
        <f>K41-K43-K44</f>
        <v/>
      </c>
      <c r="L42" s="344">
        <f>L41-L43-L44</f>
        <v/>
      </c>
      <c r="M42" s="345">
        <f>L42-K42</f>
        <v/>
      </c>
      <c r="N42" s="345">
        <f>L42-J42</f>
        <v/>
      </c>
      <c r="O42" s="346">
        <f>IF(J42=0,"***",N42/J42)</f>
        <v/>
      </c>
      <c r="P42" s="385">
        <f>P41-P43-P44</f>
        <v/>
      </c>
      <c r="Q42" s="344">
        <f>Q41-Q43-Q44</f>
        <v/>
      </c>
      <c r="R42" s="344">
        <f>R41-R43-R44</f>
        <v/>
      </c>
      <c r="S42" s="344">
        <f>S41-S43-S44</f>
        <v/>
      </c>
      <c r="T42" s="345">
        <f>S42-R42</f>
        <v/>
      </c>
      <c r="U42" s="345">
        <f>S42-Q42</f>
        <v/>
      </c>
      <c r="V42" s="346">
        <f>IF(Q42=0,"***",U42/Q42)</f>
        <v/>
      </c>
      <c r="W42" s="386">
        <f>IF(I42=0,"***",P42/I42)</f>
        <v/>
      </c>
      <c r="X42" s="387">
        <f>IF(J42=0,"***",Q42/J42)</f>
        <v/>
      </c>
      <c r="Y42" s="387">
        <f>IF(K42=0,"***",R42/K42)</f>
        <v/>
      </c>
      <c r="Z42" s="387">
        <f>IF(L42=0,"***",S42/L42)</f>
        <v/>
      </c>
      <c r="AA42" s="387">
        <f>IF(Y42="***","***",Z42-X42)</f>
        <v/>
      </c>
      <c r="AB42" s="388">
        <f>IF(Z42="***","***",Z42-X42)</f>
        <v/>
      </c>
      <c r="AC42" s="389" t="n"/>
    </row>
    <row r="43">
      <c r="D43" s="8" t="n"/>
      <c r="E43" s="9" t="n"/>
      <c r="H43" s="34" t="inlineStr">
        <is>
          <t>荷役</t>
        </is>
      </c>
      <c r="I43" s="305" t="n">
        <v>8574.503000000001</v>
      </c>
      <c r="J43" s="390" t="n">
        <v>5954.985</v>
      </c>
      <c r="K43" s="390" t="n">
        <v>7790</v>
      </c>
      <c r="L43" s="390" t="n">
        <v>5509.048</v>
      </c>
      <c r="M43" s="345">
        <f>L43-K43</f>
        <v/>
      </c>
      <c r="N43" s="345">
        <f>L43-J43</f>
        <v/>
      </c>
      <c r="O43" s="346">
        <f>IF(J43=0,"***",N43/J43)</f>
        <v/>
      </c>
      <c r="P43" s="305" t="n">
        <v>4902.688</v>
      </c>
      <c r="Q43" s="390" t="n">
        <v>3451.535</v>
      </c>
      <c r="R43" s="390" t="n">
        <v>4630</v>
      </c>
      <c r="S43" s="390" t="n">
        <v>3761.495</v>
      </c>
      <c r="T43" s="345">
        <f>S43-R43</f>
        <v/>
      </c>
      <c r="U43" s="345">
        <f>S43-Q43</f>
        <v/>
      </c>
      <c r="V43" s="346">
        <f>IF(Q43=0,"***",U43/Q43)</f>
        <v/>
      </c>
      <c r="W43" s="386">
        <f>IF(I43=0,"***",P43/I43)</f>
        <v/>
      </c>
      <c r="X43" s="387">
        <f>IF(J43=0,"***",Q43/J43)</f>
        <v/>
      </c>
      <c r="Y43" s="387">
        <f>IF(K43=0,"***",R43/K43)</f>
        <v/>
      </c>
      <c r="Z43" s="387">
        <f>IF(L43=0,"***",S43/L43)</f>
        <v/>
      </c>
      <c r="AA43" s="387" t="n"/>
      <c r="AB43" s="388" t="n"/>
      <c r="AC43" s="389" t="n"/>
    </row>
    <row r="44">
      <c r="D44" s="8" t="n"/>
      <c r="E44" s="46" t="n"/>
      <c r="F44" s="116" t="n"/>
      <c r="G44" s="116" t="n"/>
      <c r="H44" s="103" t="inlineStr">
        <is>
          <t>機械</t>
        </is>
      </c>
      <c r="I44" s="305" t="n">
        <v>22</v>
      </c>
      <c r="J44" s="390" t="n">
        <v>296.05</v>
      </c>
      <c r="K44" s="390" t="n">
        <v>90</v>
      </c>
      <c r="L44" s="390" t="n">
        <v>100</v>
      </c>
      <c r="M44" s="345">
        <f>L44-K44</f>
        <v/>
      </c>
      <c r="N44" s="345">
        <f>L44-J44</f>
        <v/>
      </c>
      <c r="O44" s="346">
        <f>IF(J44=0,"***",N44/J44)</f>
        <v/>
      </c>
      <c r="P44" s="305" t="n">
        <v>2.2</v>
      </c>
      <c r="Q44" s="390" t="n">
        <v>44.57</v>
      </c>
      <c r="R44" s="390" t="n">
        <v>20</v>
      </c>
      <c r="S44" s="390" t="n">
        <v>21</v>
      </c>
      <c r="T44" s="345">
        <f>S44-R44</f>
        <v/>
      </c>
      <c r="U44" s="345">
        <f>S44-Q44</f>
        <v/>
      </c>
      <c r="V44" s="346">
        <f>IF(Q44=0,"***",U44/Q44)</f>
        <v/>
      </c>
      <c r="W44" s="386">
        <f>IF(I44=0,"***",P44/I44)</f>
        <v/>
      </c>
      <c r="X44" s="387">
        <f>IF(J44=0,"***",Q44/J44)</f>
        <v/>
      </c>
      <c r="Y44" s="387">
        <f>IF(K44=0,"***",R44/K44)</f>
        <v/>
      </c>
      <c r="Z44" s="387">
        <f>IF(L44=0,"***",S44/L44)</f>
        <v/>
      </c>
      <c r="AA44" s="387">
        <f>IF(Y44="***","***",Z44-X44)</f>
        <v/>
      </c>
      <c r="AB44" s="388">
        <f>IF(Z44="***","***",Z44-X44)</f>
        <v/>
      </c>
      <c r="AC44" s="389" t="n"/>
    </row>
    <row r="45">
      <c r="D45" s="117" t="inlineStr">
        <is>
          <t>合計</t>
        </is>
      </c>
      <c r="E45" s="118" t="n"/>
      <c r="F45" s="118" t="n"/>
      <c r="G45" s="118" t="n"/>
      <c r="H45" s="119" t="n"/>
      <c r="I45" s="391">
        <f>I41+I36</f>
        <v/>
      </c>
      <c r="J45" s="392">
        <f>J41+J36</f>
        <v/>
      </c>
      <c r="K45" s="393">
        <f>K41+K36</f>
        <v/>
      </c>
      <c r="L45" s="393">
        <f>L41+L36</f>
        <v/>
      </c>
      <c r="M45" s="394">
        <f>L45-K45</f>
        <v/>
      </c>
      <c r="N45" s="394">
        <f>L45-J45</f>
        <v/>
      </c>
      <c r="O45" s="395">
        <f>IF(J45=0,"***",N45/J45)</f>
        <v/>
      </c>
      <c r="P45" s="396">
        <f>P41+P36</f>
        <v/>
      </c>
      <c r="Q45" s="393">
        <f>Q41+Q36</f>
        <v/>
      </c>
      <c r="R45" s="393">
        <f>R41+R36</f>
        <v/>
      </c>
      <c r="S45" s="393">
        <f>S41+S36</f>
        <v/>
      </c>
      <c r="T45" s="394">
        <f>S45-R45</f>
        <v/>
      </c>
      <c r="U45" s="394">
        <f>S45-Q45</f>
        <v/>
      </c>
      <c r="V45" s="395">
        <f>IF(Q45=0,"***",U45/Q45)</f>
        <v/>
      </c>
      <c r="W45" s="397">
        <f>IF(I45=0,"***",P45/I45)</f>
        <v/>
      </c>
      <c r="X45" s="398">
        <f>IF(J45=0,"***",Q45/J45)</f>
        <v/>
      </c>
      <c r="Y45" s="398">
        <f>IF(K45=0,"***",R45/K45)</f>
        <v/>
      </c>
      <c r="Z45" s="398">
        <f>IF(L45=0,"***",S45/L45)</f>
        <v/>
      </c>
      <c r="AA45" s="398">
        <f>IF(Y45="***","***",Z45-X45)</f>
        <v/>
      </c>
      <c r="AB45" s="399">
        <f>IF(Z45="***","***",Z45-X45)</f>
        <v/>
      </c>
      <c r="AC45" s="400" t="n"/>
    </row>
    <row r="46">
      <c r="D46" s="8" t="n"/>
      <c r="E46" s="118" t="n"/>
      <c r="F46" s="118" t="n"/>
      <c r="G46" s="118" t="n"/>
      <c r="H46" s="130" t="inlineStr">
        <is>
          <t>機械以外</t>
        </is>
      </c>
      <c r="I46" s="401">
        <f>I45-I47</f>
        <v/>
      </c>
      <c r="J46" s="402">
        <f>J45-J47</f>
        <v/>
      </c>
      <c r="K46" s="403">
        <f>K45-K47</f>
        <v/>
      </c>
      <c r="L46" s="403">
        <f>L45-L47</f>
        <v/>
      </c>
      <c r="M46" s="404">
        <f>L46-K46</f>
        <v/>
      </c>
      <c r="N46" s="404">
        <f>L46-J46</f>
        <v/>
      </c>
      <c r="O46" s="405">
        <f>IF(J46=0,"***",N46/J46)</f>
        <v/>
      </c>
      <c r="P46" s="406">
        <f>P45-P47</f>
        <v/>
      </c>
      <c r="Q46" s="403">
        <f>Q45-Q47</f>
        <v/>
      </c>
      <c r="R46" s="403">
        <f>R45-R47</f>
        <v/>
      </c>
      <c r="S46" s="403">
        <f>S45-S47</f>
        <v/>
      </c>
      <c r="T46" s="404">
        <f>S46-R46</f>
        <v/>
      </c>
      <c r="U46" s="404">
        <f>S46-Q46</f>
        <v/>
      </c>
      <c r="V46" s="405">
        <f>IF(Q46=0,"***",U46/Q46)</f>
        <v/>
      </c>
      <c r="W46" s="407">
        <f>IF(I46=0,"***",P46/I46)</f>
        <v/>
      </c>
      <c r="X46" s="408">
        <f>IF(J46=0,"***",Q46/J46)</f>
        <v/>
      </c>
      <c r="Y46" s="408">
        <f>IF(K46=0,"***",R46/K46)</f>
        <v/>
      </c>
      <c r="Z46" s="408">
        <f>IF(L46=0,"***",S46/L46)</f>
        <v/>
      </c>
      <c r="AA46" s="408">
        <f>IF(Y46="***","***",Z46-X46)</f>
        <v/>
      </c>
      <c r="AB46" s="409">
        <f>IF(Z46="***","***",Z46-X46)</f>
        <v/>
      </c>
      <c r="AC46" s="410" t="n"/>
    </row>
    <row r="47">
      <c r="D47" s="8" t="n"/>
      <c r="E47" s="118" t="n"/>
      <c r="F47" s="118" t="n"/>
      <c r="G47" s="141" t="n"/>
      <c r="H47" s="130" t="inlineStr">
        <is>
          <t>機械</t>
        </is>
      </c>
      <c r="I47" s="411">
        <f>I38+I44</f>
        <v/>
      </c>
      <c r="J47" s="412">
        <f>J38+J44</f>
        <v/>
      </c>
      <c r="K47" s="412">
        <f>K38+K44</f>
        <v/>
      </c>
      <c r="L47" s="412">
        <f>L38+L44</f>
        <v/>
      </c>
      <c r="M47" s="413">
        <f>L47-K47</f>
        <v/>
      </c>
      <c r="N47" s="413">
        <f>L47-J47</f>
        <v/>
      </c>
      <c r="O47" s="414">
        <f>IF(J47=0,"***",N47/J47)</f>
        <v/>
      </c>
      <c r="P47" s="415">
        <f>P38+P44</f>
        <v/>
      </c>
      <c r="Q47" s="412">
        <f>Q38+Q44</f>
        <v/>
      </c>
      <c r="R47" s="412">
        <f>R38+R44</f>
        <v/>
      </c>
      <c r="S47" s="412">
        <f>S38+S44</f>
        <v/>
      </c>
      <c r="T47" s="413">
        <f>S47-R47</f>
        <v/>
      </c>
      <c r="U47" s="413">
        <f>S47-Q47</f>
        <v/>
      </c>
      <c r="V47" s="414">
        <f>IF(Q47=0,"***",U47/Q47)</f>
        <v/>
      </c>
      <c r="W47" s="416">
        <f>IF(I47=0,"***",P47/I47)</f>
        <v/>
      </c>
      <c r="X47" s="417">
        <f>IF(J47=0,"***",Q47/J47)</f>
        <v/>
      </c>
      <c r="Y47" s="417">
        <f>IF(K47=0,"***",R47/K47)</f>
        <v/>
      </c>
      <c r="Z47" s="417">
        <f>IF(L47=0,"***",S47/L47)</f>
        <v/>
      </c>
      <c r="AA47" s="417">
        <f>IF(Y47="***","***",Z47-X47)</f>
        <v/>
      </c>
      <c r="AB47" s="418">
        <f>IF(Z47="***","***",Z47-X47)</f>
        <v/>
      </c>
      <c r="AC47" s="419" t="n"/>
    </row>
    <row r="48">
      <c r="D48" s="8" t="n"/>
      <c r="E48" s="118" t="n"/>
      <c r="F48" s="118" t="n"/>
      <c r="G48" s="141" t="n"/>
      <c r="H48" s="130" t="inlineStr">
        <is>
          <t>自治体</t>
        </is>
      </c>
      <c r="I48" s="420">
        <f>I39</f>
        <v/>
      </c>
      <c r="J48" s="403">
        <f>J39</f>
        <v/>
      </c>
      <c r="K48" s="403">
        <f>K39</f>
        <v/>
      </c>
      <c r="L48" s="403">
        <f>L39</f>
        <v/>
      </c>
      <c r="M48" s="404">
        <f>L48-K48</f>
        <v/>
      </c>
      <c r="N48" s="404">
        <f>L48-J48</f>
        <v/>
      </c>
      <c r="O48" s="405">
        <f>IF(J48=0,"***",N48/J48)</f>
        <v/>
      </c>
      <c r="P48" s="406">
        <f>P39</f>
        <v/>
      </c>
      <c r="Q48" s="403">
        <f>Q39</f>
        <v/>
      </c>
      <c r="R48" s="403">
        <f>R39</f>
        <v/>
      </c>
      <c r="S48" s="403">
        <f>S39</f>
        <v/>
      </c>
      <c r="T48" s="404">
        <f>S48-R48</f>
        <v/>
      </c>
      <c r="U48" s="404">
        <f>S48-Q48</f>
        <v/>
      </c>
      <c r="V48" s="405">
        <f>IF(Q48=0,"***",U48/Q48)</f>
        <v/>
      </c>
      <c r="W48" s="407">
        <f>IF(I48=0,"***",P48/I48)</f>
        <v/>
      </c>
      <c r="X48" s="408">
        <f>IF(J48=0,"***",Q48/J48)</f>
        <v/>
      </c>
      <c r="Y48" s="408">
        <f>IF(K48=0,"***",R48/K48)</f>
        <v/>
      </c>
      <c r="Z48" s="408">
        <f>IF(L48=0,"***",S48/L48)</f>
        <v/>
      </c>
      <c r="AA48" s="408">
        <f>IF(Y48="***","***",Z48-X48)</f>
        <v/>
      </c>
      <c r="AB48" s="409">
        <f>IF(Z48="***","***",Z48-X48)</f>
        <v/>
      </c>
      <c r="AC48" s="410" t="n"/>
    </row>
    <row r="49">
      <c r="D49" s="152" t="n"/>
      <c r="E49" s="153" t="n"/>
      <c r="F49" s="153" t="n"/>
      <c r="G49" s="154" t="n"/>
      <c r="H49" s="155" t="inlineStr">
        <is>
          <t>海外</t>
        </is>
      </c>
      <c r="I49" s="421">
        <f>I40</f>
        <v/>
      </c>
      <c r="J49" s="422">
        <f>J40</f>
        <v/>
      </c>
      <c r="K49" s="422">
        <f>K40</f>
        <v/>
      </c>
      <c r="L49" s="422">
        <f>L40</f>
        <v/>
      </c>
      <c r="M49" s="423">
        <f>L49-K49</f>
        <v/>
      </c>
      <c r="N49" s="423">
        <f>L49-J49</f>
        <v/>
      </c>
      <c r="O49" s="424">
        <f>IF(J49=0,"***",N49/J49)</f>
        <v/>
      </c>
      <c r="P49" s="425">
        <f>P40</f>
        <v/>
      </c>
      <c r="Q49" s="422">
        <f>Q40</f>
        <v/>
      </c>
      <c r="R49" s="422">
        <f>R40</f>
        <v/>
      </c>
      <c r="S49" s="422">
        <f>S40</f>
        <v/>
      </c>
      <c r="T49" s="423">
        <f>S49-R49</f>
        <v/>
      </c>
      <c r="U49" s="423">
        <f>S49-Q49</f>
        <v/>
      </c>
      <c r="V49" s="424">
        <f>IF(Q49=0,"***",U49/Q49)</f>
        <v/>
      </c>
      <c r="W49" s="426">
        <f>IF(I49=0,"***",P49/I49)</f>
        <v/>
      </c>
      <c r="X49" s="427">
        <f>IF(J49=0,"***",Q49/J49)</f>
        <v/>
      </c>
      <c r="Y49" s="427">
        <f>IF(K49=0,"***",R49/K49)</f>
        <v/>
      </c>
      <c r="Z49" s="427">
        <f>IF(L49=0,"***",S49/L49)</f>
        <v/>
      </c>
      <c r="AA49" s="427">
        <f>IF(Y49="***","***",Z49-X49)</f>
        <v/>
      </c>
      <c r="AB49" s="428">
        <f>IF(Z49="***","***",Z49-X49)</f>
        <v/>
      </c>
      <c r="AC49" s="429" t="n"/>
    </row>
    <row r="50">
      <c r="D50" s="165" t="inlineStr">
        <is>
          <t>キョウワ（税抜）</t>
        </is>
      </c>
      <c r="E50" s="166" t="n"/>
      <c r="F50" s="166" t="n"/>
      <c r="G50" s="166" t="n"/>
      <c r="H50" s="47" t="n"/>
      <c r="I50" s="430" t="n">
        <v>1780</v>
      </c>
      <c r="J50" s="431" t="n">
        <v>2540</v>
      </c>
      <c r="K50" s="431" t="n">
        <v>2100</v>
      </c>
      <c r="L50" s="431" t="n">
        <v>1899</v>
      </c>
      <c r="M50" s="432">
        <f>L50-K50</f>
        <v/>
      </c>
      <c r="N50" s="432">
        <f>L50-J50</f>
        <v/>
      </c>
      <c r="O50" s="433">
        <f>IF(J50=0,"***",N50/J50)</f>
        <v/>
      </c>
      <c r="P50" s="430" t="n">
        <v>950</v>
      </c>
      <c r="Q50" s="431" t="n">
        <v>1560</v>
      </c>
      <c r="R50" s="431" t="n">
        <v>1220</v>
      </c>
      <c r="S50" s="431" t="n">
        <v>1242</v>
      </c>
      <c r="T50" s="432">
        <f>S50-R50</f>
        <v/>
      </c>
      <c r="U50" s="432">
        <f>S50-Q50</f>
        <v/>
      </c>
      <c r="V50" s="433">
        <f>IF(Q50=0,"***",U50/Q50)</f>
        <v/>
      </c>
      <c r="W50" s="434">
        <f>IF(I50=0,"***",P50/I50)</f>
        <v/>
      </c>
      <c r="X50" s="435">
        <f>IF(J50=0,"***",Q50/J50)</f>
        <v/>
      </c>
      <c r="Y50" s="435">
        <f>IF(K50=0,"***",R50/K50)</f>
        <v/>
      </c>
      <c r="Z50" s="435">
        <f>IF(L50=0,"***",S50/L50)</f>
        <v/>
      </c>
      <c r="AA50" s="435">
        <f>IF(Y50="***","***",Z50-X50)</f>
        <v/>
      </c>
      <c r="AB50" s="433">
        <f>IF(Z50="***","***",Z50-X50)</f>
        <v/>
      </c>
      <c r="AC50" s="436" t="n"/>
    </row>
  </sheetData>
  <mergeCells count="14">
    <mergeCell ref="K3:K4"/>
    <mergeCell ref="L3:L4"/>
    <mergeCell ref="AC3:AC4"/>
    <mergeCell ref="P3:P4"/>
    <mergeCell ref="D3:H4"/>
    <mergeCell ref="I3:I4"/>
    <mergeCell ref="Q3:Q4"/>
    <mergeCell ref="R3:R4"/>
    <mergeCell ref="J3:J4"/>
    <mergeCell ref="X3:X4"/>
    <mergeCell ref="Y3:Y4"/>
    <mergeCell ref="S3:S4"/>
    <mergeCell ref="Z3:Z4"/>
    <mergeCell ref="W3:W4"/>
  </mergeCells>
  <pageMargins left="0.708333333333333" right="0.708333333333333" top="0.747916666666667" bottom="0.747916666666667" header="0.511811023622047" footer="0.511811023622047"/>
  <pageSetup orientation="landscape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I50"/>
  <sheetViews>
    <sheetView topLeftCell="D1" zoomScaleNormal="100" workbookViewId="0">
      <selection activeCell="CR33" sqref="CR33"/>
    </sheetView>
  </sheetViews>
  <sheetFormatPr baseColWidth="8" defaultColWidth="8.5" defaultRowHeight="18.75"/>
  <cols>
    <col hidden="1" width="13" customWidth="1" style="1" min="1" max="2"/>
    <col width="2.625" customWidth="1" style="1" min="4" max="7"/>
    <col width="16.625" customWidth="1" style="1" min="8" max="8"/>
    <col hidden="1" width="13" customWidth="1" style="1" min="9" max="91"/>
    <col hidden="1" width="5.75" customWidth="1" style="1" min="92" max="92"/>
    <col width="9.375" customWidth="1" style="1" min="93" max="94"/>
    <col width="9.25" customWidth="1" style="1" min="95" max="96"/>
    <col width="9.375" customWidth="1" style="1" min="111" max="111"/>
    <col width="59.25" customWidth="1" style="1" min="113" max="113"/>
  </cols>
  <sheetData>
    <row r="1" ht="23.25" customHeight="1" s="1">
      <c r="D1" s="2" t="inlineStr">
        <is>
          <t>1．上期</t>
        </is>
      </c>
    </row>
    <row r="2"/>
    <row r="3" ht="9.75" customHeight="1" s="1">
      <c r="D3" s="284" t="n"/>
      <c r="E3" s="285" t="n"/>
      <c r="F3" s="285" t="n"/>
      <c r="G3" s="285" t="n"/>
      <c r="H3" s="286" t="n"/>
      <c r="I3" s="282" t="inlineStr">
        <is>
          <t>2023年10月売上実績</t>
        </is>
      </c>
      <c r="J3" s="290" t="inlineStr">
        <is>
          <t>2024年10月売上実績</t>
        </is>
      </c>
      <c r="K3" s="292" t="inlineStr">
        <is>
          <t>2025年10月売上計画</t>
        </is>
      </c>
      <c r="L3" s="292" t="inlineStr">
        <is>
          <t>2025年10月売上実績</t>
        </is>
      </c>
      <c r="M3" s="3" t="n"/>
      <c r="N3" s="3" t="n"/>
      <c r="O3" s="4" t="n"/>
      <c r="P3" s="282" t="inlineStr">
        <is>
          <t>2023年10月粗利益実績</t>
        </is>
      </c>
      <c r="Q3" s="290" t="inlineStr">
        <is>
          <t>2024年10月粗利益実績</t>
        </is>
      </c>
      <c r="R3" s="292" t="inlineStr">
        <is>
          <t>2025年10月粗利益計画</t>
        </is>
      </c>
      <c r="S3" s="292" t="inlineStr">
        <is>
          <t>2025年10月粗利益実績</t>
        </is>
      </c>
      <c r="T3" s="3" t="n"/>
      <c r="U3" s="3" t="n"/>
      <c r="V3" s="4" t="n"/>
      <c r="W3" s="282" t="inlineStr">
        <is>
          <t>2023年11月売上実績</t>
        </is>
      </c>
      <c r="X3" s="290" t="inlineStr">
        <is>
          <t>2024年11月売上実績</t>
        </is>
      </c>
      <c r="Y3" s="292" t="inlineStr">
        <is>
          <t>2025年11月売上計画</t>
        </is>
      </c>
      <c r="Z3" s="292" t="inlineStr">
        <is>
          <t>2025年11月売上実績</t>
        </is>
      </c>
      <c r="AA3" s="3" t="n"/>
      <c r="AB3" s="3" t="n"/>
      <c r="AC3" s="4" t="n"/>
      <c r="AD3" s="282" t="inlineStr">
        <is>
          <t>2023年11月粗利益実績</t>
        </is>
      </c>
      <c r="AE3" s="290" t="inlineStr">
        <is>
          <t>2024年11月粗利益実績</t>
        </is>
      </c>
      <c r="AF3" s="292" t="inlineStr">
        <is>
          <t>2025年11月粗利益計画</t>
        </is>
      </c>
      <c r="AG3" s="292" t="inlineStr">
        <is>
          <t>2025年11月粗利益実績</t>
        </is>
      </c>
      <c r="AH3" s="3" t="n"/>
      <c r="AI3" s="3" t="n"/>
      <c r="AJ3" s="4" t="n"/>
      <c r="AK3" s="282" t="inlineStr">
        <is>
          <t>2023年12月売上実績</t>
        </is>
      </c>
      <c r="AL3" s="290" t="inlineStr">
        <is>
          <t>2024年12月売上実績</t>
        </is>
      </c>
      <c r="AM3" s="292" t="inlineStr">
        <is>
          <t>2025年12月売上計画</t>
        </is>
      </c>
      <c r="AN3" s="292" t="inlineStr">
        <is>
          <t>2025年12月売上実績</t>
        </is>
      </c>
      <c r="AO3" s="3" t="n"/>
      <c r="AP3" s="3" t="n"/>
      <c r="AQ3" s="4" t="n"/>
      <c r="AR3" s="282" t="inlineStr">
        <is>
          <t>2023年12月粗利益実績</t>
        </is>
      </c>
      <c r="AS3" s="290" t="inlineStr">
        <is>
          <t>2024年12月粗利益実績</t>
        </is>
      </c>
      <c r="AT3" s="292" t="inlineStr">
        <is>
          <t>2025年12月粗利益計画</t>
        </is>
      </c>
      <c r="AU3" s="292" t="inlineStr">
        <is>
          <t>2025年12月粗利益実績</t>
        </is>
      </c>
      <c r="AV3" s="3" t="n"/>
      <c r="AW3" s="3" t="n"/>
      <c r="AX3" s="4" t="n"/>
      <c r="AY3" s="282" t="inlineStr">
        <is>
          <t>2024年1月売上実績</t>
        </is>
      </c>
      <c r="AZ3" s="290" t="inlineStr">
        <is>
          <t>2025年1月売上実績</t>
        </is>
      </c>
      <c r="BA3" s="292" t="inlineStr">
        <is>
          <t>2026年1月売上計画</t>
        </is>
      </c>
      <c r="BB3" s="292" t="inlineStr">
        <is>
          <t>2026年1月売上実績</t>
        </is>
      </c>
      <c r="BC3" s="3" t="n"/>
      <c r="BD3" s="3" t="n"/>
      <c r="BE3" s="4" t="n"/>
      <c r="BF3" s="282" t="inlineStr">
        <is>
          <t>2024年1月粗利益実績</t>
        </is>
      </c>
      <c r="BG3" s="290" t="inlineStr">
        <is>
          <t>2025年1月粗利益実績</t>
        </is>
      </c>
      <c r="BH3" s="292" t="inlineStr">
        <is>
          <t>2026年1月粗利益計画</t>
        </is>
      </c>
      <c r="BI3" s="292" t="inlineStr">
        <is>
          <t>2026年1月粗利益実績</t>
        </is>
      </c>
      <c r="BJ3" s="3" t="n"/>
      <c r="BK3" s="3" t="n"/>
      <c r="BL3" s="4" t="n"/>
      <c r="BM3" s="282" t="inlineStr">
        <is>
          <t>2024年2月売上実績</t>
        </is>
      </c>
      <c r="BN3" s="290" t="inlineStr">
        <is>
          <t>2025年2月売上実績</t>
        </is>
      </c>
      <c r="BO3" s="292" t="inlineStr">
        <is>
          <t>2026年2月売上計画</t>
        </is>
      </c>
      <c r="BP3" s="292" t="inlineStr">
        <is>
          <t>2026年2月売上実績</t>
        </is>
      </c>
      <c r="BQ3" s="3" t="n"/>
      <c r="BR3" s="3" t="n"/>
      <c r="BS3" s="4" t="n"/>
      <c r="BT3" s="282" t="inlineStr">
        <is>
          <t>2024年2月粗利益実績</t>
        </is>
      </c>
      <c r="BU3" s="290" t="inlineStr">
        <is>
          <t>2025年2月粗利益実績</t>
        </is>
      </c>
      <c r="BV3" s="292" t="inlineStr">
        <is>
          <t>2026年2月粗利益計画</t>
        </is>
      </c>
      <c r="BW3" s="292" t="inlineStr">
        <is>
          <t>2026年2月粗利益実績</t>
        </is>
      </c>
      <c r="BX3" s="3" t="n"/>
      <c r="BY3" s="3" t="n"/>
      <c r="BZ3" s="4" t="n"/>
      <c r="CA3" s="282" t="inlineStr">
        <is>
          <t>2024年3月売上実績</t>
        </is>
      </c>
      <c r="CB3" s="290" t="inlineStr">
        <is>
          <t>2025年3月売上実績</t>
        </is>
      </c>
      <c r="CC3" s="292" t="inlineStr">
        <is>
          <t>2026年3月売上計画</t>
        </is>
      </c>
      <c r="CD3" s="292" t="inlineStr">
        <is>
          <t>2026年3月売上実績</t>
        </is>
      </c>
      <c r="CE3" s="3" t="n"/>
      <c r="CF3" s="3" t="n"/>
      <c r="CG3" s="4" t="n"/>
      <c r="CH3" s="282" t="inlineStr">
        <is>
          <t>2024年3月粗利益実績</t>
        </is>
      </c>
      <c r="CI3" s="290" t="inlineStr">
        <is>
          <t>2025年3月粗利益実績</t>
        </is>
      </c>
      <c r="CJ3" s="292" t="inlineStr">
        <is>
          <t>2026年3月粗利益計画</t>
        </is>
      </c>
      <c r="CK3" s="292" t="inlineStr">
        <is>
          <t>2026年3月粗利益実績</t>
        </is>
      </c>
      <c r="CL3" s="3" t="n"/>
      <c r="CM3" s="3" t="n"/>
      <c r="CN3" s="4" t="n"/>
      <c r="CO3" s="282" t="inlineStr">
        <is>
          <t>2024年3月売上実績</t>
        </is>
      </c>
      <c r="CP3" s="290" t="inlineStr">
        <is>
          <t>2025年3月売上実績</t>
        </is>
      </c>
      <c r="CQ3" s="292" t="inlineStr">
        <is>
          <t>2026年3月売上計画</t>
        </is>
      </c>
      <c r="CR3" s="292" t="inlineStr">
        <is>
          <t>2026年3月売上実績</t>
        </is>
      </c>
      <c r="CS3" s="3" t="n"/>
      <c r="CT3" s="3" t="n"/>
      <c r="CU3" s="4" t="n"/>
      <c r="CV3" s="282" t="inlineStr">
        <is>
          <t>2024年3月粗利益実績</t>
        </is>
      </c>
      <c r="CW3" s="290" t="inlineStr">
        <is>
          <t>2025年3月粗利益実績</t>
        </is>
      </c>
      <c r="CX3" s="292" t="inlineStr">
        <is>
          <t>2026年3月粗利益計画</t>
        </is>
      </c>
      <c r="CY3" s="292" t="inlineStr">
        <is>
          <t>2026年3月粗利益実績</t>
        </is>
      </c>
      <c r="CZ3" s="3" t="n"/>
      <c r="DA3" s="3" t="n"/>
      <c r="DB3" s="4" t="n"/>
      <c r="DC3" s="297" t="inlineStr">
        <is>
          <t>2024年3月粗利益率実績</t>
        </is>
      </c>
      <c r="DD3" s="298" t="inlineStr">
        <is>
          <t>2025年3月粗利益率実績</t>
        </is>
      </c>
      <c r="DE3" s="294" t="inlineStr">
        <is>
          <t>2026年3月粗利益率計画</t>
        </is>
      </c>
      <c r="DF3" s="294" t="inlineStr">
        <is>
          <t>2026年3月粗利益率実績</t>
        </is>
      </c>
      <c r="DG3" s="5" t="n"/>
      <c r="DH3" s="5" t="n"/>
      <c r="DI3" s="295" t="inlineStr">
        <is>
          <t>作成根拠</t>
        </is>
      </c>
    </row>
    <row r="4" ht="30" customHeight="1" s="1">
      <c r="D4" s="287" t="n"/>
      <c r="E4" s="288" t="n"/>
      <c r="F4" s="288" t="n"/>
      <c r="G4" s="288" t="n"/>
      <c r="H4" s="289" t="n"/>
      <c r="I4" s="283" t="n"/>
      <c r="J4" s="291" t="n"/>
      <c r="K4" s="293" t="n"/>
      <c r="L4" s="293" t="n"/>
      <c r="M4" s="6" t="inlineStr">
        <is>
          <t>計画比</t>
        </is>
      </c>
      <c r="N4" s="6" t="inlineStr">
        <is>
          <t>前期比</t>
        </is>
      </c>
      <c r="O4" s="7" t="inlineStr">
        <is>
          <t>年率</t>
        </is>
      </c>
      <c r="P4" s="283" t="n"/>
      <c r="Q4" s="291" t="n"/>
      <c r="R4" s="293" t="n"/>
      <c r="S4" s="293" t="n"/>
      <c r="T4" s="6" t="inlineStr">
        <is>
          <t>計画比</t>
        </is>
      </c>
      <c r="U4" s="6" t="inlineStr">
        <is>
          <t>前期比</t>
        </is>
      </c>
      <c r="V4" s="7" t="inlineStr">
        <is>
          <t>年率</t>
        </is>
      </c>
      <c r="W4" s="283" t="n"/>
      <c r="X4" s="291" t="n"/>
      <c r="Y4" s="293" t="n"/>
      <c r="Z4" s="293" t="n"/>
      <c r="AA4" s="6" t="inlineStr">
        <is>
          <t>計画比</t>
        </is>
      </c>
      <c r="AB4" s="6" t="inlineStr">
        <is>
          <t>前期比</t>
        </is>
      </c>
      <c r="AC4" s="7" t="inlineStr">
        <is>
          <t>年率</t>
        </is>
      </c>
      <c r="AD4" s="283" t="n"/>
      <c r="AE4" s="291" t="n"/>
      <c r="AF4" s="293" t="n"/>
      <c r="AG4" s="293" t="n"/>
      <c r="AH4" s="6" t="inlineStr">
        <is>
          <t>計画比</t>
        </is>
      </c>
      <c r="AI4" s="6" t="inlineStr">
        <is>
          <t>前期比</t>
        </is>
      </c>
      <c r="AJ4" s="7" t="inlineStr">
        <is>
          <t>年率</t>
        </is>
      </c>
      <c r="AK4" s="283" t="n"/>
      <c r="AL4" s="291" t="n"/>
      <c r="AM4" s="293" t="n"/>
      <c r="AN4" s="293" t="n"/>
      <c r="AO4" s="6" t="inlineStr">
        <is>
          <t>計画比</t>
        </is>
      </c>
      <c r="AP4" s="6" t="inlineStr">
        <is>
          <t>前期比</t>
        </is>
      </c>
      <c r="AQ4" s="7" t="inlineStr">
        <is>
          <t>年率</t>
        </is>
      </c>
      <c r="AR4" s="283" t="n"/>
      <c r="AS4" s="291" t="n"/>
      <c r="AT4" s="293" t="n"/>
      <c r="AU4" s="293" t="n"/>
      <c r="AV4" s="6" t="inlineStr">
        <is>
          <t>計画比</t>
        </is>
      </c>
      <c r="AW4" s="6" t="inlineStr">
        <is>
          <t>前期比</t>
        </is>
      </c>
      <c r="AX4" s="7" t="inlineStr">
        <is>
          <t>年率</t>
        </is>
      </c>
      <c r="AY4" s="283" t="n"/>
      <c r="AZ4" s="291" t="n"/>
      <c r="BA4" s="293" t="n"/>
      <c r="BB4" s="293" t="n"/>
      <c r="BC4" s="6" t="inlineStr">
        <is>
          <t>計画比</t>
        </is>
      </c>
      <c r="BD4" s="6" t="inlineStr">
        <is>
          <t>前期比</t>
        </is>
      </c>
      <c r="BE4" s="7" t="inlineStr">
        <is>
          <t>年率</t>
        </is>
      </c>
      <c r="BF4" s="283" t="n"/>
      <c r="BG4" s="291" t="n"/>
      <c r="BH4" s="293" t="n"/>
      <c r="BI4" s="293" t="n"/>
      <c r="BJ4" s="6" t="inlineStr">
        <is>
          <t>計画比</t>
        </is>
      </c>
      <c r="BK4" s="6" t="inlineStr">
        <is>
          <t>前期比</t>
        </is>
      </c>
      <c r="BL4" s="7" t="inlineStr">
        <is>
          <t>年率</t>
        </is>
      </c>
      <c r="BM4" s="283" t="n"/>
      <c r="BN4" s="291" t="n"/>
      <c r="BO4" s="293" t="n"/>
      <c r="BP4" s="293" t="n"/>
      <c r="BQ4" s="6" t="inlineStr">
        <is>
          <t>計画比</t>
        </is>
      </c>
      <c r="BR4" s="6" t="inlineStr">
        <is>
          <t>前期比</t>
        </is>
      </c>
      <c r="BS4" s="7" t="inlineStr">
        <is>
          <t>年率</t>
        </is>
      </c>
      <c r="BT4" s="283" t="n"/>
      <c r="BU4" s="291" t="n"/>
      <c r="BV4" s="293" t="n"/>
      <c r="BW4" s="293" t="n"/>
      <c r="BX4" s="6" t="inlineStr">
        <is>
          <t>計画比</t>
        </is>
      </c>
      <c r="BY4" s="6" t="inlineStr">
        <is>
          <t>前期比</t>
        </is>
      </c>
      <c r="BZ4" s="7" t="inlineStr">
        <is>
          <t>年率</t>
        </is>
      </c>
      <c r="CA4" s="283" t="n"/>
      <c r="CB4" s="291" t="n"/>
      <c r="CC4" s="293" t="n"/>
      <c r="CD4" s="293" t="n"/>
      <c r="CE4" s="6" t="inlineStr">
        <is>
          <t>計画比</t>
        </is>
      </c>
      <c r="CF4" s="6" t="inlineStr">
        <is>
          <t>前期比</t>
        </is>
      </c>
      <c r="CG4" s="7" t="inlineStr">
        <is>
          <t>年率</t>
        </is>
      </c>
      <c r="CH4" s="283" t="n"/>
      <c r="CI4" s="291" t="n"/>
      <c r="CJ4" s="293" t="n"/>
      <c r="CK4" s="293" t="n"/>
      <c r="CL4" s="6" t="inlineStr">
        <is>
          <t>計画比</t>
        </is>
      </c>
      <c r="CM4" s="6" t="inlineStr">
        <is>
          <t>前期比</t>
        </is>
      </c>
      <c r="CN4" s="7" t="inlineStr">
        <is>
          <t>年率</t>
        </is>
      </c>
      <c r="CO4" s="283" t="n"/>
      <c r="CP4" s="291" t="n"/>
      <c r="CQ4" s="293" t="n"/>
      <c r="CR4" s="293" t="n"/>
      <c r="CS4" s="6" t="inlineStr">
        <is>
          <t>計画比</t>
        </is>
      </c>
      <c r="CT4" s="6" t="inlineStr">
        <is>
          <t>前期比</t>
        </is>
      </c>
      <c r="CU4" s="7" t="inlineStr">
        <is>
          <t>年率</t>
        </is>
      </c>
      <c r="CV4" s="283" t="n"/>
      <c r="CW4" s="291" t="n"/>
      <c r="CX4" s="293" t="n"/>
      <c r="CY4" s="293" t="n"/>
      <c r="CZ4" s="6" t="inlineStr">
        <is>
          <t>計画比</t>
        </is>
      </c>
      <c r="DA4" s="6" t="inlineStr">
        <is>
          <t>前期比</t>
        </is>
      </c>
      <c r="DB4" s="7" t="inlineStr">
        <is>
          <t>年率</t>
        </is>
      </c>
      <c r="DC4" s="283" t="n"/>
      <c r="DD4" s="291" t="n"/>
      <c r="DE4" s="293" t="n"/>
      <c r="DF4" s="293" t="n"/>
      <c r="DG4" s="6" t="inlineStr">
        <is>
          <t>計画比</t>
        </is>
      </c>
      <c r="DH4" s="6" t="inlineStr">
        <is>
          <t>前期比</t>
        </is>
      </c>
      <c r="DI4" s="296" t="n"/>
    </row>
    <row r="5">
      <c r="D5" s="8" t="n"/>
      <c r="E5" s="9" t="n"/>
      <c r="F5" s="173" t="inlineStr">
        <is>
          <t>石見営業所</t>
        </is>
      </c>
      <c r="G5" s="174" t="n"/>
      <c r="H5" s="175" t="n"/>
      <c r="I5" s="305" t="n">
        <v>67452</v>
      </c>
      <c r="J5" s="306" t="n">
        <v>70743</v>
      </c>
      <c r="K5" s="307" t="n">
        <v>75500</v>
      </c>
      <c r="L5" s="306" t="n">
        <v>74777</v>
      </c>
      <c r="M5" s="357">
        <f>L5-K5</f>
        <v/>
      </c>
      <c r="N5" s="357">
        <f>L5-J5</f>
        <v/>
      </c>
      <c r="O5" s="309">
        <f>IF(J5=0,"***",N5/J5)</f>
        <v/>
      </c>
      <c r="P5" s="310" t="n">
        <v>18120</v>
      </c>
      <c r="Q5" s="368" t="n">
        <v>20002</v>
      </c>
      <c r="R5" s="307" t="n">
        <v>20280</v>
      </c>
      <c r="S5" s="368" t="n">
        <v>19993</v>
      </c>
      <c r="T5" s="357">
        <f>S5-R5</f>
        <v/>
      </c>
      <c r="U5" s="357">
        <f>S5-Q5</f>
        <v/>
      </c>
      <c r="V5" s="309">
        <f>IF(Q5=0,"***",U5/Q5)</f>
        <v/>
      </c>
      <c r="W5" s="305" t="n">
        <v>78664</v>
      </c>
      <c r="X5" s="306" t="n">
        <v>70771</v>
      </c>
      <c r="Y5" s="307" t="n">
        <v>79300</v>
      </c>
      <c r="Z5" s="306" t="n">
        <v>81052</v>
      </c>
      <c r="AA5" s="357">
        <f>Z5-Y5</f>
        <v/>
      </c>
      <c r="AB5" s="357">
        <f>Z5-X5</f>
        <v/>
      </c>
      <c r="AC5" s="309">
        <f>IF(X5=0,"***",AB5/X5)</f>
        <v/>
      </c>
      <c r="AD5" s="310" t="n">
        <v>19895</v>
      </c>
      <c r="AE5" s="368" t="n">
        <v>20030</v>
      </c>
      <c r="AF5" s="307" t="n">
        <v>21180</v>
      </c>
      <c r="AG5" s="368" t="n">
        <v>20184</v>
      </c>
      <c r="AH5" s="357">
        <f>AG5-AF5</f>
        <v/>
      </c>
      <c r="AI5" s="357">
        <f>AG5-AE5</f>
        <v/>
      </c>
      <c r="AJ5" s="309">
        <f>IF(AE5=0,"***",AI5/AE5)</f>
        <v/>
      </c>
      <c r="AK5" s="305" t="n">
        <v>91866</v>
      </c>
      <c r="AL5" s="306" t="n">
        <v>86678</v>
      </c>
      <c r="AM5" s="307" t="n">
        <v>89600</v>
      </c>
      <c r="AN5" s="306" t="n">
        <v>90533</v>
      </c>
      <c r="AO5" s="357">
        <f>AN5-AM5</f>
        <v/>
      </c>
      <c r="AP5" s="357">
        <f>AN5-AL5</f>
        <v/>
      </c>
      <c r="AQ5" s="309">
        <f>IF(AL5=0,"***",AP5/AL5)</f>
        <v/>
      </c>
      <c r="AR5" s="310" t="n">
        <v>23668</v>
      </c>
      <c r="AS5" s="368" t="n">
        <v>25002</v>
      </c>
      <c r="AT5" s="307" t="n">
        <v>24580</v>
      </c>
      <c r="AU5" s="368" t="n">
        <v>25480</v>
      </c>
      <c r="AV5" s="357">
        <f>AU5-AT5</f>
        <v/>
      </c>
      <c r="AW5" s="357">
        <f>AU5-AS5</f>
        <v/>
      </c>
      <c r="AX5" s="309">
        <f>IF(AS5=0,"***",AW5/AS5)</f>
        <v/>
      </c>
      <c r="AY5" s="305" t="n">
        <v>51270</v>
      </c>
      <c r="AZ5" s="306" t="n">
        <v>56734</v>
      </c>
      <c r="BA5" s="307" t="n">
        <v>58700</v>
      </c>
      <c r="BB5" s="306" t="n">
        <v>55809</v>
      </c>
      <c r="BC5" s="357">
        <f>BB5-BA5</f>
        <v/>
      </c>
      <c r="BD5" s="357">
        <f>BB5-AZ5</f>
        <v/>
      </c>
      <c r="BE5" s="309">
        <f>IF(AZ5=0,"***",BD5/AZ5)</f>
        <v/>
      </c>
      <c r="BF5" s="310" t="n">
        <v>13178</v>
      </c>
      <c r="BG5" s="368" t="n">
        <v>15391</v>
      </c>
      <c r="BH5" s="307" t="n">
        <v>15280</v>
      </c>
      <c r="BI5" s="368" t="n">
        <v>14550</v>
      </c>
      <c r="BJ5" s="357">
        <f>BI5-BH5</f>
        <v/>
      </c>
      <c r="BK5" s="357">
        <f>BI5-BG5</f>
        <v/>
      </c>
      <c r="BL5" s="309">
        <f>IF(BG5=0,"***",BK5/BG5)</f>
        <v/>
      </c>
      <c r="BM5" s="305" t="n">
        <v>56011</v>
      </c>
      <c r="BN5" s="306" t="n">
        <v>53633</v>
      </c>
      <c r="BO5" s="307" t="n">
        <v>63700</v>
      </c>
      <c r="BP5" s="306" t="n">
        <v>62695</v>
      </c>
      <c r="BQ5" s="357">
        <f>BP5-BO5</f>
        <v/>
      </c>
      <c r="BR5" s="357">
        <f>BP5-BN5</f>
        <v/>
      </c>
      <c r="BS5" s="309">
        <f>IF(BN5=0,"***",BR5/BN5)</f>
        <v/>
      </c>
      <c r="BT5" s="310" t="n">
        <v>16465</v>
      </c>
      <c r="BU5" s="368" t="n">
        <v>14909</v>
      </c>
      <c r="BV5" s="307" t="n">
        <v>17280</v>
      </c>
      <c r="BW5" s="368" t="n">
        <v>16492</v>
      </c>
      <c r="BX5" s="357">
        <f>BW5-BV5</f>
        <v/>
      </c>
      <c r="BY5" s="357">
        <f>BW5-BU5</f>
        <v/>
      </c>
      <c r="BZ5" s="309">
        <f>IF(BU5=0,"***",BY5/BU5)</f>
        <v/>
      </c>
      <c r="CA5" s="305" t="n">
        <v>61246</v>
      </c>
      <c r="CB5" s="306" t="n">
        <v>65865</v>
      </c>
      <c r="CC5" s="307" t="n">
        <v>67300</v>
      </c>
      <c r="CD5" s="306" t="n">
        <v>66160</v>
      </c>
      <c r="CE5" s="357">
        <f>CD5-CC5</f>
        <v/>
      </c>
      <c r="CF5" s="357">
        <f>CD5-CB5</f>
        <v/>
      </c>
      <c r="CG5" s="309">
        <f>IF(CB5=0,"***",CF5/CB5)</f>
        <v/>
      </c>
      <c r="CH5" s="310" t="n">
        <v>15768</v>
      </c>
      <c r="CI5" s="368" t="n">
        <v>16972</v>
      </c>
      <c r="CJ5" s="307" t="n">
        <v>17480</v>
      </c>
      <c r="CK5" s="368" t="n">
        <v>18311</v>
      </c>
      <c r="CL5" s="357">
        <f>CK5-CJ5</f>
        <v/>
      </c>
      <c r="CM5" s="357">
        <f>CK5-CI5</f>
        <v/>
      </c>
      <c r="CN5" s="309">
        <f>IF(CI5=0,"***",CM5/CI5)</f>
        <v/>
      </c>
      <c r="CO5" s="305" t="n">
        <v>409410</v>
      </c>
      <c r="CP5" s="306" t="n">
        <v>404425</v>
      </c>
      <c r="CQ5" s="307">
        <f>K5+Y5+AM5+BA5+BO5+CC5</f>
        <v/>
      </c>
      <c r="CR5" s="306">
        <f>L5+Z5+AN5+BB5+BP5+CD5</f>
        <v/>
      </c>
      <c r="CS5" s="357">
        <f>CR5-CQ5</f>
        <v/>
      </c>
      <c r="CT5" s="357">
        <f>CR5-CP5</f>
        <v/>
      </c>
      <c r="CU5" s="309">
        <f>IF(CP5=0,"***",CT5/CP5)</f>
        <v/>
      </c>
      <c r="CV5" s="310" t="n">
        <v>112304</v>
      </c>
      <c r="CW5" s="310" t="n">
        <v>109699</v>
      </c>
      <c r="CX5" s="310">
        <f>R5+AF5+AT5+BH5+BV5+CJ5</f>
        <v/>
      </c>
      <c r="CY5" s="310">
        <f>S5+AG5+AU5+BI5+BW5+CK5</f>
        <v/>
      </c>
      <c r="CZ5" s="357">
        <f>CY5-CX5</f>
        <v/>
      </c>
      <c r="DA5" s="357">
        <f>CY5-CW5</f>
        <v/>
      </c>
      <c r="DB5" s="309">
        <f>IF(CW5=0,"***",DA5/CW5)</f>
        <v/>
      </c>
      <c r="DC5" s="311">
        <f>IF(CO5=0,"***",CV5/CO5)</f>
        <v/>
      </c>
      <c r="DD5" s="312">
        <f>IF(CP5=0,"***",CW5/CP5)</f>
        <v/>
      </c>
      <c r="DE5" s="312">
        <f>IF(CQ5=0,"***",CX5/CQ5)</f>
        <v/>
      </c>
      <c r="DF5" s="312">
        <f>IF(CR5=0,"***",CY5/CR5)</f>
        <v/>
      </c>
      <c r="DG5" s="313">
        <f>IF(DE5="***","***",DF5-DD5)</f>
        <v/>
      </c>
      <c r="DH5" s="312">
        <f>IF(DF5="***","***",DF5-DD5)</f>
        <v/>
      </c>
      <c r="DI5" s="176" t="inlineStr">
        <is>
          <t>大海移管分（22,889/3,202）はそのまま前期比プラスに寄与</t>
        </is>
      </c>
    </row>
    <row r="6">
      <c r="D6" s="8" t="n"/>
      <c r="E6" s="9" t="n"/>
      <c r="F6" s="9" t="n"/>
      <c r="G6" s="22" t="inlineStr">
        <is>
          <t>営業</t>
        </is>
      </c>
      <c r="H6" s="23" t="n"/>
      <c r="I6" s="314">
        <f>I5-I9</f>
        <v/>
      </c>
      <c r="J6" s="315">
        <f>J5-J9</f>
        <v/>
      </c>
      <c r="K6" s="316">
        <f>K5-K9</f>
        <v/>
      </c>
      <c r="L6" s="315">
        <f>L5-L9</f>
        <v/>
      </c>
      <c r="M6" s="315">
        <f>L6-K6</f>
        <v/>
      </c>
      <c r="N6" s="315">
        <f>L6-J6</f>
        <v/>
      </c>
      <c r="O6" s="318">
        <f>IF(J6=0,"***",N6/J6)</f>
        <v/>
      </c>
      <c r="P6" s="314">
        <f>P5-P9</f>
        <v/>
      </c>
      <c r="Q6" s="315">
        <f>Q5-Q9</f>
        <v/>
      </c>
      <c r="R6" s="316">
        <f>R5-R9</f>
        <v/>
      </c>
      <c r="S6" s="315">
        <f>S5-S9</f>
        <v/>
      </c>
      <c r="T6" s="315">
        <f>S6-R6</f>
        <v/>
      </c>
      <c r="U6" s="315">
        <f>S6-Q6</f>
        <v/>
      </c>
      <c r="V6" s="318">
        <f>IF(Q6=0,"***",U6/Q6)</f>
        <v/>
      </c>
      <c r="W6" s="314">
        <f>W5-W9</f>
        <v/>
      </c>
      <c r="X6" s="315">
        <f>X5-X9</f>
        <v/>
      </c>
      <c r="Y6" s="316">
        <f>Y5-Y9</f>
        <v/>
      </c>
      <c r="Z6" s="315">
        <f>Z5-Z9</f>
        <v/>
      </c>
      <c r="AA6" s="315">
        <f>Z6-Y6</f>
        <v/>
      </c>
      <c r="AB6" s="315">
        <f>Z6-X6</f>
        <v/>
      </c>
      <c r="AC6" s="318">
        <f>IF(X6=0,"***",AB6/X6)</f>
        <v/>
      </c>
      <c r="AD6" s="314">
        <f>AD5-AD9</f>
        <v/>
      </c>
      <c r="AE6" s="315">
        <f>AE5-AE9</f>
        <v/>
      </c>
      <c r="AF6" s="316">
        <f>AF5-AF9</f>
        <v/>
      </c>
      <c r="AG6" s="315">
        <f>AG5-AG9</f>
        <v/>
      </c>
      <c r="AH6" s="315">
        <f>AG6-AF6</f>
        <v/>
      </c>
      <c r="AI6" s="315">
        <f>AG6-AE6</f>
        <v/>
      </c>
      <c r="AJ6" s="318">
        <f>IF(AE6=0,"***",AI6/AE6)</f>
        <v/>
      </c>
      <c r="AK6" s="314">
        <f>AK5-AK9</f>
        <v/>
      </c>
      <c r="AL6" s="315">
        <f>AL5-AL9</f>
        <v/>
      </c>
      <c r="AM6" s="316">
        <f>AM5-AM9</f>
        <v/>
      </c>
      <c r="AN6" s="315">
        <f>AN5-AN9</f>
        <v/>
      </c>
      <c r="AO6" s="315">
        <f>AN6-AM6</f>
        <v/>
      </c>
      <c r="AP6" s="315">
        <f>AN6-AL6</f>
        <v/>
      </c>
      <c r="AQ6" s="318">
        <f>IF(AL6=0,"***",AP6/AL6)</f>
        <v/>
      </c>
      <c r="AR6" s="314">
        <f>AR5-AR9</f>
        <v/>
      </c>
      <c r="AS6" s="315">
        <f>AS5-AS9</f>
        <v/>
      </c>
      <c r="AT6" s="316">
        <f>AT5-AT9</f>
        <v/>
      </c>
      <c r="AU6" s="315">
        <f>AU5-AU9</f>
        <v/>
      </c>
      <c r="AV6" s="315">
        <f>AU6-AT6</f>
        <v/>
      </c>
      <c r="AW6" s="315">
        <f>AU6-AS6</f>
        <v/>
      </c>
      <c r="AX6" s="318">
        <f>IF(AS6=0,"***",AW6/AS6)</f>
        <v/>
      </c>
      <c r="AY6" s="314">
        <f>AY5-AY9</f>
        <v/>
      </c>
      <c r="AZ6" s="315">
        <f>AZ5-AZ9</f>
        <v/>
      </c>
      <c r="BA6" s="316">
        <f>BA5-BA9</f>
        <v/>
      </c>
      <c r="BB6" s="315">
        <f>BB5-BB9</f>
        <v/>
      </c>
      <c r="BC6" s="315">
        <f>BB6-BA6</f>
        <v/>
      </c>
      <c r="BD6" s="315">
        <f>BB6-AZ6</f>
        <v/>
      </c>
      <c r="BE6" s="318">
        <f>IF(AZ6=0,"***",BD6/AZ6)</f>
        <v/>
      </c>
      <c r="BF6" s="314">
        <f>BF5-BF9</f>
        <v/>
      </c>
      <c r="BG6" s="315">
        <f>BG5-BG9</f>
        <v/>
      </c>
      <c r="BH6" s="316">
        <f>BH5-BH9</f>
        <v/>
      </c>
      <c r="BI6" s="315">
        <f>BI5-BI9</f>
        <v/>
      </c>
      <c r="BJ6" s="315">
        <f>BI6-BH6</f>
        <v/>
      </c>
      <c r="BK6" s="315">
        <f>BI6-BG6</f>
        <v/>
      </c>
      <c r="BL6" s="318">
        <f>IF(BG6=0,"***",BK6/BG6)</f>
        <v/>
      </c>
      <c r="BM6" s="314">
        <f>BM5-BM9</f>
        <v/>
      </c>
      <c r="BN6" s="315">
        <f>BN5-BN9</f>
        <v/>
      </c>
      <c r="BO6" s="316">
        <f>BO5-BO9</f>
        <v/>
      </c>
      <c r="BP6" s="315">
        <f>BP5-BP9</f>
        <v/>
      </c>
      <c r="BQ6" s="315">
        <f>BP6-BO6</f>
        <v/>
      </c>
      <c r="BR6" s="315">
        <f>BP6-BN6</f>
        <v/>
      </c>
      <c r="BS6" s="318">
        <f>IF(BN6=0,"***",BR6/BN6)</f>
        <v/>
      </c>
      <c r="BT6" s="314">
        <f>BT5-BT9</f>
        <v/>
      </c>
      <c r="BU6" s="315">
        <f>BU5-BU9</f>
        <v/>
      </c>
      <c r="BV6" s="316">
        <f>BV5-BV9</f>
        <v/>
      </c>
      <c r="BW6" s="315">
        <f>BW5-BW9</f>
        <v/>
      </c>
      <c r="BX6" s="315">
        <f>BW6-BV6</f>
        <v/>
      </c>
      <c r="BY6" s="315">
        <f>BW6-BU6</f>
        <v/>
      </c>
      <c r="BZ6" s="318">
        <f>IF(BU6=0,"***",BY6/BU6)</f>
        <v/>
      </c>
      <c r="CA6" s="314">
        <f>CA5-CA9</f>
        <v/>
      </c>
      <c r="CB6" s="315">
        <f>CB5-CB9</f>
        <v/>
      </c>
      <c r="CC6" s="316">
        <f>CC5-CC9</f>
        <v/>
      </c>
      <c r="CD6" s="315">
        <f>CD5-CD9</f>
        <v/>
      </c>
      <c r="CE6" s="315">
        <f>CD6-CC6</f>
        <v/>
      </c>
      <c r="CF6" s="315">
        <f>CD6-CB6</f>
        <v/>
      </c>
      <c r="CG6" s="318">
        <f>IF(CB6=0,"***",CF6/CB6)</f>
        <v/>
      </c>
      <c r="CH6" s="314">
        <f>CH5-CH9</f>
        <v/>
      </c>
      <c r="CI6" s="315">
        <f>CI5-CI9</f>
        <v/>
      </c>
      <c r="CJ6" s="316">
        <f>CJ5-CJ9</f>
        <v/>
      </c>
      <c r="CK6" s="315">
        <f>CK5-CK9</f>
        <v/>
      </c>
      <c r="CL6" s="315">
        <f>CK6-CJ6</f>
        <v/>
      </c>
      <c r="CM6" s="315">
        <f>CK6-CI6</f>
        <v/>
      </c>
      <c r="CN6" s="318">
        <f>IF(CI6=0,"***",CM6/CI6)</f>
        <v/>
      </c>
      <c r="CO6" s="314">
        <f>CO5-CO9</f>
        <v/>
      </c>
      <c r="CP6" s="315">
        <f>CP5-CP9</f>
        <v/>
      </c>
      <c r="CQ6" s="316">
        <f>CQ5-CQ9</f>
        <v/>
      </c>
      <c r="CR6" s="315">
        <f>CR5-CR9</f>
        <v/>
      </c>
      <c r="CS6" s="315">
        <f>CR6-CQ6</f>
        <v/>
      </c>
      <c r="CT6" s="315">
        <f>CR6-CP6</f>
        <v/>
      </c>
      <c r="CU6" s="318">
        <f>IF(CP6=0,"***",CT6/CP6)</f>
        <v/>
      </c>
      <c r="CV6" s="314">
        <f>CV5-CV9</f>
        <v/>
      </c>
      <c r="CW6" s="315">
        <f>CW5-CW9</f>
        <v/>
      </c>
      <c r="CX6" s="316">
        <f>CX5-CX9</f>
        <v/>
      </c>
      <c r="CY6" s="315">
        <f>CY5-CY9</f>
        <v/>
      </c>
      <c r="CZ6" s="315">
        <f>CY6-CX6</f>
        <v/>
      </c>
      <c r="DA6" s="315">
        <f>CY6-CW6</f>
        <v/>
      </c>
      <c r="DB6" s="318">
        <f>IF(CW6=0,"***",DA6/CW6)</f>
        <v/>
      </c>
      <c r="DC6" s="319">
        <f>IF(CO6=0,"***",CV6/CO6)</f>
        <v/>
      </c>
      <c r="DD6" s="320">
        <f>IF(CP6=0,"***",CW6/CP6)</f>
        <v/>
      </c>
      <c r="DE6" s="320">
        <f>IF(CQ6=0,"***",CX6/CQ6)</f>
        <v/>
      </c>
      <c r="DF6" s="320">
        <f>IF(CR6=0,"***",CY6/CR6)</f>
        <v/>
      </c>
      <c r="DG6" s="321">
        <f>IF(DE6="***","***",DF6-DD6)</f>
        <v/>
      </c>
      <c r="DH6" s="320">
        <f>IF(DF6="***","***",DF6-DD6)</f>
        <v/>
      </c>
      <c r="DI6" s="31" t="n"/>
    </row>
    <row r="7">
      <c r="D7" s="8" t="n"/>
      <c r="E7" s="9" t="n"/>
      <c r="F7" s="9" t="n"/>
      <c r="G7" s="32" t="n"/>
      <c r="H7" s="33" t="inlineStr">
        <is>
          <t>包装資材</t>
        </is>
      </c>
      <c r="I7" s="314">
        <f>I6-I8</f>
        <v/>
      </c>
      <c r="J7" s="315">
        <f>J6-J8</f>
        <v/>
      </c>
      <c r="K7" s="316">
        <f>K6-K8</f>
        <v/>
      </c>
      <c r="L7" s="315">
        <f>L6-L8</f>
        <v/>
      </c>
      <c r="M7" s="315">
        <f>L7-K7</f>
        <v/>
      </c>
      <c r="N7" s="315">
        <f>L7-J7</f>
        <v/>
      </c>
      <c r="O7" s="318">
        <f>IF(J7=0,"***",N7/J7)</f>
        <v/>
      </c>
      <c r="P7" s="314">
        <f>P6-P8</f>
        <v/>
      </c>
      <c r="Q7" s="315">
        <f>Q6-Q8</f>
        <v/>
      </c>
      <c r="R7" s="316">
        <f>R6-R8</f>
        <v/>
      </c>
      <c r="S7" s="315">
        <f>S6-S8</f>
        <v/>
      </c>
      <c r="T7" s="315">
        <f>S7-R7</f>
        <v/>
      </c>
      <c r="U7" s="315">
        <f>S7-Q7</f>
        <v/>
      </c>
      <c r="V7" s="318">
        <f>IF(Q7=0,"***",U7/Q7)</f>
        <v/>
      </c>
      <c r="W7" s="314">
        <f>W6-W8</f>
        <v/>
      </c>
      <c r="X7" s="315">
        <f>X6-X8</f>
        <v/>
      </c>
      <c r="Y7" s="316">
        <f>Y6-Y8</f>
        <v/>
      </c>
      <c r="Z7" s="315">
        <f>Z6-Z8</f>
        <v/>
      </c>
      <c r="AA7" s="315">
        <f>Z7-Y7</f>
        <v/>
      </c>
      <c r="AB7" s="315">
        <f>Z7-X7</f>
        <v/>
      </c>
      <c r="AC7" s="318">
        <f>IF(X7=0,"***",AB7/X7)</f>
        <v/>
      </c>
      <c r="AD7" s="314">
        <f>AD6-AD8</f>
        <v/>
      </c>
      <c r="AE7" s="315">
        <f>AE6-AE8</f>
        <v/>
      </c>
      <c r="AF7" s="316">
        <f>AF6-AF8</f>
        <v/>
      </c>
      <c r="AG7" s="315">
        <f>AG6-AG8</f>
        <v/>
      </c>
      <c r="AH7" s="315">
        <f>AG7-AF7</f>
        <v/>
      </c>
      <c r="AI7" s="315">
        <f>AG7-AE7</f>
        <v/>
      </c>
      <c r="AJ7" s="318">
        <f>IF(AE7=0,"***",AI7/AE7)</f>
        <v/>
      </c>
      <c r="AK7" s="314">
        <f>AK6-AK8</f>
        <v/>
      </c>
      <c r="AL7" s="315">
        <f>AL6-AL8</f>
        <v/>
      </c>
      <c r="AM7" s="316">
        <f>AM6-AM8</f>
        <v/>
      </c>
      <c r="AN7" s="315">
        <f>AN6-AN8</f>
        <v/>
      </c>
      <c r="AO7" s="315">
        <f>AN7-AM7</f>
        <v/>
      </c>
      <c r="AP7" s="315">
        <f>AN7-AL7</f>
        <v/>
      </c>
      <c r="AQ7" s="318">
        <f>IF(AL7=0,"***",AP7/AL7)</f>
        <v/>
      </c>
      <c r="AR7" s="314">
        <f>AR6-AR8</f>
        <v/>
      </c>
      <c r="AS7" s="315">
        <f>AS6-AS8</f>
        <v/>
      </c>
      <c r="AT7" s="316">
        <f>AT6-AT8</f>
        <v/>
      </c>
      <c r="AU7" s="315">
        <f>AU6-AU8</f>
        <v/>
      </c>
      <c r="AV7" s="315">
        <f>AU7-AT7</f>
        <v/>
      </c>
      <c r="AW7" s="315">
        <f>AU7-AS7</f>
        <v/>
      </c>
      <c r="AX7" s="318">
        <f>IF(AS7=0,"***",AW7/AS7)</f>
        <v/>
      </c>
      <c r="AY7" s="314">
        <f>AY6-AY8</f>
        <v/>
      </c>
      <c r="AZ7" s="315">
        <f>AZ6-AZ8</f>
        <v/>
      </c>
      <c r="BA7" s="316">
        <f>BA6-BA8</f>
        <v/>
      </c>
      <c r="BB7" s="315">
        <f>BB6-BB8</f>
        <v/>
      </c>
      <c r="BC7" s="315">
        <f>BB7-BA7</f>
        <v/>
      </c>
      <c r="BD7" s="315">
        <f>BB7-AZ7</f>
        <v/>
      </c>
      <c r="BE7" s="318">
        <f>IF(AZ7=0,"***",BD7/AZ7)</f>
        <v/>
      </c>
      <c r="BF7" s="314">
        <f>BF6-BF8</f>
        <v/>
      </c>
      <c r="BG7" s="315">
        <f>BG6-BG8</f>
        <v/>
      </c>
      <c r="BH7" s="316">
        <f>BH6-BH8</f>
        <v/>
      </c>
      <c r="BI7" s="315">
        <f>BI6-BI8</f>
        <v/>
      </c>
      <c r="BJ7" s="315">
        <f>BI7-BH7</f>
        <v/>
      </c>
      <c r="BK7" s="315">
        <f>BI7-BG7</f>
        <v/>
      </c>
      <c r="BL7" s="318">
        <f>IF(BG7=0,"***",BK7/BG7)</f>
        <v/>
      </c>
      <c r="BM7" s="314">
        <f>BM6-BM8</f>
        <v/>
      </c>
      <c r="BN7" s="315">
        <f>BN6-BN8</f>
        <v/>
      </c>
      <c r="BO7" s="316">
        <f>BO6-BO8</f>
        <v/>
      </c>
      <c r="BP7" s="315">
        <f>BP6-BP8</f>
        <v/>
      </c>
      <c r="BQ7" s="315">
        <f>BP7-BO7</f>
        <v/>
      </c>
      <c r="BR7" s="315">
        <f>BP7-BN7</f>
        <v/>
      </c>
      <c r="BS7" s="318">
        <f>IF(BN7=0,"***",BR7/BN7)</f>
        <v/>
      </c>
      <c r="BT7" s="314">
        <f>BT6-BT8</f>
        <v/>
      </c>
      <c r="BU7" s="315">
        <f>BU6-BU8</f>
        <v/>
      </c>
      <c r="BV7" s="316">
        <f>BV6-BV8</f>
        <v/>
      </c>
      <c r="BW7" s="315">
        <f>BW6-BW8</f>
        <v/>
      </c>
      <c r="BX7" s="315">
        <f>BW7-BV7</f>
        <v/>
      </c>
      <c r="BY7" s="315">
        <f>BW7-BU7</f>
        <v/>
      </c>
      <c r="BZ7" s="318">
        <f>IF(BU7=0,"***",BY7/BU7)</f>
        <v/>
      </c>
      <c r="CA7" s="314">
        <f>CA6-CA8</f>
        <v/>
      </c>
      <c r="CB7" s="315">
        <f>CB6-CB8</f>
        <v/>
      </c>
      <c r="CC7" s="316">
        <f>CC6-CC8</f>
        <v/>
      </c>
      <c r="CD7" s="315">
        <f>CD6-CD8</f>
        <v/>
      </c>
      <c r="CE7" s="315">
        <f>CD7-CC7</f>
        <v/>
      </c>
      <c r="CF7" s="315">
        <f>CD7-CB7</f>
        <v/>
      </c>
      <c r="CG7" s="318">
        <f>IF(CB7=0,"***",CF7/CB7)</f>
        <v/>
      </c>
      <c r="CH7" s="314">
        <f>CH6-CH8</f>
        <v/>
      </c>
      <c r="CI7" s="315">
        <f>CI6-CI8</f>
        <v/>
      </c>
      <c r="CJ7" s="316">
        <f>CJ6-CJ8</f>
        <v/>
      </c>
      <c r="CK7" s="315">
        <f>CK6-CK8</f>
        <v/>
      </c>
      <c r="CL7" s="315">
        <f>CK7-CJ7</f>
        <v/>
      </c>
      <c r="CM7" s="315">
        <f>CK7-CI7</f>
        <v/>
      </c>
      <c r="CN7" s="318">
        <f>IF(CI7=0,"***",CM7/CI7)</f>
        <v/>
      </c>
      <c r="CO7" s="314">
        <f>CO6-CO8</f>
        <v/>
      </c>
      <c r="CP7" s="315">
        <f>CP6-CP8</f>
        <v/>
      </c>
      <c r="CQ7" s="316">
        <f>CQ6-CQ8</f>
        <v/>
      </c>
      <c r="CR7" s="315">
        <f>CR6-CR8</f>
        <v/>
      </c>
      <c r="CS7" s="315">
        <f>CR7-CQ7</f>
        <v/>
      </c>
      <c r="CT7" s="315">
        <f>CR7-CP7</f>
        <v/>
      </c>
      <c r="CU7" s="318">
        <f>IF(CP7=0,"***",CT7/CP7)</f>
        <v/>
      </c>
      <c r="CV7" s="314">
        <f>CV6-CV8</f>
        <v/>
      </c>
      <c r="CW7" s="315">
        <f>CW6-CW8</f>
        <v/>
      </c>
      <c r="CX7" s="316">
        <f>CX6-CX8</f>
        <v/>
      </c>
      <c r="CY7" s="315">
        <f>CY6-CY8</f>
        <v/>
      </c>
      <c r="CZ7" s="315">
        <f>CY7-CX7</f>
        <v/>
      </c>
      <c r="DA7" s="315">
        <f>CY7-CW7</f>
        <v/>
      </c>
      <c r="DB7" s="318">
        <f>IF(CW7=0,"***",DA7/CW7)</f>
        <v/>
      </c>
      <c r="DC7" s="319">
        <f>IF(CO7=0,"***",CV7/CO7)</f>
        <v/>
      </c>
      <c r="DD7" s="320">
        <f>IF(CP7=0,"***",CW7/CP7)</f>
        <v/>
      </c>
      <c r="DE7" s="320">
        <f>IF(CQ7=0,"***",CX7/CQ7)</f>
        <v/>
      </c>
      <c r="DF7" s="320">
        <f>IF(CR7=0,"***",CY7/CR7)</f>
        <v/>
      </c>
      <c r="DG7" s="321">
        <f>IF(DE7="***","***",DF7-DD7)</f>
        <v/>
      </c>
      <c r="DH7" s="320">
        <f>IF(DF7="***","***",DF7-DD7)</f>
        <v/>
      </c>
      <c r="DI7" s="31" t="n"/>
    </row>
    <row r="8">
      <c r="D8" s="8" t="n"/>
      <c r="E8" s="9" t="n"/>
      <c r="F8" s="9" t="n"/>
      <c r="G8" s="177" t="n"/>
      <c r="H8" s="178" t="inlineStr">
        <is>
          <t>機械</t>
        </is>
      </c>
      <c r="I8" s="322" t="n">
        <v>4052</v>
      </c>
      <c r="J8" s="323" t="n">
        <v>4720</v>
      </c>
      <c r="K8" s="324" t="n">
        <v>4000</v>
      </c>
      <c r="L8" s="323" t="n">
        <v>2322</v>
      </c>
      <c r="M8" s="487">
        <f>L8-K8</f>
        <v/>
      </c>
      <c r="N8" s="487">
        <f>L8-J8</f>
        <v/>
      </c>
      <c r="O8" s="326">
        <f>IF(J8=0,"***",N8/J8)</f>
        <v/>
      </c>
      <c r="P8" s="327" t="n">
        <v>1052</v>
      </c>
      <c r="Q8" s="328" t="n">
        <v>879</v>
      </c>
      <c r="R8" s="324" t="n">
        <v>640</v>
      </c>
      <c r="S8" s="328" t="n">
        <v>399</v>
      </c>
      <c r="T8" s="487">
        <f>S8-R8</f>
        <v/>
      </c>
      <c r="U8" s="487">
        <f>S8-Q8</f>
        <v/>
      </c>
      <c r="V8" s="326">
        <f>IF(Q8=0,"***",U8/Q8)</f>
        <v/>
      </c>
      <c r="W8" s="322" t="n">
        <v>8505</v>
      </c>
      <c r="X8" s="323" t="n">
        <v>2337</v>
      </c>
      <c r="Y8" s="324" t="n">
        <v>4000</v>
      </c>
      <c r="Z8" s="323" t="n">
        <v>1052</v>
      </c>
      <c r="AA8" s="487">
        <f>Z8-Y8</f>
        <v/>
      </c>
      <c r="AB8" s="487">
        <f>Z8-X8</f>
        <v/>
      </c>
      <c r="AC8" s="326">
        <f>IF(X8=0,"***",AB8/X8)</f>
        <v/>
      </c>
      <c r="AD8" s="327" t="n">
        <v>1294</v>
      </c>
      <c r="AE8" s="328" t="n">
        <v>517</v>
      </c>
      <c r="AF8" s="324" t="n">
        <v>640</v>
      </c>
      <c r="AG8" s="328" t="n">
        <v>219</v>
      </c>
      <c r="AH8" s="487">
        <f>AG8-AF8</f>
        <v/>
      </c>
      <c r="AI8" s="487">
        <f>AG8-AE8</f>
        <v/>
      </c>
      <c r="AJ8" s="326">
        <f>IF(AE8=0,"***",AI8/AE8)</f>
        <v/>
      </c>
      <c r="AK8" s="322" t="n">
        <v>15244</v>
      </c>
      <c r="AL8" s="323" t="n">
        <v>6064</v>
      </c>
      <c r="AM8" s="324" t="n">
        <v>4000</v>
      </c>
      <c r="AN8" s="323" t="n">
        <v>1496</v>
      </c>
      <c r="AO8" s="487">
        <f>AN8-AM8</f>
        <v/>
      </c>
      <c r="AP8" s="487">
        <f>AN8-AL8</f>
        <v/>
      </c>
      <c r="AQ8" s="326">
        <f>IF(AL8=0,"***",AP8/AL8)</f>
        <v/>
      </c>
      <c r="AR8" s="327" t="n">
        <v>2739</v>
      </c>
      <c r="AS8" s="328" t="n">
        <v>907</v>
      </c>
      <c r="AT8" s="324" t="n">
        <v>640</v>
      </c>
      <c r="AU8" s="328" t="n">
        <v>413</v>
      </c>
      <c r="AV8" s="487">
        <f>AU8-AT8</f>
        <v/>
      </c>
      <c r="AW8" s="487">
        <f>AU8-AS8</f>
        <v/>
      </c>
      <c r="AX8" s="326">
        <f>IF(AS8=0,"***",AW8/AS8)</f>
        <v/>
      </c>
      <c r="AY8" s="322" t="n">
        <v>6195</v>
      </c>
      <c r="AZ8" s="323" t="n">
        <v>5408</v>
      </c>
      <c r="BA8" s="324" t="n">
        <v>4000</v>
      </c>
      <c r="BB8" s="323" t="n">
        <v>2874</v>
      </c>
      <c r="BC8" s="487">
        <f>BB8-BA8</f>
        <v/>
      </c>
      <c r="BD8" s="487">
        <f>BB8-AZ8</f>
        <v/>
      </c>
      <c r="BE8" s="326">
        <f>IF(AZ8=0,"***",BD8/AZ8)</f>
        <v/>
      </c>
      <c r="BF8" s="327" t="n">
        <v>835</v>
      </c>
      <c r="BG8" s="328" t="n">
        <v>1183</v>
      </c>
      <c r="BH8" s="324" t="n">
        <v>640</v>
      </c>
      <c r="BI8" s="328" t="n">
        <v>493</v>
      </c>
      <c r="BJ8" s="487">
        <f>BI8-BH8</f>
        <v/>
      </c>
      <c r="BK8" s="487">
        <f>BI8-BG8</f>
        <v/>
      </c>
      <c r="BL8" s="326">
        <f>IF(BG8=0,"***",BK8/BG8)</f>
        <v/>
      </c>
      <c r="BM8" s="322" t="n">
        <v>1035</v>
      </c>
      <c r="BN8" s="323" t="n">
        <v>2470</v>
      </c>
      <c r="BO8" s="324" t="n">
        <v>4000</v>
      </c>
      <c r="BP8" s="323" t="n">
        <v>2024</v>
      </c>
      <c r="BQ8" s="487">
        <f>BP8-BO8</f>
        <v/>
      </c>
      <c r="BR8" s="487">
        <f>BP8-BN8</f>
        <v/>
      </c>
      <c r="BS8" s="326">
        <f>IF(BN8=0,"***",BR8/BN8)</f>
        <v/>
      </c>
      <c r="BT8" s="327" t="n">
        <v>324</v>
      </c>
      <c r="BU8" s="328" t="n">
        <v>557</v>
      </c>
      <c r="BV8" s="324" t="n">
        <v>640</v>
      </c>
      <c r="BW8" s="328" t="n">
        <v>415</v>
      </c>
      <c r="BX8" s="487">
        <f>BW8-BV8</f>
        <v/>
      </c>
      <c r="BY8" s="487">
        <f>BW8-BU8</f>
        <v/>
      </c>
      <c r="BZ8" s="326">
        <f>IF(BU8=0,"***",BY8/BU8)</f>
        <v/>
      </c>
      <c r="CA8" s="322" t="n">
        <v>3076</v>
      </c>
      <c r="CB8" s="323" t="n">
        <v>1458</v>
      </c>
      <c r="CC8" s="324" t="n">
        <v>4000</v>
      </c>
      <c r="CD8" s="323" t="n">
        <v>1270</v>
      </c>
      <c r="CE8" s="487">
        <f>CD8-CC8</f>
        <v/>
      </c>
      <c r="CF8" s="487">
        <f>CD8-CB8</f>
        <v/>
      </c>
      <c r="CG8" s="326">
        <f>IF(CB8=0,"***",CF8/CB8)</f>
        <v/>
      </c>
      <c r="CH8" s="327" t="n">
        <v>633</v>
      </c>
      <c r="CI8" s="328" t="n">
        <v>212</v>
      </c>
      <c r="CJ8" s="324" t="n">
        <v>640</v>
      </c>
      <c r="CK8" s="328" t="n">
        <v>282</v>
      </c>
      <c r="CL8" s="487">
        <f>CK8-CJ8</f>
        <v/>
      </c>
      <c r="CM8" s="487">
        <f>CK8-CI8</f>
        <v/>
      </c>
      <c r="CN8" s="326">
        <f>IF(CI8=0,"***",CM8/CI8)</f>
        <v/>
      </c>
      <c r="CO8" s="322">
        <f>I8+W8+AK8+AY8+BM8+CA8</f>
        <v/>
      </c>
      <c r="CP8" s="323">
        <f>J8+X8+AL8+AZ8+BN8+CB8</f>
        <v/>
      </c>
      <c r="CQ8" s="324">
        <f>K8+Y8+AM8+BA8+BO8+CC8</f>
        <v/>
      </c>
      <c r="CR8" s="323">
        <f>L8+Z8+AN8+BB8+BP8+CD8</f>
        <v/>
      </c>
      <c r="CS8" s="487">
        <f>CR8-CQ8</f>
        <v/>
      </c>
      <c r="CT8" s="487">
        <f>CR8-CP8</f>
        <v/>
      </c>
      <c r="CU8" s="326">
        <f>IF(CP8=0,"***",CT8/CP8)</f>
        <v/>
      </c>
      <c r="CV8" s="327">
        <f>P8+AD8+AR8+BF8+BT8+CH8</f>
        <v/>
      </c>
      <c r="CW8" s="328">
        <f>Q8+AE8+AS8+BG8+BU8+CI8</f>
        <v/>
      </c>
      <c r="CX8" s="324">
        <f>R8+AF8+AT8+BH8+BV8+CJ8</f>
        <v/>
      </c>
      <c r="CY8" s="328">
        <f>S8+AG8+AU8+BI8+BW8+CK8</f>
        <v/>
      </c>
      <c r="CZ8" s="487">
        <f>CY8-CX8</f>
        <v/>
      </c>
      <c r="DA8" s="487">
        <f>CY8-CW8</f>
        <v/>
      </c>
      <c r="DB8" s="326">
        <f>IF(CW8=0,"***",DA8/CW8)</f>
        <v/>
      </c>
      <c r="DC8" s="329">
        <f>IF(CO8=0,"***",CV8/CO8)</f>
        <v/>
      </c>
      <c r="DD8" s="330">
        <f>IF(CP8=0,"***",CW8/CP8)</f>
        <v/>
      </c>
      <c r="DE8" s="330">
        <f>IF(CQ8=0,"***",CX8/CQ8)</f>
        <v/>
      </c>
      <c r="DF8" s="330">
        <f>IF(CR8=0,"***",CY8/CR8)</f>
        <v/>
      </c>
      <c r="DG8" s="331">
        <f>IF(DE8="***","***",DF8-DD8)</f>
        <v/>
      </c>
      <c r="DH8" s="330">
        <f>IF(DF8="***","***",DF8-DD8)</f>
        <v/>
      </c>
      <c r="DI8" s="45" t="n"/>
    </row>
    <row r="9">
      <c r="D9" s="8" t="n"/>
      <c r="E9" s="9" t="n"/>
      <c r="F9" s="179" t="n"/>
      <c r="G9" s="180" t="inlineStr">
        <is>
          <t>自治体</t>
        </is>
      </c>
      <c r="H9" s="181" t="n"/>
      <c r="I9" s="332" t="n">
        <v>183</v>
      </c>
      <c r="J9" s="333" t="n">
        <v>255</v>
      </c>
      <c r="K9" s="334" t="n">
        <v>1340</v>
      </c>
      <c r="L9" s="333" t="n">
        <v>0</v>
      </c>
      <c r="M9" s="379">
        <f>L9-K9</f>
        <v/>
      </c>
      <c r="N9" s="379">
        <f>L9-J9</f>
        <v/>
      </c>
      <c r="O9" s="336">
        <f>IF(J9=0,"***",N9/J9)</f>
        <v/>
      </c>
      <c r="P9" s="337" t="n">
        <v>183</v>
      </c>
      <c r="Q9" s="338" t="n">
        <v>48</v>
      </c>
      <c r="R9" s="334" t="n">
        <v>210</v>
      </c>
      <c r="S9" s="338" t="n">
        <v>0</v>
      </c>
      <c r="T9" s="379">
        <f>S9-R9</f>
        <v/>
      </c>
      <c r="U9" s="379">
        <f>S9-Q9</f>
        <v/>
      </c>
      <c r="V9" s="336">
        <f>IF(Q9=0,"***",U9/Q9)</f>
        <v/>
      </c>
      <c r="W9" s="332" t="n">
        <v>2103</v>
      </c>
      <c r="X9" s="333" t="n">
        <v>0</v>
      </c>
      <c r="Y9" s="334" t="n">
        <v>1340</v>
      </c>
      <c r="Z9" s="333" t="n">
        <v>11223</v>
      </c>
      <c r="AA9" s="379">
        <f>Z9-Y9</f>
        <v/>
      </c>
      <c r="AB9" s="379">
        <f>Z9-X9</f>
        <v/>
      </c>
      <c r="AC9" s="336">
        <f>IF(X9=0,"***",AB9/X9)</f>
        <v/>
      </c>
      <c r="AD9" s="337" t="n">
        <v>503</v>
      </c>
      <c r="AE9" s="338" t="n">
        <v>0</v>
      </c>
      <c r="AF9" s="334" t="n">
        <v>210</v>
      </c>
      <c r="AG9" s="338" t="n">
        <v>564</v>
      </c>
      <c r="AH9" s="379">
        <f>AG9-AF9</f>
        <v/>
      </c>
      <c r="AI9" s="379">
        <f>AG9-AE9</f>
        <v/>
      </c>
      <c r="AJ9" s="336">
        <f>IF(AE9=0,"***",AI9/AE9)</f>
        <v/>
      </c>
      <c r="AK9" s="332" t="n">
        <v>183</v>
      </c>
      <c r="AL9" s="333" t="n">
        <v>0</v>
      </c>
      <c r="AM9" s="334" t="n">
        <v>1340</v>
      </c>
      <c r="AN9" s="333" t="n">
        <v>0</v>
      </c>
      <c r="AO9" s="379">
        <f>AN9-AM9</f>
        <v/>
      </c>
      <c r="AP9" s="379">
        <f>AN9-AL9</f>
        <v/>
      </c>
      <c r="AQ9" s="336">
        <f>IF(AL9=0,"***",AP9/AL9)</f>
        <v/>
      </c>
      <c r="AR9" s="337" t="n">
        <v>183</v>
      </c>
      <c r="AS9" s="338" t="n">
        <v>0</v>
      </c>
      <c r="AT9" s="334" t="n">
        <v>210</v>
      </c>
      <c r="AU9" s="338" t="n">
        <v>0</v>
      </c>
      <c r="AV9" s="379">
        <f>AU9-AT9</f>
        <v/>
      </c>
      <c r="AW9" s="379">
        <f>AU9-AS9</f>
        <v/>
      </c>
      <c r="AX9" s="336">
        <f>IF(AS9=0,"***",AW9/AS9)</f>
        <v/>
      </c>
      <c r="AY9" s="332" t="n">
        <v>183</v>
      </c>
      <c r="AZ9" s="333" t="n">
        <v>920</v>
      </c>
      <c r="BA9" s="334" t="n">
        <v>1340</v>
      </c>
      <c r="BB9" s="333" t="n">
        <v>64</v>
      </c>
      <c r="BC9" s="379">
        <f>BB9-BA9</f>
        <v/>
      </c>
      <c r="BD9" s="379">
        <f>BB9-AZ9</f>
        <v/>
      </c>
      <c r="BE9" s="336">
        <f>IF(AZ9=0,"***",BD9/AZ9)</f>
        <v/>
      </c>
      <c r="BF9" s="337" t="n">
        <v>183</v>
      </c>
      <c r="BG9" s="338" t="n">
        <v>83</v>
      </c>
      <c r="BH9" s="334" t="n">
        <v>210</v>
      </c>
      <c r="BI9" s="338" t="n">
        <v>12</v>
      </c>
      <c r="BJ9" s="379">
        <f>BI9-BH9</f>
        <v/>
      </c>
      <c r="BK9" s="379">
        <f>BI9-BG9</f>
        <v/>
      </c>
      <c r="BL9" s="336">
        <f>IF(BG9=0,"***",BK9/BG9)</f>
        <v/>
      </c>
      <c r="BM9" s="332" t="n">
        <v>229</v>
      </c>
      <c r="BN9" s="333" t="n">
        <v>407</v>
      </c>
      <c r="BO9" s="334" t="n">
        <v>1340</v>
      </c>
      <c r="BP9" s="333" t="n">
        <v>1296</v>
      </c>
      <c r="BQ9" s="379">
        <f>BP9-BO9</f>
        <v/>
      </c>
      <c r="BR9" s="379">
        <f>BP9-BN9</f>
        <v/>
      </c>
      <c r="BS9" s="336">
        <f>IF(BN9=0,"***",BR9/BN9)</f>
        <v/>
      </c>
      <c r="BT9" s="337" t="n">
        <v>493</v>
      </c>
      <c r="BU9" s="338" t="n">
        <v>114</v>
      </c>
      <c r="BV9" s="334" t="n">
        <v>210</v>
      </c>
      <c r="BW9" s="338" t="n">
        <v>168</v>
      </c>
      <c r="BX9" s="379">
        <f>BW9-BV9</f>
        <v/>
      </c>
      <c r="BY9" s="379">
        <f>BW9-BU9</f>
        <v/>
      </c>
      <c r="BZ9" s="336">
        <f>IF(BU9=0,"***",BY9/BU9)</f>
        <v/>
      </c>
      <c r="CA9" s="332" t="n">
        <v>2525</v>
      </c>
      <c r="CB9" s="333" t="n">
        <v>7125</v>
      </c>
      <c r="CC9" s="334" t="n">
        <v>1340</v>
      </c>
      <c r="CD9" s="333" t="n">
        <v>1077</v>
      </c>
      <c r="CE9" s="379">
        <f>CD9-CC9</f>
        <v/>
      </c>
      <c r="CF9" s="379">
        <f>CD9-CB9</f>
        <v/>
      </c>
      <c r="CG9" s="336">
        <f>IF(CB9=0,"***",CF9/CB9)</f>
        <v/>
      </c>
      <c r="CH9" s="337" t="n">
        <v>529</v>
      </c>
      <c r="CI9" s="338" t="n">
        <v>753</v>
      </c>
      <c r="CJ9" s="334" t="n">
        <v>210</v>
      </c>
      <c r="CK9" s="338" t="n">
        <v>160</v>
      </c>
      <c r="CL9" s="379">
        <f>CK9-CJ9</f>
        <v/>
      </c>
      <c r="CM9" s="379">
        <f>CK9-CI9</f>
        <v/>
      </c>
      <c r="CN9" s="336">
        <f>IF(CI9=0,"***",CM9/CI9)</f>
        <v/>
      </c>
      <c r="CO9" s="332">
        <f>I9+W9+AK9+AY9+BM9+CA9</f>
        <v/>
      </c>
      <c r="CP9" s="333">
        <f>J9+X9+AL9+AZ9+BN9+CB9</f>
        <v/>
      </c>
      <c r="CQ9" s="334">
        <f>K9+Y9+AM9+BA9+BO9+CC9</f>
        <v/>
      </c>
      <c r="CR9" s="333">
        <f>L9+Z9+AN9+BB9+BP9+CD9</f>
        <v/>
      </c>
      <c r="CS9" s="379">
        <f>CR9-CQ9</f>
        <v/>
      </c>
      <c r="CT9" s="379">
        <f>CR9-CP9</f>
        <v/>
      </c>
      <c r="CU9" s="336">
        <f>IF(CP9=0,"***",CT9/CP9)</f>
        <v/>
      </c>
      <c r="CV9" s="337">
        <f>P9+AD9+AR9+BF9+BT9+CH9</f>
        <v/>
      </c>
      <c r="CW9" s="338">
        <f>Q9+AE9+AS9+BG9+BU9+CI9</f>
        <v/>
      </c>
      <c r="CX9" s="334">
        <f>R9+AF9+AT9+BH9+BV9+CJ9</f>
        <v/>
      </c>
      <c r="CY9" s="338">
        <f>S9+AG9+AU9+BI9+BW9+CK9</f>
        <v/>
      </c>
      <c r="CZ9" s="379">
        <f>CY9-CX9</f>
        <v/>
      </c>
      <c r="DA9" s="379">
        <f>CY9-CW9</f>
        <v/>
      </c>
      <c r="DB9" s="336">
        <f>IF(CW9=0,"***",DA9/CW9)</f>
        <v/>
      </c>
      <c r="DC9" s="339">
        <f>IF(CO9=0,"***",CV9/CO9)</f>
        <v/>
      </c>
      <c r="DD9" s="340">
        <f>IF(CP9=0,"***",CW9/CP9)</f>
        <v/>
      </c>
      <c r="DE9" s="340">
        <f>IF(CQ9=0,"***",CX9/CQ9)</f>
        <v/>
      </c>
      <c r="DF9" s="340">
        <f>IF(CR9=0,"***",CY9/CR9)</f>
        <v/>
      </c>
      <c r="DG9" s="341">
        <f>IF(DE9="***","***",DF9-DD9)</f>
        <v/>
      </c>
      <c r="DH9" s="340">
        <f>IF(DF9="***","***",DF9-DD9)</f>
        <v/>
      </c>
      <c r="DI9" s="59" t="n"/>
    </row>
    <row r="10">
      <c r="D10" s="8" t="n"/>
      <c r="E10" s="9" t="n"/>
      <c r="F10" s="173" t="inlineStr">
        <is>
          <t>下関営業所</t>
        </is>
      </c>
      <c r="H10" s="11" t="n"/>
      <c r="I10" s="342" t="n">
        <v>83885</v>
      </c>
      <c r="J10" s="343" t="n">
        <v>46237</v>
      </c>
      <c r="K10" s="344" t="n">
        <v>49100</v>
      </c>
      <c r="L10" s="343" t="n">
        <v>49629</v>
      </c>
      <c r="M10" s="488">
        <f>L10-K10</f>
        <v/>
      </c>
      <c r="N10" s="488">
        <f>L10-J10</f>
        <v/>
      </c>
      <c r="O10" s="346">
        <f>IF(J10=0,"***",N10/J10)</f>
        <v/>
      </c>
      <c r="P10" s="342" t="n">
        <v>14299</v>
      </c>
      <c r="Q10" s="343" t="n">
        <v>9374</v>
      </c>
      <c r="R10" s="344" t="n">
        <v>10250</v>
      </c>
      <c r="S10" s="343" t="n">
        <v>10482</v>
      </c>
      <c r="T10" s="488">
        <f>S10-R10</f>
        <v/>
      </c>
      <c r="U10" s="488">
        <f>S10-Q10</f>
        <v/>
      </c>
      <c r="V10" s="346">
        <f>IF(Q10=0,"***",U10/Q10)</f>
        <v/>
      </c>
      <c r="W10" s="342" t="n">
        <v>46162</v>
      </c>
      <c r="X10" s="343" t="n">
        <v>51400</v>
      </c>
      <c r="Y10" s="344" t="n">
        <v>54500</v>
      </c>
      <c r="Z10" s="343" t="n">
        <v>50338</v>
      </c>
      <c r="AA10" s="488">
        <f>Z10-Y10</f>
        <v/>
      </c>
      <c r="AB10" s="488">
        <f>Z10-X10</f>
        <v/>
      </c>
      <c r="AC10" s="346">
        <f>IF(X10=0,"***",AB10/X10)</f>
        <v/>
      </c>
      <c r="AD10" s="342" t="n">
        <v>9375</v>
      </c>
      <c r="AE10" s="343" t="n">
        <v>10690</v>
      </c>
      <c r="AF10" s="344" t="n">
        <v>11400</v>
      </c>
      <c r="AG10" s="343" t="n">
        <v>10680</v>
      </c>
      <c r="AH10" s="488">
        <f>AG10-AF10</f>
        <v/>
      </c>
      <c r="AI10" s="488">
        <f>AG10-AE10</f>
        <v/>
      </c>
      <c r="AJ10" s="346">
        <f>IF(AE10=0,"***",AI10/AE10)</f>
        <v/>
      </c>
      <c r="AK10" s="342" t="n">
        <v>57036</v>
      </c>
      <c r="AL10" s="343" t="n">
        <v>58683</v>
      </c>
      <c r="AM10" s="344" t="n">
        <v>62000</v>
      </c>
      <c r="AN10" s="343" t="n">
        <v>60022</v>
      </c>
      <c r="AO10" s="488">
        <f>AN10-AM10</f>
        <v/>
      </c>
      <c r="AP10" s="488">
        <f>AN10-AL10</f>
        <v/>
      </c>
      <c r="AQ10" s="346">
        <f>IF(AL10=0,"***",AP10/AL10)</f>
        <v/>
      </c>
      <c r="AR10" s="342" t="n">
        <v>11709</v>
      </c>
      <c r="AS10" s="343" t="n">
        <v>12538</v>
      </c>
      <c r="AT10" s="344" t="n">
        <v>13250</v>
      </c>
      <c r="AU10" s="343" t="n">
        <v>12591</v>
      </c>
      <c r="AV10" s="488">
        <f>AU10-AT10</f>
        <v/>
      </c>
      <c r="AW10" s="488">
        <f>AU10-AS10</f>
        <v/>
      </c>
      <c r="AX10" s="346">
        <f>IF(AS10=0,"***",AW10/AS10)</f>
        <v/>
      </c>
      <c r="AY10" s="342" t="n">
        <v>32499</v>
      </c>
      <c r="AZ10" s="343" t="n">
        <v>36008</v>
      </c>
      <c r="BA10" s="344" t="n">
        <v>42000</v>
      </c>
      <c r="BB10" s="343" t="n">
        <v>39136</v>
      </c>
      <c r="BC10" s="488">
        <f>BB10-BA10</f>
        <v/>
      </c>
      <c r="BD10" s="488">
        <f>BB10-AZ10</f>
        <v/>
      </c>
      <c r="BE10" s="346">
        <f>IF(AZ10=0,"***",BD10/AZ10)</f>
        <v/>
      </c>
      <c r="BF10" s="342" t="n">
        <v>6727</v>
      </c>
      <c r="BG10" s="343" t="n">
        <v>7681</v>
      </c>
      <c r="BH10" s="344" t="n">
        <v>8650</v>
      </c>
      <c r="BI10" s="343" t="n">
        <v>8056</v>
      </c>
      <c r="BJ10" s="488">
        <f>BI10-BH10</f>
        <v/>
      </c>
      <c r="BK10" s="488">
        <f>BI10-BG10</f>
        <v/>
      </c>
      <c r="BL10" s="346">
        <f>IF(BG10=0,"***",BK10/BG10)</f>
        <v/>
      </c>
      <c r="BM10" s="342" t="n">
        <v>37053</v>
      </c>
      <c r="BN10" s="343" t="n">
        <v>38016</v>
      </c>
      <c r="BO10" s="344" t="n">
        <v>46300</v>
      </c>
      <c r="BP10" s="343" t="n">
        <v>37101</v>
      </c>
      <c r="BQ10" s="488">
        <f>BP10-BO10</f>
        <v/>
      </c>
      <c r="BR10" s="488">
        <f>BP10-BN10</f>
        <v/>
      </c>
      <c r="BS10" s="346">
        <f>IF(BN10=0,"***",BR10/BN10)</f>
        <v/>
      </c>
      <c r="BT10" s="342" t="n">
        <v>7491</v>
      </c>
      <c r="BU10" s="343" t="n">
        <v>7836</v>
      </c>
      <c r="BV10" s="344" t="n">
        <v>9300</v>
      </c>
      <c r="BW10" s="343" t="n">
        <v>7410</v>
      </c>
      <c r="BX10" s="488">
        <f>BW10-BV10</f>
        <v/>
      </c>
      <c r="BY10" s="488">
        <f>BW10-BU10</f>
        <v/>
      </c>
      <c r="BZ10" s="346">
        <f>IF(BU10=0,"***",BY10/BU10)</f>
        <v/>
      </c>
      <c r="CA10" s="342" t="n">
        <v>39992</v>
      </c>
      <c r="CB10" s="343" t="n">
        <v>43539</v>
      </c>
      <c r="CC10" s="344" t="n">
        <v>59600</v>
      </c>
      <c r="CD10" s="343" t="n">
        <v>39253</v>
      </c>
      <c r="CE10" s="488">
        <f>CD10-CC10</f>
        <v/>
      </c>
      <c r="CF10" s="488">
        <f>CD10-CB10</f>
        <v/>
      </c>
      <c r="CG10" s="346">
        <f>IF(CB10=0,"***",CF10/CB10)</f>
        <v/>
      </c>
      <c r="CH10" s="342" t="n">
        <v>8121</v>
      </c>
      <c r="CI10" s="343" t="n">
        <v>9169</v>
      </c>
      <c r="CJ10" s="344" t="n">
        <v>11950</v>
      </c>
      <c r="CK10" s="343" t="n">
        <v>8075</v>
      </c>
      <c r="CL10" s="488">
        <f>CK10-CJ10</f>
        <v/>
      </c>
      <c r="CM10" s="488">
        <f>CK10-CI10</f>
        <v/>
      </c>
      <c r="CN10" s="346">
        <f>IF(CI10=0,"***",CM10/CI10)</f>
        <v/>
      </c>
      <c r="CO10" s="342">
        <f>I10+W10+AK10+AY10+BM10+CA10</f>
        <v/>
      </c>
      <c r="CP10" s="343">
        <f>J10+X10+AL10+AZ10+BN10+CB10</f>
        <v/>
      </c>
      <c r="CQ10" s="344">
        <f>K10+Y10+AM10+BA10+BO10+CC10</f>
        <v/>
      </c>
      <c r="CR10" s="343">
        <f>L10+Z10+AN10+BB10+BP10+CD10</f>
        <v/>
      </c>
      <c r="CS10" s="488">
        <f>CR10-CQ10</f>
        <v/>
      </c>
      <c r="CT10" s="488">
        <f>CR10-CP10</f>
        <v/>
      </c>
      <c r="CU10" s="346">
        <f>IF(CP10=0,"***",CT10/CP10)</f>
        <v/>
      </c>
      <c r="CV10" s="342">
        <f>P10+AD10+AR10+BF10+BT10+CH10</f>
        <v/>
      </c>
      <c r="CW10" s="343">
        <f>Q10+AE10+AS10+BG10+BU10+CI10</f>
        <v/>
      </c>
      <c r="CX10" s="344">
        <f>R10+AF10+AT10+BH10+BV10+CJ10</f>
        <v/>
      </c>
      <c r="CY10" s="343">
        <f>S10+AG10+AU10+BI10+BW10+CK10</f>
        <v/>
      </c>
      <c r="CZ10" s="488">
        <f>CY10-CX10</f>
        <v/>
      </c>
      <c r="DA10" s="488">
        <f>CY10-CW10</f>
        <v/>
      </c>
      <c r="DB10" s="346">
        <f>IF(CW10=0,"***",DA10/CW10)</f>
        <v/>
      </c>
      <c r="DC10" s="347">
        <f>IF(CO10=0,"***",CV10/CO10)</f>
        <v/>
      </c>
      <c r="DD10" s="348">
        <f>IF(CP10=0,"***",CW10/CP10)</f>
        <v/>
      </c>
      <c r="DE10" s="348">
        <f>IF(CQ10=0,"***",CX10/CQ10)</f>
        <v/>
      </c>
      <c r="DF10" s="348">
        <f>IF(CR10=0,"***",CY10/CR10)</f>
        <v/>
      </c>
      <c r="DG10" s="349">
        <f>IF(DE10="***","***",DF10-DD10)</f>
        <v/>
      </c>
      <c r="DH10" s="348">
        <f>IF(DF10="***","***",DF10-DD10)</f>
        <v/>
      </c>
      <c r="DI10" s="70" t="n"/>
    </row>
    <row r="11">
      <c r="D11" s="8" t="n"/>
      <c r="E11" s="9" t="n"/>
      <c r="F11" s="9" t="n"/>
      <c r="G11" s="22" t="inlineStr">
        <is>
          <t>営業</t>
        </is>
      </c>
      <c r="H11" s="23" t="n"/>
      <c r="I11" s="314">
        <f>I10-I15</f>
        <v/>
      </c>
      <c r="J11" s="315">
        <f>J10-J15</f>
        <v/>
      </c>
      <c r="K11" s="316">
        <f>K10-K15</f>
        <v/>
      </c>
      <c r="L11" s="315">
        <f>L10-L15</f>
        <v/>
      </c>
      <c r="M11" s="315">
        <f>L11-K11</f>
        <v/>
      </c>
      <c r="N11" s="315">
        <f>L11-J11</f>
        <v/>
      </c>
      <c r="O11" s="318">
        <f>IF(J11=0,"***",N11/J11)</f>
        <v/>
      </c>
      <c r="P11" s="314">
        <f>P10-P15</f>
        <v/>
      </c>
      <c r="Q11" s="315">
        <f>Q10-Q15</f>
        <v/>
      </c>
      <c r="R11" s="316">
        <f>R10-R15</f>
        <v/>
      </c>
      <c r="S11" s="315">
        <f>S10-S15</f>
        <v/>
      </c>
      <c r="T11" s="315">
        <f>S11-R11</f>
        <v/>
      </c>
      <c r="U11" s="315">
        <f>S11-Q11</f>
        <v/>
      </c>
      <c r="V11" s="318">
        <f>IF(Q11=0,"***",U11/Q11)</f>
        <v/>
      </c>
      <c r="W11" s="314">
        <f>W10-W15</f>
        <v/>
      </c>
      <c r="X11" s="315">
        <f>X10-X15</f>
        <v/>
      </c>
      <c r="Y11" s="316">
        <f>Y10-Y15</f>
        <v/>
      </c>
      <c r="Z11" s="315">
        <f>Z10-Z15</f>
        <v/>
      </c>
      <c r="AA11" s="315">
        <f>Z11-Y11</f>
        <v/>
      </c>
      <c r="AB11" s="315">
        <f>Z11-X11</f>
        <v/>
      </c>
      <c r="AC11" s="318">
        <f>IF(X11=0,"***",AB11/X11)</f>
        <v/>
      </c>
      <c r="AD11" s="314">
        <f>AD10-AD15</f>
        <v/>
      </c>
      <c r="AE11" s="315">
        <f>AE10-AE15</f>
        <v/>
      </c>
      <c r="AF11" s="316">
        <f>AF10-AF15</f>
        <v/>
      </c>
      <c r="AG11" s="315">
        <f>AG10-AG15</f>
        <v/>
      </c>
      <c r="AH11" s="315">
        <f>AG11-AF11</f>
        <v/>
      </c>
      <c r="AI11" s="315">
        <f>AG11-AE11</f>
        <v/>
      </c>
      <c r="AJ11" s="318">
        <f>IF(AE11=0,"***",AI11/AE11)</f>
        <v/>
      </c>
      <c r="AK11" s="314">
        <f>AK10-AK15</f>
        <v/>
      </c>
      <c r="AL11" s="315">
        <f>AL10-AL15</f>
        <v/>
      </c>
      <c r="AM11" s="316">
        <f>AM10-AM15</f>
        <v/>
      </c>
      <c r="AN11" s="315">
        <f>AN10-AN15</f>
        <v/>
      </c>
      <c r="AO11" s="315">
        <f>AN11-AM11</f>
        <v/>
      </c>
      <c r="AP11" s="315">
        <f>AN11-AL11</f>
        <v/>
      </c>
      <c r="AQ11" s="318">
        <f>IF(AL11=0,"***",AP11/AL11)</f>
        <v/>
      </c>
      <c r="AR11" s="314">
        <f>AR10-AR15</f>
        <v/>
      </c>
      <c r="AS11" s="315">
        <f>AS10-AS15</f>
        <v/>
      </c>
      <c r="AT11" s="316">
        <f>AT10-AT15</f>
        <v/>
      </c>
      <c r="AU11" s="315">
        <f>AU10-AU15</f>
        <v/>
      </c>
      <c r="AV11" s="315">
        <f>AU11-AT11</f>
        <v/>
      </c>
      <c r="AW11" s="315">
        <f>AU11-AS11</f>
        <v/>
      </c>
      <c r="AX11" s="318">
        <f>IF(AS11=0,"***",AW11/AS11)</f>
        <v/>
      </c>
      <c r="AY11" s="314">
        <f>AY10-AY15</f>
        <v/>
      </c>
      <c r="AZ11" s="315">
        <f>AZ10-AZ15</f>
        <v/>
      </c>
      <c r="BA11" s="316">
        <f>BA10-BA15</f>
        <v/>
      </c>
      <c r="BB11" s="315">
        <f>BB10-BB15</f>
        <v/>
      </c>
      <c r="BC11" s="315">
        <f>BB11-BA11</f>
        <v/>
      </c>
      <c r="BD11" s="315">
        <f>BB11-AZ11</f>
        <v/>
      </c>
      <c r="BE11" s="318">
        <f>IF(AZ11=0,"***",BD11/AZ11)</f>
        <v/>
      </c>
      <c r="BF11" s="314">
        <f>BF10-BF15</f>
        <v/>
      </c>
      <c r="BG11" s="315">
        <f>BG10-BG15</f>
        <v/>
      </c>
      <c r="BH11" s="316">
        <f>BH10-BH15</f>
        <v/>
      </c>
      <c r="BI11" s="315">
        <f>BI10-BI15</f>
        <v/>
      </c>
      <c r="BJ11" s="315">
        <f>BI11-BH11</f>
        <v/>
      </c>
      <c r="BK11" s="315">
        <f>BI11-BG11</f>
        <v/>
      </c>
      <c r="BL11" s="318">
        <f>IF(BG11=0,"***",BK11/BG11)</f>
        <v/>
      </c>
      <c r="BM11" s="314">
        <f>BM10-BM15</f>
        <v/>
      </c>
      <c r="BN11" s="315">
        <f>BN10-BN15</f>
        <v/>
      </c>
      <c r="BO11" s="316">
        <f>BO10-BO15</f>
        <v/>
      </c>
      <c r="BP11" s="315">
        <f>BP10-BP15</f>
        <v/>
      </c>
      <c r="BQ11" s="315">
        <f>BP11-BO11</f>
        <v/>
      </c>
      <c r="BR11" s="315">
        <f>BP11-BN11</f>
        <v/>
      </c>
      <c r="BS11" s="318">
        <f>IF(BN11=0,"***",BR11/BN11)</f>
        <v/>
      </c>
      <c r="BT11" s="314">
        <f>BT10-BT15</f>
        <v/>
      </c>
      <c r="BU11" s="315">
        <f>BU10-BU15</f>
        <v/>
      </c>
      <c r="BV11" s="316">
        <f>BV10-BV15</f>
        <v/>
      </c>
      <c r="BW11" s="315">
        <f>BW10-BW15</f>
        <v/>
      </c>
      <c r="BX11" s="315">
        <f>BW11-BV11</f>
        <v/>
      </c>
      <c r="BY11" s="315">
        <f>BW11-BU11</f>
        <v/>
      </c>
      <c r="BZ11" s="318">
        <f>IF(BU11=0,"***",BY11/BU11)</f>
        <v/>
      </c>
      <c r="CA11" s="314">
        <f>CA10-CA15</f>
        <v/>
      </c>
      <c r="CB11" s="315">
        <f>CB10-CB15</f>
        <v/>
      </c>
      <c r="CC11" s="316">
        <f>CC10-CC15</f>
        <v/>
      </c>
      <c r="CD11" s="315">
        <f>CD10-CD15</f>
        <v/>
      </c>
      <c r="CE11" s="315">
        <f>CD11-CC11</f>
        <v/>
      </c>
      <c r="CF11" s="315">
        <f>CD11-CB11</f>
        <v/>
      </c>
      <c r="CG11" s="318">
        <f>IF(CB11=0,"***",CF11/CB11)</f>
        <v/>
      </c>
      <c r="CH11" s="314">
        <f>CH10-CH15</f>
        <v/>
      </c>
      <c r="CI11" s="315">
        <f>CI10-CI15</f>
        <v/>
      </c>
      <c r="CJ11" s="316">
        <f>CJ10-CJ15</f>
        <v/>
      </c>
      <c r="CK11" s="315">
        <f>CK10-CK15</f>
        <v/>
      </c>
      <c r="CL11" s="315">
        <f>CK11-CJ11</f>
        <v/>
      </c>
      <c r="CM11" s="315">
        <f>CK11-CI11</f>
        <v/>
      </c>
      <c r="CN11" s="318">
        <f>IF(CI11=0,"***",CM11/CI11)</f>
        <v/>
      </c>
      <c r="CO11" s="314">
        <f>CO10-CO15</f>
        <v/>
      </c>
      <c r="CP11" s="315">
        <f>CP10-CP15</f>
        <v/>
      </c>
      <c r="CQ11" s="316">
        <f>CQ10-CQ15</f>
        <v/>
      </c>
      <c r="CR11" s="315">
        <f>CR10-CR15-CR14</f>
        <v/>
      </c>
      <c r="CS11" s="315">
        <f>CR11-CQ11</f>
        <v/>
      </c>
      <c r="CT11" s="315">
        <f>CR11-CP11</f>
        <v/>
      </c>
      <c r="CU11" s="318">
        <f>IF(CP11=0,"***",CT11/CP11)</f>
        <v/>
      </c>
      <c r="CV11" s="314">
        <f>CV10-CV15</f>
        <v/>
      </c>
      <c r="CW11" s="315">
        <f>CW10-CW15</f>
        <v/>
      </c>
      <c r="CX11" s="316">
        <f>CX10-CX15</f>
        <v/>
      </c>
      <c r="CY11" s="315">
        <f>CY10-CY15</f>
        <v/>
      </c>
      <c r="CZ11" s="315">
        <f>CY11-CX11</f>
        <v/>
      </c>
      <c r="DA11" s="315">
        <f>CY11-CW11</f>
        <v/>
      </c>
      <c r="DB11" s="318">
        <f>IF(CW11=0,"***",DA11/CW11)</f>
        <v/>
      </c>
      <c r="DC11" s="319">
        <f>IF(CO11=0,"***",CV11/CO11)</f>
        <v/>
      </c>
      <c r="DD11" s="320">
        <f>IF(CP11=0,"***",CW11/CP11)</f>
        <v/>
      </c>
      <c r="DE11" s="320">
        <f>IF(CQ11=0,"***",CX11/CQ11)</f>
        <v/>
      </c>
      <c r="DF11" s="320">
        <f>IF(CR11=0,"***",CY11/CR11)</f>
        <v/>
      </c>
      <c r="DG11" s="321">
        <f>IF(DE11="***","***",DF11-DD11)</f>
        <v/>
      </c>
      <c r="DH11" s="320">
        <f>IF(DF11="***","***",DF11-DD11)</f>
        <v/>
      </c>
      <c r="DI11" s="31" t="n"/>
    </row>
    <row r="12">
      <c r="D12" s="8" t="n"/>
      <c r="E12" s="9" t="n"/>
      <c r="F12" s="9" t="n"/>
      <c r="G12" s="32" t="n"/>
      <c r="H12" s="33" t="inlineStr">
        <is>
          <t>包装資材</t>
        </is>
      </c>
      <c r="I12" s="314">
        <f>I11-I13</f>
        <v/>
      </c>
      <c r="J12" s="315">
        <f>J11-J13</f>
        <v/>
      </c>
      <c r="K12" s="316">
        <f>K11-K13</f>
        <v/>
      </c>
      <c r="L12" s="315">
        <f>L11-L13</f>
        <v/>
      </c>
      <c r="M12" s="315">
        <f>L12-K12</f>
        <v/>
      </c>
      <c r="N12" s="315">
        <f>L12-J12</f>
        <v/>
      </c>
      <c r="O12" s="318">
        <f>IF(J12=0,"***",N12/J12)</f>
        <v/>
      </c>
      <c r="P12" s="314">
        <f>P11-P13</f>
        <v/>
      </c>
      <c r="Q12" s="315">
        <f>Q11-Q13</f>
        <v/>
      </c>
      <c r="R12" s="316">
        <f>R11-R13</f>
        <v/>
      </c>
      <c r="S12" s="315">
        <f>S11-S13</f>
        <v/>
      </c>
      <c r="T12" s="315">
        <f>S12-R12</f>
        <v/>
      </c>
      <c r="U12" s="315">
        <f>S12-Q12</f>
        <v/>
      </c>
      <c r="V12" s="318">
        <f>IF(Q12=0,"***",U12/Q12)</f>
        <v/>
      </c>
      <c r="W12" s="314">
        <f>W11-W13</f>
        <v/>
      </c>
      <c r="X12" s="315">
        <f>X11-X13</f>
        <v/>
      </c>
      <c r="Y12" s="316">
        <f>Y11-Y13</f>
        <v/>
      </c>
      <c r="Z12" s="315">
        <f>Z11-Z13</f>
        <v/>
      </c>
      <c r="AA12" s="315">
        <f>Z12-Y12</f>
        <v/>
      </c>
      <c r="AB12" s="315">
        <f>Z12-X12</f>
        <v/>
      </c>
      <c r="AC12" s="318">
        <f>IF(X12=0,"***",AB12/X12)</f>
        <v/>
      </c>
      <c r="AD12" s="314">
        <f>AD11-AD13</f>
        <v/>
      </c>
      <c r="AE12" s="315">
        <f>AE11-AE13</f>
        <v/>
      </c>
      <c r="AF12" s="316">
        <f>AF11-AF13</f>
        <v/>
      </c>
      <c r="AG12" s="315">
        <f>AG11-AG13</f>
        <v/>
      </c>
      <c r="AH12" s="315">
        <f>AG12-AF12</f>
        <v/>
      </c>
      <c r="AI12" s="315">
        <f>AG12-AE12</f>
        <v/>
      </c>
      <c r="AJ12" s="318">
        <f>IF(AE12=0,"***",AI12/AE12)</f>
        <v/>
      </c>
      <c r="AK12" s="314">
        <f>AK11-AK13</f>
        <v/>
      </c>
      <c r="AL12" s="315">
        <f>AL11-AL13</f>
        <v/>
      </c>
      <c r="AM12" s="316">
        <f>AM11-AM13</f>
        <v/>
      </c>
      <c r="AN12" s="315">
        <f>AN11-AN13</f>
        <v/>
      </c>
      <c r="AO12" s="315">
        <f>AN12-AM12</f>
        <v/>
      </c>
      <c r="AP12" s="315">
        <f>AN12-AL12</f>
        <v/>
      </c>
      <c r="AQ12" s="318">
        <f>IF(AL12=0,"***",AP12/AL12)</f>
        <v/>
      </c>
      <c r="AR12" s="314">
        <f>AR11-AR13</f>
        <v/>
      </c>
      <c r="AS12" s="315">
        <f>AS11-AS13</f>
        <v/>
      </c>
      <c r="AT12" s="316">
        <f>AT11-AT13</f>
        <v/>
      </c>
      <c r="AU12" s="315">
        <f>AU11-AU13</f>
        <v/>
      </c>
      <c r="AV12" s="315">
        <f>AU12-AT12</f>
        <v/>
      </c>
      <c r="AW12" s="315">
        <f>AU12-AS12</f>
        <v/>
      </c>
      <c r="AX12" s="318">
        <f>IF(AS12=0,"***",AW12/AS12)</f>
        <v/>
      </c>
      <c r="AY12" s="314">
        <f>AY11-AY13</f>
        <v/>
      </c>
      <c r="AZ12" s="315">
        <f>AZ11-AZ13</f>
        <v/>
      </c>
      <c r="BA12" s="316">
        <f>BA11-BA13</f>
        <v/>
      </c>
      <c r="BB12" s="315">
        <f>BB11-BB13</f>
        <v/>
      </c>
      <c r="BC12" s="315">
        <f>BB12-BA12</f>
        <v/>
      </c>
      <c r="BD12" s="315">
        <f>BB12-AZ12</f>
        <v/>
      </c>
      <c r="BE12" s="318">
        <f>IF(AZ12=0,"***",BD12/AZ12)</f>
        <v/>
      </c>
      <c r="BF12" s="314">
        <f>BF11-BF13</f>
        <v/>
      </c>
      <c r="BG12" s="315">
        <f>BG11-BG13</f>
        <v/>
      </c>
      <c r="BH12" s="316">
        <f>BH11-BH13</f>
        <v/>
      </c>
      <c r="BI12" s="315">
        <f>BI11-BI13</f>
        <v/>
      </c>
      <c r="BJ12" s="315">
        <f>BI12-BH12</f>
        <v/>
      </c>
      <c r="BK12" s="315">
        <f>BI12-BG12</f>
        <v/>
      </c>
      <c r="BL12" s="318">
        <f>IF(BG12=0,"***",BK12/BG12)</f>
        <v/>
      </c>
      <c r="BM12" s="314">
        <f>BM11-BM13</f>
        <v/>
      </c>
      <c r="BN12" s="315">
        <f>BN11-BN13</f>
        <v/>
      </c>
      <c r="BO12" s="316">
        <f>BO11-BO13</f>
        <v/>
      </c>
      <c r="BP12" s="315">
        <f>BP11-BP13</f>
        <v/>
      </c>
      <c r="BQ12" s="315">
        <f>BP12-BO12</f>
        <v/>
      </c>
      <c r="BR12" s="315">
        <f>BP12-BN12</f>
        <v/>
      </c>
      <c r="BS12" s="318">
        <f>IF(BN12=0,"***",BR12/BN12)</f>
        <v/>
      </c>
      <c r="BT12" s="314">
        <f>BT11-BT13</f>
        <v/>
      </c>
      <c r="BU12" s="315">
        <f>BU11-BU13</f>
        <v/>
      </c>
      <c r="BV12" s="316">
        <f>BV11-BV13</f>
        <v/>
      </c>
      <c r="BW12" s="315">
        <f>BW11-BW13</f>
        <v/>
      </c>
      <c r="BX12" s="315">
        <f>BW12-BV12</f>
        <v/>
      </c>
      <c r="BY12" s="315">
        <f>BW12-BU12</f>
        <v/>
      </c>
      <c r="BZ12" s="318">
        <f>IF(BU12=0,"***",BY12/BU12)</f>
        <v/>
      </c>
      <c r="CA12" s="314">
        <f>CA11-CA13</f>
        <v/>
      </c>
      <c r="CB12" s="315">
        <f>CB11-CB13</f>
        <v/>
      </c>
      <c r="CC12" s="316">
        <f>CC11-CC13</f>
        <v/>
      </c>
      <c r="CD12" s="315">
        <f>CD11-CD13</f>
        <v/>
      </c>
      <c r="CE12" s="315">
        <f>CD12-CC12</f>
        <v/>
      </c>
      <c r="CF12" s="315">
        <f>CD12-CB12</f>
        <v/>
      </c>
      <c r="CG12" s="318">
        <f>IF(CB12=0,"***",CF12/CB12)</f>
        <v/>
      </c>
      <c r="CH12" s="314">
        <f>CH11-CH13</f>
        <v/>
      </c>
      <c r="CI12" s="315">
        <f>CI11-CI13</f>
        <v/>
      </c>
      <c r="CJ12" s="316">
        <f>CJ11-CJ13</f>
        <v/>
      </c>
      <c r="CK12" s="315">
        <f>CK11-CK13</f>
        <v/>
      </c>
      <c r="CL12" s="315">
        <f>CK12-CJ12</f>
        <v/>
      </c>
      <c r="CM12" s="315">
        <f>CK12-CI12</f>
        <v/>
      </c>
      <c r="CN12" s="318">
        <f>IF(CI12=0,"***",CM12/CI12)</f>
        <v/>
      </c>
      <c r="CO12" s="314">
        <f>CO11-CO13</f>
        <v/>
      </c>
      <c r="CP12" s="315">
        <f>CP11-CP13</f>
        <v/>
      </c>
      <c r="CQ12" s="316">
        <f>CQ11-CQ13</f>
        <v/>
      </c>
      <c r="CR12" s="315">
        <f>CR11-CR13</f>
        <v/>
      </c>
      <c r="CS12" s="315">
        <f>CR12-CQ12</f>
        <v/>
      </c>
      <c r="CT12" s="315">
        <f>CR12-CP12</f>
        <v/>
      </c>
      <c r="CU12" s="318">
        <f>IF(CP12=0,"***",CT12/CP12)</f>
        <v/>
      </c>
      <c r="CV12" s="314">
        <f>CV11-CV13</f>
        <v/>
      </c>
      <c r="CW12" s="315">
        <f>CW11-CW13</f>
        <v/>
      </c>
      <c r="CX12" s="316">
        <f>CX11-CX13</f>
        <v/>
      </c>
      <c r="CY12" s="315">
        <f>CY11-CY13</f>
        <v/>
      </c>
      <c r="CZ12" s="315">
        <f>CY12-CX12</f>
        <v/>
      </c>
      <c r="DA12" s="315">
        <f>CY12-CW12</f>
        <v/>
      </c>
      <c r="DB12" s="318">
        <f>IF(CW12=0,"***",DA12/CW12)</f>
        <v/>
      </c>
      <c r="DC12" s="319">
        <f>IF(CO12=0,"***",CV12/CO12)</f>
        <v/>
      </c>
      <c r="DD12" s="320">
        <f>IF(CP12=0,"***",CW12/CP12)</f>
        <v/>
      </c>
      <c r="DE12" s="320">
        <f>IF(CQ12=0,"***",CX12/CQ12)</f>
        <v/>
      </c>
      <c r="DF12" s="320">
        <f>IF(CR12=0,"***",CY12/CR12)</f>
        <v/>
      </c>
      <c r="DG12" s="321">
        <f>IF(DE12="***","***",DF12-DD12)</f>
        <v/>
      </c>
      <c r="DH12" s="320">
        <f>IF(DF12="***","***",DF12-DD12)</f>
        <v/>
      </c>
      <c r="DI12" s="31" t="n"/>
    </row>
    <row r="13">
      <c r="D13" s="8" t="n"/>
      <c r="E13" s="9" t="n"/>
      <c r="F13" s="9" t="n"/>
      <c r="G13" s="182" t="n"/>
      <c r="H13" s="178" t="inlineStr">
        <is>
          <t>機械</t>
        </is>
      </c>
      <c r="I13" s="350" t="n">
        <v>33783</v>
      </c>
      <c r="J13" s="351" t="n">
        <v>281</v>
      </c>
      <c r="K13" s="316" t="n">
        <v>300</v>
      </c>
      <c r="L13" s="351" t="n">
        <v>515</v>
      </c>
      <c r="M13" s="315">
        <f>L13-K13</f>
        <v/>
      </c>
      <c r="N13" s="315">
        <f>L13-J13</f>
        <v/>
      </c>
      <c r="O13" s="318">
        <f>IF(J13=0,"***",N13/J13)</f>
        <v/>
      </c>
      <c r="P13" s="350" t="n">
        <v>4402</v>
      </c>
      <c r="Q13" s="351" t="n">
        <v>45</v>
      </c>
      <c r="R13" s="316" t="n">
        <v>55</v>
      </c>
      <c r="S13" s="351" t="n">
        <v>107</v>
      </c>
      <c r="T13" s="315">
        <f>S13-R13</f>
        <v/>
      </c>
      <c r="U13" s="315">
        <f>S13-Q13</f>
        <v/>
      </c>
      <c r="V13" s="318">
        <f>IF(Q13=0,"***",U13/Q13)</f>
        <v/>
      </c>
      <c r="W13" s="350" t="n">
        <v>592</v>
      </c>
      <c r="X13" s="351" t="n">
        <v>200</v>
      </c>
      <c r="Y13" s="316" t="n">
        <v>300</v>
      </c>
      <c r="Z13" s="351" t="n">
        <v>230</v>
      </c>
      <c r="AA13" s="315">
        <f>Z13-Y13</f>
        <v/>
      </c>
      <c r="AB13" s="315">
        <f>Z13-X13</f>
        <v/>
      </c>
      <c r="AC13" s="318">
        <f>IF(X13=0,"***",AB13/X13)</f>
        <v/>
      </c>
      <c r="AD13" s="350" t="n">
        <v>139</v>
      </c>
      <c r="AE13" s="351" t="n">
        <v>45</v>
      </c>
      <c r="AF13" s="316" t="n">
        <v>55</v>
      </c>
      <c r="AG13" s="351" t="n">
        <v>37</v>
      </c>
      <c r="AH13" s="315">
        <f>AG13-AF13</f>
        <v/>
      </c>
      <c r="AI13" s="315">
        <f>AG13-AE13</f>
        <v/>
      </c>
      <c r="AJ13" s="318">
        <f>IF(AE13=0,"***",AI13/AE13)</f>
        <v/>
      </c>
      <c r="AK13" s="350" t="n">
        <v>134</v>
      </c>
      <c r="AL13" s="351" t="n">
        <v>203</v>
      </c>
      <c r="AM13" s="316" t="n">
        <v>300</v>
      </c>
      <c r="AN13" s="351" t="n">
        <v>611</v>
      </c>
      <c r="AO13" s="315">
        <f>AN13-AM13</f>
        <v/>
      </c>
      <c r="AP13" s="315">
        <f>AN13-AL13</f>
        <v/>
      </c>
      <c r="AQ13" s="318">
        <f>IF(AL13=0,"***",AP13/AL13)</f>
        <v/>
      </c>
      <c r="AR13" s="350" t="n">
        <v>25</v>
      </c>
      <c r="AS13" s="351" t="n">
        <v>41</v>
      </c>
      <c r="AT13" s="316" t="n">
        <v>55</v>
      </c>
      <c r="AU13" s="351" t="n">
        <v>42</v>
      </c>
      <c r="AV13" s="315">
        <f>AU13-AT13</f>
        <v/>
      </c>
      <c r="AW13" s="315">
        <f>AU13-AS13</f>
        <v/>
      </c>
      <c r="AX13" s="318">
        <f>IF(AS13=0,"***",AW13/AS13)</f>
        <v/>
      </c>
      <c r="AY13" s="350" t="n">
        <v>15</v>
      </c>
      <c r="AZ13" s="351" t="n">
        <v>99</v>
      </c>
      <c r="BA13" s="316" t="n">
        <v>300</v>
      </c>
      <c r="BB13" s="351" t="n">
        <v>310</v>
      </c>
      <c r="BC13" s="315">
        <f>BB13-BA13</f>
        <v/>
      </c>
      <c r="BD13" s="315">
        <f>BB13-AZ13</f>
        <v/>
      </c>
      <c r="BE13" s="318">
        <f>IF(AZ13=0,"***",BD13/AZ13)</f>
        <v/>
      </c>
      <c r="BF13" s="350" t="n">
        <v>8</v>
      </c>
      <c r="BG13" s="351" t="n">
        <v>8</v>
      </c>
      <c r="BH13" s="316" t="n">
        <v>55</v>
      </c>
      <c r="BI13" s="351" t="n">
        <v>55</v>
      </c>
      <c r="BJ13" s="315">
        <f>BI13-BH13</f>
        <v/>
      </c>
      <c r="BK13" s="315">
        <f>BI13-BG13</f>
        <v/>
      </c>
      <c r="BL13" s="318">
        <f>IF(BG13=0,"***",BK13/BG13)</f>
        <v/>
      </c>
      <c r="BM13" s="350" t="n">
        <v>1402</v>
      </c>
      <c r="BN13" s="351" t="n">
        <v>265</v>
      </c>
      <c r="BO13" s="316" t="n">
        <v>900</v>
      </c>
      <c r="BP13" s="351" t="n">
        <v>1253</v>
      </c>
      <c r="BQ13" s="315">
        <f>BP13-BO13</f>
        <v/>
      </c>
      <c r="BR13" s="315">
        <f>BP13-BN13</f>
        <v/>
      </c>
      <c r="BS13" s="318">
        <f>IF(BN13=0,"***",BR13/BN13)</f>
        <v/>
      </c>
      <c r="BT13" s="350" t="n">
        <v>238</v>
      </c>
      <c r="BU13" s="351" t="n">
        <v>48</v>
      </c>
      <c r="BV13" s="316" t="n">
        <v>145</v>
      </c>
      <c r="BW13" s="351" t="n">
        <v>161</v>
      </c>
      <c r="BX13" s="315">
        <f>BW13-BV13</f>
        <v/>
      </c>
      <c r="BY13" s="315">
        <f>BW13-BU13</f>
        <v/>
      </c>
      <c r="BZ13" s="318">
        <f>IF(BU13=0,"***",BY13/BU13)</f>
        <v/>
      </c>
      <c r="CA13" s="350" t="n">
        <v>20</v>
      </c>
      <c r="CB13" s="351" t="n">
        <v>720</v>
      </c>
      <c r="CC13" s="316" t="n">
        <v>10440</v>
      </c>
      <c r="CD13" s="351" t="n">
        <v>171</v>
      </c>
      <c r="CE13" s="315">
        <f>CD13-CC13</f>
        <v/>
      </c>
      <c r="CF13" s="315">
        <f>CD13-CB13</f>
        <v/>
      </c>
      <c r="CG13" s="318">
        <f>IF(CB13=0,"***",CF13/CB13)</f>
        <v/>
      </c>
      <c r="CH13" s="350" t="n">
        <v>5</v>
      </c>
      <c r="CI13" s="351" t="n">
        <v>104</v>
      </c>
      <c r="CJ13" s="316" t="n">
        <v>1545</v>
      </c>
      <c r="CK13" s="351" t="n">
        <v>29</v>
      </c>
      <c r="CL13" s="315">
        <f>CK13-CJ13</f>
        <v/>
      </c>
      <c r="CM13" s="315">
        <f>CK13-CI13</f>
        <v/>
      </c>
      <c r="CN13" s="318">
        <f>IF(CI13=0,"***",CM13/CI13)</f>
        <v/>
      </c>
      <c r="CO13" s="350">
        <f>I13+W13+AK13+AY13+BM13+CA13</f>
        <v/>
      </c>
      <c r="CP13" s="351">
        <f>J13+X13+AL13+AZ13+BN13+CB13</f>
        <v/>
      </c>
      <c r="CQ13" s="316">
        <f>K13+Y13+AM13+BA13+BO13+CC13</f>
        <v/>
      </c>
      <c r="CR13" s="351">
        <f>L13+Z13+AN13+BB13+BP13+CD13</f>
        <v/>
      </c>
      <c r="CS13" s="315">
        <f>CR13-CQ13</f>
        <v/>
      </c>
      <c r="CT13" s="315">
        <f>CR13-CP13</f>
        <v/>
      </c>
      <c r="CU13" s="318">
        <f>IF(CP13=0,"***",CT13/CP13)</f>
        <v/>
      </c>
      <c r="CV13" s="350">
        <f>P13+AD13+AR13+BF13+BT13+CH13</f>
        <v/>
      </c>
      <c r="CW13" s="351">
        <f>Q13+AE13+AS13+BG13+BU13+CI13</f>
        <v/>
      </c>
      <c r="CX13" s="316">
        <f>R13+AF13+AT13+BH13+BV13+CJ13</f>
        <v/>
      </c>
      <c r="CY13" s="351">
        <f>S13+AG13+AU13+BI13+BW13+CK13</f>
        <v/>
      </c>
      <c r="CZ13" s="315">
        <f>CY13-CX13</f>
        <v/>
      </c>
      <c r="DA13" s="315">
        <f>CY13-CW13</f>
        <v/>
      </c>
      <c r="DB13" s="318">
        <f>IF(CW13=0,"***",DA13/CW13)</f>
        <v/>
      </c>
      <c r="DC13" s="319">
        <f>IF(CO13=0,"***",CV13/CO13)</f>
        <v/>
      </c>
      <c r="DD13" s="320">
        <f>IF(CP13=0,"***",CW13/CP13)</f>
        <v/>
      </c>
      <c r="DE13" s="320">
        <f>IF(CQ13=0,"***",CX13/CQ13)</f>
        <v/>
      </c>
      <c r="DF13" s="320">
        <f>IF(CR13=0,"***",CY13/CR13)</f>
        <v/>
      </c>
      <c r="DG13" s="321">
        <f>IF(DE13="***","***",DF13-DD13)</f>
        <v/>
      </c>
      <c r="DH13" s="320">
        <f>IF(DF13="***","***",DF13-DD13)</f>
        <v/>
      </c>
      <c r="DI13" s="31" t="n"/>
    </row>
    <row r="14">
      <c r="D14" s="8" t="n"/>
      <c r="E14" s="9" t="n"/>
      <c r="F14" s="9" t="n"/>
      <c r="G14" s="183" t="inlineStr">
        <is>
          <t>自治体</t>
        </is>
      </c>
      <c r="H14" s="184" t="n"/>
      <c r="I14" s="352" t="n"/>
      <c r="J14" s="328" t="n"/>
      <c r="K14" s="324" t="n"/>
      <c r="L14" s="328" t="n"/>
      <c r="M14" s="487" t="n"/>
      <c r="N14" s="487" t="n"/>
      <c r="O14" s="326" t="n"/>
      <c r="P14" s="352" t="n"/>
      <c r="Q14" s="328" t="n"/>
      <c r="R14" s="324" t="n"/>
      <c r="S14" s="328" t="n"/>
      <c r="T14" s="487" t="n"/>
      <c r="U14" s="487" t="n"/>
      <c r="V14" s="326" t="n"/>
      <c r="W14" s="352" t="n"/>
      <c r="X14" s="328" t="n"/>
      <c r="Y14" s="324" t="n"/>
      <c r="Z14" s="328" t="n"/>
      <c r="AA14" s="487" t="n"/>
      <c r="AB14" s="487" t="n"/>
      <c r="AC14" s="326" t="n"/>
      <c r="AD14" s="352" t="n"/>
      <c r="AE14" s="328" t="n"/>
      <c r="AF14" s="324" t="n"/>
      <c r="AG14" s="328" t="n"/>
      <c r="AH14" s="487" t="n"/>
      <c r="AI14" s="487" t="n"/>
      <c r="AJ14" s="326" t="n"/>
      <c r="AK14" s="352" t="n"/>
      <c r="AL14" s="328" t="n"/>
      <c r="AM14" s="324" t="n"/>
      <c r="AN14" s="328" t="n"/>
      <c r="AO14" s="487" t="n"/>
      <c r="AP14" s="487" t="n"/>
      <c r="AQ14" s="326" t="n"/>
      <c r="AR14" s="352" t="n"/>
      <c r="AS14" s="328" t="n"/>
      <c r="AT14" s="324" t="n"/>
      <c r="AU14" s="328" t="n"/>
      <c r="AV14" s="487" t="n"/>
      <c r="AW14" s="487" t="n"/>
      <c r="AX14" s="326" t="n"/>
      <c r="AY14" s="352" t="n"/>
      <c r="AZ14" s="328" t="n"/>
      <c r="BA14" s="324" t="n"/>
      <c r="BB14" s="328" t="n"/>
      <c r="BC14" s="487" t="n"/>
      <c r="BD14" s="487" t="n"/>
      <c r="BE14" s="326" t="n"/>
      <c r="BF14" s="352" t="n"/>
      <c r="BG14" s="328" t="n"/>
      <c r="BH14" s="324" t="n"/>
      <c r="BI14" s="328" t="n"/>
      <c r="BJ14" s="487" t="n"/>
      <c r="BK14" s="487" t="n"/>
      <c r="BL14" s="326" t="n"/>
      <c r="BM14" s="352" t="n"/>
      <c r="BN14" s="328" t="n"/>
      <c r="BO14" s="324" t="n"/>
      <c r="BP14" s="328" t="n"/>
      <c r="BQ14" s="487" t="n"/>
      <c r="BR14" s="487" t="n"/>
      <c r="BS14" s="326" t="n"/>
      <c r="BT14" s="352" t="n"/>
      <c r="BU14" s="328" t="n"/>
      <c r="BV14" s="324" t="n"/>
      <c r="BW14" s="328" t="n"/>
      <c r="BX14" s="487" t="n"/>
      <c r="BY14" s="487" t="n"/>
      <c r="BZ14" s="326" t="n"/>
      <c r="CA14" s="352" t="n"/>
      <c r="CB14" s="328" t="n"/>
      <c r="CC14" s="324" t="n"/>
      <c r="CD14" s="328" t="n"/>
      <c r="CE14" s="487" t="n"/>
      <c r="CF14" s="487" t="n"/>
      <c r="CG14" s="326" t="n"/>
      <c r="CH14" s="352" t="n"/>
      <c r="CI14" s="328" t="n"/>
      <c r="CJ14" s="324" t="n"/>
      <c r="CK14" s="328" t="n"/>
      <c r="CL14" s="487" t="n"/>
      <c r="CM14" s="487" t="n"/>
      <c r="CN14" s="326" t="n"/>
      <c r="CO14" s="352" t="n">
        <v>0</v>
      </c>
      <c r="CP14" s="328" t="n">
        <v>0</v>
      </c>
      <c r="CQ14" s="324" t="n">
        <v>0</v>
      </c>
      <c r="CR14" s="328" t="n">
        <v>222</v>
      </c>
      <c r="CS14" s="487" t="n"/>
      <c r="CT14" s="487" t="n"/>
      <c r="CU14" s="326" t="n"/>
      <c r="CV14" s="352" t="n">
        <v>0</v>
      </c>
      <c r="CW14" s="328" t="n">
        <v>0</v>
      </c>
      <c r="CX14" s="324" t="n">
        <v>0</v>
      </c>
      <c r="CY14" s="328" t="n">
        <v>8</v>
      </c>
      <c r="CZ14" s="487" t="n"/>
      <c r="DA14" s="487" t="n"/>
      <c r="DB14" s="326" t="n"/>
      <c r="DC14" s="329">
        <f>IF(CO14=0,"***",CV14/CO14)</f>
        <v/>
      </c>
      <c r="DD14" s="330">
        <f>IF(CP14=0,"***",CW14/CP14)</f>
        <v/>
      </c>
      <c r="DE14" s="330">
        <f>IF(CQ14=0,"***",CX14/CQ14)</f>
        <v/>
      </c>
      <c r="DF14" s="330">
        <f>IF(CR14=0,"***",CY14/CR14)</f>
        <v/>
      </c>
      <c r="DG14" s="331" t="n"/>
      <c r="DH14" s="330" t="n"/>
      <c r="DI14" s="45" t="n"/>
    </row>
    <row r="15">
      <c r="D15" s="8" t="n"/>
      <c r="E15" s="9" t="n"/>
      <c r="F15" s="46" t="n"/>
      <c r="G15" s="180" t="inlineStr">
        <is>
          <t>中国事業</t>
        </is>
      </c>
      <c r="H15" s="181" t="n"/>
      <c r="I15" s="353" t="n">
        <v>3478</v>
      </c>
      <c r="J15" s="338" t="n">
        <v>0</v>
      </c>
      <c r="K15" s="334" t="n">
        <v>0</v>
      </c>
      <c r="L15" s="338" t="n">
        <v>0</v>
      </c>
      <c r="M15" s="379">
        <f>L15-K15</f>
        <v/>
      </c>
      <c r="N15" s="379">
        <f>L15-J15</f>
        <v/>
      </c>
      <c r="O15" s="336">
        <f>IF(J15=0,"***",N15/J15)</f>
        <v/>
      </c>
      <c r="P15" s="353" t="n">
        <v>166</v>
      </c>
      <c r="Q15" s="338" t="n">
        <v>0</v>
      </c>
      <c r="R15" s="334" t="n">
        <v>0</v>
      </c>
      <c r="S15" s="338" t="n">
        <v>0</v>
      </c>
      <c r="T15" s="379">
        <f>S15-R15</f>
        <v/>
      </c>
      <c r="U15" s="379">
        <f>S15-Q15</f>
        <v/>
      </c>
      <c r="V15" s="336">
        <f>IF(Q15=0,"***",U15/Q15)</f>
        <v/>
      </c>
      <c r="W15" s="353" t="n">
        <v>0</v>
      </c>
      <c r="X15" s="338" t="n">
        <v>0</v>
      </c>
      <c r="Y15" s="334" t="n">
        <v>0</v>
      </c>
      <c r="Z15" s="338" t="n">
        <v>0</v>
      </c>
      <c r="AA15" s="379">
        <f>Z15-Y15</f>
        <v/>
      </c>
      <c r="AB15" s="379">
        <f>Z15-X15</f>
        <v/>
      </c>
      <c r="AC15" s="336">
        <f>IF(X15=0,"***",AB15/X15)</f>
        <v/>
      </c>
      <c r="AD15" s="353" t="n">
        <v>0</v>
      </c>
      <c r="AE15" s="338" t="n">
        <v>0</v>
      </c>
      <c r="AF15" s="334" t="n">
        <v>0</v>
      </c>
      <c r="AG15" s="338" t="n">
        <v>0</v>
      </c>
      <c r="AH15" s="379">
        <f>AG15-AF15</f>
        <v/>
      </c>
      <c r="AI15" s="379">
        <f>AG15-AE15</f>
        <v/>
      </c>
      <c r="AJ15" s="336">
        <f>IF(AE15=0,"***",AI15/AE15)</f>
        <v/>
      </c>
      <c r="AK15" s="353" t="n">
        <v>2959</v>
      </c>
      <c r="AL15" s="338" t="n">
        <v>0</v>
      </c>
      <c r="AM15" s="334" t="n">
        <v>0</v>
      </c>
      <c r="AN15" s="338" t="n">
        <v>0</v>
      </c>
      <c r="AO15" s="379">
        <f>AN15-AM15</f>
        <v/>
      </c>
      <c r="AP15" s="379">
        <f>AN15-AL15</f>
        <v/>
      </c>
      <c r="AQ15" s="336">
        <f>IF(AL15=0,"***",AP15/AL15)</f>
        <v/>
      </c>
      <c r="AR15" s="353" t="n">
        <v>162</v>
      </c>
      <c r="AS15" s="338" t="n">
        <v>0</v>
      </c>
      <c r="AT15" s="334" t="n">
        <v>0</v>
      </c>
      <c r="AU15" s="338" t="n">
        <v>0</v>
      </c>
      <c r="AV15" s="379">
        <f>AU15-AT15</f>
        <v/>
      </c>
      <c r="AW15" s="379">
        <f>AU15-AS15</f>
        <v/>
      </c>
      <c r="AX15" s="336">
        <f>IF(AS15=0,"***",AW15/AS15)</f>
        <v/>
      </c>
      <c r="AY15" s="353" t="n">
        <v>0</v>
      </c>
      <c r="AZ15" s="338" t="n">
        <v>0</v>
      </c>
      <c r="BA15" s="334" t="n">
        <v>0</v>
      </c>
      <c r="BB15" s="338" t="n">
        <v>0</v>
      </c>
      <c r="BC15" s="379">
        <f>BB15-BA15</f>
        <v/>
      </c>
      <c r="BD15" s="379">
        <f>BB15-AZ15</f>
        <v/>
      </c>
      <c r="BE15" s="336">
        <f>IF(AZ15=0,"***",BD15/AZ15)</f>
        <v/>
      </c>
      <c r="BF15" s="353" t="n">
        <v>0</v>
      </c>
      <c r="BG15" s="338" t="n">
        <v>0</v>
      </c>
      <c r="BH15" s="334" t="n">
        <v>0</v>
      </c>
      <c r="BI15" s="338" t="n">
        <v>0</v>
      </c>
      <c r="BJ15" s="379">
        <f>BI15-BH15</f>
        <v/>
      </c>
      <c r="BK15" s="379">
        <f>BI15-BG15</f>
        <v/>
      </c>
      <c r="BL15" s="336">
        <f>IF(BG15=0,"***",BK15/BG15)</f>
        <v/>
      </c>
      <c r="BM15" s="353" t="n">
        <v>0</v>
      </c>
      <c r="BN15" s="338" t="n">
        <v>0</v>
      </c>
      <c r="BO15" s="334" t="n">
        <v>0</v>
      </c>
      <c r="BP15" s="338" t="n">
        <v>0</v>
      </c>
      <c r="BQ15" s="379">
        <f>BP15-BO15</f>
        <v/>
      </c>
      <c r="BR15" s="379">
        <f>BP15-BN15</f>
        <v/>
      </c>
      <c r="BS15" s="336">
        <f>IF(BN15=0,"***",BR15/BN15)</f>
        <v/>
      </c>
      <c r="BT15" s="353" t="n">
        <v>0</v>
      </c>
      <c r="BU15" s="338" t="n">
        <v>0</v>
      </c>
      <c r="BV15" s="334" t="n">
        <v>0</v>
      </c>
      <c r="BW15" s="338" t="n">
        <v>0</v>
      </c>
      <c r="BX15" s="379">
        <f>BW15-BV15</f>
        <v/>
      </c>
      <c r="BY15" s="379">
        <f>BW15-BU15</f>
        <v/>
      </c>
      <c r="BZ15" s="336">
        <f>IF(BU15=0,"***",BY15/BU15)</f>
        <v/>
      </c>
      <c r="CA15" s="353" t="n">
        <v>0</v>
      </c>
      <c r="CB15" s="338" t="n">
        <v>0</v>
      </c>
      <c r="CC15" s="334" t="n">
        <v>0</v>
      </c>
      <c r="CD15" s="338" t="n">
        <v>0</v>
      </c>
      <c r="CE15" s="379">
        <f>CD15-CC15</f>
        <v/>
      </c>
      <c r="CF15" s="379">
        <f>CD15-CB15</f>
        <v/>
      </c>
      <c r="CG15" s="336">
        <f>IF(CB15=0,"***",CF15/CB15)</f>
        <v/>
      </c>
      <c r="CH15" s="353" t="n">
        <v>0</v>
      </c>
      <c r="CI15" s="338" t="n">
        <v>0</v>
      </c>
      <c r="CJ15" s="334" t="n">
        <v>0</v>
      </c>
      <c r="CK15" s="338" t="n">
        <v>0</v>
      </c>
      <c r="CL15" s="379">
        <f>CK15-CJ15</f>
        <v/>
      </c>
      <c r="CM15" s="379">
        <f>CK15-CI15</f>
        <v/>
      </c>
      <c r="CN15" s="336">
        <f>IF(CI15=0,"***",CM15/CI15)</f>
        <v/>
      </c>
      <c r="CO15" s="353">
        <f>I15+W15+AK15+AY15+BM15+CA15</f>
        <v/>
      </c>
      <c r="CP15" s="338">
        <f>J15+X15+AL15+AZ15+BN15+CB15</f>
        <v/>
      </c>
      <c r="CQ15" s="334">
        <f>K15+Y15+AM15+BA15+BO15+CC15</f>
        <v/>
      </c>
      <c r="CR15" s="338">
        <f>L15+Z15+AN15+BB15+BP15+CD15</f>
        <v/>
      </c>
      <c r="CS15" s="379">
        <f>CR15-CQ15</f>
        <v/>
      </c>
      <c r="CT15" s="379">
        <f>CR15-CP15</f>
        <v/>
      </c>
      <c r="CU15" s="336">
        <f>IF(CP15=0,"***",CT15/CP15)</f>
        <v/>
      </c>
      <c r="CV15" s="353">
        <f>P15+AD15+AR15+BF15+BT15+CH15</f>
        <v/>
      </c>
      <c r="CW15" s="338">
        <f>Q15+AE15+AS15+BG15+BU15+CI15</f>
        <v/>
      </c>
      <c r="CX15" s="334">
        <f>R15+AF15+AT15+BH15+BV15+CJ15</f>
        <v/>
      </c>
      <c r="CY15" s="338">
        <f>S15+AG15+AU15+BI15+BW15+CK15</f>
        <v/>
      </c>
      <c r="CZ15" s="379">
        <f>CY15-CX15</f>
        <v/>
      </c>
      <c r="DA15" s="379">
        <f>CY15-CW15</f>
        <v/>
      </c>
      <c r="DB15" s="336">
        <f>IF(CW15=0,"***",DA15/CW15)</f>
        <v/>
      </c>
      <c r="DC15" s="339">
        <f>IF(CO15=0,"***",CV15/CO15)</f>
        <v/>
      </c>
      <c r="DD15" s="340">
        <f>IF(CP15=0,"***",CW15/CP15)</f>
        <v/>
      </c>
      <c r="DE15" s="340">
        <f>IF(CQ15=0,"***",CX15/CQ15)</f>
        <v/>
      </c>
      <c r="DF15" s="340">
        <f>IF(CR15=0,"***",CY15/CR15)</f>
        <v/>
      </c>
      <c r="DG15" s="341">
        <f>IF(DE15="***","***",DF15-DD15)</f>
        <v/>
      </c>
      <c r="DH15" s="340">
        <f>IF(DF15="***","***",DF15-DD15)</f>
        <v/>
      </c>
      <c r="DI15" s="59" t="n"/>
    </row>
    <row r="16">
      <c r="D16" s="8" t="n"/>
      <c r="E16" s="9" t="n"/>
      <c r="F16" s="185" t="inlineStr">
        <is>
          <t>松江営業所</t>
        </is>
      </c>
      <c r="G16" s="186" t="n"/>
      <c r="H16" s="187" t="n"/>
      <c r="I16" s="305" t="n">
        <v>38303</v>
      </c>
      <c r="J16" s="306" t="n">
        <v>43707</v>
      </c>
      <c r="K16" s="307" t="n">
        <v>45090</v>
      </c>
      <c r="L16" s="306" t="n">
        <v>48121</v>
      </c>
      <c r="M16" s="357">
        <f>L16-K16</f>
        <v/>
      </c>
      <c r="N16" s="357">
        <f>L16-J16</f>
        <v/>
      </c>
      <c r="O16" s="309">
        <f>IF(J16=0,"***",N16/J16)</f>
        <v/>
      </c>
      <c r="P16" s="305" t="n">
        <v>7249</v>
      </c>
      <c r="Q16" s="306" t="n">
        <v>9663</v>
      </c>
      <c r="R16" s="307" t="n">
        <v>10090</v>
      </c>
      <c r="S16" s="306" t="n">
        <v>9325</v>
      </c>
      <c r="T16" s="357">
        <f>S16-R16</f>
        <v/>
      </c>
      <c r="U16" s="357">
        <f>S16-Q16</f>
        <v/>
      </c>
      <c r="V16" s="309">
        <f>IF(Q16=0,"***",U16/Q16)</f>
        <v/>
      </c>
      <c r="W16" s="305" t="n">
        <v>31951</v>
      </c>
      <c r="X16" s="306" t="n">
        <v>40602</v>
      </c>
      <c r="Y16" s="307" t="n">
        <v>42290</v>
      </c>
      <c r="Z16" s="306" t="n">
        <v>39334</v>
      </c>
      <c r="AA16" s="357">
        <f>Z16-Y16</f>
        <v/>
      </c>
      <c r="AB16" s="357">
        <f>Z16-X16</f>
        <v/>
      </c>
      <c r="AC16" s="309">
        <f>IF(X16=0,"***",AB16/X16)</f>
        <v/>
      </c>
      <c r="AD16" s="305" t="n">
        <v>7326</v>
      </c>
      <c r="AE16" s="306" t="n">
        <v>9358</v>
      </c>
      <c r="AF16" s="307" t="n">
        <v>9710</v>
      </c>
      <c r="AG16" s="306" t="n">
        <v>8378</v>
      </c>
      <c r="AH16" s="357">
        <f>AG16-AF16</f>
        <v/>
      </c>
      <c r="AI16" s="357">
        <f>AG16-AE16</f>
        <v/>
      </c>
      <c r="AJ16" s="309">
        <f>IF(AE16=0,"***",AI16/AE16)</f>
        <v/>
      </c>
      <c r="AK16" s="305" t="n">
        <v>40329</v>
      </c>
      <c r="AL16" s="306" t="n">
        <v>46544</v>
      </c>
      <c r="AM16" s="307" t="n">
        <v>49210</v>
      </c>
      <c r="AN16" s="306" t="n">
        <v>49382</v>
      </c>
      <c r="AO16" s="357">
        <f>AN16-AM16</f>
        <v/>
      </c>
      <c r="AP16" s="357">
        <f>AN16-AL16</f>
        <v/>
      </c>
      <c r="AQ16" s="309">
        <f>IF(AL16=0,"***",AP16/AL16)</f>
        <v/>
      </c>
      <c r="AR16" s="305" t="n">
        <v>9755</v>
      </c>
      <c r="AS16" s="306" t="n">
        <v>10682</v>
      </c>
      <c r="AT16" s="307" t="n">
        <v>11280</v>
      </c>
      <c r="AU16" s="306" t="n">
        <v>10901</v>
      </c>
      <c r="AV16" s="357">
        <f>AU16-AT16</f>
        <v/>
      </c>
      <c r="AW16" s="357">
        <f>AU16-AS16</f>
        <v/>
      </c>
      <c r="AX16" s="309">
        <f>IF(AS16=0,"***",AW16/AS16)</f>
        <v/>
      </c>
      <c r="AY16" s="305" t="n">
        <v>15102</v>
      </c>
      <c r="AZ16" s="306" t="n">
        <v>24737</v>
      </c>
      <c r="BA16" s="307" t="n">
        <v>25250</v>
      </c>
      <c r="BB16" s="306" t="n">
        <v>26373</v>
      </c>
      <c r="BC16" s="357">
        <f>BB16-BA16</f>
        <v/>
      </c>
      <c r="BD16" s="357">
        <f>BB16-AZ16</f>
        <v/>
      </c>
      <c r="BE16" s="309">
        <f>IF(AZ16=0,"***",BD16/AZ16)</f>
        <v/>
      </c>
      <c r="BF16" s="305" t="n">
        <v>3694</v>
      </c>
      <c r="BG16" s="306" t="n">
        <v>5072</v>
      </c>
      <c r="BH16" s="307" t="n">
        <v>5460</v>
      </c>
      <c r="BI16" s="306" t="n">
        <v>5547</v>
      </c>
      <c r="BJ16" s="357">
        <f>BI16-BH16</f>
        <v/>
      </c>
      <c r="BK16" s="357">
        <f>BI16-BG16</f>
        <v/>
      </c>
      <c r="BL16" s="309">
        <f>IF(BG16=0,"***",BK16/BG16)</f>
        <v/>
      </c>
      <c r="BM16" s="305" t="n">
        <v>34089</v>
      </c>
      <c r="BN16" s="306" t="n">
        <v>19371</v>
      </c>
      <c r="BO16" s="307" t="n">
        <v>24610</v>
      </c>
      <c r="BP16" s="306" t="n">
        <v>26933</v>
      </c>
      <c r="BQ16" s="357">
        <f>BP16-BO16</f>
        <v/>
      </c>
      <c r="BR16" s="357">
        <f>BP16-BN16</f>
        <v/>
      </c>
      <c r="BS16" s="309">
        <f>IF(BN16=0,"***",BR16/BN16)</f>
        <v/>
      </c>
      <c r="BT16" s="305" t="n">
        <v>6367</v>
      </c>
      <c r="BU16" s="306" t="n">
        <v>5106</v>
      </c>
      <c r="BV16" s="307" t="n">
        <v>5580</v>
      </c>
      <c r="BW16" s="306" t="n">
        <v>5672</v>
      </c>
      <c r="BX16" s="357">
        <f>BW16-BV16</f>
        <v/>
      </c>
      <c r="BY16" s="357">
        <f>BW16-BU16</f>
        <v/>
      </c>
      <c r="BZ16" s="309">
        <f>IF(BU16=0,"***",BY16/BU16)</f>
        <v/>
      </c>
      <c r="CA16" s="305" t="n">
        <v>23305</v>
      </c>
      <c r="CB16" s="306" t="n">
        <v>28658</v>
      </c>
      <c r="CC16" s="307" t="n">
        <v>42010</v>
      </c>
      <c r="CD16" s="306" t="n">
        <v>46067</v>
      </c>
      <c r="CE16" s="357">
        <f>CD16-CC16</f>
        <v/>
      </c>
      <c r="CF16" s="357">
        <f>CD16-CB16</f>
        <v/>
      </c>
      <c r="CG16" s="309">
        <f>IF(CB16=0,"***",CF16/CB16)</f>
        <v/>
      </c>
      <c r="CH16" s="305" t="n">
        <v>5632</v>
      </c>
      <c r="CI16" s="306" t="n">
        <v>6895</v>
      </c>
      <c r="CJ16" s="307" t="n">
        <v>9600</v>
      </c>
      <c r="CK16" s="306" t="n">
        <v>12921</v>
      </c>
      <c r="CL16" s="357">
        <f>CK16-CJ16</f>
        <v/>
      </c>
      <c r="CM16" s="357">
        <f>CK16-CI16</f>
        <v/>
      </c>
      <c r="CN16" s="309">
        <f>IF(CI16=0,"***",CM16/CI16)</f>
        <v/>
      </c>
      <c r="CO16" s="305">
        <f>I16+W16+AK16+AY16+BM16+CA16</f>
        <v/>
      </c>
      <c r="CP16" s="306">
        <f>J16+X16+AL16+AZ16+BN16+CB16</f>
        <v/>
      </c>
      <c r="CQ16" s="307">
        <f>K16+Y16+AM16+BA16+BO16+CC16</f>
        <v/>
      </c>
      <c r="CR16" s="306">
        <f>L16+Z16+AN16+BB16+BP16+CD16</f>
        <v/>
      </c>
      <c r="CS16" s="357">
        <f>CR16-CQ16</f>
        <v/>
      </c>
      <c r="CT16" s="357">
        <f>CR16-CP16</f>
        <v/>
      </c>
      <c r="CU16" s="309">
        <f>IF(CP16=0,"***",CT16/CP16)</f>
        <v/>
      </c>
      <c r="CV16" s="305">
        <f>P16+AD16+AR16+BF16+BT16+CH16</f>
        <v/>
      </c>
      <c r="CW16" s="306">
        <f>Q16+AE16+AS16+BG16+BU16+CI16</f>
        <v/>
      </c>
      <c r="CX16" s="307">
        <f>R16+AF16+AT16+BH16+BV16+CJ16</f>
        <v/>
      </c>
      <c r="CY16" s="306">
        <f>S16+AG16+AU16+BI16+BW16+CK16</f>
        <v/>
      </c>
      <c r="CZ16" s="357">
        <f>CY16-CX16</f>
        <v/>
      </c>
      <c r="DA16" s="357">
        <f>CY16-CW16</f>
        <v/>
      </c>
      <c r="DB16" s="309">
        <f>IF(CW16=0,"***",DA16/CW16)</f>
        <v/>
      </c>
      <c r="DC16" s="311">
        <f>IF(CO16=0,"***",CV16/CO16)</f>
        <v/>
      </c>
      <c r="DD16" s="312">
        <f>IF(CP16=0,"***",CW16/CP16)</f>
        <v/>
      </c>
      <c r="DE16" s="312">
        <f>IF(CQ16=0,"***",CX16/CQ16)</f>
        <v/>
      </c>
      <c r="DF16" s="312">
        <f>IF(CR16=0,"***",CY16/CR16)</f>
        <v/>
      </c>
      <c r="DG16" s="312">
        <f>IF(DE16="***","***",DF16-DD16)</f>
        <v/>
      </c>
      <c r="DH16" s="312">
        <f>IF(DF16="***","***",DF16-DD16)</f>
        <v/>
      </c>
      <c r="DI16" s="21" t="n"/>
    </row>
    <row r="17">
      <c r="D17" s="8" t="n"/>
      <c r="E17" s="9" t="n"/>
      <c r="F17" s="9" t="n"/>
      <c r="G17" s="22" t="inlineStr">
        <is>
          <t>営業</t>
        </is>
      </c>
      <c r="H17" s="23" t="n"/>
      <c r="I17" s="314">
        <f>I16-I20</f>
        <v/>
      </c>
      <c r="J17" s="315">
        <f>J16-J20</f>
        <v/>
      </c>
      <c r="K17" s="316">
        <f>K16-K20</f>
        <v/>
      </c>
      <c r="L17" s="315">
        <f>L16-L20</f>
        <v/>
      </c>
      <c r="M17" s="315">
        <f>L17-K17</f>
        <v/>
      </c>
      <c r="N17" s="315">
        <f>L17-J17</f>
        <v/>
      </c>
      <c r="O17" s="318">
        <f>IF(J17=0,"***",N17/J17)</f>
        <v/>
      </c>
      <c r="P17" s="314">
        <f>P16-P20</f>
        <v/>
      </c>
      <c r="Q17" s="315">
        <f>Q16-Q20</f>
        <v/>
      </c>
      <c r="R17" s="316">
        <f>R16-R20</f>
        <v/>
      </c>
      <c r="S17" s="315">
        <f>S16-S20</f>
        <v/>
      </c>
      <c r="T17" s="315">
        <f>S17-R17</f>
        <v/>
      </c>
      <c r="U17" s="315">
        <f>S17-Q17</f>
        <v/>
      </c>
      <c r="V17" s="318">
        <f>IF(Q17=0,"***",U17/Q17)</f>
        <v/>
      </c>
      <c r="W17" s="314">
        <f>W16-W20</f>
        <v/>
      </c>
      <c r="X17" s="315">
        <f>X16-X20</f>
        <v/>
      </c>
      <c r="Y17" s="316">
        <f>Y16-Y20</f>
        <v/>
      </c>
      <c r="Z17" s="315">
        <f>Z16-Z20</f>
        <v/>
      </c>
      <c r="AA17" s="315">
        <f>Z17-Y17</f>
        <v/>
      </c>
      <c r="AB17" s="315">
        <f>Z17-X17</f>
        <v/>
      </c>
      <c r="AC17" s="318">
        <f>IF(X17=0,"***",AB17/X17)</f>
        <v/>
      </c>
      <c r="AD17" s="314">
        <f>AD16-AD20</f>
        <v/>
      </c>
      <c r="AE17" s="315">
        <f>AE16-AE20</f>
        <v/>
      </c>
      <c r="AF17" s="316">
        <f>AF16-AF20</f>
        <v/>
      </c>
      <c r="AG17" s="315">
        <f>AG16-AG20</f>
        <v/>
      </c>
      <c r="AH17" s="315">
        <f>AG17-AF17</f>
        <v/>
      </c>
      <c r="AI17" s="315">
        <f>AG17-AE17</f>
        <v/>
      </c>
      <c r="AJ17" s="318">
        <f>IF(AE17=0,"***",AI17/AE17)</f>
        <v/>
      </c>
      <c r="AK17" s="314">
        <f>AK16-AK20</f>
        <v/>
      </c>
      <c r="AL17" s="315">
        <f>AL16-AL20</f>
        <v/>
      </c>
      <c r="AM17" s="316">
        <f>AM16-AM20</f>
        <v/>
      </c>
      <c r="AN17" s="315">
        <f>AN16-AN20</f>
        <v/>
      </c>
      <c r="AO17" s="315">
        <f>AN17-AM17</f>
        <v/>
      </c>
      <c r="AP17" s="315">
        <f>AN17-AL17</f>
        <v/>
      </c>
      <c r="AQ17" s="318">
        <f>IF(AL17=0,"***",AP17/AL17)</f>
        <v/>
      </c>
      <c r="AR17" s="314">
        <f>AR16-AR20</f>
        <v/>
      </c>
      <c r="AS17" s="315">
        <f>AS16-AS20</f>
        <v/>
      </c>
      <c r="AT17" s="316">
        <f>AT16-AT20</f>
        <v/>
      </c>
      <c r="AU17" s="315">
        <f>AU16-AU20</f>
        <v/>
      </c>
      <c r="AV17" s="315">
        <f>AU17-AT17</f>
        <v/>
      </c>
      <c r="AW17" s="315">
        <f>AU17-AS17</f>
        <v/>
      </c>
      <c r="AX17" s="318">
        <f>IF(AS17=0,"***",AW17/AS17)</f>
        <v/>
      </c>
      <c r="AY17" s="314">
        <f>AY16-AY20</f>
        <v/>
      </c>
      <c r="AZ17" s="315">
        <f>AZ16-AZ20</f>
        <v/>
      </c>
      <c r="BA17" s="316">
        <f>BA16-BA20</f>
        <v/>
      </c>
      <c r="BB17" s="315">
        <f>BB16-BB20</f>
        <v/>
      </c>
      <c r="BC17" s="315">
        <f>BB17-BA17</f>
        <v/>
      </c>
      <c r="BD17" s="315">
        <f>BB17-AZ17</f>
        <v/>
      </c>
      <c r="BE17" s="318">
        <f>IF(AZ17=0,"***",BD17/AZ17)</f>
        <v/>
      </c>
      <c r="BF17" s="314">
        <f>BF16-BF20</f>
        <v/>
      </c>
      <c r="BG17" s="315">
        <f>BG16-BG20</f>
        <v/>
      </c>
      <c r="BH17" s="316">
        <f>BH16-BH20</f>
        <v/>
      </c>
      <c r="BI17" s="315">
        <f>BI16-BI20</f>
        <v/>
      </c>
      <c r="BJ17" s="315">
        <f>BI17-BH17</f>
        <v/>
      </c>
      <c r="BK17" s="315">
        <f>BI17-BG17</f>
        <v/>
      </c>
      <c r="BL17" s="318">
        <f>IF(BG17=0,"***",BK17/BG17)</f>
        <v/>
      </c>
      <c r="BM17" s="314">
        <f>BM16-BM20</f>
        <v/>
      </c>
      <c r="BN17" s="315">
        <f>BN16-BN20</f>
        <v/>
      </c>
      <c r="BO17" s="316">
        <f>BO16-BO20</f>
        <v/>
      </c>
      <c r="BP17" s="315">
        <f>BP16-BP20</f>
        <v/>
      </c>
      <c r="BQ17" s="315">
        <f>BP17-BO17</f>
        <v/>
      </c>
      <c r="BR17" s="315">
        <f>BP17-BN17</f>
        <v/>
      </c>
      <c r="BS17" s="318">
        <f>IF(BN17=0,"***",BR17/BN17)</f>
        <v/>
      </c>
      <c r="BT17" s="314">
        <f>BT16-BT20</f>
        <v/>
      </c>
      <c r="BU17" s="315">
        <f>BU16-BU20</f>
        <v/>
      </c>
      <c r="BV17" s="316">
        <f>BV16-BV20</f>
        <v/>
      </c>
      <c r="BW17" s="315">
        <f>BW16-BW20</f>
        <v/>
      </c>
      <c r="BX17" s="315">
        <f>BW17-BV17</f>
        <v/>
      </c>
      <c r="BY17" s="315">
        <f>BW17-BU17</f>
        <v/>
      </c>
      <c r="BZ17" s="318">
        <f>IF(BU17=0,"***",BY17/BU17)</f>
        <v/>
      </c>
      <c r="CA17" s="314">
        <f>CA16-CA20</f>
        <v/>
      </c>
      <c r="CB17" s="315">
        <f>CB16-CB20</f>
        <v/>
      </c>
      <c r="CC17" s="316">
        <f>CC16-CC20</f>
        <v/>
      </c>
      <c r="CD17" s="315">
        <f>CD16-CD20</f>
        <v/>
      </c>
      <c r="CE17" s="315">
        <f>CD17-CC17</f>
        <v/>
      </c>
      <c r="CF17" s="315">
        <f>CD17-CB17</f>
        <v/>
      </c>
      <c r="CG17" s="318">
        <f>IF(CB17=0,"***",CF17/CB17)</f>
        <v/>
      </c>
      <c r="CH17" s="314">
        <f>CH16-CH20</f>
        <v/>
      </c>
      <c r="CI17" s="315">
        <f>CI16-CI20</f>
        <v/>
      </c>
      <c r="CJ17" s="316">
        <f>CJ16-CJ20</f>
        <v/>
      </c>
      <c r="CK17" s="315">
        <f>CK16-CK20</f>
        <v/>
      </c>
      <c r="CL17" s="315">
        <f>CK17-CJ17</f>
        <v/>
      </c>
      <c r="CM17" s="315">
        <f>CK17-CI17</f>
        <v/>
      </c>
      <c r="CN17" s="318">
        <f>IF(CI17=0,"***",CM17/CI17)</f>
        <v/>
      </c>
      <c r="CO17" s="314">
        <f>CO16-CO20</f>
        <v/>
      </c>
      <c r="CP17" s="315">
        <f>CP16-CP20</f>
        <v/>
      </c>
      <c r="CQ17" s="316">
        <f>CQ16-CQ20</f>
        <v/>
      </c>
      <c r="CR17" s="315">
        <f>CR16-CR20</f>
        <v/>
      </c>
      <c r="CS17" s="315">
        <f>CR17-CQ17</f>
        <v/>
      </c>
      <c r="CT17" s="315">
        <f>CR17-CP17</f>
        <v/>
      </c>
      <c r="CU17" s="318">
        <f>IF(CP17=0,"***",CT17/CP17)</f>
        <v/>
      </c>
      <c r="CV17" s="314">
        <f>CV16-CV20</f>
        <v/>
      </c>
      <c r="CW17" s="315">
        <f>CW16-CW20</f>
        <v/>
      </c>
      <c r="CX17" s="316">
        <f>CX16-CX20</f>
        <v/>
      </c>
      <c r="CY17" s="315">
        <f>CY16-CY20</f>
        <v/>
      </c>
      <c r="CZ17" s="315">
        <f>CY17-CX17</f>
        <v/>
      </c>
      <c r="DA17" s="315">
        <f>CY17-CW17</f>
        <v/>
      </c>
      <c r="DB17" s="318">
        <f>IF(CW17=0,"***",DA17/CW17)</f>
        <v/>
      </c>
      <c r="DC17" s="319">
        <f>IF(CO17=0,"***",CV17/CO17)</f>
        <v/>
      </c>
      <c r="DD17" s="320">
        <f>IF(CP17=0,"***",CW17/CP17)</f>
        <v/>
      </c>
      <c r="DE17" s="320">
        <f>IF(CQ17=0,"***",CX17/CQ17)</f>
        <v/>
      </c>
      <c r="DF17" s="320">
        <f>IF(CR17=0,"***",CY17/CR17)</f>
        <v/>
      </c>
      <c r="DG17" s="320">
        <f>IF(DE17="***","***",DF17-DD17)</f>
        <v/>
      </c>
      <c r="DH17" s="320">
        <f>IF(DF17="***","***",DF17-DD17)</f>
        <v/>
      </c>
      <c r="DI17" s="31" t="n"/>
    </row>
    <row r="18">
      <c r="D18" s="8" t="n"/>
      <c r="E18" s="9" t="n"/>
      <c r="F18" s="9" t="n"/>
      <c r="G18" s="32" t="n"/>
      <c r="H18" s="33" t="inlineStr">
        <is>
          <t>包装資材</t>
        </is>
      </c>
      <c r="I18" s="314">
        <f>I17-I19</f>
        <v/>
      </c>
      <c r="J18" s="315">
        <f>J17-J19</f>
        <v/>
      </c>
      <c r="K18" s="316">
        <f>K17-K19</f>
        <v/>
      </c>
      <c r="L18" s="315">
        <f>L17-L19</f>
        <v/>
      </c>
      <c r="M18" s="315">
        <f>L18-K18</f>
        <v/>
      </c>
      <c r="N18" s="315">
        <f>L18-J18</f>
        <v/>
      </c>
      <c r="O18" s="318">
        <f>IF(J18=0,"***",N18/J18)</f>
        <v/>
      </c>
      <c r="P18" s="314">
        <f>P17-P19</f>
        <v/>
      </c>
      <c r="Q18" s="315">
        <f>Q17-Q19</f>
        <v/>
      </c>
      <c r="R18" s="316">
        <f>R17-R19</f>
        <v/>
      </c>
      <c r="S18" s="315">
        <f>S17-S19</f>
        <v/>
      </c>
      <c r="T18" s="315">
        <f>S18-R18</f>
        <v/>
      </c>
      <c r="U18" s="315">
        <f>S18-Q18</f>
        <v/>
      </c>
      <c r="V18" s="318">
        <f>IF(Q18=0,"***",U18/Q18)</f>
        <v/>
      </c>
      <c r="W18" s="314">
        <f>W17-W19</f>
        <v/>
      </c>
      <c r="X18" s="315">
        <f>X17-X19</f>
        <v/>
      </c>
      <c r="Y18" s="316">
        <f>Y17-Y19</f>
        <v/>
      </c>
      <c r="Z18" s="315">
        <f>Z17-Z19</f>
        <v/>
      </c>
      <c r="AA18" s="315">
        <f>Z18-Y18</f>
        <v/>
      </c>
      <c r="AB18" s="315">
        <f>Z18-X18</f>
        <v/>
      </c>
      <c r="AC18" s="318">
        <f>IF(X18=0,"***",AB18/X18)</f>
        <v/>
      </c>
      <c r="AD18" s="314">
        <f>AD17-AD19</f>
        <v/>
      </c>
      <c r="AE18" s="315">
        <f>AE17-AE19</f>
        <v/>
      </c>
      <c r="AF18" s="316">
        <f>AF17-AF19</f>
        <v/>
      </c>
      <c r="AG18" s="315">
        <f>AG17-AG19</f>
        <v/>
      </c>
      <c r="AH18" s="315">
        <f>AG18-AF18</f>
        <v/>
      </c>
      <c r="AI18" s="315">
        <f>AG18-AE18</f>
        <v/>
      </c>
      <c r="AJ18" s="318">
        <f>IF(AE18=0,"***",AI18/AE18)</f>
        <v/>
      </c>
      <c r="AK18" s="314">
        <f>AK17-AK19</f>
        <v/>
      </c>
      <c r="AL18" s="315">
        <f>AL17-AL19</f>
        <v/>
      </c>
      <c r="AM18" s="316">
        <f>AM17-AM19</f>
        <v/>
      </c>
      <c r="AN18" s="315">
        <f>AN17-AN19</f>
        <v/>
      </c>
      <c r="AO18" s="315">
        <f>AN18-AM18</f>
        <v/>
      </c>
      <c r="AP18" s="315">
        <f>AN18-AL18</f>
        <v/>
      </c>
      <c r="AQ18" s="318">
        <f>IF(AL18=0,"***",AP18/AL18)</f>
        <v/>
      </c>
      <c r="AR18" s="314">
        <f>AR17-AR19</f>
        <v/>
      </c>
      <c r="AS18" s="315">
        <f>AS17-AS19</f>
        <v/>
      </c>
      <c r="AT18" s="316">
        <f>AT17-AT19</f>
        <v/>
      </c>
      <c r="AU18" s="315">
        <f>AU17-AU19</f>
        <v/>
      </c>
      <c r="AV18" s="315">
        <f>AU18-AT18</f>
        <v/>
      </c>
      <c r="AW18" s="315">
        <f>AU18-AS18</f>
        <v/>
      </c>
      <c r="AX18" s="318">
        <f>IF(AS18=0,"***",AW18/AS18)</f>
        <v/>
      </c>
      <c r="AY18" s="314">
        <f>AY17-AY19</f>
        <v/>
      </c>
      <c r="AZ18" s="315">
        <f>AZ17-AZ19</f>
        <v/>
      </c>
      <c r="BA18" s="316">
        <f>BA17-BA19</f>
        <v/>
      </c>
      <c r="BB18" s="315">
        <f>BB17-BB19</f>
        <v/>
      </c>
      <c r="BC18" s="315">
        <f>BB18-BA18</f>
        <v/>
      </c>
      <c r="BD18" s="315">
        <f>BB18-AZ18</f>
        <v/>
      </c>
      <c r="BE18" s="318">
        <f>IF(AZ18=0,"***",BD18/AZ18)</f>
        <v/>
      </c>
      <c r="BF18" s="314">
        <f>BF17-BF19</f>
        <v/>
      </c>
      <c r="BG18" s="315">
        <f>BG17-BG19</f>
        <v/>
      </c>
      <c r="BH18" s="316">
        <f>BH17-BH19</f>
        <v/>
      </c>
      <c r="BI18" s="315">
        <f>BI17-BI19</f>
        <v/>
      </c>
      <c r="BJ18" s="315">
        <f>BI18-BH18</f>
        <v/>
      </c>
      <c r="BK18" s="315">
        <f>BI18-BG18</f>
        <v/>
      </c>
      <c r="BL18" s="318">
        <f>IF(BG18=0,"***",BK18/BG18)</f>
        <v/>
      </c>
      <c r="BM18" s="314">
        <f>BM17-BM19</f>
        <v/>
      </c>
      <c r="BN18" s="315">
        <f>BN17-BN19</f>
        <v/>
      </c>
      <c r="BO18" s="316">
        <f>BO17-BO19</f>
        <v/>
      </c>
      <c r="BP18" s="315">
        <f>BP17-BP19</f>
        <v/>
      </c>
      <c r="BQ18" s="315">
        <f>BP18-BO18</f>
        <v/>
      </c>
      <c r="BR18" s="315">
        <f>BP18-BN18</f>
        <v/>
      </c>
      <c r="BS18" s="318">
        <f>IF(BN18=0,"***",BR18/BN18)</f>
        <v/>
      </c>
      <c r="BT18" s="314">
        <f>BT17-BT19</f>
        <v/>
      </c>
      <c r="BU18" s="315">
        <f>BU17-BU19</f>
        <v/>
      </c>
      <c r="BV18" s="316">
        <f>BV17-BV19</f>
        <v/>
      </c>
      <c r="BW18" s="315">
        <f>BW17-BW19</f>
        <v/>
      </c>
      <c r="BX18" s="315">
        <f>BW18-BV18</f>
        <v/>
      </c>
      <c r="BY18" s="315">
        <f>BW18-BU18</f>
        <v/>
      </c>
      <c r="BZ18" s="318">
        <f>IF(BU18=0,"***",BY18/BU18)</f>
        <v/>
      </c>
      <c r="CA18" s="314">
        <f>CA17-CA19</f>
        <v/>
      </c>
      <c r="CB18" s="315">
        <f>CB17-CB19</f>
        <v/>
      </c>
      <c r="CC18" s="316">
        <f>CC17-CC19</f>
        <v/>
      </c>
      <c r="CD18" s="315">
        <f>CD17-CD19</f>
        <v/>
      </c>
      <c r="CE18" s="315">
        <f>CD18-CC18</f>
        <v/>
      </c>
      <c r="CF18" s="315">
        <f>CD18-CB18</f>
        <v/>
      </c>
      <c r="CG18" s="318">
        <f>IF(CB18=0,"***",CF18/CB18)</f>
        <v/>
      </c>
      <c r="CH18" s="314">
        <f>CH17-CH19</f>
        <v/>
      </c>
      <c r="CI18" s="315">
        <f>CI17-CI19</f>
        <v/>
      </c>
      <c r="CJ18" s="316">
        <f>CJ17-CJ19</f>
        <v/>
      </c>
      <c r="CK18" s="315">
        <f>CK17-CK19</f>
        <v/>
      </c>
      <c r="CL18" s="315">
        <f>CK18-CJ18</f>
        <v/>
      </c>
      <c r="CM18" s="315">
        <f>CK18-CI18</f>
        <v/>
      </c>
      <c r="CN18" s="318">
        <f>IF(CI18=0,"***",CM18/CI18)</f>
        <v/>
      </c>
      <c r="CO18" s="314">
        <f>CO17-CO19</f>
        <v/>
      </c>
      <c r="CP18" s="315">
        <f>CP17-CP19</f>
        <v/>
      </c>
      <c r="CQ18" s="316">
        <f>CQ17-CQ19</f>
        <v/>
      </c>
      <c r="CR18" s="315">
        <f>CR17-CR19</f>
        <v/>
      </c>
      <c r="CS18" s="315">
        <f>CR18-CQ18</f>
        <v/>
      </c>
      <c r="CT18" s="315">
        <f>CR18-CP18</f>
        <v/>
      </c>
      <c r="CU18" s="318">
        <f>IF(CP18=0,"***",CT18/CP18)</f>
        <v/>
      </c>
      <c r="CV18" s="314">
        <f>CV17-CV19</f>
        <v/>
      </c>
      <c r="CW18" s="315">
        <f>CW17-CW19</f>
        <v/>
      </c>
      <c r="CX18" s="316">
        <f>CX17-CX19</f>
        <v/>
      </c>
      <c r="CY18" s="315">
        <f>CY17-CY19</f>
        <v/>
      </c>
      <c r="CZ18" s="315">
        <f>CY18-CX18</f>
        <v/>
      </c>
      <c r="DA18" s="315">
        <f>CY18-CW18</f>
        <v/>
      </c>
      <c r="DB18" s="318">
        <f>IF(CW18=0,"***",DA18/CW18)</f>
        <v/>
      </c>
      <c r="DC18" s="319">
        <f>IF(CO18=0,"***",CV18/CO18)</f>
        <v/>
      </c>
      <c r="DD18" s="320">
        <f>IF(CP18=0,"***",CW18/CP18)</f>
        <v/>
      </c>
      <c r="DE18" s="320">
        <f>IF(CQ18=0,"***",CX18/CQ18)</f>
        <v/>
      </c>
      <c r="DF18" s="320">
        <f>IF(CR18=0,"***",CY18/CR18)</f>
        <v/>
      </c>
      <c r="DG18" s="320">
        <f>IF(DE18="***","***",DF18-DD18)</f>
        <v/>
      </c>
      <c r="DH18" s="320">
        <f>IF(DF18="***","***",DF18-DD18)</f>
        <v/>
      </c>
      <c r="DI18" s="31" t="n"/>
    </row>
    <row r="19">
      <c r="D19" s="8" t="n"/>
      <c r="E19" s="9" t="n"/>
      <c r="F19" s="9" t="n"/>
      <c r="G19" s="177" t="n"/>
      <c r="H19" s="178" t="inlineStr">
        <is>
          <t>機械</t>
        </is>
      </c>
      <c r="I19" s="354" t="n">
        <v>241</v>
      </c>
      <c r="J19" s="355" t="n">
        <v>3010</v>
      </c>
      <c r="K19" s="80" t="n">
        <v>3000</v>
      </c>
      <c r="L19" s="355" t="n">
        <v>836</v>
      </c>
      <c r="M19" s="315">
        <f>L19-K19</f>
        <v/>
      </c>
      <c r="N19" s="315">
        <f>L19-J19</f>
        <v/>
      </c>
      <c r="O19" s="318">
        <f>IF(J19=0,"***",N19/J19)</f>
        <v/>
      </c>
      <c r="P19" s="354" t="n">
        <v>50</v>
      </c>
      <c r="Q19" s="355" t="n">
        <v>585</v>
      </c>
      <c r="R19" s="80" t="n">
        <v>480</v>
      </c>
      <c r="S19" s="355" t="n">
        <v>142</v>
      </c>
      <c r="T19" s="315">
        <f>S19-R19</f>
        <v/>
      </c>
      <c r="U19" s="315">
        <f>S19-Q19</f>
        <v/>
      </c>
      <c r="V19" s="318">
        <f>IF(Q19=0,"***",U19/Q19)</f>
        <v/>
      </c>
      <c r="W19" s="354" t="n">
        <v>3513</v>
      </c>
      <c r="X19" s="355" t="n">
        <v>973</v>
      </c>
      <c r="Y19" s="80" t="n">
        <v>500</v>
      </c>
      <c r="Z19" s="355" t="n">
        <v>1129</v>
      </c>
      <c r="AA19" s="315">
        <f>Z19-Y19</f>
        <v/>
      </c>
      <c r="AB19" s="315">
        <f>Z19-X19</f>
        <v/>
      </c>
      <c r="AC19" s="318">
        <f>IF(X19=0,"***",AB19/X19)</f>
        <v/>
      </c>
      <c r="AD19" s="354" t="n">
        <v>246</v>
      </c>
      <c r="AE19" s="355" t="n">
        <v>310</v>
      </c>
      <c r="AF19" s="80" t="n">
        <v>100</v>
      </c>
      <c r="AG19" s="355" t="n">
        <v>225</v>
      </c>
      <c r="AH19" s="315">
        <f>AG19-AF19</f>
        <v/>
      </c>
      <c r="AI19" s="315">
        <f>AG19-AE19</f>
        <v/>
      </c>
      <c r="AJ19" s="318">
        <f>IF(AE19=0,"***",AI19/AE19)</f>
        <v/>
      </c>
      <c r="AK19" s="354" t="n">
        <v>4880</v>
      </c>
      <c r="AL19" s="355" t="n">
        <v>795</v>
      </c>
      <c r="AM19" s="80" t="n">
        <v>500</v>
      </c>
      <c r="AN19" s="355" t="n">
        <v>497</v>
      </c>
      <c r="AO19" s="315">
        <f>AN19-AM19</f>
        <v/>
      </c>
      <c r="AP19" s="315">
        <f>AN19-AL19</f>
        <v/>
      </c>
      <c r="AQ19" s="318">
        <f>IF(AL19=0,"***",AP19/AL19)</f>
        <v/>
      </c>
      <c r="AR19" s="354" t="n">
        <v>1125</v>
      </c>
      <c r="AS19" s="355" t="n">
        <v>165</v>
      </c>
      <c r="AT19" s="80" t="n">
        <v>100</v>
      </c>
      <c r="AU19" s="355" t="n">
        <v>93</v>
      </c>
      <c r="AV19" s="315">
        <f>AU19-AT19</f>
        <v/>
      </c>
      <c r="AW19" s="315">
        <f>AU19-AS19</f>
        <v/>
      </c>
      <c r="AX19" s="318">
        <f>IF(AS19=0,"***",AW19/AS19)</f>
        <v/>
      </c>
      <c r="AY19" s="354" t="n">
        <v>380</v>
      </c>
      <c r="AZ19" s="355" t="n">
        <v>143</v>
      </c>
      <c r="BA19" s="80" t="n">
        <v>500</v>
      </c>
      <c r="BB19" s="355" t="n">
        <v>750</v>
      </c>
      <c r="BC19" s="315">
        <f>BB19-BA19</f>
        <v/>
      </c>
      <c r="BD19" s="315">
        <f>BB19-AZ19</f>
        <v/>
      </c>
      <c r="BE19" s="318">
        <f>IF(AZ19=0,"***",BD19/AZ19)</f>
        <v/>
      </c>
      <c r="BF19" s="354" t="n">
        <v>66</v>
      </c>
      <c r="BG19" s="355" t="n">
        <v>33</v>
      </c>
      <c r="BH19" s="80" t="n">
        <v>100</v>
      </c>
      <c r="BI19" s="355" t="n">
        <v>143</v>
      </c>
      <c r="BJ19" s="315">
        <f>BI19-BH19</f>
        <v/>
      </c>
      <c r="BK19" s="315">
        <f>BI19-BG19</f>
        <v/>
      </c>
      <c r="BL19" s="318">
        <f>IF(BG19=0,"***",BK19/BG19)</f>
        <v/>
      </c>
      <c r="BM19" s="354" t="n">
        <v>14046</v>
      </c>
      <c r="BN19" s="355" t="n">
        <v>117</v>
      </c>
      <c r="BO19" s="80" t="n">
        <v>500</v>
      </c>
      <c r="BP19" s="355" t="n">
        <v>704</v>
      </c>
      <c r="BQ19" s="315">
        <f>BP19-BO19</f>
        <v/>
      </c>
      <c r="BR19" s="315">
        <f>BP19-BN19</f>
        <v/>
      </c>
      <c r="BS19" s="318">
        <f>IF(BN19=0,"***",BR19/BN19)</f>
        <v/>
      </c>
      <c r="BT19" s="354" t="n">
        <v>1542</v>
      </c>
      <c r="BU19" s="355" t="n">
        <v>38</v>
      </c>
      <c r="BV19" s="80" t="n">
        <v>100</v>
      </c>
      <c r="BW19" s="355" t="n">
        <v>118</v>
      </c>
      <c r="BX19" s="315">
        <f>BW19-BV19</f>
        <v/>
      </c>
      <c r="BY19" s="315">
        <f>BW19-BU19</f>
        <v/>
      </c>
      <c r="BZ19" s="318">
        <f>IF(BU19=0,"***",BY19/BU19)</f>
        <v/>
      </c>
      <c r="CA19" s="354" t="n">
        <v>2499</v>
      </c>
      <c r="CB19" s="355" t="n">
        <v>3496</v>
      </c>
      <c r="CC19" s="80" t="n">
        <v>16500</v>
      </c>
      <c r="CD19" s="355" t="n">
        <v>18915</v>
      </c>
      <c r="CE19" s="315">
        <f>CD19-CC19</f>
        <v/>
      </c>
      <c r="CF19" s="315">
        <f>CD19-CB19</f>
        <v/>
      </c>
      <c r="CG19" s="318">
        <f>IF(CB19=0,"***",CF19/CB19)</f>
        <v/>
      </c>
      <c r="CH19" s="354" t="n">
        <v>488</v>
      </c>
      <c r="CI19" s="355" t="n">
        <v>870</v>
      </c>
      <c r="CJ19" s="80" t="n">
        <v>3300</v>
      </c>
      <c r="CK19" s="355" t="n">
        <v>5710</v>
      </c>
      <c r="CL19" s="315">
        <f>CK19-CJ19</f>
        <v/>
      </c>
      <c r="CM19" s="315">
        <f>CK19-CI19</f>
        <v/>
      </c>
      <c r="CN19" s="318">
        <f>IF(CI19=0,"***",CM19/CI19)</f>
        <v/>
      </c>
      <c r="CO19" s="354">
        <f>I19+W19+AK19+AY19+BM19+CA19</f>
        <v/>
      </c>
      <c r="CP19" s="355">
        <f>J19+X19+AL19+AZ19+BN19+CB19</f>
        <v/>
      </c>
      <c r="CQ19" s="80">
        <f>K19+Y19+AM19+BA19+BO19+CC19</f>
        <v/>
      </c>
      <c r="CR19" s="355">
        <f>L19+Z19+AN19+BB19+BP19+CD19</f>
        <v/>
      </c>
      <c r="CS19" s="315">
        <f>CR19-CQ19</f>
        <v/>
      </c>
      <c r="CT19" s="315">
        <f>CR19-CP19</f>
        <v/>
      </c>
      <c r="CU19" s="318">
        <f>IF(CP19=0,"***",CT19/CP19)</f>
        <v/>
      </c>
      <c r="CV19" s="354">
        <f>P19+AD19+AR19+BF19+BT19+CH19</f>
        <v/>
      </c>
      <c r="CW19" s="355">
        <f>Q19+AE19+AS19+BG19+BU19+CI19</f>
        <v/>
      </c>
      <c r="CX19" s="80">
        <f>R19+AF19+AT19+BH19+BV19+CJ19</f>
        <v/>
      </c>
      <c r="CY19" s="355">
        <f>S19+AG19+AU19+BI19+BW19+CK19</f>
        <v/>
      </c>
      <c r="CZ19" s="315">
        <f>CY19-CX19</f>
        <v/>
      </c>
      <c r="DA19" s="315">
        <f>CY19-CW19</f>
        <v/>
      </c>
      <c r="DB19" s="318">
        <f>IF(CW19=0,"***",DA19/CW19)</f>
        <v/>
      </c>
      <c r="DC19" s="319">
        <f>IF(CO19=0,"***",CV19/CO19)</f>
        <v/>
      </c>
      <c r="DD19" s="320">
        <f>IF(CP19=0,"***",CW19/CP19)</f>
        <v/>
      </c>
      <c r="DE19" s="320">
        <f>IF(CQ19=0,"***",CX19/CQ19)</f>
        <v/>
      </c>
      <c r="DF19" s="320">
        <f>IF(CR19=0,"***",CY19/CR19)</f>
        <v/>
      </c>
      <c r="DG19" s="320">
        <f>IF(DE19="***","***",DF19-DD19)</f>
        <v/>
      </c>
      <c r="DH19" s="320">
        <f>IF(DF19="***","***",DF19-DD19)</f>
        <v/>
      </c>
      <c r="DI19" s="31" t="n"/>
    </row>
    <row r="20">
      <c r="D20" s="8" t="n"/>
      <c r="E20" s="9" t="n"/>
      <c r="F20" s="46" t="n"/>
      <c r="G20" s="180" t="inlineStr">
        <is>
          <t>自治体</t>
        </is>
      </c>
      <c r="H20" s="181" t="n"/>
      <c r="I20" s="332" t="n">
        <v>8982</v>
      </c>
      <c r="J20" s="333" t="n">
        <v>5976</v>
      </c>
      <c r="K20" s="334" t="n">
        <v>5500</v>
      </c>
      <c r="L20" s="333" t="n">
        <v>13761</v>
      </c>
      <c r="M20" s="379">
        <f>L20-K20</f>
        <v/>
      </c>
      <c r="N20" s="379">
        <f>L20-J20</f>
        <v/>
      </c>
      <c r="O20" s="336">
        <f>IF(J20=0,"***",N20/J20)</f>
        <v/>
      </c>
      <c r="P20" s="332" t="n">
        <v>269</v>
      </c>
      <c r="Q20" s="333" t="n">
        <v>117</v>
      </c>
      <c r="R20" s="334" t="n">
        <v>100</v>
      </c>
      <c r="S20" s="333" t="n">
        <v>404</v>
      </c>
      <c r="T20" s="379">
        <f>S20-R20</f>
        <v/>
      </c>
      <c r="U20" s="379">
        <f>S20-Q20</f>
        <v/>
      </c>
      <c r="V20" s="336">
        <f>IF(Q20=0,"***",U20/Q20)</f>
        <v/>
      </c>
      <c r="W20" s="332" t="n">
        <v>0</v>
      </c>
      <c r="X20" s="333" t="n">
        <v>6153</v>
      </c>
      <c r="Y20" s="334" t="n">
        <v>6600</v>
      </c>
      <c r="Z20" s="333" t="n">
        <v>6905</v>
      </c>
      <c r="AA20" s="379">
        <f>Z20-Y20</f>
        <v/>
      </c>
      <c r="AB20" s="379">
        <f>Z20-X20</f>
        <v/>
      </c>
      <c r="AC20" s="336">
        <f>IF(X20=0,"***",AB20/X20)</f>
        <v/>
      </c>
      <c r="AD20" s="332" t="n">
        <v>0</v>
      </c>
      <c r="AE20" s="333" t="n">
        <v>102</v>
      </c>
      <c r="AF20" s="334" t="n">
        <v>110</v>
      </c>
      <c r="AG20" s="333" t="n">
        <v>119</v>
      </c>
      <c r="AH20" s="379">
        <f>AG20-AF20</f>
        <v/>
      </c>
      <c r="AI20" s="379">
        <f>AG20-AE20</f>
        <v/>
      </c>
      <c r="AJ20" s="336">
        <f>IF(AE20=0,"***",AI20/AE20)</f>
        <v/>
      </c>
      <c r="AK20" s="332" t="n">
        <v>0</v>
      </c>
      <c r="AL20" s="333" t="n">
        <v>7138</v>
      </c>
      <c r="AM20" s="334" t="n">
        <v>8180</v>
      </c>
      <c r="AN20" s="333" t="n">
        <v>9060</v>
      </c>
      <c r="AO20" s="379">
        <f>AN20-AM20</f>
        <v/>
      </c>
      <c r="AP20" s="379">
        <f>AN20-AL20</f>
        <v/>
      </c>
      <c r="AQ20" s="336">
        <f>IF(AL20=0,"***",AP20/AL20)</f>
        <v/>
      </c>
      <c r="AR20" s="332" t="n">
        <v>0</v>
      </c>
      <c r="AS20" s="333" t="n">
        <v>113</v>
      </c>
      <c r="AT20" s="334" t="n">
        <v>150</v>
      </c>
      <c r="AU20" s="333" t="n">
        <v>157</v>
      </c>
      <c r="AV20" s="379">
        <f>AU20-AT20</f>
        <v/>
      </c>
      <c r="AW20" s="379">
        <f>AU20-AS20</f>
        <v/>
      </c>
      <c r="AX20" s="336">
        <f>IF(AS20=0,"***",AW20/AS20)</f>
        <v/>
      </c>
      <c r="AY20" s="332" t="n">
        <v>0</v>
      </c>
      <c r="AZ20" s="333" t="n">
        <v>5921</v>
      </c>
      <c r="BA20" s="334" t="n">
        <v>4870</v>
      </c>
      <c r="BB20" s="333" t="n">
        <v>5022</v>
      </c>
      <c r="BC20" s="379">
        <f>BB20-BA20</f>
        <v/>
      </c>
      <c r="BD20" s="379">
        <f>BB20-AZ20</f>
        <v/>
      </c>
      <c r="BE20" s="336">
        <f>IF(AZ20=0,"***",BD20/AZ20)</f>
        <v/>
      </c>
      <c r="BF20" s="332" t="n">
        <v>0</v>
      </c>
      <c r="BG20" s="333" t="n">
        <v>104</v>
      </c>
      <c r="BH20" s="334" t="n">
        <v>70</v>
      </c>
      <c r="BI20" s="333" t="n">
        <v>79</v>
      </c>
      <c r="BJ20" s="379">
        <f>BI20-BH20</f>
        <v/>
      </c>
      <c r="BK20" s="379">
        <f>BI20-BG20</f>
        <v/>
      </c>
      <c r="BL20" s="336">
        <f>IF(BG20=0,"***",BK20/BG20)</f>
        <v/>
      </c>
      <c r="BM20" s="332" t="n">
        <v>0</v>
      </c>
      <c r="BN20" s="333" t="n">
        <v>0</v>
      </c>
      <c r="BO20" s="334" t="n">
        <v>3630</v>
      </c>
      <c r="BP20" s="333" t="n">
        <v>3741</v>
      </c>
      <c r="BQ20" s="379">
        <f>BP20-BO20</f>
        <v/>
      </c>
      <c r="BR20" s="379">
        <f>BP20-BN20</f>
        <v/>
      </c>
      <c r="BS20" s="336">
        <f>IF(BN20=0,"***",BR20/BN20)</f>
        <v/>
      </c>
      <c r="BT20" s="332" t="n">
        <v>0</v>
      </c>
      <c r="BU20" s="333" t="n">
        <v>0</v>
      </c>
      <c r="BV20" s="334" t="n">
        <v>50</v>
      </c>
      <c r="BW20" s="333" t="n">
        <v>55</v>
      </c>
      <c r="BX20" s="379">
        <f>BW20-BV20</f>
        <v/>
      </c>
      <c r="BY20" s="379">
        <f>BW20-BU20</f>
        <v/>
      </c>
      <c r="BZ20" s="336">
        <f>IF(BU20=0,"***",BY20/BU20)</f>
        <v/>
      </c>
      <c r="CA20" s="332" t="n">
        <v>0</v>
      </c>
      <c r="CB20" s="333" t="n">
        <v>538</v>
      </c>
      <c r="CC20" s="334" t="n">
        <v>0</v>
      </c>
      <c r="CD20" s="333" t="n">
        <v>0</v>
      </c>
      <c r="CE20" s="379">
        <f>CD20-CC20</f>
        <v/>
      </c>
      <c r="CF20" s="379">
        <f>CD20-CB20</f>
        <v/>
      </c>
      <c r="CG20" s="336">
        <f>IF(CB20=0,"***",CF20/CB20)</f>
        <v/>
      </c>
      <c r="CH20" s="332" t="n">
        <v>0</v>
      </c>
      <c r="CI20" s="333" t="n">
        <v>27</v>
      </c>
      <c r="CJ20" s="334" t="n">
        <v>0</v>
      </c>
      <c r="CK20" s="333" t="n">
        <v>0</v>
      </c>
      <c r="CL20" s="379">
        <f>CK20-CJ20</f>
        <v/>
      </c>
      <c r="CM20" s="379">
        <f>CK20-CI20</f>
        <v/>
      </c>
      <c r="CN20" s="336">
        <f>IF(CI20=0,"***",CM20/CI20)</f>
        <v/>
      </c>
      <c r="CO20" s="332">
        <f>I20+W20+AK20+AY20+BM20+CA20</f>
        <v/>
      </c>
      <c r="CP20" s="333">
        <f>J20+X20+AL20+AZ20+BN20+CB20</f>
        <v/>
      </c>
      <c r="CQ20" s="334">
        <f>K20+Y20+AM20+BA20+BO20+CC20</f>
        <v/>
      </c>
      <c r="CR20" s="333">
        <f>L20+Z20+AN20+BB20+BP20+CD20</f>
        <v/>
      </c>
      <c r="CS20" s="379">
        <f>CR20-CQ20</f>
        <v/>
      </c>
      <c r="CT20" s="379">
        <f>CR20-CP20</f>
        <v/>
      </c>
      <c r="CU20" s="336">
        <f>IF(CP20=0,"***",CT20/CP20)</f>
        <v/>
      </c>
      <c r="CV20" s="332">
        <f>P20+AD20+AR20+BF20+BT20+CH20</f>
        <v/>
      </c>
      <c r="CW20" s="333">
        <f>Q20+AE20+AS20+BG20+BU20+CI20</f>
        <v/>
      </c>
      <c r="CX20" s="334">
        <f>R20+AF20+AT20+BH20+BV20+CJ20</f>
        <v/>
      </c>
      <c r="CY20" s="333">
        <f>S20+AG20+AU20+BI20+BW20+CK20</f>
        <v/>
      </c>
      <c r="CZ20" s="379">
        <f>CY20-CX20</f>
        <v/>
      </c>
      <c r="DA20" s="379">
        <f>CY20-CW20</f>
        <v/>
      </c>
      <c r="DB20" s="336">
        <f>IF(CW20=0,"***",DA20/CW20)</f>
        <v/>
      </c>
      <c r="DC20" s="339">
        <f>IF(CO20=0,"***",CV20/CO20)</f>
        <v/>
      </c>
      <c r="DD20" s="340">
        <f>IF(CP20=0,"***",CW20/CP20)</f>
        <v/>
      </c>
      <c r="DE20" s="340">
        <f>IF(CQ20=0,"***",CX20/CQ20)</f>
        <v/>
      </c>
      <c r="DF20" s="340">
        <f>IF(CR20=0,"***",CY20/CR20)</f>
        <v/>
      </c>
      <c r="DG20" s="340">
        <f>IF(DE20="***","***",DF20-DD20)</f>
        <v/>
      </c>
      <c r="DH20" s="340">
        <f>IF(DF20="***","***",DF20-DD20)</f>
        <v/>
      </c>
      <c r="DI20" s="59" t="n"/>
    </row>
    <row r="21">
      <c r="D21" s="8" t="n"/>
      <c r="E21" s="9" t="n"/>
      <c r="F21" s="60" t="inlineStr">
        <is>
          <t>広域営業部</t>
        </is>
      </c>
      <c r="G21" s="5" t="n"/>
      <c r="H21" s="61" t="n"/>
      <c r="I21" s="356">
        <f>#REF!+I24+#REF!</f>
        <v/>
      </c>
      <c r="J21" s="357">
        <f>#REF!+J24+#REF!</f>
        <v/>
      </c>
      <c r="K21" s="307">
        <f>#REF!+K24+#REF!</f>
        <v/>
      </c>
      <c r="L21" s="357">
        <f>#REF!+L24+#REF!</f>
        <v/>
      </c>
      <c r="M21" s="357">
        <f>L21-K21</f>
        <v/>
      </c>
      <c r="N21" s="357">
        <f>L21-J21</f>
        <v/>
      </c>
      <c r="O21" s="309">
        <f>IF(J21=0,"***",N21/J21)</f>
        <v/>
      </c>
      <c r="P21" s="356">
        <f>#REF!+P24+#REF!</f>
        <v/>
      </c>
      <c r="Q21" s="357">
        <f>#REF!+Q24+#REF!</f>
        <v/>
      </c>
      <c r="R21" s="307">
        <f>#REF!+R24+#REF!</f>
        <v/>
      </c>
      <c r="S21" s="357">
        <f>#REF!+S24+#REF!</f>
        <v/>
      </c>
      <c r="T21" s="357">
        <f>S21-R21</f>
        <v/>
      </c>
      <c r="U21" s="357">
        <f>S21-Q21</f>
        <v/>
      </c>
      <c r="V21" s="309">
        <f>IF(Q21=0,"***",U21/Q21)</f>
        <v/>
      </c>
      <c r="W21" s="356">
        <f>#REF!+W24+#REF!</f>
        <v/>
      </c>
      <c r="X21" s="357">
        <f>#REF!+X24+#REF!</f>
        <v/>
      </c>
      <c r="Y21" s="307">
        <f>#REF!+Y24+#REF!</f>
        <v/>
      </c>
      <c r="Z21" s="357">
        <f>#REF!+Z24+#REF!</f>
        <v/>
      </c>
      <c r="AA21" s="357">
        <f>Z21-Y21</f>
        <v/>
      </c>
      <c r="AB21" s="357">
        <f>Z21-X21</f>
        <v/>
      </c>
      <c r="AC21" s="309">
        <f>IF(X21=0,"***",AB21/X21)</f>
        <v/>
      </c>
      <c r="AD21" s="356">
        <f>#REF!+AD24+#REF!</f>
        <v/>
      </c>
      <c r="AE21" s="357">
        <f>#REF!+AE24+#REF!</f>
        <v/>
      </c>
      <c r="AF21" s="307">
        <f>#REF!+AF24+#REF!</f>
        <v/>
      </c>
      <c r="AG21" s="357">
        <f>#REF!+AG24+#REF!</f>
        <v/>
      </c>
      <c r="AH21" s="357">
        <f>AG21-AF21</f>
        <v/>
      </c>
      <c r="AI21" s="357">
        <f>AG21-AE21</f>
        <v/>
      </c>
      <c r="AJ21" s="309">
        <f>IF(AE21=0,"***",AI21/AE21)</f>
        <v/>
      </c>
      <c r="AK21" s="356">
        <f>#REF!+AK24+#REF!</f>
        <v/>
      </c>
      <c r="AL21" s="357">
        <f>#REF!+AL24+#REF!</f>
        <v/>
      </c>
      <c r="AM21" s="307">
        <f>#REF!+AM24+#REF!</f>
        <v/>
      </c>
      <c r="AN21" s="357">
        <f>#REF!+AN24+#REF!</f>
        <v/>
      </c>
      <c r="AO21" s="357">
        <f>AN21-AM21</f>
        <v/>
      </c>
      <c r="AP21" s="357">
        <f>AN21-AL21</f>
        <v/>
      </c>
      <c r="AQ21" s="309">
        <f>IF(AL21=0,"***",AP21/AL21)</f>
        <v/>
      </c>
      <c r="AR21" s="356">
        <f>#REF!+AR24+#REF!</f>
        <v/>
      </c>
      <c r="AS21" s="357">
        <f>#REF!+AS24+#REF!</f>
        <v/>
      </c>
      <c r="AT21" s="307">
        <f>#REF!+AT24+#REF!</f>
        <v/>
      </c>
      <c r="AU21" s="357">
        <f>#REF!+AU24+#REF!</f>
        <v/>
      </c>
      <c r="AV21" s="357">
        <f>AU21-AT21</f>
        <v/>
      </c>
      <c r="AW21" s="357">
        <f>AU21-AS21</f>
        <v/>
      </c>
      <c r="AX21" s="309">
        <f>IF(AS21=0,"***",AW21/AS21)</f>
        <v/>
      </c>
      <c r="AY21" s="356">
        <f>#REF!+AY24+#REF!</f>
        <v/>
      </c>
      <c r="AZ21" s="357">
        <f>#REF!+AZ24+#REF!</f>
        <v/>
      </c>
      <c r="BA21" s="307">
        <f>#REF!+BA24+#REF!</f>
        <v/>
      </c>
      <c r="BB21" s="357">
        <f>#REF!+BB24+#REF!</f>
        <v/>
      </c>
      <c r="BC21" s="357">
        <f>BB21-BA21</f>
        <v/>
      </c>
      <c r="BD21" s="357">
        <f>BB21-AZ21</f>
        <v/>
      </c>
      <c r="BE21" s="309">
        <f>IF(AZ21=0,"***",BD21/AZ21)</f>
        <v/>
      </c>
      <c r="BF21" s="356">
        <f>#REF!+BF24+#REF!</f>
        <v/>
      </c>
      <c r="BG21" s="357">
        <f>#REF!+BG24+#REF!</f>
        <v/>
      </c>
      <c r="BH21" s="307">
        <f>#REF!+BH24+#REF!</f>
        <v/>
      </c>
      <c r="BI21" s="357">
        <f>#REF!+BI24+#REF!</f>
        <v/>
      </c>
      <c r="BJ21" s="357">
        <f>BI21-BH21</f>
        <v/>
      </c>
      <c r="BK21" s="357">
        <f>BI21-BG21</f>
        <v/>
      </c>
      <c r="BL21" s="309">
        <f>IF(BG21=0,"***",BK21/BG21)</f>
        <v/>
      </c>
      <c r="BM21" s="356">
        <f>#REF!+BM24+#REF!</f>
        <v/>
      </c>
      <c r="BN21" s="357">
        <f>#REF!+BN24+#REF!</f>
        <v/>
      </c>
      <c r="BO21" s="307">
        <f>#REF!+BO24+#REF!</f>
        <v/>
      </c>
      <c r="BP21" s="357">
        <f>#REF!+BP24+#REF!</f>
        <v/>
      </c>
      <c r="BQ21" s="357">
        <f>BP21-BO21</f>
        <v/>
      </c>
      <c r="BR21" s="357">
        <f>BP21-BN21</f>
        <v/>
      </c>
      <c r="BS21" s="309">
        <f>IF(BN21=0,"***",BR21/BN21)</f>
        <v/>
      </c>
      <c r="BT21" s="356">
        <f>#REF!+BT24+#REF!</f>
        <v/>
      </c>
      <c r="BU21" s="357">
        <f>#REF!+BU24+#REF!</f>
        <v/>
      </c>
      <c r="BV21" s="307">
        <f>#REF!+BV24+#REF!</f>
        <v/>
      </c>
      <c r="BW21" s="357">
        <f>#REF!+BW24+#REF!</f>
        <v/>
      </c>
      <c r="BX21" s="357">
        <f>BW21-BV21</f>
        <v/>
      </c>
      <c r="BY21" s="357">
        <f>BW21-BU21</f>
        <v/>
      </c>
      <c r="BZ21" s="309">
        <f>IF(BU21=0,"***",BY21/BU21)</f>
        <v/>
      </c>
      <c r="CA21" s="356">
        <f>#REF!+CA24+#REF!</f>
        <v/>
      </c>
      <c r="CB21" s="357">
        <f>#REF!+CB24+#REF!</f>
        <v/>
      </c>
      <c r="CC21" s="307">
        <f>#REF!+CC24+#REF!</f>
        <v/>
      </c>
      <c r="CD21" s="357">
        <f>#REF!+CD24+#REF!</f>
        <v/>
      </c>
      <c r="CE21" s="357">
        <f>CD21-CC21</f>
        <v/>
      </c>
      <c r="CF21" s="357">
        <f>CD21-CB21</f>
        <v/>
      </c>
      <c r="CG21" s="309">
        <f>IF(CB21=0,"***",CF21/CB21)</f>
        <v/>
      </c>
      <c r="CH21" s="356">
        <f>#REF!+CH24+#REF!</f>
        <v/>
      </c>
      <c r="CI21" s="357">
        <f>#REF!+CI24+#REF!</f>
        <v/>
      </c>
      <c r="CJ21" s="307">
        <f>#REF!+CJ24+#REF!</f>
        <v/>
      </c>
      <c r="CK21" s="357">
        <f>#REF!+CK24+#REF!</f>
        <v/>
      </c>
      <c r="CL21" s="357">
        <f>CK21-CJ21</f>
        <v/>
      </c>
      <c r="CM21" s="357">
        <f>CK21-CI21</f>
        <v/>
      </c>
      <c r="CN21" s="309">
        <f>IF(CI21=0,"***",CM21/CI21)</f>
        <v/>
      </c>
      <c r="CO21" s="356" t="n">
        <v>225907</v>
      </c>
      <c r="CP21" s="357" t="n">
        <v>254613</v>
      </c>
      <c r="CQ21" s="307" t="n">
        <v>290170</v>
      </c>
      <c r="CR21" s="357" t="n">
        <v>250634</v>
      </c>
      <c r="CS21" s="357">
        <f>CR21-CQ21</f>
        <v/>
      </c>
      <c r="CT21" s="357">
        <f>CR21-CP21</f>
        <v/>
      </c>
      <c r="CU21" s="309">
        <f>IF(CP21=0,"***",CT21/CP21)</f>
        <v/>
      </c>
      <c r="CV21" s="356" t="n">
        <v>36377</v>
      </c>
      <c r="CW21" s="357" t="n">
        <v>37672</v>
      </c>
      <c r="CX21" s="307" t="n">
        <v>44430</v>
      </c>
      <c r="CY21" s="357" t="n">
        <v>36459</v>
      </c>
      <c r="CZ21" s="357">
        <f>CY21-CX21</f>
        <v/>
      </c>
      <c r="DA21" s="357">
        <f>CY21-CW21</f>
        <v/>
      </c>
      <c r="DB21" s="309">
        <f>IF(CW21=0,"***",DA21/CW21)</f>
        <v/>
      </c>
      <c r="DC21" s="319">
        <f>IF(CO21=0,"***",CV21/CO21)</f>
        <v/>
      </c>
      <c r="DD21" s="320">
        <f>IF(CP21=0,"***",CW21/CP21)</f>
        <v/>
      </c>
      <c r="DE21" s="320">
        <f>IF(CQ21=0,"***",CX21/CQ21)</f>
        <v/>
      </c>
      <c r="DF21" s="320">
        <f>IF(CR21=0,"***",CY21/CR21)</f>
        <v/>
      </c>
      <c r="DG21" s="320">
        <f>IF(DE21="***","***",DF21-DD21)</f>
        <v/>
      </c>
      <c r="DH21" s="320">
        <f>IF(DF21="***","***",DF21-DD21)</f>
        <v/>
      </c>
      <c r="DI21" s="21" t="n"/>
    </row>
    <row r="22">
      <c r="D22" s="8" t="n"/>
      <c r="E22" s="9" t="n"/>
      <c r="F22" s="9" t="n"/>
      <c r="H22" s="33" t="inlineStr">
        <is>
          <t>包装資材</t>
        </is>
      </c>
      <c r="I22" s="358">
        <f>I21-I23</f>
        <v/>
      </c>
      <c r="J22" s="315">
        <f>J21-J23</f>
        <v/>
      </c>
      <c r="K22" s="316">
        <f>K21-K23</f>
        <v/>
      </c>
      <c r="L22" s="315">
        <f>L21-L23</f>
        <v/>
      </c>
      <c r="M22" s="489">
        <f>L22-K22</f>
        <v/>
      </c>
      <c r="N22" s="489">
        <f>L22-J22</f>
        <v/>
      </c>
      <c r="O22" s="318">
        <f>IF(J22=0,"***",N22/J22)</f>
        <v/>
      </c>
      <c r="P22" s="314">
        <f>P21-P23</f>
        <v/>
      </c>
      <c r="Q22" s="315">
        <f>Q21-Q23</f>
        <v/>
      </c>
      <c r="R22" s="316">
        <f>R21-R23</f>
        <v/>
      </c>
      <c r="S22" s="315">
        <f>S21-S23</f>
        <v/>
      </c>
      <c r="T22" s="489">
        <f>S22-R22</f>
        <v/>
      </c>
      <c r="U22" s="489">
        <f>S22-Q22</f>
        <v/>
      </c>
      <c r="V22" s="318">
        <f>IF(Q22=0,"***",U22/Q22)</f>
        <v/>
      </c>
      <c r="W22" s="358">
        <f>W21-W23</f>
        <v/>
      </c>
      <c r="X22" s="315">
        <f>X21-X23</f>
        <v/>
      </c>
      <c r="Y22" s="316">
        <f>Y21-Y23</f>
        <v/>
      </c>
      <c r="Z22" s="315">
        <f>Z21-Z23</f>
        <v/>
      </c>
      <c r="AA22" s="489">
        <f>Z22-Y22</f>
        <v/>
      </c>
      <c r="AB22" s="489">
        <f>Z22-X22</f>
        <v/>
      </c>
      <c r="AC22" s="318">
        <f>IF(X22=0,"***",AB22/X22)</f>
        <v/>
      </c>
      <c r="AD22" s="314">
        <f>AD21-AD23</f>
        <v/>
      </c>
      <c r="AE22" s="315">
        <f>AE21-AE23</f>
        <v/>
      </c>
      <c r="AF22" s="316">
        <f>AF21-AF23</f>
        <v/>
      </c>
      <c r="AG22" s="315">
        <f>AG21-AG23</f>
        <v/>
      </c>
      <c r="AH22" s="489">
        <f>AG22-AF22</f>
        <v/>
      </c>
      <c r="AI22" s="489">
        <f>AG22-AE22</f>
        <v/>
      </c>
      <c r="AJ22" s="318">
        <f>IF(AE22=0,"***",AI22/AE22)</f>
        <v/>
      </c>
      <c r="AK22" s="358">
        <f>AK21-AK23</f>
        <v/>
      </c>
      <c r="AL22" s="315">
        <f>AL21-AL23</f>
        <v/>
      </c>
      <c r="AM22" s="316">
        <f>AM21-AM23</f>
        <v/>
      </c>
      <c r="AN22" s="315">
        <f>AN21-AN23</f>
        <v/>
      </c>
      <c r="AO22" s="489">
        <f>AN22-AM22</f>
        <v/>
      </c>
      <c r="AP22" s="489">
        <f>AN22-AL22</f>
        <v/>
      </c>
      <c r="AQ22" s="318">
        <f>IF(AL22=0,"***",AP22/AL22)</f>
        <v/>
      </c>
      <c r="AR22" s="314">
        <f>AR21-AR23</f>
        <v/>
      </c>
      <c r="AS22" s="315">
        <f>AS21-AS23</f>
        <v/>
      </c>
      <c r="AT22" s="316">
        <f>AT21-AT23</f>
        <v/>
      </c>
      <c r="AU22" s="315">
        <f>AU21-AU23</f>
        <v/>
      </c>
      <c r="AV22" s="489">
        <f>AU22-AT22</f>
        <v/>
      </c>
      <c r="AW22" s="489">
        <f>AU22-AS22</f>
        <v/>
      </c>
      <c r="AX22" s="318">
        <f>IF(AS22=0,"***",AW22/AS22)</f>
        <v/>
      </c>
      <c r="AY22" s="358">
        <f>AY21-AY23</f>
        <v/>
      </c>
      <c r="AZ22" s="315">
        <f>AZ21-AZ23</f>
        <v/>
      </c>
      <c r="BA22" s="316">
        <f>BA21-BA23</f>
        <v/>
      </c>
      <c r="BB22" s="315">
        <f>BB21-BB23</f>
        <v/>
      </c>
      <c r="BC22" s="489">
        <f>BB22-BA22</f>
        <v/>
      </c>
      <c r="BD22" s="489">
        <f>BB22-AZ22</f>
        <v/>
      </c>
      <c r="BE22" s="318">
        <f>IF(AZ22=0,"***",BD22/AZ22)</f>
        <v/>
      </c>
      <c r="BF22" s="314">
        <f>BF21-BF23</f>
        <v/>
      </c>
      <c r="BG22" s="315">
        <f>BG21-BG23</f>
        <v/>
      </c>
      <c r="BH22" s="316">
        <f>BH21-BH23</f>
        <v/>
      </c>
      <c r="BI22" s="315">
        <f>BI21-BI23</f>
        <v/>
      </c>
      <c r="BJ22" s="489">
        <f>BI22-BH22</f>
        <v/>
      </c>
      <c r="BK22" s="489">
        <f>BI22-BG22</f>
        <v/>
      </c>
      <c r="BL22" s="318">
        <f>IF(BG22=0,"***",BK22/BG22)</f>
        <v/>
      </c>
      <c r="BM22" s="358">
        <f>BM21-BM23</f>
        <v/>
      </c>
      <c r="BN22" s="315">
        <f>BN21-BN23</f>
        <v/>
      </c>
      <c r="BO22" s="316">
        <f>BO21-BO23</f>
        <v/>
      </c>
      <c r="BP22" s="315">
        <f>BP21-BP23</f>
        <v/>
      </c>
      <c r="BQ22" s="489">
        <f>BP22-BO22</f>
        <v/>
      </c>
      <c r="BR22" s="489">
        <f>BP22-BN22</f>
        <v/>
      </c>
      <c r="BS22" s="318">
        <f>IF(BN22=0,"***",BR22/BN22)</f>
        <v/>
      </c>
      <c r="BT22" s="314">
        <f>BT21-BT23</f>
        <v/>
      </c>
      <c r="BU22" s="315">
        <f>BU21-BU23</f>
        <v/>
      </c>
      <c r="BV22" s="316">
        <f>BV21-BV23</f>
        <v/>
      </c>
      <c r="BW22" s="315">
        <f>BW21-BW23</f>
        <v/>
      </c>
      <c r="BX22" s="489">
        <f>BW22-BV22</f>
        <v/>
      </c>
      <c r="BY22" s="489">
        <f>BW22-BU22</f>
        <v/>
      </c>
      <c r="BZ22" s="318">
        <f>IF(BU22=0,"***",BY22/BU22)</f>
        <v/>
      </c>
      <c r="CA22" s="358">
        <f>CA21-CA23</f>
        <v/>
      </c>
      <c r="CB22" s="315">
        <f>CB21-CB23</f>
        <v/>
      </c>
      <c r="CC22" s="316">
        <f>CC21-CC23</f>
        <v/>
      </c>
      <c r="CD22" s="315">
        <f>CD21-CD23</f>
        <v/>
      </c>
      <c r="CE22" s="489">
        <f>CD22-CC22</f>
        <v/>
      </c>
      <c r="CF22" s="489">
        <f>CD22-CB22</f>
        <v/>
      </c>
      <c r="CG22" s="318">
        <f>IF(CB22=0,"***",CF22/CB22)</f>
        <v/>
      </c>
      <c r="CH22" s="314">
        <f>CH21-CH23</f>
        <v/>
      </c>
      <c r="CI22" s="315">
        <f>CI21-CI23</f>
        <v/>
      </c>
      <c r="CJ22" s="316">
        <f>CJ21-CJ23</f>
        <v/>
      </c>
      <c r="CK22" s="315">
        <f>CK21-CK23</f>
        <v/>
      </c>
      <c r="CL22" s="489">
        <f>CK22-CJ22</f>
        <v/>
      </c>
      <c r="CM22" s="489">
        <f>CK22-CI22</f>
        <v/>
      </c>
      <c r="CN22" s="318">
        <f>IF(CI22=0,"***",CM22/CI22)</f>
        <v/>
      </c>
      <c r="CO22" s="358">
        <f>CO21-CO23</f>
        <v/>
      </c>
      <c r="CP22" s="315">
        <f>CP21-CP23</f>
        <v/>
      </c>
      <c r="CQ22" s="316">
        <f>CQ21-CQ23</f>
        <v/>
      </c>
      <c r="CR22" s="315">
        <f>CR21-CR23</f>
        <v/>
      </c>
      <c r="CS22" s="489">
        <f>CR22-CQ22</f>
        <v/>
      </c>
      <c r="CT22" s="489">
        <f>CR22-CP22</f>
        <v/>
      </c>
      <c r="CU22" s="318">
        <f>IF(CP22=0,"***",CT22/CP22)</f>
        <v/>
      </c>
      <c r="CV22" s="314">
        <f>CV21-CV23</f>
        <v/>
      </c>
      <c r="CW22" s="315">
        <f>CW21-CW23</f>
        <v/>
      </c>
      <c r="CX22" s="316">
        <f>CX21-CX23</f>
        <v/>
      </c>
      <c r="CY22" s="315">
        <f>CY21-CY23</f>
        <v/>
      </c>
      <c r="CZ22" s="489">
        <f>CY22-CX22</f>
        <v/>
      </c>
      <c r="DA22" s="489">
        <f>CY22-CW22</f>
        <v/>
      </c>
      <c r="DB22" s="318">
        <f>IF(CW22=0,"***",DA22/CW22)</f>
        <v/>
      </c>
      <c r="DC22" s="319">
        <f>IF(CO22=0,"***",CV22/CO22)</f>
        <v/>
      </c>
      <c r="DD22" s="320">
        <f>IF(CP22=0,"***",CW22/CP22)</f>
        <v/>
      </c>
      <c r="DE22" s="320">
        <f>IF(CQ22=0,"***",CX22/CQ22)</f>
        <v/>
      </c>
      <c r="DF22" s="320">
        <f>IF(CR22=0,"***",CY22/CR22)</f>
        <v/>
      </c>
      <c r="DG22" s="320">
        <f>IF(DE22="***","***",DF22-DD22)</f>
        <v/>
      </c>
      <c r="DH22" s="320">
        <f>IF(DF22="***","***",DF22-DD22)</f>
        <v/>
      </c>
      <c r="DI22" s="31" t="n"/>
    </row>
    <row r="23">
      <c r="D23" s="8" t="n"/>
      <c r="E23" s="9" t="n"/>
      <c r="F23" s="9" t="n"/>
      <c r="H23" s="34" t="inlineStr">
        <is>
          <t>機械</t>
        </is>
      </c>
      <c r="I23" s="358">
        <f>#REF!+I26+#REF!</f>
        <v/>
      </c>
      <c r="J23" s="315">
        <f>#REF!+J26+#REF!</f>
        <v/>
      </c>
      <c r="K23" s="316">
        <f>#REF!+K26+#REF!</f>
        <v/>
      </c>
      <c r="L23" s="315">
        <f>#REF!+L26+#REF!</f>
        <v/>
      </c>
      <c r="M23" s="489">
        <f>L23-K23</f>
        <v/>
      </c>
      <c r="N23" s="489">
        <f>L23-J23</f>
        <v/>
      </c>
      <c r="O23" s="318">
        <f>IF(J23=0,"***",N23/J23)</f>
        <v/>
      </c>
      <c r="P23" s="314">
        <f>#REF!+P26+#REF!</f>
        <v/>
      </c>
      <c r="Q23" s="315">
        <f>#REF!+Q26+#REF!</f>
        <v/>
      </c>
      <c r="R23" s="316">
        <f>#REF!+R26+#REF!</f>
        <v/>
      </c>
      <c r="S23" s="315">
        <f>#REF!+S26+#REF!</f>
        <v/>
      </c>
      <c r="T23" s="489">
        <f>S23-R23</f>
        <v/>
      </c>
      <c r="U23" s="489">
        <f>S23-Q23</f>
        <v/>
      </c>
      <c r="V23" s="318">
        <f>IF(Q23=0,"***",U23/Q23)</f>
        <v/>
      </c>
      <c r="W23" s="358">
        <f>#REF!+W26+#REF!</f>
        <v/>
      </c>
      <c r="X23" s="315">
        <f>#REF!+X26+#REF!</f>
        <v/>
      </c>
      <c r="Y23" s="316">
        <f>#REF!+Y26+#REF!</f>
        <v/>
      </c>
      <c r="Z23" s="315">
        <f>#REF!+Z26+#REF!</f>
        <v/>
      </c>
      <c r="AA23" s="489">
        <f>Z23-Y23</f>
        <v/>
      </c>
      <c r="AB23" s="489">
        <f>Z23-X23</f>
        <v/>
      </c>
      <c r="AC23" s="318">
        <f>IF(X23=0,"***",AB23/X23)</f>
        <v/>
      </c>
      <c r="AD23" s="314">
        <f>#REF!+AD26+#REF!</f>
        <v/>
      </c>
      <c r="AE23" s="315">
        <f>#REF!+AE26+#REF!</f>
        <v/>
      </c>
      <c r="AF23" s="316">
        <f>#REF!+AF26+#REF!</f>
        <v/>
      </c>
      <c r="AG23" s="315">
        <f>#REF!+AG26+#REF!</f>
        <v/>
      </c>
      <c r="AH23" s="489">
        <f>AG23-AF23</f>
        <v/>
      </c>
      <c r="AI23" s="489">
        <f>AG23-AE23</f>
        <v/>
      </c>
      <c r="AJ23" s="318">
        <f>IF(AE23=0,"***",AI23/AE23)</f>
        <v/>
      </c>
      <c r="AK23" s="358">
        <f>#REF!+AK26+#REF!</f>
        <v/>
      </c>
      <c r="AL23" s="315">
        <f>#REF!+AL26+#REF!</f>
        <v/>
      </c>
      <c r="AM23" s="316">
        <f>#REF!+AM26+#REF!</f>
        <v/>
      </c>
      <c r="AN23" s="315">
        <f>#REF!+AN26+#REF!</f>
        <v/>
      </c>
      <c r="AO23" s="489">
        <f>AN23-AM23</f>
        <v/>
      </c>
      <c r="AP23" s="489">
        <f>AN23-AL23</f>
        <v/>
      </c>
      <c r="AQ23" s="318">
        <f>IF(AL23=0,"***",AP23/AL23)</f>
        <v/>
      </c>
      <c r="AR23" s="314">
        <f>#REF!+AR26+#REF!</f>
        <v/>
      </c>
      <c r="AS23" s="315">
        <f>#REF!+AS26+#REF!</f>
        <v/>
      </c>
      <c r="AT23" s="316">
        <f>#REF!+AT26+#REF!</f>
        <v/>
      </c>
      <c r="AU23" s="315">
        <f>#REF!+AU26+#REF!</f>
        <v/>
      </c>
      <c r="AV23" s="489">
        <f>AU23-AT23</f>
        <v/>
      </c>
      <c r="AW23" s="489">
        <f>AU23-AS23</f>
        <v/>
      </c>
      <c r="AX23" s="318">
        <f>IF(AS23=0,"***",AW23/AS23)</f>
        <v/>
      </c>
      <c r="AY23" s="358">
        <f>#REF!+AY26+#REF!</f>
        <v/>
      </c>
      <c r="AZ23" s="315">
        <f>#REF!+AZ26+#REF!</f>
        <v/>
      </c>
      <c r="BA23" s="316">
        <f>#REF!+BA26+#REF!</f>
        <v/>
      </c>
      <c r="BB23" s="315">
        <f>#REF!+BB26+#REF!</f>
        <v/>
      </c>
      <c r="BC23" s="489">
        <f>BB23-BA23</f>
        <v/>
      </c>
      <c r="BD23" s="489">
        <f>BB23-AZ23</f>
        <v/>
      </c>
      <c r="BE23" s="318">
        <f>IF(AZ23=0,"***",BD23/AZ23)</f>
        <v/>
      </c>
      <c r="BF23" s="314">
        <f>#REF!+BF26+#REF!</f>
        <v/>
      </c>
      <c r="BG23" s="315">
        <f>#REF!+BG26+#REF!</f>
        <v/>
      </c>
      <c r="BH23" s="316">
        <f>#REF!+BH26+#REF!</f>
        <v/>
      </c>
      <c r="BI23" s="315">
        <f>#REF!+BI26+#REF!</f>
        <v/>
      </c>
      <c r="BJ23" s="489">
        <f>BI23-BH23</f>
        <v/>
      </c>
      <c r="BK23" s="489">
        <f>BI23-BG23</f>
        <v/>
      </c>
      <c r="BL23" s="318">
        <f>IF(BG23=0,"***",BK23/BG23)</f>
        <v/>
      </c>
      <c r="BM23" s="358">
        <f>#REF!+BM26+#REF!</f>
        <v/>
      </c>
      <c r="BN23" s="315">
        <f>#REF!+BN26+#REF!</f>
        <v/>
      </c>
      <c r="BO23" s="316">
        <f>#REF!+BO26+#REF!</f>
        <v/>
      </c>
      <c r="BP23" s="315">
        <f>#REF!+BP26+#REF!</f>
        <v/>
      </c>
      <c r="BQ23" s="489">
        <f>BP23-BO23</f>
        <v/>
      </c>
      <c r="BR23" s="489">
        <f>BP23-BN23</f>
        <v/>
      </c>
      <c r="BS23" s="318">
        <f>IF(BN23=0,"***",BR23/BN23)</f>
        <v/>
      </c>
      <c r="BT23" s="314">
        <f>#REF!+BT26+#REF!</f>
        <v/>
      </c>
      <c r="BU23" s="315">
        <f>#REF!+BU26+#REF!</f>
        <v/>
      </c>
      <c r="BV23" s="316">
        <f>#REF!+BV26+#REF!</f>
        <v/>
      </c>
      <c r="BW23" s="315">
        <f>#REF!+BW26+#REF!</f>
        <v/>
      </c>
      <c r="BX23" s="489">
        <f>BW23-BV23</f>
        <v/>
      </c>
      <c r="BY23" s="489">
        <f>BW23-BU23</f>
        <v/>
      </c>
      <c r="BZ23" s="318">
        <f>IF(BU23=0,"***",BY23/BU23)</f>
        <v/>
      </c>
      <c r="CA23" s="358">
        <f>#REF!+CA26+#REF!</f>
        <v/>
      </c>
      <c r="CB23" s="315">
        <f>#REF!+CB26+#REF!</f>
        <v/>
      </c>
      <c r="CC23" s="316">
        <f>#REF!+CC26+#REF!</f>
        <v/>
      </c>
      <c r="CD23" s="315">
        <f>#REF!+CD26+#REF!</f>
        <v/>
      </c>
      <c r="CE23" s="489">
        <f>CD23-CC23</f>
        <v/>
      </c>
      <c r="CF23" s="489">
        <f>CD23-CB23</f>
        <v/>
      </c>
      <c r="CG23" s="318">
        <f>IF(CB23=0,"***",CF23/CB23)</f>
        <v/>
      </c>
      <c r="CH23" s="314">
        <f>#REF!+CH26+#REF!</f>
        <v/>
      </c>
      <c r="CI23" s="315">
        <f>#REF!+CI26+#REF!</f>
        <v/>
      </c>
      <c r="CJ23" s="316">
        <f>#REF!+CJ26+#REF!</f>
        <v/>
      </c>
      <c r="CK23" s="315">
        <f>#REF!+CK26+#REF!</f>
        <v/>
      </c>
      <c r="CL23" s="489">
        <f>CK23-CJ23</f>
        <v/>
      </c>
      <c r="CM23" s="489">
        <f>CK23-CI23</f>
        <v/>
      </c>
      <c r="CN23" s="318">
        <f>IF(CI23=0,"***",CM23/CI23)</f>
        <v/>
      </c>
      <c r="CO23" s="358" t="n">
        <v>-2209</v>
      </c>
      <c r="CP23" s="315" t="n">
        <v>1603</v>
      </c>
      <c r="CQ23" s="316" t="n">
        <v>9000</v>
      </c>
      <c r="CR23" s="315" t="n">
        <v>2139</v>
      </c>
      <c r="CS23" s="489">
        <f>CR23-CQ23</f>
        <v/>
      </c>
      <c r="CT23" s="489">
        <f>CR23-CP23</f>
        <v/>
      </c>
      <c r="CU23" s="318">
        <f>IF(CP23=0,"***",CT23/CP23)</f>
        <v/>
      </c>
      <c r="CV23" s="314" t="n">
        <v>-405</v>
      </c>
      <c r="CW23" s="315" t="n">
        <v>-529</v>
      </c>
      <c r="CX23" s="316" t="n">
        <v>900</v>
      </c>
      <c r="CY23" s="315" t="n">
        <v>451</v>
      </c>
      <c r="CZ23" s="489">
        <f>CY23-CX23</f>
        <v/>
      </c>
      <c r="DA23" s="489">
        <f>CY23-CW23</f>
        <v/>
      </c>
      <c r="DB23" s="318">
        <f>IF(CW23=0,"***",DA23/CW23)</f>
        <v/>
      </c>
      <c r="DC23" s="319">
        <f>IF(CO23=0,"***",CV23/CO23)</f>
        <v/>
      </c>
      <c r="DD23" s="320">
        <f>IF(CP23=0,"***",CW23/CP23)</f>
        <v/>
      </c>
      <c r="DE23" s="320">
        <f>IF(CQ23=0,"***",CX23/CQ23)</f>
        <v/>
      </c>
      <c r="DF23" s="320">
        <f>IF(CR23=0,"***",CY23/CR23)</f>
        <v/>
      </c>
      <c r="DG23" s="320">
        <f>IF(DE23="***","***",DF23-DD23)</f>
        <v/>
      </c>
      <c r="DH23" s="320">
        <f>IF(DF23="***","***",DF23-DD23)</f>
        <v/>
      </c>
      <c r="DI23" s="31" t="n"/>
    </row>
    <row r="24">
      <c r="D24" s="8" t="n"/>
      <c r="E24" s="9" t="n"/>
      <c r="F24" s="86" t="n"/>
      <c r="G24" s="188" t="inlineStr">
        <is>
          <t>リンガーハット</t>
        </is>
      </c>
      <c r="H24" s="184" t="n"/>
      <c r="I24" s="354" t="n">
        <v>23887</v>
      </c>
      <c r="J24" s="355" t="n">
        <v>27475</v>
      </c>
      <c r="K24" s="316" t="n">
        <v>30500</v>
      </c>
      <c r="L24" s="355" t="n">
        <v>28856</v>
      </c>
      <c r="M24" s="489">
        <f>L24-K24</f>
        <v/>
      </c>
      <c r="N24" s="489">
        <f>L24-J24</f>
        <v/>
      </c>
      <c r="O24" s="318">
        <f>IF(J24=0,"***",N24/J24)</f>
        <v/>
      </c>
      <c r="P24" s="350" t="n">
        <v>4188</v>
      </c>
      <c r="Q24" s="351" t="n">
        <v>3793</v>
      </c>
      <c r="R24" s="316" t="n">
        <v>4650</v>
      </c>
      <c r="S24" s="351" t="n">
        <v>3992</v>
      </c>
      <c r="T24" s="489">
        <f>S24-R24</f>
        <v/>
      </c>
      <c r="U24" s="489">
        <f>S24-Q24</f>
        <v/>
      </c>
      <c r="V24" s="318">
        <f>IF(Q24=0,"***",U24/Q24)</f>
        <v/>
      </c>
      <c r="W24" s="354" t="n">
        <v>26195</v>
      </c>
      <c r="X24" s="355" t="n">
        <v>29960</v>
      </c>
      <c r="Y24" s="316" t="n">
        <v>33500</v>
      </c>
      <c r="Z24" s="355" t="n">
        <v>29889</v>
      </c>
      <c r="AA24" s="489">
        <f>Z24-Y24</f>
        <v/>
      </c>
      <c r="AB24" s="489">
        <f>Z24-X24</f>
        <v/>
      </c>
      <c r="AC24" s="318">
        <f>IF(X24=0,"***",AB24/X24)</f>
        <v/>
      </c>
      <c r="AD24" s="350" t="n">
        <v>3837</v>
      </c>
      <c r="AE24" s="351" t="n">
        <v>4243</v>
      </c>
      <c r="AF24" s="316" t="n">
        <v>5050</v>
      </c>
      <c r="AG24" s="351" t="n">
        <v>4301</v>
      </c>
      <c r="AH24" s="489">
        <f>AG24-AF24</f>
        <v/>
      </c>
      <c r="AI24" s="489">
        <f>AG24-AE24</f>
        <v/>
      </c>
      <c r="AJ24" s="318">
        <f>IF(AE24=0,"***",AI24/AE24)</f>
        <v/>
      </c>
      <c r="AK24" s="354" t="n">
        <v>35761</v>
      </c>
      <c r="AL24" s="355" t="n">
        <v>35511</v>
      </c>
      <c r="AM24" s="316" t="n">
        <v>43500</v>
      </c>
      <c r="AN24" s="355" t="n">
        <v>38177</v>
      </c>
      <c r="AO24" s="489">
        <f>AN24-AM24</f>
        <v/>
      </c>
      <c r="AP24" s="489">
        <f>AN24-AL24</f>
        <v/>
      </c>
      <c r="AQ24" s="318">
        <f>IF(AL24=0,"***",AP24/AL24)</f>
        <v/>
      </c>
      <c r="AR24" s="350" t="n">
        <v>6220</v>
      </c>
      <c r="AS24" s="351" t="n">
        <v>5143</v>
      </c>
      <c r="AT24" s="316" t="n">
        <v>6250</v>
      </c>
      <c r="AU24" s="351" t="n">
        <v>5249</v>
      </c>
      <c r="AV24" s="489">
        <f>AU24-AT24</f>
        <v/>
      </c>
      <c r="AW24" s="489">
        <f>AU24-AS24</f>
        <v/>
      </c>
      <c r="AX24" s="318">
        <f>IF(AS24=0,"***",AW24/AS24)</f>
        <v/>
      </c>
      <c r="AY24" s="354" t="n">
        <v>24776</v>
      </c>
      <c r="AZ24" s="355" t="n">
        <v>29486</v>
      </c>
      <c r="BA24" s="316" t="n">
        <v>30500</v>
      </c>
      <c r="BB24" s="355" t="n">
        <v>31425</v>
      </c>
      <c r="BC24" s="489">
        <f>BB24-BA24</f>
        <v/>
      </c>
      <c r="BD24" s="489">
        <f>BB24-AZ24</f>
        <v/>
      </c>
      <c r="BE24" s="318">
        <f>IF(AZ24=0,"***",BD24/AZ24)</f>
        <v/>
      </c>
      <c r="BF24" s="350" t="n">
        <v>3799</v>
      </c>
      <c r="BG24" s="351" t="n">
        <v>4079</v>
      </c>
      <c r="BH24" s="316" t="n">
        <v>4600</v>
      </c>
      <c r="BI24" s="351" t="n">
        <v>4095</v>
      </c>
      <c r="BJ24" s="489">
        <f>BI24-BH24</f>
        <v/>
      </c>
      <c r="BK24" s="489">
        <f>BI24-BG24</f>
        <v/>
      </c>
      <c r="BL24" s="318">
        <f>IF(BG24=0,"***",BK24/BG24)</f>
        <v/>
      </c>
      <c r="BM24" s="354" t="n">
        <v>28995</v>
      </c>
      <c r="BN24" s="355" t="n">
        <v>31174</v>
      </c>
      <c r="BO24" s="316" t="n">
        <v>37500</v>
      </c>
      <c r="BP24" s="355" t="n">
        <v>27865</v>
      </c>
      <c r="BQ24" s="489">
        <f>BP24-BO24</f>
        <v/>
      </c>
      <c r="BR24" s="489">
        <f>BP24-BN24</f>
        <v/>
      </c>
      <c r="BS24" s="318">
        <f>IF(BN24=0,"***",BR24/BN24)</f>
        <v/>
      </c>
      <c r="BT24" s="350" t="n">
        <v>4393</v>
      </c>
      <c r="BU24" s="351" t="n">
        <v>4373</v>
      </c>
      <c r="BV24" s="316" t="n">
        <v>5500</v>
      </c>
      <c r="BW24" s="351" t="n">
        <v>4003</v>
      </c>
      <c r="BX24" s="489">
        <f>BW24-BV24</f>
        <v/>
      </c>
      <c r="BY24" s="489">
        <f>BW24-BU24</f>
        <v/>
      </c>
      <c r="BZ24" s="318">
        <f>IF(BU24=0,"***",BY24/BU24)</f>
        <v/>
      </c>
      <c r="CA24" s="354" t="n">
        <v>25767</v>
      </c>
      <c r="CB24" s="355" t="n">
        <v>33555</v>
      </c>
      <c r="CC24" s="316" t="n">
        <v>38500</v>
      </c>
      <c r="CD24" s="355" t="n">
        <v>29244</v>
      </c>
      <c r="CE24" s="489">
        <f>CD24-CC24</f>
        <v/>
      </c>
      <c r="CF24" s="489">
        <f>CD24-CB24</f>
        <v/>
      </c>
      <c r="CG24" s="318">
        <f>IF(CB24=0,"***",CF24/CB24)</f>
        <v/>
      </c>
      <c r="CH24" s="350" t="n">
        <v>4125</v>
      </c>
      <c r="CI24" s="351" t="n">
        <v>5745</v>
      </c>
      <c r="CJ24" s="316" t="n">
        <v>6450</v>
      </c>
      <c r="CK24" s="351" t="n">
        <v>5242</v>
      </c>
      <c r="CL24" s="489">
        <f>CK24-CJ24</f>
        <v/>
      </c>
      <c r="CM24" s="489">
        <f>CK24-CI24</f>
        <v/>
      </c>
      <c r="CN24" s="318">
        <f>IF(CI24=0,"***",CM24/CI24)</f>
        <v/>
      </c>
      <c r="CO24" s="354" t="n">
        <v>165379</v>
      </c>
      <c r="CP24" s="355" t="n">
        <v>176270</v>
      </c>
      <c r="CQ24" s="316" t="n">
        <v>208000</v>
      </c>
      <c r="CR24" s="355" t="n">
        <v>185456</v>
      </c>
      <c r="CS24" s="489">
        <f>CR24-CQ24</f>
        <v/>
      </c>
      <c r="CT24" s="489">
        <f>CR24-CP24</f>
        <v/>
      </c>
      <c r="CU24" s="318">
        <f>IF(CP24=0,"***",CT24/CP24)</f>
        <v/>
      </c>
      <c r="CV24" s="350" t="n">
        <v>26562</v>
      </c>
      <c r="CW24" s="351">
        <f>Q24+AE24+AS24+BG24+BU24+CI24</f>
        <v/>
      </c>
      <c r="CX24" s="316" t="n">
        <v>31900</v>
      </c>
      <c r="CY24" s="351" t="n">
        <v>26682</v>
      </c>
      <c r="CZ24" s="489">
        <f>CY24-CX24</f>
        <v/>
      </c>
      <c r="DA24" s="489">
        <f>CY24-CW24</f>
        <v/>
      </c>
      <c r="DB24" s="318">
        <f>IF(CW24=0,"***",DA24/CW24)</f>
        <v/>
      </c>
      <c r="DC24" s="319">
        <f>IF(CO24=0,"***",CV24/CO24)</f>
        <v/>
      </c>
      <c r="DD24" s="320">
        <f>IF(CP24=0,"***",CW24/CP24)</f>
        <v/>
      </c>
      <c r="DE24" s="320">
        <f>IF(CQ24=0,"***",CX24/CQ24)</f>
        <v/>
      </c>
      <c r="DF24" s="320">
        <f>IF(CR24=0,"***",CY24/CR24)</f>
        <v/>
      </c>
      <c r="DG24" s="320">
        <f>IF(DE24="***","***",DF24-DD24)</f>
        <v/>
      </c>
      <c r="DH24" s="320">
        <f>IF(DF24="***","***",DF24-DD24)</f>
        <v/>
      </c>
      <c r="DI24" s="189" t="inlineStr">
        <is>
          <t>カネゲン分6,000／600で試算し馬場部長の予算から控除</t>
        </is>
      </c>
    </row>
    <row r="25">
      <c r="D25" s="8" t="n"/>
      <c r="E25" s="9" t="n"/>
      <c r="F25" s="9" t="n"/>
      <c r="G25" s="32" t="n"/>
      <c r="H25" s="33" t="inlineStr">
        <is>
          <t>包装資材</t>
        </is>
      </c>
      <c r="I25" s="314">
        <f>I24-I26</f>
        <v/>
      </c>
      <c r="J25" s="315">
        <f>J24-J26</f>
        <v/>
      </c>
      <c r="K25" s="316">
        <f>K24-K26</f>
        <v/>
      </c>
      <c r="L25" s="315">
        <f>L24-L26</f>
        <v/>
      </c>
      <c r="M25" s="489">
        <f>L25-K25</f>
        <v/>
      </c>
      <c r="N25" s="489">
        <f>L25-J25</f>
        <v/>
      </c>
      <c r="O25" s="318">
        <f>IF(J25=0,"***",N25/J25)</f>
        <v/>
      </c>
      <c r="P25" s="314">
        <f>P24-P26</f>
        <v/>
      </c>
      <c r="Q25" s="315">
        <f>Q24-Q26</f>
        <v/>
      </c>
      <c r="R25" s="316">
        <f>R24-R26</f>
        <v/>
      </c>
      <c r="S25" s="315">
        <f>S24-S26</f>
        <v/>
      </c>
      <c r="T25" s="489">
        <f>S25-R25</f>
        <v/>
      </c>
      <c r="U25" s="489">
        <f>S25-Q25</f>
        <v/>
      </c>
      <c r="V25" s="318">
        <f>IF(Q25=0,"***",U25/Q25)</f>
        <v/>
      </c>
      <c r="W25" s="314">
        <f>W24-W26</f>
        <v/>
      </c>
      <c r="X25" s="315">
        <f>X24-X26</f>
        <v/>
      </c>
      <c r="Y25" s="316">
        <f>Y24-Y26</f>
        <v/>
      </c>
      <c r="Z25" s="315">
        <f>Z24-Z26</f>
        <v/>
      </c>
      <c r="AA25" s="489">
        <f>Z25-Y25</f>
        <v/>
      </c>
      <c r="AB25" s="489">
        <f>Z25-X25</f>
        <v/>
      </c>
      <c r="AC25" s="318">
        <f>IF(X25=0,"***",AB25/X25)</f>
        <v/>
      </c>
      <c r="AD25" s="314">
        <f>AD24-AD26</f>
        <v/>
      </c>
      <c r="AE25" s="315">
        <f>AE24-AE26</f>
        <v/>
      </c>
      <c r="AF25" s="316">
        <f>AF24-AF26</f>
        <v/>
      </c>
      <c r="AG25" s="315">
        <f>AG24-AG26</f>
        <v/>
      </c>
      <c r="AH25" s="489">
        <f>AG25-AF25</f>
        <v/>
      </c>
      <c r="AI25" s="489">
        <f>AG25-AE25</f>
        <v/>
      </c>
      <c r="AJ25" s="318">
        <f>IF(AE25=0,"***",AI25/AE25)</f>
        <v/>
      </c>
      <c r="AK25" s="314">
        <f>AK24-AK26</f>
        <v/>
      </c>
      <c r="AL25" s="315">
        <f>AL24-AL26</f>
        <v/>
      </c>
      <c r="AM25" s="316">
        <f>AM24-AM26</f>
        <v/>
      </c>
      <c r="AN25" s="315">
        <f>AN24-AN26</f>
        <v/>
      </c>
      <c r="AO25" s="489">
        <f>AN25-AM25</f>
        <v/>
      </c>
      <c r="AP25" s="489">
        <f>AN25-AL25</f>
        <v/>
      </c>
      <c r="AQ25" s="318">
        <f>IF(AL25=0,"***",AP25/AL25)</f>
        <v/>
      </c>
      <c r="AR25" s="314">
        <f>AR24-AR26</f>
        <v/>
      </c>
      <c r="AS25" s="315">
        <f>AS24-AS26</f>
        <v/>
      </c>
      <c r="AT25" s="316">
        <f>AT24-AT26</f>
        <v/>
      </c>
      <c r="AU25" s="315">
        <f>AU24-AU26</f>
        <v/>
      </c>
      <c r="AV25" s="489">
        <f>AU25-AT25</f>
        <v/>
      </c>
      <c r="AW25" s="489">
        <f>AU25-AS25</f>
        <v/>
      </c>
      <c r="AX25" s="318">
        <f>IF(AS25=0,"***",AW25/AS25)</f>
        <v/>
      </c>
      <c r="AY25" s="314">
        <f>AY24-AY26</f>
        <v/>
      </c>
      <c r="AZ25" s="315">
        <f>AZ24-AZ26</f>
        <v/>
      </c>
      <c r="BA25" s="316">
        <f>BA24-BA26</f>
        <v/>
      </c>
      <c r="BB25" s="315">
        <f>BB24-BB26</f>
        <v/>
      </c>
      <c r="BC25" s="489">
        <f>BB25-BA25</f>
        <v/>
      </c>
      <c r="BD25" s="489">
        <f>BB25-AZ25</f>
        <v/>
      </c>
      <c r="BE25" s="318">
        <f>IF(AZ25=0,"***",BD25/AZ25)</f>
        <v/>
      </c>
      <c r="BF25" s="314">
        <f>BF24-BF26</f>
        <v/>
      </c>
      <c r="BG25" s="315">
        <f>BG24-BG26</f>
        <v/>
      </c>
      <c r="BH25" s="316">
        <f>BH24-BH26</f>
        <v/>
      </c>
      <c r="BI25" s="315">
        <f>BI24-BI26</f>
        <v/>
      </c>
      <c r="BJ25" s="489">
        <f>BI25-BH25</f>
        <v/>
      </c>
      <c r="BK25" s="489">
        <f>BI25-BG25</f>
        <v/>
      </c>
      <c r="BL25" s="318">
        <f>IF(BG25=0,"***",BK25/BG25)</f>
        <v/>
      </c>
      <c r="BM25" s="314">
        <f>BM24-BM26</f>
        <v/>
      </c>
      <c r="BN25" s="315">
        <f>BN24-BN26</f>
        <v/>
      </c>
      <c r="BO25" s="316">
        <f>BO24-BO26</f>
        <v/>
      </c>
      <c r="BP25" s="315">
        <f>BP24-BP26</f>
        <v/>
      </c>
      <c r="BQ25" s="489">
        <f>BP25-BO25</f>
        <v/>
      </c>
      <c r="BR25" s="489">
        <f>BP25-BN25</f>
        <v/>
      </c>
      <c r="BS25" s="318">
        <f>IF(BN25=0,"***",BR25/BN25)</f>
        <v/>
      </c>
      <c r="BT25" s="314">
        <f>BT24-BT26</f>
        <v/>
      </c>
      <c r="BU25" s="315">
        <f>BU24-BU26</f>
        <v/>
      </c>
      <c r="BV25" s="316">
        <f>BV24-BV26</f>
        <v/>
      </c>
      <c r="BW25" s="315">
        <f>BW24-BW26</f>
        <v/>
      </c>
      <c r="BX25" s="489">
        <f>BW25-BV25</f>
        <v/>
      </c>
      <c r="BY25" s="489">
        <f>BW25-BU25</f>
        <v/>
      </c>
      <c r="BZ25" s="318">
        <f>IF(BU25=0,"***",BY25/BU25)</f>
        <v/>
      </c>
      <c r="CA25" s="314">
        <f>CA24-CA26</f>
        <v/>
      </c>
      <c r="CB25" s="315">
        <f>CB24-CB26</f>
        <v/>
      </c>
      <c r="CC25" s="316">
        <f>CC24-CC26</f>
        <v/>
      </c>
      <c r="CD25" s="315">
        <f>CD24-CD26</f>
        <v/>
      </c>
      <c r="CE25" s="489">
        <f>CD25-CC25</f>
        <v/>
      </c>
      <c r="CF25" s="489">
        <f>CD25-CB25</f>
        <v/>
      </c>
      <c r="CG25" s="318">
        <f>IF(CB25=0,"***",CF25/CB25)</f>
        <v/>
      </c>
      <c r="CH25" s="314">
        <f>CH24-CH26</f>
        <v/>
      </c>
      <c r="CI25" s="315">
        <f>CI24-CI26</f>
        <v/>
      </c>
      <c r="CJ25" s="316">
        <f>CJ24-CJ26</f>
        <v/>
      </c>
      <c r="CK25" s="315">
        <f>CK24-CK26</f>
        <v/>
      </c>
      <c r="CL25" s="489">
        <f>CK25-CJ25</f>
        <v/>
      </c>
      <c r="CM25" s="489">
        <f>CK25-CI25</f>
        <v/>
      </c>
      <c r="CN25" s="318">
        <f>IF(CI25=0,"***",CM25/CI25)</f>
        <v/>
      </c>
      <c r="CO25" s="314">
        <f>CO24-CO26</f>
        <v/>
      </c>
      <c r="CP25" s="315">
        <f>CP24-CP26</f>
        <v/>
      </c>
      <c r="CQ25" s="316">
        <f>CQ24-CQ26</f>
        <v/>
      </c>
      <c r="CR25" s="315">
        <f>CR24-CR26</f>
        <v/>
      </c>
      <c r="CS25" s="489">
        <f>CR25-CQ25</f>
        <v/>
      </c>
      <c r="CT25" s="489">
        <f>CR25-CP25</f>
        <v/>
      </c>
      <c r="CU25" s="318">
        <f>IF(CP25=0,"***",CT25/CP25)</f>
        <v/>
      </c>
      <c r="CV25" s="314">
        <f>CV24-CV26</f>
        <v/>
      </c>
      <c r="CW25" s="315">
        <f>CW24-CW26</f>
        <v/>
      </c>
      <c r="CX25" s="316">
        <f>CX24-CX26</f>
        <v/>
      </c>
      <c r="CY25" s="315">
        <f>CY24-CY26</f>
        <v/>
      </c>
      <c r="CZ25" s="489">
        <f>CY25-CX25</f>
        <v/>
      </c>
      <c r="DA25" s="489">
        <f>CY25-CW25</f>
        <v/>
      </c>
      <c r="DB25" s="318">
        <f>IF(CW25=0,"***",DA25/CW25)</f>
        <v/>
      </c>
      <c r="DC25" s="319">
        <f>IF(CO25=0,"***",CV25/CO25)</f>
        <v/>
      </c>
      <c r="DD25" s="320">
        <f>IF(CP25=0,"***",CW25/CP25)</f>
        <v/>
      </c>
      <c r="DE25" s="320">
        <f>IF(CQ25=0,"***",CX25/CQ25)</f>
        <v/>
      </c>
      <c r="DF25" s="320">
        <f>IF(CR25=0,"***",CY25/CR25)</f>
        <v/>
      </c>
      <c r="DG25" s="320">
        <f>IF(DE25="***","***",DF25-DD25)</f>
        <v/>
      </c>
      <c r="DH25" s="320">
        <f>IF(DF25="***","***",DF25-DD25)</f>
        <v/>
      </c>
      <c r="DI25" s="31" t="n"/>
    </row>
    <row r="26">
      <c r="D26" s="8" t="n"/>
      <c r="E26" s="9" t="n"/>
      <c r="F26" s="86" t="n"/>
      <c r="G26" s="32" t="n"/>
      <c r="H26" s="190" t="inlineStr">
        <is>
          <t>機械</t>
        </is>
      </c>
      <c r="I26" s="354" t="n">
        <v>0</v>
      </c>
      <c r="J26" s="355" t="n">
        <v>49</v>
      </c>
      <c r="K26" s="316" t="n">
        <v>500</v>
      </c>
      <c r="L26" s="355" t="n">
        <v>94</v>
      </c>
      <c r="M26" s="489">
        <f>L26-K26</f>
        <v/>
      </c>
      <c r="N26" s="489">
        <f>L26-J26</f>
        <v/>
      </c>
      <c r="O26" s="318">
        <f>IF(J26=0,"***",N26/J26)</f>
        <v/>
      </c>
      <c r="P26" s="354" t="n">
        <v>0</v>
      </c>
      <c r="Q26" s="355" t="n">
        <v>-1</v>
      </c>
      <c r="R26" s="316" t="n">
        <v>50</v>
      </c>
      <c r="S26" s="355" t="n">
        <v>9</v>
      </c>
      <c r="T26" s="489">
        <f>S26-R26</f>
        <v/>
      </c>
      <c r="U26" s="489">
        <f>S26-Q26</f>
        <v/>
      </c>
      <c r="V26" s="318">
        <f>IF(Q26=0,"***",U26/Q26)</f>
        <v/>
      </c>
      <c r="W26" s="354" t="n">
        <v>117</v>
      </c>
      <c r="X26" s="355" t="n">
        <v>89</v>
      </c>
      <c r="Y26" s="316" t="n">
        <v>500</v>
      </c>
      <c r="Z26" s="355" t="n">
        <v>920</v>
      </c>
      <c r="AA26" s="489">
        <f>Z26-Y26</f>
        <v/>
      </c>
      <c r="AB26" s="489">
        <f>Z26-X26</f>
        <v/>
      </c>
      <c r="AC26" s="318">
        <f>IF(X26=0,"***",AB26/X26)</f>
        <v/>
      </c>
      <c r="AD26" s="354" t="n">
        <v>6</v>
      </c>
      <c r="AE26" s="355" t="n">
        <v>7</v>
      </c>
      <c r="AF26" s="316" t="n">
        <v>50</v>
      </c>
      <c r="AG26" s="355" t="n">
        <v>190</v>
      </c>
      <c r="AH26" s="489">
        <f>AG26-AF26</f>
        <v/>
      </c>
      <c r="AI26" s="489">
        <f>AG26-AE26</f>
        <v/>
      </c>
      <c r="AJ26" s="318">
        <f>IF(AE26=0,"***",AI26/AE26)</f>
        <v/>
      </c>
      <c r="AK26" s="354" t="n">
        <v>89</v>
      </c>
      <c r="AL26" s="355" t="n">
        <v>89</v>
      </c>
      <c r="AM26" s="316" t="n">
        <v>500</v>
      </c>
      <c r="AN26" s="355" t="n">
        <v>120</v>
      </c>
      <c r="AO26" s="489">
        <f>AN26-AM26</f>
        <v/>
      </c>
      <c r="AP26" s="489">
        <f>AN26-AL26</f>
        <v/>
      </c>
      <c r="AQ26" s="318">
        <f>IF(AL26=0,"***",AP26/AL26)</f>
        <v/>
      </c>
      <c r="AR26" s="354" t="n">
        <v>10</v>
      </c>
      <c r="AS26" s="355" t="n">
        <v>-1</v>
      </c>
      <c r="AT26" s="316" t="n">
        <v>50</v>
      </c>
      <c r="AU26" s="355" t="n">
        <v>7</v>
      </c>
      <c r="AV26" s="489">
        <f>AU26-AT26</f>
        <v/>
      </c>
      <c r="AW26" s="489">
        <f>AU26-AS26</f>
        <v/>
      </c>
      <c r="AX26" s="318">
        <f>IF(AS26=0,"***",AW26/AS26)</f>
        <v/>
      </c>
      <c r="AY26" s="354" t="n">
        <v>-3156</v>
      </c>
      <c r="AZ26" s="355" t="n">
        <v>78</v>
      </c>
      <c r="BA26" s="316" t="n">
        <v>500</v>
      </c>
      <c r="BB26" s="355" t="n">
        <v>53</v>
      </c>
      <c r="BC26" s="489">
        <f>BB26-BA26</f>
        <v/>
      </c>
      <c r="BD26" s="489">
        <f>BB26-AZ26</f>
        <v/>
      </c>
      <c r="BE26" s="318">
        <f>IF(AZ26=0,"***",BD26/AZ26)</f>
        <v/>
      </c>
      <c r="BF26" s="354" t="n">
        <v>-547</v>
      </c>
      <c r="BG26" s="355" t="n">
        <v>4</v>
      </c>
      <c r="BH26" s="316" t="n">
        <v>50</v>
      </c>
      <c r="BI26" s="355" t="n">
        <v>5</v>
      </c>
      <c r="BJ26" s="489">
        <f>BI26-BH26</f>
        <v/>
      </c>
      <c r="BK26" s="489">
        <f>BI26-BG26</f>
        <v/>
      </c>
      <c r="BL26" s="318">
        <f>IF(BG26=0,"***",BK26/BG26)</f>
        <v/>
      </c>
      <c r="BM26" s="354" t="n">
        <v>76</v>
      </c>
      <c r="BN26" s="355" t="n">
        <v>49</v>
      </c>
      <c r="BO26" s="316" t="n">
        <v>500</v>
      </c>
      <c r="BP26" s="355" t="n">
        <v>22</v>
      </c>
      <c r="BQ26" s="489">
        <f>BP26-BO26</f>
        <v/>
      </c>
      <c r="BR26" s="489">
        <f>BP26-BN26</f>
        <v/>
      </c>
      <c r="BS26" s="318">
        <f>IF(BN26=0,"***",BR26/BN26)</f>
        <v/>
      </c>
      <c r="BT26" s="354" t="n">
        <v>12</v>
      </c>
      <c r="BU26" s="355" t="n">
        <v>-694</v>
      </c>
      <c r="BV26" s="316" t="n">
        <v>50</v>
      </c>
      <c r="BW26" s="355" t="n">
        <v>1</v>
      </c>
      <c r="BX26" s="489">
        <f>BW26-BV26</f>
        <v/>
      </c>
      <c r="BY26" s="489">
        <f>BW26-BU26</f>
        <v/>
      </c>
      <c r="BZ26" s="318">
        <f>IF(BU26=0,"***",BY26/BU26)</f>
        <v/>
      </c>
      <c r="CA26" s="354" t="n">
        <v>98</v>
      </c>
      <c r="CB26" s="355" t="n">
        <v>97</v>
      </c>
      <c r="CC26" s="316" t="n">
        <v>500</v>
      </c>
      <c r="CD26" s="355" t="n">
        <v>39</v>
      </c>
      <c r="CE26" s="489">
        <f>CD26-CC26</f>
        <v/>
      </c>
      <c r="CF26" s="489">
        <f>CD26-CB26</f>
        <v/>
      </c>
      <c r="CG26" s="318">
        <f>IF(CB26=0,"***",CF26/CB26)</f>
        <v/>
      </c>
      <c r="CH26" s="354" t="n">
        <v>9</v>
      </c>
      <c r="CI26" s="355" t="n">
        <v>4</v>
      </c>
      <c r="CJ26" s="316" t="n">
        <v>50</v>
      </c>
      <c r="CK26" s="355" t="n">
        <v>4</v>
      </c>
      <c r="CL26" s="489">
        <f>CK26-CJ26</f>
        <v/>
      </c>
      <c r="CM26" s="489">
        <f>CK26-CI26</f>
        <v/>
      </c>
      <c r="CN26" s="318">
        <f>IF(CI26=0,"***",CM26/CI26)</f>
        <v/>
      </c>
      <c r="CO26" s="354" t="n">
        <v>-2776</v>
      </c>
      <c r="CP26" s="355">
        <f>J26+X26+AL26+AZ26+BN26+CB26</f>
        <v/>
      </c>
      <c r="CQ26" s="316">
        <f>K26+Y26+AM26+BA26+BO26+CC26</f>
        <v/>
      </c>
      <c r="CR26" s="355" t="n">
        <v>2139</v>
      </c>
      <c r="CS26" s="489">
        <f>CR26-CQ26</f>
        <v/>
      </c>
      <c r="CT26" s="489">
        <f>CR26-CP26</f>
        <v/>
      </c>
      <c r="CU26" s="318">
        <f>IF(CP26=0,"***",CT26/CP26)</f>
        <v/>
      </c>
      <c r="CV26" s="354">
        <f>P26+AD26+AR26+BF26+BT26+CH26</f>
        <v/>
      </c>
      <c r="CW26" s="355" t="n">
        <v>-681</v>
      </c>
      <c r="CX26" s="316" t="n">
        <v>300</v>
      </c>
      <c r="CY26" s="355">
        <f>S26+AG26+AU26+BI26+BW26+CK26</f>
        <v/>
      </c>
      <c r="CZ26" s="489">
        <f>CY26-CX26</f>
        <v/>
      </c>
      <c r="DA26" s="489">
        <f>CY26-CW26</f>
        <v/>
      </c>
      <c r="DB26" s="318">
        <f>IF(CW26=0,"***",DA26/CW26)</f>
        <v/>
      </c>
      <c r="DC26" s="319">
        <f>IF(CO26=0,"***",CV26/CO26)</f>
        <v/>
      </c>
      <c r="DD26" s="320">
        <f>IF(CP26=0,"***",CW26/CP26)</f>
        <v/>
      </c>
      <c r="DE26" s="320">
        <f>IF(CQ26=0,"***",CX26/CQ26)</f>
        <v/>
      </c>
      <c r="DF26" s="320">
        <f>IF(CR26=0,"***",CY26/CR26)</f>
        <v/>
      </c>
      <c r="DG26" s="320">
        <f>IF(DE26="***","***",DF26-DD26)</f>
        <v/>
      </c>
      <c r="DH26" s="320">
        <f>IF(DF26="***","***",DF26-DD26)</f>
        <v/>
      </c>
      <c r="DI26" s="31" t="n"/>
    </row>
    <row r="27">
      <c r="D27" s="8" t="n"/>
      <c r="E27" s="9" t="n"/>
      <c r="F27" s="86" t="n"/>
      <c r="G27" s="188" t="inlineStr">
        <is>
          <t>リンガーハット以外</t>
        </is>
      </c>
      <c r="H27" s="191" t="n"/>
      <c r="I27" s="354" t="n">
        <v>23887</v>
      </c>
      <c r="J27" s="355" t="n">
        <v>27475</v>
      </c>
      <c r="K27" s="316" t="n">
        <v>30500</v>
      </c>
      <c r="L27" s="355" t="n">
        <v>28856</v>
      </c>
      <c r="M27" s="489">
        <f>L27-K27</f>
        <v/>
      </c>
      <c r="N27" s="489">
        <f>L27-J27</f>
        <v/>
      </c>
      <c r="O27" s="318">
        <f>IF(J27=0,"***",N27/J27)</f>
        <v/>
      </c>
      <c r="P27" s="350" t="n">
        <v>4188</v>
      </c>
      <c r="Q27" s="351" t="n">
        <v>3793</v>
      </c>
      <c r="R27" s="316" t="n">
        <v>4650</v>
      </c>
      <c r="S27" s="351" t="n">
        <v>3992</v>
      </c>
      <c r="T27" s="489">
        <f>S27-R27</f>
        <v/>
      </c>
      <c r="U27" s="489">
        <f>S27-Q27</f>
        <v/>
      </c>
      <c r="V27" s="318">
        <f>IF(Q27=0,"***",U27/Q27)</f>
        <v/>
      </c>
      <c r="W27" s="354" t="n">
        <v>26195</v>
      </c>
      <c r="X27" s="355" t="n">
        <v>29960</v>
      </c>
      <c r="Y27" s="316" t="n">
        <v>33500</v>
      </c>
      <c r="Z27" s="355" t="n">
        <v>29889</v>
      </c>
      <c r="AA27" s="489">
        <f>Z27-Y27</f>
        <v/>
      </c>
      <c r="AB27" s="489">
        <f>Z27-X27</f>
        <v/>
      </c>
      <c r="AC27" s="318">
        <f>IF(X27=0,"***",AB27/X27)</f>
        <v/>
      </c>
      <c r="AD27" s="350" t="n">
        <v>3837</v>
      </c>
      <c r="AE27" s="351" t="n">
        <v>4243</v>
      </c>
      <c r="AF27" s="316" t="n">
        <v>5050</v>
      </c>
      <c r="AG27" s="351" t="n">
        <v>4301</v>
      </c>
      <c r="AH27" s="489">
        <f>AG27-AF27</f>
        <v/>
      </c>
      <c r="AI27" s="489">
        <f>AG27-AE27</f>
        <v/>
      </c>
      <c r="AJ27" s="318">
        <f>IF(AE27=0,"***",AI27/AE27)</f>
        <v/>
      </c>
      <c r="AK27" s="354" t="n">
        <v>35761</v>
      </c>
      <c r="AL27" s="355" t="n">
        <v>35511</v>
      </c>
      <c r="AM27" s="316" t="n">
        <v>43500</v>
      </c>
      <c r="AN27" s="355" t="n">
        <v>38177</v>
      </c>
      <c r="AO27" s="489">
        <f>AN27-AM27</f>
        <v/>
      </c>
      <c r="AP27" s="489">
        <f>AN27-AL27</f>
        <v/>
      </c>
      <c r="AQ27" s="318">
        <f>IF(AL27=0,"***",AP27/AL27)</f>
        <v/>
      </c>
      <c r="AR27" s="350" t="n">
        <v>6220</v>
      </c>
      <c r="AS27" s="351" t="n">
        <v>5143</v>
      </c>
      <c r="AT27" s="316" t="n">
        <v>6250</v>
      </c>
      <c r="AU27" s="351" t="n">
        <v>5249</v>
      </c>
      <c r="AV27" s="489">
        <f>AU27-AT27</f>
        <v/>
      </c>
      <c r="AW27" s="489">
        <f>AU27-AS27</f>
        <v/>
      </c>
      <c r="AX27" s="318">
        <f>IF(AS27=0,"***",AW27/AS27)</f>
        <v/>
      </c>
      <c r="AY27" s="354" t="n">
        <v>24776</v>
      </c>
      <c r="AZ27" s="355" t="n">
        <v>29486</v>
      </c>
      <c r="BA27" s="316" t="n">
        <v>30500</v>
      </c>
      <c r="BB27" s="355" t="n">
        <v>31425</v>
      </c>
      <c r="BC27" s="489">
        <f>BB27-BA27</f>
        <v/>
      </c>
      <c r="BD27" s="489">
        <f>BB27-AZ27</f>
        <v/>
      </c>
      <c r="BE27" s="318">
        <f>IF(AZ27=0,"***",BD27/AZ27)</f>
        <v/>
      </c>
      <c r="BF27" s="350" t="n">
        <v>3799</v>
      </c>
      <c r="BG27" s="351" t="n">
        <v>4079</v>
      </c>
      <c r="BH27" s="316" t="n">
        <v>4600</v>
      </c>
      <c r="BI27" s="351" t="n">
        <v>4095</v>
      </c>
      <c r="BJ27" s="489">
        <f>BI27-BH27</f>
        <v/>
      </c>
      <c r="BK27" s="489">
        <f>BI27-BG27</f>
        <v/>
      </c>
      <c r="BL27" s="318">
        <f>IF(BG27=0,"***",BK27/BG27)</f>
        <v/>
      </c>
      <c r="BM27" s="354" t="n">
        <v>28995</v>
      </c>
      <c r="BN27" s="355" t="n">
        <v>31174</v>
      </c>
      <c r="BO27" s="316" t="n">
        <v>37500</v>
      </c>
      <c r="BP27" s="355" t="n">
        <v>27865</v>
      </c>
      <c r="BQ27" s="489">
        <f>BP27-BO27</f>
        <v/>
      </c>
      <c r="BR27" s="489">
        <f>BP27-BN27</f>
        <v/>
      </c>
      <c r="BS27" s="318">
        <f>IF(BN27=0,"***",BR27/BN27)</f>
        <v/>
      </c>
      <c r="BT27" s="350" t="n">
        <v>4393</v>
      </c>
      <c r="BU27" s="351" t="n">
        <v>4373</v>
      </c>
      <c r="BV27" s="316" t="n">
        <v>5500</v>
      </c>
      <c r="BW27" s="351" t="n">
        <v>4003</v>
      </c>
      <c r="BX27" s="489">
        <f>BW27-BV27</f>
        <v/>
      </c>
      <c r="BY27" s="489">
        <f>BW27-BU27</f>
        <v/>
      </c>
      <c r="BZ27" s="318">
        <f>IF(BU27=0,"***",BY27/BU27)</f>
        <v/>
      </c>
      <c r="CA27" s="354" t="n">
        <v>25767</v>
      </c>
      <c r="CB27" s="355" t="n">
        <v>33555</v>
      </c>
      <c r="CC27" s="316" t="n">
        <v>38500</v>
      </c>
      <c r="CD27" s="355" t="n">
        <v>29244</v>
      </c>
      <c r="CE27" s="489">
        <f>CD27-CC27</f>
        <v/>
      </c>
      <c r="CF27" s="489">
        <f>CD27-CB27</f>
        <v/>
      </c>
      <c r="CG27" s="318">
        <f>IF(CB27=0,"***",CF27/CB27)</f>
        <v/>
      </c>
      <c r="CH27" s="350" t="n">
        <v>4125</v>
      </c>
      <c r="CI27" s="351" t="n">
        <v>5745</v>
      </c>
      <c r="CJ27" s="316" t="n">
        <v>6450</v>
      </c>
      <c r="CK27" s="351" t="n">
        <v>5242</v>
      </c>
      <c r="CL27" s="489">
        <f>CK27-CJ27</f>
        <v/>
      </c>
      <c r="CM27" s="489">
        <f>CK27-CI27</f>
        <v/>
      </c>
      <c r="CN27" s="318">
        <f>IF(CI27=0,"***",CM27/CI27)</f>
        <v/>
      </c>
      <c r="CO27" s="354">
        <f>CO21-CO24</f>
        <v/>
      </c>
      <c r="CP27" s="355">
        <f>CP21-CP24</f>
        <v/>
      </c>
      <c r="CQ27" s="316">
        <f>CQ21-CQ24</f>
        <v/>
      </c>
      <c r="CR27" s="355">
        <f>CR21-CR24</f>
        <v/>
      </c>
      <c r="CS27" s="489">
        <f>CR27-CQ27</f>
        <v/>
      </c>
      <c r="CT27" s="489">
        <f>CR27-CP27</f>
        <v/>
      </c>
      <c r="CU27" s="318">
        <f>IF(CP27=0,"***",CT27/CP27)</f>
        <v/>
      </c>
      <c r="CV27" s="350">
        <f>CV21-CV24</f>
        <v/>
      </c>
      <c r="CW27" s="351">
        <f>CW21-CW24</f>
        <v/>
      </c>
      <c r="CX27" s="316">
        <f>CX21-CX24</f>
        <v/>
      </c>
      <c r="CY27" s="351">
        <f>CY21-CY24</f>
        <v/>
      </c>
      <c r="CZ27" s="489">
        <f>CY27-CX27</f>
        <v/>
      </c>
      <c r="DA27" s="489">
        <f>CY27-CW27</f>
        <v/>
      </c>
      <c r="DB27" s="318">
        <f>IF(CW27=0,"***",DA27/CW27)</f>
        <v/>
      </c>
      <c r="DC27" s="319">
        <f>IF(CO27=0,"***",CV27/CO27)</f>
        <v/>
      </c>
      <c r="DD27" s="320">
        <f>IF(CP27=0,"***",CW27/CP27)</f>
        <v/>
      </c>
      <c r="DE27" s="320">
        <f>IF(CQ27=0,"***",CX27/CQ27)</f>
        <v/>
      </c>
      <c r="DF27" s="320">
        <f>IF(CR27=0,"***",CY27/CR27)</f>
        <v/>
      </c>
      <c r="DG27" s="320">
        <f>IF(DE27="***","***",DF27-DD27)</f>
        <v/>
      </c>
      <c r="DH27" s="320">
        <f>IF(DF27="***","***",DF27-DD27)</f>
        <v/>
      </c>
      <c r="DI27" s="31" t="n"/>
    </row>
    <row r="28">
      <c r="D28" s="8" t="n"/>
      <c r="E28" s="9" t="n"/>
      <c r="F28" s="9" t="n"/>
      <c r="G28" s="32" t="n"/>
      <c r="H28" s="33" t="inlineStr">
        <is>
          <t>包装資材</t>
        </is>
      </c>
      <c r="I28" s="314">
        <f>I27-I29</f>
        <v/>
      </c>
      <c r="J28" s="315">
        <f>J27-J29</f>
        <v/>
      </c>
      <c r="K28" s="316">
        <f>K27-K29</f>
        <v/>
      </c>
      <c r="L28" s="315">
        <f>L27-L29</f>
        <v/>
      </c>
      <c r="M28" s="489">
        <f>L28-K28</f>
        <v/>
      </c>
      <c r="N28" s="489">
        <f>L28-J28</f>
        <v/>
      </c>
      <c r="O28" s="318">
        <f>IF(J28=0,"***",N28/J28)</f>
        <v/>
      </c>
      <c r="P28" s="314">
        <f>P27-P29</f>
        <v/>
      </c>
      <c r="Q28" s="315">
        <f>Q27-Q29</f>
        <v/>
      </c>
      <c r="R28" s="316">
        <f>R27-R29</f>
        <v/>
      </c>
      <c r="S28" s="315">
        <f>S27-S29</f>
        <v/>
      </c>
      <c r="T28" s="489">
        <f>S28-R28</f>
        <v/>
      </c>
      <c r="U28" s="489">
        <f>S28-Q28</f>
        <v/>
      </c>
      <c r="V28" s="318">
        <f>IF(Q28=0,"***",U28/Q28)</f>
        <v/>
      </c>
      <c r="W28" s="314">
        <f>W27-W29</f>
        <v/>
      </c>
      <c r="X28" s="315">
        <f>X27-X29</f>
        <v/>
      </c>
      <c r="Y28" s="316">
        <f>Y27-Y29</f>
        <v/>
      </c>
      <c r="Z28" s="315">
        <f>Z27-Z29</f>
        <v/>
      </c>
      <c r="AA28" s="489">
        <f>Z28-Y28</f>
        <v/>
      </c>
      <c r="AB28" s="489">
        <f>Z28-X28</f>
        <v/>
      </c>
      <c r="AC28" s="318">
        <f>IF(X28=0,"***",AB28/X28)</f>
        <v/>
      </c>
      <c r="AD28" s="314">
        <f>AD27-AD29</f>
        <v/>
      </c>
      <c r="AE28" s="315">
        <f>AE27-AE29</f>
        <v/>
      </c>
      <c r="AF28" s="316">
        <f>AF27-AF29</f>
        <v/>
      </c>
      <c r="AG28" s="315">
        <f>AG27-AG29</f>
        <v/>
      </c>
      <c r="AH28" s="489">
        <f>AG28-AF28</f>
        <v/>
      </c>
      <c r="AI28" s="489">
        <f>AG28-AE28</f>
        <v/>
      </c>
      <c r="AJ28" s="318">
        <f>IF(AE28=0,"***",AI28/AE28)</f>
        <v/>
      </c>
      <c r="AK28" s="314">
        <f>AK27-AK29</f>
        <v/>
      </c>
      <c r="AL28" s="315">
        <f>AL27-AL29</f>
        <v/>
      </c>
      <c r="AM28" s="316">
        <f>AM27-AM29</f>
        <v/>
      </c>
      <c r="AN28" s="315">
        <f>AN27-AN29</f>
        <v/>
      </c>
      <c r="AO28" s="489">
        <f>AN28-AM28</f>
        <v/>
      </c>
      <c r="AP28" s="489">
        <f>AN28-AL28</f>
        <v/>
      </c>
      <c r="AQ28" s="318">
        <f>IF(AL28=0,"***",AP28/AL28)</f>
        <v/>
      </c>
      <c r="AR28" s="314">
        <f>AR27-AR29</f>
        <v/>
      </c>
      <c r="AS28" s="315">
        <f>AS27-AS29</f>
        <v/>
      </c>
      <c r="AT28" s="316">
        <f>AT27-AT29</f>
        <v/>
      </c>
      <c r="AU28" s="315">
        <f>AU27-AU29</f>
        <v/>
      </c>
      <c r="AV28" s="489">
        <f>AU28-AT28</f>
        <v/>
      </c>
      <c r="AW28" s="489">
        <f>AU28-AS28</f>
        <v/>
      </c>
      <c r="AX28" s="318">
        <f>IF(AS28=0,"***",AW28/AS28)</f>
        <v/>
      </c>
      <c r="AY28" s="314">
        <f>AY27-AY29</f>
        <v/>
      </c>
      <c r="AZ28" s="315">
        <f>AZ27-AZ29</f>
        <v/>
      </c>
      <c r="BA28" s="316">
        <f>BA27-BA29</f>
        <v/>
      </c>
      <c r="BB28" s="315">
        <f>BB27-BB29</f>
        <v/>
      </c>
      <c r="BC28" s="489">
        <f>BB28-BA28</f>
        <v/>
      </c>
      <c r="BD28" s="489">
        <f>BB28-AZ28</f>
        <v/>
      </c>
      <c r="BE28" s="318">
        <f>IF(AZ28=0,"***",BD28/AZ28)</f>
        <v/>
      </c>
      <c r="BF28" s="314">
        <f>BF27-BF29</f>
        <v/>
      </c>
      <c r="BG28" s="315">
        <f>BG27-BG29</f>
        <v/>
      </c>
      <c r="BH28" s="316">
        <f>BH27-BH29</f>
        <v/>
      </c>
      <c r="BI28" s="315">
        <f>BI27-BI29</f>
        <v/>
      </c>
      <c r="BJ28" s="489">
        <f>BI28-BH28</f>
        <v/>
      </c>
      <c r="BK28" s="489">
        <f>BI28-BG28</f>
        <v/>
      </c>
      <c r="BL28" s="318">
        <f>IF(BG28=0,"***",BK28/BG28)</f>
        <v/>
      </c>
      <c r="BM28" s="314">
        <f>BM27-BM29</f>
        <v/>
      </c>
      <c r="BN28" s="315">
        <f>BN27-BN29</f>
        <v/>
      </c>
      <c r="BO28" s="316">
        <f>BO27-BO29</f>
        <v/>
      </c>
      <c r="BP28" s="315">
        <f>BP27-BP29</f>
        <v/>
      </c>
      <c r="BQ28" s="489">
        <f>BP28-BO28</f>
        <v/>
      </c>
      <c r="BR28" s="489">
        <f>BP28-BN28</f>
        <v/>
      </c>
      <c r="BS28" s="318">
        <f>IF(BN28=0,"***",BR28/BN28)</f>
        <v/>
      </c>
      <c r="BT28" s="314">
        <f>BT27-BT29</f>
        <v/>
      </c>
      <c r="BU28" s="315">
        <f>BU27-BU29</f>
        <v/>
      </c>
      <c r="BV28" s="316">
        <f>BV27-BV29</f>
        <v/>
      </c>
      <c r="BW28" s="315">
        <f>BW27-BW29</f>
        <v/>
      </c>
      <c r="BX28" s="489">
        <f>BW28-BV28</f>
        <v/>
      </c>
      <c r="BY28" s="489">
        <f>BW28-BU28</f>
        <v/>
      </c>
      <c r="BZ28" s="318">
        <f>IF(BU28=0,"***",BY28/BU28)</f>
        <v/>
      </c>
      <c r="CA28" s="314">
        <f>CA27-CA29</f>
        <v/>
      </c>
      <c r="CB28" s="315">
        <f>CB27-CB29</f>
        <v/>
      </c>
      <c r="CC28" s="316">
        <f>CC27-CC29</f>
        <v/>
      </c>
      <c r="CD28" s="315">
        <f>CD27-CD29</f>
        <v/>
      </c>
      <c r="CE28" s="489">
        <f>CD28-CC28</f>
        <v/>
      </c>
      <c r="CF28" s="489">
        <f>CD28-CB28</f>
        <v/>
      </c>
      <c r="CG28" s="318">
        <f>IF(CB28=0,"***",CF28/CB28)</f>
        <v/>
      </c>
      <c r="CH28" s="314">
        <f>CH27-CH29</f>
        <v/>
      </c>
      <c r="CI28" s="315">
        <f>CI27-CI29</f>
        <v/>
      </c>
      <c r="CJ28" s="316">
        <f>CJ27-CJ29</f>
        <v/>
      </c>
      <c r="CK28" s="315">
        <f>CK27-CK29</f>
        <v/>
      </c>
      <c r="CL28" s="489">
        <f>CK28-CJ28</f>
        <v/>
      </c>
      <c r="CM28" s="489">
        <f>CK28-CI28</f>
        <v/>
      </c>
      <c r="CN28" s="318">
        <f>IF(CI28=0,"***",CM28/CI28)</f>
        <v/>
      </c>
      <c r="CO28" s="314">
        <f>CO27-CO29</f>
        <v/>
      </c>
      <c r="CP28" s="315">
        <f>CP27-CP29</f>
        <v/>
      </c>
      <c r="CQ28" s="316">
        <f>CQ27-CQ29</f>
        <v/>
      </c>
      <c r="CR28" s="315">
        <f>CR27-CR29</f>
        <v/>
      </c>
      <c r="CS28" s="489">
        <f>CR28-CQ28</f>
        <v/>
      </c>
      <c r="CT28" s="489">
        <f>CR28-CP28</f>
        <v/>
      </c>
      <c r="CU28" s="318">
        <f>IF(CP28=0,"***",CT28/CP28)</f>
        <v/>
      </c>
      <c r="CV28" s="314">
        <f>CV27-CV29</f>
        <v/>
      </c>
      <c r="CW28" s="315">
        <f>CW27-CW29</f>
        <v/>
      </c>
      <c r="CX28" s="316">
        <f>CX27-CX29</f>
        <v/>
      </c>
      <c r="CY28" s="315">
        <f>CY27-CY29</f>
        <v/>
      </c>
      <c r="CZ28" s="489">
        <f>CY28-CX28</f>
        <v/>
      </c>
      <c r="DA28" s="489">
        <f>CY28-CW28</f>
        <v/>
      </c>
      <c r="DB28" s="318">
        <f>IF(CW28=0,"***",DA28/CW28)</f>
        <v/>
      </c>
      <c r="DC28" s="319">
        <f>IF(CO28=0,"***",CV28/CO28)</f>
        <v/>
      </c>
      <c r="DD28" s="320">
        <f>IF(CP28=0,"***",CW28/CP28)</f>
        <v/>
      </c>
      <c r="DE28" s="320">
        <f>IF(CQ28=0,"***",CX28/CQ28)</f>
        <v/>
      </c>
      <c r="DF28" s="320">
        <f>IF(CR28=0,"***",CY28/CR28)</f>
        <v/>
      </c>
      <c r="DG28" s="320">
        <f>IF(DE28="***","***",DF28-DD28)</f>
        <v/>
      </c>
      <c r="DH28" s="320">
        <f>IF(DF28="***","***",DF28-DD28)</f>
        <v/>
      </c>
      <c r="DI28" s="31" t="n"/>
    </row>
    <row r="29">
      <c r="D29" s="8" t="n"/>
      <c r="E29" s="9" t="n"/>
      <c r="F29" s="192" t="n"/>
      <c r="G29" s="193" t="n"/>
      <c r="H29" s="194" t="inlineStr">
        <is>
          <t>機械</t>
        </is>
      </c>
      <c r="I29" s="332" t="n">
        <v>0</v>
      </c>
      <c r="J29" s="333" t="n">
        <v>49</v>
      </c>
      <c r="K29" s="334" t="n">
        <v>500</v>
      </c>
      <c r="L29" s="333" t="n">
        <v>94</v>
      </c>
      <c r="M29" s="490">
        <f>L29-K29</f>
        <v/>
      </c>
      <c r="N29" s="490">
        <f>L29-J29</f>
        <v/>
      </c>
      <c r="O29" s="336">
        <f>IF(J29=0,"***",N29/J29)</f>
        <v/>
      </c>
      <c r="P29" s="332" t="n">
        <v>0</v>
      </c>
      <c r="Q29" s="333" t="n">
        <v>-1</v>
      </c>
      <c r="R29" s="334" t="n">
        <v>50</v>
      </c>
      <c r="S29" s="333" t="n">
        <v>9</v>
      </c>
      <c r="T29" s="490">
        <f>S29-R29</f>
        <v/>
      </c>
      <c r="U29" s="490">
        <f>S29-Q29</f>
        <v/>
      </c>
      <c r="V29" s="336">
        <f>IF(Q29=0,"***",U29/Q29)</f>
        <v/>
      </c>
      <c r="W29" s="332" t="n">
        <v>117</v>
      </c>
      <c r="X29" s="333" t="n">
        <v>89</v>
      </c>
      <c r="Y29" s="334" t="n">
        <v>500</v>
      </c>
      <c r="Z29" s="333" t="n">
        <v>920</v>
      </c>
      <c r="AA29" s="490">
        <f>Z29-Y29</f>
        <v/>
      </c>
      <c r="AB29" s="490">
        <f>Z29-X29</f>
        <v/>
      </c>
      <c r="AC29" s="336">
        <f>IF(X29=0,"***",AB29/X29)</f>
        <v/>
      </c>
      <c r="AD29" s="332" t="n">
        <v>6</v>
      </c>
      <c r="AE29" s="333" t="n">
        <v>7</v>
      </c>
      <c r="AF29" s="334" t="n">
        <v>50</v>
      </c>
      <c r="AG29" s="333" t="n">
        <v>190</v>
      </c>
      <c r="AH29" s="490">
        <f>AG29-AF29</f>
        <v/>
      </c>
      <c r="AI29" s="490">
        <f>AG29-AE29</f>
        <v/>
      </c>
      <c r="AJ29" s="336">
        <f>IF(AE29=0,"***",AI29/AE29)</f>
        <v/>
      </c>
      <c r="AK29" s="332" t="n">
        <v>89</v>
      </c>
      <c r="AL29" s="333" t="n">
        <v>89</v>
      </c>
      <c r="AM29" s="334" t="n">
        <v>500</v>
      </c>
      <c r="AN29" s="333" t="n">
        <v>120</v>
      </c>
      <c r="AO29" s="490">
        <f>AN29-AM29</f>
        <v/>
      </c>
      <c r="AP29" s="490">
        <f>AN29-AL29</f>
        <v/>
      </c>
      <c r="AQ29" s="336">
        <f>IF(AL29=0,"***",AP29/AL29)</f>
        <v/>
      </c>
      <c r="AR29" s="332" t="n">
        <v>10</v>
      </c>
      <c r="AS29" s="333" t="n">
        <v>-1</v>
      </c>
      <c r="AT29" s="334" t="n">
        <v>50</v>
      </c>
      <c r="AU29" s="333" t="n">
        <v>7</v>
      </c>
      <c r="AV29" s="490">
        <f>AU29-AT29</f>
        <v/>
      </c>
      <c r="AW29" s="490">
        <f>AU29-AS29</f>
        <v/>
      </c>
      <c r="AX29" s="336">
        <f>IF(AS29=0,"***",AW29/AS29)</f>
        <v/>
      </c>
      <c r="AY29" s="332" t="n">
        <v>-3156</v>
      </c>
      <c r="AZ29" s="333" t="n">
        <v>78</v>
      </c>
      <c r="BA29" s="334" t="n">
        <v>500</v>
      </c>
      <c r="BB29" s="333" t="n">
        <v>53</v>
      </c>
      <c r="BC29" s="490">
        <f>BB29-BA29</f>
        <v/>
      </c>
      <c r="BD29" s="490">
        <f>BB29-AZ29</f>
        <v/>
      </c>
      <c r="BE29" s="336">
        <f>IF(AZ29=0,"***",BD29/AZ29)</f>
        <v/>
      </c>
      <c r="BF29" s="332" t="n">
        <v>-547</v>
      </c>
      <c r="BG29" s="333" t="n">
        <v>4</v>
      </c>
      <c r="BH29" s="334" t="n">
        <v>50</v>
      </c>
      <c r="BI29" s="333" t="n">
        <v>5</v>
      </c>
      <c r="BJ29" s="490">
        <f>BI29-BH29</f>
        <v/>
      </c>
      <c r="BK29" s="490">
        <f>BI29-BG29</f>
        <v/>
      </c>
      <c r="BL29" s="336">
        <f>IF(BG29=0,"***",BK29/BG29)</f>
        <v/>
      </c>
      <c r="BM29" s="332" t="n">
        <v>76</v>
      </c>
      <c r="BN29" s="333" t="n">
        <v>49</v>
      </c>
      <c r="BO29" s="334" t="n">
        <v>500</v>
      </c>
      <c r="BP29" s="333" t="n">
        <v>22</v>
      </c>
      <c r="BQ29" s="490">
        <f>BP29-BO29</f>
        <v/>
      </c>
      <c r="BR29" s="490">
        <f>BP29-BN29</f>
        <v/>
      </c>
      <c r="BS29" s="336">
        <f>IF(BN29=0,"***",BR29/BN29)</f>
        <v/>
      </c>
      <c r="BT29" s="332" t="n">
        <v>12</v>
      </c>
      <c r="BU29" s="333" t="n">
        <v>-694</v>
      </c>
      <c r="BV29" s="334" t="n">
        <v>50</v>
      </c>
      <c r="BW29" s="333" t="n">
        <v>1</v>
      </c>
      <c r="BX29" s="490">
        <f>BW29-BV29</f>
        <v/>
      </c>
      <c r="BY29" s="490">
        <f>BW29-BU29</f>
        <v/>
      </c>
      <c r="BZ29" s="336">
        <f>IF(BU29=0,"***",BY29/BU29)</f>
        <v/>
      </c>
      <c r="CA29" s="332" t="n">
        <v>98</v>
      </c>
      <c r="CB29" s="333" t="n">
        <v>97</v>
      </c>
      <c r="CC29" s="334" t="n">
        <v>500</v>
      </c>
      <c r="CD29" s="333" t="n">
        <v>39</v>
      </c>
      <c r="CE29" s="490">
        <f>CD29-CC29</f>
        <v/>
      </c>
      <c r="CF29" s="490">
        <f>CD29-CB29</f>
        <v/>
      </c>
      <c r="CG29" s="336">
        <f>IF(CB29=0,"***",CF29/CB29)</f>
        <v/>
      </c>
      <c r="CH29" s="332" t="n">
        <v>9</v>
      </c>
      <c r="CI29" s="333" t="n">
        <v>4</v>
      </c>
      <c r="CJ29" s="334" t="n">
        <v>50</v>
      </c>
      <c r="CK29" s="333" t="n">
        <v>4</v>
      </c>
      <c r="CL29" s="490">
        <f>CK29-CJ29</f>
        <v/>
      </c>
      <c r="CM29" s="490">
        <f>CK29-CI29</f>
        <v/>
      </c>
      <c r="CN29" s="336">
        <f>IF(CI29=0,"***",CM29/CI29)</f>
        <v/>
      </c>
      <c r="CO29" s="332">
        <f>CO23-CO26</f>
        <v/>
      </c>
      <c r="CP29" s="333">
        <f>CP23-CP26</f>
        <v/>
      </c>
      <c r="CQ29" s="334">
        <f>CQ23-CQ26</f>
        <v/>
      </c>
      <c r="CR29" s="333">
        <f>CR23-CR26</f>
        <v/>
      </c>
      <c r="CS29" s="490">
        <f>CR29-CQ29</f>
        <v/>
      </c>
      <c r="CT29" s="490">
        <f>CR29-CP29</f>
        <v/>
      </c>
      <c r="CU29" s="336">
        <f>IF(CP29=0,"***",CT29/CP29)</f>
        <v/>
      </c>
      <c r="CV29" s="332">
        <f>CV23-CV26</f>
        <v/>
      </c>
      <c r="CW29" s="333">
        <f>CW23-CW26</f>
        <v/>
      </c>
      <c r="CX29" s="334">
        <f>CX23-CX26</f>
        <v/>
      </c>
      <c r="CY29" s="333">
        <f>CY23-CY26</f>
        <v/>
      </c>
      <c r="CZ29" s="490">
        <f>CY29-CX29</f>
        <v/>
      </c>
      <c r="DA29" s="490">
        <f>CY29-CW29</f>
        <v/>
      </c>
      <c r="DB29" s="336">
        <f>IF(CW29=0,"***",DA29/CW29)</f>
        <v/>
      </c>
      <c r="DC29" s="339">
        <f>IF(CO29=0,"***",CV29/CO29)</f>
        <v/>
      </c>
      <c r="DD29" s="340">
        <f>IF(CP29=0,"***",CW29/CP29)</f>
        <v/>
      </c>
      <c r="DE29" s="340">
        <f>IF(CQ29=0,"***",CX29/CQ29)</f>
        <v/>
      </c>
      <c r="DF29" s="340">
        <f>IF(CR29=0,"***",CY29/CR29)</f>
        <v/>
      </c>
      <c r="DG29" s="340">
        <f>IF(DE29="***","***",DF29-DD29)</f>
        <v/>
      </c>
      <c r="DH29" s="340">
        <f>IF(DF29="***","***",DF29-DD29)</f>
        <v/>
      </c>
      <c r="DI29" s="59" t="n"/>
    </row>
    <row r="30">
      <c r="D30" s="8" t="n"/>
      <c r="E30" s="9" t="n"/>
      <c r="F30" s="185" t="inlineStr">
        <is>
          <t>境港営業所</t>
        </is>
      </c>
      <c r="G30" s="186" t="n"/>
      <c r="H30" s="187" t="n"/>
      <c r="I30" s="367" t="n">
        <v>79474</v>
      </c>
      <c r="J30" s="306" t="n">
        <v>65027</v>
      </c>
      <c r="K30" s="307" t="n">
        <v>71710</v>
      </c>
      <c r="L30" s="306" t="n">
        <v>80148</v>
      </c>
      <c r="M30" s="357">
        <f>L30-K30</f>
        <v/>
      </c>
      <c r="N30" s="357">
        <f>L30-J30</f>
        <v/>
      </c>
      <c r="O30" s="309">
        <f>IF(J30=0,"***",N30/J30)</f>
        <v/>
      </c>
      <c r="P30" s="310" t="n">
        <v>14459</v>
      </c>
      <c r="Q30" s="368" t="n">
        <v>12783</v>
      </c>
      <c r="R30" s="307" t="n">
        <v>14910</v>
      </c>
      <c r="S30" s="368" t="n">
        <v>16717</v>
      </c>
      <c r="T30" s="357">
        <f>S30-R30</f>
        <v/>
      </c>
      <c r="U30" s="357">
        <f>S30-Q30</f>
        <v/>
      </c>
      <c r="V30" s="309">
        <f>IF(Q30=0,"***",U30/Q30)</f>
        <v/>
      </c>
      <c r="W30" s="367" t="n">
        <v>71024</v>
      </c>
      <c r="X30" s="306" t="n">
        <v>73992</v>
      </c>
      <c r="Y30" s="307" t="n">
        <v>89590</v>
      </c>
      <c r="Z30" s="306" t="n">
        <v>73462</v>
      </c>
      <c r="AA30" s="357">
        <f>Z30-Y30</f>
        <v/>
      </c>
      <c r="AB30" s="357">
        <f>Z30-X30</f>
        <v/>
      </c>
      <c r="AC30" s="309">
        <f>IF(X30=0,"***",AB30/X30)</f>
        <v/>
      </c>
      <c r="AD30" s="310" t="n">
        <v>12330</v>
      </c>
      <c r="AE30" s="368" t="n">
        <v>15152</v>
      </c>
      <c r="AF30" s="307" t="n">
        <v>19300</v>
      </c>
      <c r="AG30" s="368" t="n">
        <v>15279</v>
      </c>
      <c r="AH30" s="357">
        <f>AG30-AF30</f>
        <v/>
      </c>
      <c r="AI30" s="357">
        <f>AG30-AE30</f>
        <v/>
      </c>
      <c r="AJ30" s="309">
        <f>IF(AE30=0,"***",AI30/AE30)</f>
        <v/>
      </c>
      <c r="AK30" s="367" t="n">
        <v>74767</v>
      </c>
      <c r="AL30" s="306" t="n">
        <v>66265</v>
      </c>
      <c r="AM30" s="307" t="n">
        <v>75110</v>
      </c>
      <c r="AN30" s="306" t="n">
        <v>67440</v>
      </c>
      <c r="AO30" s="357">
        <f>AN30-AM30</f>
        <v/>
      </c>
      <c r="AP30" s="357">
        <f>AN30-AL30</f>
        <v/>
      </c>
      <c r="AQ30" s="309">
        <f>IF(AL30=0,"***",AP30/AL30)</f>
        <v/>
      </c>
      <c r="AR30" s="310" t="n">
        <v>14020</v>
      </c>
      <c r="AS30" s="368" t="n">
        <v>13441</v>
      </c>
      <c r="AT30" s="307" t="n">
        <v>16050</v>
      </c>
      <c r="AU30" s="368" t="n">
        <v>13340</v>
      </c>
      <c r="AV30" s="357">
        <f>AU30-AT30</f>
        <v/>
      </c>
      <c r="AW30" s="357">
        <f>AU30-AS30</f>
        <v/>
      </c>
      <c r="AX30" s="309">
        <f>IF(AS30=0,"***",AW30/AS30)</f>
        <v/>
      </c>
      <c r="AY30" s="367" t="n">
        <v>34493</v>
      </c>
      <c r="AZ30" s="306" t="n">
        <v>50959</v>
      </c>
      <c r="BA30" s="307" t="n">
        <v>38390</v>
      </c>
      <c r="BB30" s="306" t="n">
        <v>43318</v>
      </c>
      <c r="BC30" s="357">
        <f>BB30-BA30</f>
        <v/>
      </c>
      <c r="BD30" s="357">
        <f>BB30-AZ30</f>
        <v/>
      </c>
      <c r="BE30" s="309">
        <f>IF(AZ30=0,"***",BD30/AZ30)</f>
        <v/>
      </c>
      <c r="BF30" s="310" t="n">
        <v>6079</v>
      </c>
      <c r="BG30" s="368" t="n">
        <v>9975</v>
      </c>
      <c r="BH30" s="307" t="n">
        <v>7370</v>
      </c>
      <c r="BI30" s="368" t="n">
        <v>8436</v>
      </c>
      <c r="BJ30" s="357">
        <f>BI30-BH30</f>
        <v/>
      </c>
      <c r="BK30" s="357">
        <f>BI30-BG30</f>
        <v/>
      </c>
      <c r="BL30" s="309">
        <f>IF(BG30=0,"***",BK30/BG30)</f>
        <v/>
      </c>
      <c r="BM30" s="367" t="n">
        <v>36327</v>
      </c>
      <c r="BN30" s="306" t="n">
        <v>63641</v>
      </c>
      <c r="BO30" s="307" t="n">
        <v>38500</v>
      </c>
      <c r="BP30" s="306" t="n">
        <v>37960</v>
      </c>
      <c r="BQ30" s="357">
        <f>BP30-BO30</f>
        <v/>
      </c>
      <c r="BR30" s="357">
        <f>BP30-BN30</f>
        <v/>
      </c>
      <c r="BS30" s="309">
        <f>IF(BN30=0,"***",BR30/BN30)</f>
        <v/>
      </c>
      <c r="BT30" s="310" t="n">
        <v>6425</v>
      </c>
      <c r="BU30" s="368" t="n">
        <v>13264</v>
      </c>
      <c r="BV30" s="307" t="n">
        <v>8180</v>
      </c>
      <c r="BW30" s="368" t="n">
        <v>6980</v>
      </c>
      <c r="BX30" s="357">
        <f>BW30-BV30</f>
        <v/>
      </c>
      <c r="BY30" s="357">
        <f>BW30-BU30</f>
        <v/>
      </c>
      <c r="BZ30" s="309">
        <f>IF(BU30=0,"***",BY30/BU30)</f>
        <v/>
      </c>
      <c r="CA30" s="367" t="n">
        <v>46544</v>
      </c>
      <c r="CB30" s="306" t="n">
        <v>48481</v>
      </c>
      <c r="CC30" s="307" t="n">
        <v>58740</v>
      </c>
      <c r="CD30" s="306" t="n">
        <v>67419</v>
      </c>
      <c r="CE30" s="357">
        <f>CD30-CC30</f>
        <v/>
      </c>
      <c r="CF30" s="357">
        <f>CD30-CB30</f>
        <v/>
      </c>
      <c r="CG30" s="309">
        <f>IF(CB30=0,"***",CF30/CB30)</f>
        <v/>
      </c>
      <c r="CH30" s="310" t="n">
        <v>8329</v>
      </c>
      <c r="CI30" s="368" t="n">
        <v>9489</v>
      </c>
      <c r="CJ30" s="307" t="n">
        <v>13120</v>
      </c>
      <c r="CK30" s="368" t="n">
        <v>14131</v>
      </c>
      <c r="CL30" s="357">
        <f>CK30-CJ30</f>
        <v/>
      </c>
      <c r="CM30" s="357">
        <f>CK30-CI30</f>
        <v/>
      </c>
      <c r="CN30" s="309">
        <f>IF(CI30=0,"***",CM30/CI30)</f>
        <v/>
      </c>
      <c r="CO30" s="367" t="n">
        <v>342625</v>
      </c>
      <c r="CP30" s="306" t="n">
        <v>368366</v>
      </c>
      <c r="CQ30" s="307">
        <f>K30+Y30+AM30+BA30+BO30+CC30</f>
        <v/>
      </c>
      <c r="CR30" s="306">
        <f>L30+Z30+AN30+BB30+BP30+CD30</f>
        <v/>
      </c>
      <c r="CS30" s="357">
        <f>CR30-CQ30</f>
        <v/>
      </c>
      <c r="CT30" s="357">
        <f>CR30-CP30</f>
        <v/>
      </c>
      <c r="CU30" s="309">
        <f>IF(CP30=0,"***",CT30/CP30)</f>
        <v/>
      </c>
      <c r="CV30" s="310" t="n">
        <v>61640</v>
      </c>
      <c r="CW30" s="368" t="n">
        <v>74103</v>
      </c>
      <c r="CX30" s="307">
        <f>R30+AF30+AT30+BH30+BV30+CJ30</f>
        <v/>
      </c>
      <c r="CY30" s="368">
        <f>S30+AG30+AU30+BI30+BW30+CK30</f>
        <v/>
      </c>
      <c r="CZ30" s="357">
        <f>CY30-CX30</f>
        <v/>
      </c>
      <c r="DA30" s="357">
        <f>CY30-CW30</f>
        <v/>
      </c>
      <c r="DB30" s="309">
        <f>IF(CW30=0,"***",DA30/CW30)</f>
        <v/>
      </c>
      <c r="DC30" s="311">
        <f>IF(CO30=0,"***",CV30/CO30)</f>
        <v/>
      </c>
      <c r="DD30" s="312">
        <f>IF(CP30=0,"***",CW30/CP30)</f>
        <v/>
      </c>
      <c r="DE30" s="312">
        <f>IF(CQ30=0,"***",CX30/CQ30)</f>
        <v/>
      </c>
      <c r="DF30" s="312">
        <f>IF(CR30=0,"***",CY30/CR30)</f>
        <v/>
      </c>
      <c r="DG30" s="313">
        <f>IF(DE30="***","***",DF30-DD30)</f>
        <v/>
      </c>
      <c r="DH30" s="312">
        <f>IF(DF30="***","***",DF30-DD30)</f>
        <v/>
      </c>
      <c r="DI30" s="21" t="n"/>
    </row>
    <row r="31">
      <c r="D31" s="8" t="n"/>
      <c r="E31" s="9" t="n"/>
      <c r="F31" s="9" t="n"/>
      <c r="G31" s="22" t="inlineStr">
        <is>
          <t>営業</t>
        </is>
      </c>
      <c r="H31" s="23" t="n"/>
      <c r="I31" s="314">
        <f>I30-I35</f>
        <v/>
      </c>
      <c r="J31" s="315">
        <f>J30-J35</f>
        <v/>
      </c>
      <c r="K31" s="316">
        <f>K30-K35</f>
        <v/>
      </c>
      <c r="L31" s="315">
        <f>L30-L35</f>
        <v/>
      </c>
      <c r="M31" s="315">
        <f>L31-K31</f>
        <v/>
      </c>
      <c r="N31" s="315">
        <f>L31-J31</f>
        <v/>
      </c>
      <c r="O31" s="318">
        <f>IF(J31=0,"***",N31/J31)</f>
        <v/>
      </c>
      <c r="P31" s="369">
        <f>P30-P35</f>
        <v/>
      </c>
      <c r="Q31" s="315">
        <f>Q30-Q35</f>
        <v/>
      </c>
      <c r="R31" s="316">
        <f>R30-R35</f>
        <v/>
      </c>
      <c r="S31" s="315">
        <f>S30-S35</f>
        <v/>
      </c>
      <c r="T31" s="315">
        <f>S31-R31</f>
        <v/>
      </c>
      <c r="U31" s="315">
        <f>S31-Q31</f>
        <v/>
      </c>
      <c r="V31" s="318">
        <f>IF(Q31=0,"***",U31/Q31)</f>
        <v/>
      </c>
      <c r="W31" s="314">
        <f>W30-W35</f>
        <v/>
      </c>
      <c r="X31" s="315">
        <f>X30-X35</f>
        <v/>
      </c>
      <c r="Y31" s="316">
        <f>Y30-Y35</f>
        <v/>
      </c>
      <c r="Z31" s="315">
        <f>Z30-Z35</f>
        <v/>
      </c>
      <c r="AA31" s="315">
        <f>Z31-Y31</f>
        <v/>
      </c>
      <c r="AB31" s="315">
        <f>Z31-X31</f>
        <v/>
      </c>
      <c r="AC31" s="318">
        <f>IF(X31=0,"***",AB31/X31)</f>
        <v/>
      </c>
      <c r="AD31" s="369">
        <f>AD30-AD35</f>
        <v/>
      </c>
      <c r="AE31" s="315">
        <f>AE30-AE35</f>
        <v/>
      </c>
      <c r="AF31" s="316">
        <f>AF30-AF35</f>
        <v/>
      </c>
      <c r="AG31" s="315">
        <f>AG30-AG35</f>
        <v/>
      </c>
      <c r="AH31" s="315">
        <f>AG31-AF31</f>
        <v/>
      </c>
      <c r="AI31" s="315">
        <f>AG31-AE31</f>
        <v/>
      </c>
      <c r="AJ31" s="318">
        <f>IF(AE31=0,"***",AI31/AE31)</f>
        <v/>
      </c>
      <c r="AK31" s="314">
        <f>AK30-AK35</f>
        <v/>
      </c>
      <c r="AL31" s="315">
        <f>AL30-AL35</f>
        <v/>
      </c>
      <c r="AM31" s="316">
        <f>AM30-AM35</f>
        <v/>
      </c>
      <c r="AN31" s="315">
        <f>AN30-AN35</f>
        <v/>
      </c>
      <c r="AO31" s="315">
        <f>AN31-AM31</f>
        <v/>
      </c>
      <c r="AP31" s="315">
        <f>AN31-AL31</f>
        <v/>
      </c>
      <c r="AQ31" s="318">
        <f>IF(AL31=0,"***",AP31/AL31)</f>
        <v/>
      </c>
      <c r="AR31" s="369">
        <f>AR30-AR35</f>
        <v/>
      </c>
      <c r="AS31" s="315">
        <f>AS30-AS35</f>
        <v/>
      </c>
      <c r="AT31" s="316">
        <f>AT30-AT35</f>
        <v/>
      </c>
      <c r="AU31" s="315">
        <f>AU30-AU35</f>
        <v/>
      </c>
      <c r="AV31" s="315">
        <f>AU31-AT31</f>
        <v/>
      </c>
      <c r="AW31" s="315">
        <f>AU31-AS31</f>
        <v/>
      </c>
      <c r="AX31" s="318">
        <f>IF(AS31=0,"***",AW31/AS31)</f>
        <v/>
      </c>
      <c r="AY31" s="314">
        <f>AY30-AY35</f>
        <v/>
      </c>
      <c r="AZ31" s="315">
        <f>AZ30-AZ35</f>
        <v/>
      </c>
      <c r="BA31" s="316">
        <f>BA30-BA35</f>
        <v/>
      </c>
      <c r="BB31" s="315">
        <f>BB30-BB35</f>
        <v/>
      </c>
      <c r="BC31" s="315">
        <f>BB31-BA31</f>
        <v/>
      </c>
      <c r="BD31" s="315">
        <f>BB31-AZ31</f>
        <v/>
      </c>
      <c r="BE31" s="318">
        <f>IF(AZ31=0,"***",BD31/AZ31)</f>
        <v/>
      </c>
      <c r="BF31" s="369">
        <f>BF30-BF35</f>
        <v/>
      </c>
      <c r="BG31" s="315">
        <f>BG30-BG35</f>
        <v/>
      </c>
      <c r="BH31" s="316">
        <f>BH30-BH35</f>
        <v/>
      </c>
      <c r="BI31" s="315">
        <f>BI30-BI35</f>
        <v/>
      </c>
      <c r="BJ31" s="315">
        <f>BI31-BH31</f>
        <v/>
      </c>
      <c r="BK31" s="315">
        <f>BI31-BG31</f>
        <v/>
      </c>
      <c r="BL31" s="318">
        <f>IF(BG31=0,"***",BK31/BG31)</f>
        <v/>
      </c>
      <c r="BM31" s="314">
        <f>BM30-BM35</f>
        <v/>
      </c>
      <c r="BN31" s="315">
        <f>BN30-BN35</f>
        <v/>
      </c>
      <c r="BO31" s="316">
        <f>BO30-BO35</f>
        <v/>
      </c>
      <c r="BP31" s="315">
        <f>BP30-BP35</f>
        <v/>
      </c>
      <c r="BQ31" s="315">
        <f>BP31-BO31</f>
        <v/>
      </c>
      <c r="BR31" s="315">
        <f>BP31-BN31</f>
        <v/>
      </c>
      <c r="BS31" s="318">
        <f>IF(BN31=0,"***",BR31/BN31)</f>
        <v/>
      </c>
      <c r="BT31" s="369">
        <f>BT30-BT35</f>
        <v/>
      </c>
      <c r="BU31" s="315">
        <f>BU30-BU35</f>
        <v/>
      </c>
      <c r="BV31" s="316">
        <f>BV30-BV35</f>
        <v/>
      </c>
      <c r="BW31" s="315">
        <f>BW30-BW35</f>
        <v/>
      </c>
      <c r="BX31" s="315">
        <f>BW31-BV31</f>
        <v/>
      </c>
      <c r="BY31" s="315">
        <f>BW31-BU31</f>
        <v/>
      </c>
      <c r="BZ31" s="318">
        <f>IF(BU31=0,"***",BY31/BU31)</f>
        <v/>
      </c>
      <c r="CA31" s="314">
        <f>CA30-CA35</f>
        <v/>
      </c>
      <c r="CB31" s="315">
        <f>CB30-CB35</f>
        <v/>
      </c>
      <c r="CC31" s="316">
        <f>CC30-CC35</f>
        <v/>
      </c>
      <c r="CD31" s="315">
        <f>CD30-CD35</f>
        <v/>
      </c>
      <c r="CE31" s="315">
        <f>CD31-CC31</f>
        <v/>
      </c>
      <c r="CF31" s="315">
        <f>CD31-CB31</f>
        <v/>
      </c>
      <c r="CG31" s="318">
        <f>IF(CB31=0,"***",CF31/CB31)</f>
        <v/>
      </c>
      <c r="CH31" s="369">
        <f>CH30-CH35</f>
        <v/>
      </c>
      <c r="CI31" s="315">
        <f>CI30-CI35</f>
        <v/>
      </c>
      <c r="CJ31" s="316">
        <f>CJ30-CJ35</f>
        <v/>
      </c>
      <c r="CK31" s="315">
        <f>CK30-CK35</f>
        <v/>
      </c>
      <c r="CL31" s="315">
        <f>CK31-CJ31</f>
        <v/>
      </c>
      <c r="CM31" s="315">
        <f>CK31-CI31</f>
        <v/>
      </c>
      <c r="CN31" s="318">
        <f>IF(CI31=0,"***",CM31/CI31)</f>
        <v/>
      </c>
      <c r="CO31" s="314">
        <f>CO30-CO35-CO34</f>
        <v/>
      </c>
      <c r="CP31" s="315">
        <f>CP30-CP35-CP34</f>
        <v/>
      </c>
      <c r="CQ31" s="316">
        <f>CQ30-CQ35-CQ34</f>
        <v/>
      </c>
      <c r="CR31" s="315">
        <f>CR30-CR35-CR34</f>
        <v/>
      </c>
      <c r="CS31" s="315">
        <f>CR31-CQ31</f>
        <v/>
      </c>
      <c r="CT31" s="315">
        <f>CR31-CP31</f>
        <v/>
      </c>
      <c r="CU31" s="318">
        <f>IF(CP31=0,"***",CT31/CP31)</f>
        <v/>
      </c>
      <c r="CV31" s="369">
        <f>CV30-CV35-CV34</f>
        <v/>
      </c>
      <c r="CW31" s="315">
        <f>CW30-CW35-CW34</f>
        <v/>
      </c>
      <c r="CX31" s="316">
        <f>CX30-CX35-CX34</f>
        <v/>
      </c>
      <c r="CY31" s="315">
        <f>CY30-CY35-CY34</f>
        <v/>
      </c>
      <c r="CZ31" s="315">
        <f>CY31-CX31</f>
        <v/>
      </c>
      <c r="DA31" s="315">
        <f>CY31-CW31</f>
        <v/>
      </c>
      <c r="DB31" s="318">
        <f>IF(CW31=0,"***",DA31/CW31)</f>
        <v/>
      </c>
      <c r="DC31" s="319">
        <f>IF(CO31=0,"***",CV31/CO31)</f>
        <v/>
      </c>
      <c r="DD31" s="320">
        <f>IF(CP31=0,"***",CW31/CP31)</f>
        <v/>
      </c>
      <c r="DE31" s="320">
        <f>IF(CQ31=0,"***",CX31/CQ31)</f>
        <v/>
      </c>
      <c r="DF31" s="320">
        <f>IF(CR31=0,"***",CY31/CR31)</f>
        <v/>
      </c>
      <c r="DG31" s="321">
        <f>IF(DE31="***","***",DF31-DD31)</f>
        <v/>
      </c>
      <c r="DH31" s="320">
        <f>IF(DF31="***","***",DF31-DD31)</f>
        <v/>
      </c>
      <c r="DI31" s="31" t="n"/>
    </row>
    <row r="32">
      <c r="D32" s="8" t="n"/>
      <c r="E32" s="9" t="n"/>
      <c r="F32" s="9" t="n"/>
      <c r="G32" s="32" t="n"/>
      <c r="H32" s="33" t="inlineStr">
        <is>
          <t>包装資材</t>
        </is>
      </c>
      <c r="I32" s="314">
        <f>I31-I33</f>
        <v/>
      </c>
      <c r="J32" s="315">
        <f>J31-J33</f>
        <v/>
      </c>
      <c r="K32" s="316">
        <f>K31-K33</f>
        <v/>
      </c>
      <c r="L32" s="315">
        <f>L31-L33</f>
        <v/>
      </c>
      <c r="M32" s="315">
        <f>L32-K32</f>
        <v/>
      </c>
      <c r="N32" s="315">
        <f>L32-J32</f>
        <v/>
      </c>
      <c r="O32" s="318">
        <f>IF(J32=0,"***",N32/J32)</f>
        <v/>
      </c>
      <c r="P32" s="369">
        <f>P31-P33</f>
        <v/>
      </c>
      <c r="Q32" s="315">
        <f>Q31-Q33</f>
        <v/>
      </c>
      <c r="R32" s="316">
        <f>R31-R33</f>
        <v/>
      </c>
      <c r="S32" s="315">
        <f>S31-S33</f>
        <v/>
      </c>
      <c r="T32" s="315">
        <f>S32-R32</f>
        <v/>
      </c>
      <c r="U32" s="315">
        <f>S32-Q32</f>
        <v/>
      </c>
      <c r="V32" s="318">
        <f>IF(Q32=0,"***",U32/Q32)</f>
        <v/>
      </c>
      <c r="W32" s="314">
        <f>W31-W33</f>
        <v/>
      </c>
      <c r="X32" s="315">
        <f>X31-X33</f>
        <v/>
      </c>
      <c r="Y32" s="316">
        <f>Y31-Y33</f>
        <v/>
      </c>
      <c r="Z32" s="315">
        <f>Z31-Z33</f>
        <v/>
      </c>
      <c r="AA32" s="315">
        <f>Z32-Y32</f>
        <v/>
      </c>
      <c r="AB32" s="315">
        <f>Z32-X32</f>
        <v/>
      </c>
      <c r="AC32" s="318">
        <f>IF(X32=0,"***",AB32/X32)</f>
        <v/>
      </c>
      <c r="AD32" s="369">
        <f>AD31-AD33</f>
        <v/>
      </c>
      <c r="AE32" s="315">
        <f>AE31-AE33</f>
        <v/>
      </c>
      <c r="AF32" s="316">
        <f>AF31-AF33</f>
        <v/>
      </c>
      <c r="AG32" s="315">
        <f>AG31-AG33</f>
        <v/>
      </c>
      <c r="AH32" s="315">
        <f>AG32-AF32</f>
        <v/>
      </c>
      <c r="AI32" s="315">
        <f>AG32-AE32</f>
        <v/>
      </c>
      <c r="AJ32" s="318">
        <f>IF(AE32=0,"***",AI32/AE32)</f>
        <v/>
      </c>
      <c r="AK32" s="314">
        <f>AK31-AK33</f>
        <v/>
      </c>
      <c r="AL32" s="315">
        <f>AL31-AL33</f>
        <v/>
      </c>
      <c r="AM32" s="316">
        <f>AM31-AM33</f>
        <v/>
      </c>
      <c r="AN32" s="315">
        <f>AN31-AN33</f>
        <v/>
      </c>
      <c r="AO32" s="315">
        <f>AN32-AM32</f>
        <v/>
      </c>
      <c r="AP32" s="315">
        <f>AN32-AL32</f>
        <v/>
      </c>
      <c r="AQ32" s="318">
        <f>IF(AL32=0,"***",AP32/AL32)</f>
        <v/>
      </c>
      <c r="AR32" s="369">
        <f>AR31-AR33</f>
        <v/>
      </c>
      <c r="AS32" s="315">
        <f>AS31-AS33</f>
        <v/>
      </c>
      <c r="AT32" s="316">
        <f>AT31-AT33</f>
        <v/>
      </c>
      <c r="AU32" s="315">
        <f>AU31-AU33</f>
        <v/>
      </c>
      <c r="AV32" s="315">
        <f>AU32-AT32</f>
        <v/>
      </c>
      <c r="AW32" s="315">
        <f>AU32-AS32</f>
        <v/>
      </c>
      <c r="AX32" s="318">
        <f>IF(AS32=0,"***",AW32/AS32)</f>
        <v/>
      </c>
      <c r="AY32" s="314">
        <f>AY31-AY33</f>
        <v/>
      </c>
      <c r="AZ32" s="315">
        <f>AZ31-AZ33</f>
        <v/>
      </c>
      <c r="BA32" s="316">
        <f>BA31-BA33</f>
        <v/>
      </c>
      <c r="BB32" s="315">
        <f>BB31-BB33</f>
        <v/>
      </c>
      <c r="BC32" s="315">
        <f>BB32-BA32</f>
        <v/>
      </c>
      <c r="BD32" s="315">
        <f>BB32-AZ32</f>
        <v/>
      </c>
      <c r="BE32" s="318">
        <f>IF(AZ32=0,"***",BD32/AZ32)</f>
        <v/>
      </c>
      <c r="BF32" s="369">
        <f>BF31-BF33</f>
        <v/>
      </c>
      <c r="BG32" s="315">
        <f>BG31-BG33</f>
        <v/>
      </c>
      <c r="BH32" s="316">
        <f>BH31-BH33</f>
        <v/>
      </c>
      <c r="BI32" s="315">
        <f>BI31-BI33</f>
        <v/>
      </c>
      <c r="BJ32" s="315">
        <f>BI32-BH32</f>
        <v/>
      </c>
      <c r="BK32" s="315">
        <f>BI32-BG32</f>
        <v/>
      </c>
      <c r="BL32" s="318">
        <f>IF(BG32=0,"***",BK32/BG32)</f>
        <v/>
      </c>
      <c r="BM32" s="314">
        <f>BM31-BM33</f>
        <v/>
      </c>
      <c r="BN32" s="315">
        <f>BN31-BN33</f>
        <v/>
      </c>
      <c r="BO32" s="316">
        <f>BO31-BO33</f>
        <v/>
      </c>
      <c r="BP32" s="315">
        <f>BP31-BP33</f>
        <v/>
      </c>
      <c r="BQ32" s="315">
        <f>BP32-BO32</f>
        <v/>
      </c>
      <c r="BR32" s="315">
        <f>BP32-BN32</f>
        <v/>
      </c>
      <c r="BS32" s="318">
        <f>IF(BN32=0,"***",BR32/BN32)</f>
        <v/>
      </c>
      <c r="BT32" s="369">
        <f>BT31-BT33</f>
        <v/>
      </c>
      <c r="BU32" s="315">
        <f>BU31-BU33</f>
        <v/>
      </c>
      <c r="BV32" s="316">
        <f>BV31-BV33</f>
        <v/>
      </c>
      <c r="BW32" s="315">
        <f>BW31-BW33</f>
        <v/>
      </c>
      <c r="BX32" s="315">
        <f>BW32-BV32</f>
        <v/>
      </c>
      <c r="BY32" s="315">
        <f>BW32-BU32</f>
        <v/>
      </c>
      <c r="BZ32" s="318">
        <f>IF(BU32=0,"***",BY32/BU32)</f>
        <v/>
      </c>
      <c r="CA32" s="314">
        <f>CA31-CA33</f>
        <v/>
      </c>
      <c r="CB32" s="315">
        <f>CB31-CB33</f>
        <v/>
      </c>
      <c r="CC32" s="316">
        <f>CC31-CC33</f>
        <v/>
      </c>
      <c r="CD32" s="315">
        <f>CD31-CD33</f>
        <v/>
      </c>
      <c r="CE32" s="315">
        <f>CD32-CC32</f>
        <v/>
      </c>
      <c r="CF32" s="315">
        <f>CD32-CB32</f>
        <v/>
      </c>
      <c r="CG32" s="318">
        <f>IF(CB32=0,"***",CF32/CB32)</f>
        <v/>
      </c>
      <c r="CH32" s="369">
        <f>CH31-CH33</f>
        <v/>
      </c>
      <c r="CI32" s="315">
        <f>CI31-CI33</f>
        <v/>
      </c>
      <c r="CJ32" s="316">
        <f>CJ31-CJ33</f>
        <v/>
      </c>
      <c r="CK32" s="315">
        <f>CK31-CK33</f>
        <v/>
      </c>
      <c r="CL32" s="315">
        <f>CK32-CJ32</f>
        <v/>
      </c>
      <c r="CM32" s="315">
        <f>CK32-CI32</f>
        <v/>
      </c>
      <c r="CN32" s="318">
        <f>IF(CI32=0,"***",CM32/CI32)</f>
        <v/>
      </c>
      <c r="CO32" s="314">
        <f>CO31-CO33</f>
        <v/>
      </c>
      <c r="CP32" s="315">
        <f>CP31-CP33</f>
        <v/>
      </c>
      <c r="CQ32" s="316">
        <f>CQ31-CQ33</f>
        <v/>
      </c>
      <c r="CR32" s="315">
        <f>CR31-CR33</f>
        <v/>
      </c>
      <c r="CS32" s="315">
        <f>CR32-CQ32</f>
        <v/>
      </c>
      <c r="CT32" s="315">
        <f>CR32-CP32</f>
        <v/>
      </c>
      <c r="CU32" s="318">
        <f>IF(CP32=0,"***",CT32/CP32)</f>
        <v/>
      </c>
      <c r="CV32" s="369">
        <f>CV31-CV33</f>
        <v/>
      </c>
      <c r="CW32" s="315">
        <f>CW31-CW33</f>
        <v/>
      </c>
      <c r="CX32" s="316">
        <f>CX31-CX33</f>
        <v/>
      </c>
      <c r="CY32" s="315">
        <f>CY31-CY33</f>
        <v/>
      </c>
      <c r="CZ32" s="315">
        <f>CY32-CX32</f>
        <v/>
      </c>
      <c r="DA32" s="315">
        <f>CY32-CW32</f>
        <v/>
      </c>
      <c r="DB32" s="318">
        <f>IF(CW32=0,"***",DA32/CW32)</f>
        <v/>
      </c>
      <c r="DC32" s="319">
        <f>IF(CO32=0,"***",CV32/CO32)</f>
        <v/>
      </c>
      <c r="DD32" s="320">
        <f>IF(CP32=0,"***",CW32/CP32)</f>
        <v/>
      </c>
      <c r="DE32" s="320">
        <f>IF(CQ32=0,"***",CX32/CQ32)</f>
        <v/>
      </c>
      <c r="DF32" s="320">
        <f>IF(CR32=0,"***",CY32/CR32)</f>
        <v/>
      </c>
      <c r="DG32" s="321">
        <f>IF(DE32="***","***",DF32-DD32)</f>
        <v/>
      </c>
      <c r="DH32" s="320">
        <f>IF(DF32="***","***",DF32-DD32)</f>
        <v/>
      </c>
      <c r="DI32" s="31" t="n"/>
    </row>
    <row r="33">
      <c r="D33" s="8" t="n"/>
      <c r="E33" s="9" t="n"/>
      <c r="F33" s="9" t="n"/>
      <c r="G33" s="177" t="n"/>
      <c r="H33" s="178" t="inlineStr">
        <is>
          <t>機械(海外除）</t>
        </is>
      </c>
      <c r="I33" s="354" t="n">
        <v>18393</v>
      </c>
      <c r="J33" s="355" t="n">
        <v>12272</v>
      </c>
      <c r="K33" s="316" t="n">
        <v>12500</v>
      </c>
      <c r="L33" s="355" t="n">
        <v>12646</v>
      </c>
      <c r="M33" s="315">
        <f>L33-K33</f>
        <v/>
      </c>
      <c r="N33" s="315">
        <f>L33-J33</f>
        <v/>
      </c>
      <c r="O33" s="318">
        <f>IF(J33=0,"***",N33/J33)</f>
        <v/>
      </c>
      <c r="P33" s="370" t="n">
        <v>3797</v>
      </c>
      <c r="Q33" s="351" t="n">
        <v>2384</v>
      </c>
      <c r="R33" s="316" t="n">
        <v>2850</v>
      </c>
      <c r="S33" s="351" t="n">
        <v>3504</v>
      </c>
      <c r="T33" s="315">
        <f>S33-R33</f>
        <v/>
      </c>
      <c r="U33" s="315">
        <f>S33-Q33</f>
        <v/>
      </c>
      <c r="V33" s="318">
        <f>IF(Q33=0,"***",U33/Q33)</f>
        <v/>
      </c>
      <c r="W33" s="354" t="n">
        <v>7096</v>
      </c>
      <c r="X33" s="355" t="n">
        <v>6792</v>
      </c>
      <c r="Y33" s="316" t="n">
        <v>15000</v>
      </c>
      <c r="Z33" s="355" t="n">
        <v>17649</v>
      </c>
      <c r="AA33" s="315">
        <f>Z33-Y33</f>
        <v/>
      </c>
      <c r="AB33" s="315">
        <f>Z33-X33</f>
        <v/>
      </c>
      <c r="AC33" s="318">
        <f>IF(X33=0,"***",AB33/X33)</f>
        <v/>
      </c>
      <c r="AD33" s="370" t="n">
        <v>1512</v>
      </c>
      <c r="AE33" s="351" t="n">
        <v>1461</v>
      </c>
      <c r="AF33" s="316" t="n">
        <v>3600</v>
      </c>
      <c r="AG33" s="351" t="n">
        <v>3594</v>
      </c>
      <c r="AH33" s="315">
        <f>AG33-AF33</f>
        <v/>
      </c>
      <c r="AI33" s="315">
        <f>AG33-AE33</f>
        <v/>
      </c>
      <c r="AJ33" s="318">
        <f>IF(AE33=0,"***",AI33/AE33)</f>
        <v/>
      </c>
      <c r="AK33" s="354" t="n">
        <v>4022</v>
      </c>
      <c r="AL33" s="355" t="n">
        <v>7003</v>
      </c>
      <c r="AM33" s="316" t="n">
        <v>9000</v>
      </c>
      <c r="AN33" s="355" t="n">
        <v>7981</v>
      </c>
      <c r="AO33" s="315">
        <f>AN33-AM33</f>
        <v/>
      </c>
      <c r="AP33" s="315">
        <f>AN33-AL33</f>
        <v/>
      </c>
      <c r="AQ33" s="318">
        <f>IF(AL33=0,"***",AP33/AL33)</f>
        <v/>
      </c>
      <c r="AR33" s="370" t="n">
        <v>1008</v>
      </c>
      <c r="AS33" s="351" t="n">
        <v>1674</v>
      </c>
      <c r="AT33" s="316" t="n">
        <v>2100</v>
      </c>
      <c r="AU33" s="351" t="n">
        <v>1522</v>
      </c>
      <c r="AV33" s="315">
        <f>AU33-AT33</f>
        <v/>
      </c>
      <c r="AW33" s="315">
        <f>AU33-AS33</f>
        <v/>
      </c>
      <c r="AX33" s="318">
        <f>IF(AS33=0,"***",AW33/AS33)</f>
        <v/>
      </c>
      <c r="AY33" s="354" t="n">
        <v>1540</v>
      </c>
      <c r="AZ33" s="355" t="n">
        <v>16315</v>
      </c>
      <c r="BA33" s="316" t="n">
        <v>0</v>
      </c>
      <c r="BB33" s="355" t="n">
        <v>5907</v>
      </c>
      <c r="BC33" s="315">
        <f>BB33-BA33</f>
        <v/>
      </c>
      <c r="BD33" s="315">
        <f>BB33-AZ33</f>
        <v/>
      </c>
      <c r="BE33" s="318">
        <f>IF(AZ33=0,"***",BD33/AZ33)</f>
        <v/>
      </c>
      <c r="BF33" s="370" t="n">
        <v>403</v>
      </c>
      <c r="BG33" s="351" t="n">
        <v>3538</v>
      </c>
      <c r="BH33" s="316" t="n">
        <v>0</v>
      </c>
      <c r="BI33" s="351" t="n">
        <v>1205</v>
      </c>
      <c r="BJ33" s="315">
        <f>BI33-BH33</f>
        <v/>
      </c>
      <c r="BK33" s="315">
        <f>BI33-BG33</f>
        <v/>
      </c>
      <c r="BL33" s="318">
        <f>IF(BG33=0,"***",BK33/BG33)</f>
        <v/>
      </c>
      <c r="BM33" s="354" t="n">
        <v>1688</v>
      </c>
      <c r="BN33" s="355" t="n">
        <v>28963</v>
      </c>
      <c r="BO33" s="316" t="n">
        <v>0</v>
      </c>
      <c r="BP33" s="355" t="n">
        <v>4253</v>
      </c>
      <c r="BQ33" s="315">
        <f>BP33-BO33</f>
        <v/>
      </c>
      <c r="BR33" s="315">
        <f>BP33-BN33</f>
        <v/>
      </c>
      <c r="BS33" s="318">
        <f>IF(BN33=0,"***",BR33/BN33)</f>
        <v/>
      </c>
      <c r="BT33" s="370" t="n">
        <v>419</v>
      </c>
      <c r="BU33" s="351" t="n">
        <v>6304</v>
      </c>
      <c r="BV33" s="316" t="n">
        <v>0</v>
      </c>
      <c r="BW33" s="351" t="n">
        <v>937</v>
      </c>
      <c r="BX33" s="315">
        <f>BW33-BV33</f>
        <v/>
      </c>
      <c r="BY33" s="315">
        <f>BW33-BU33</f>
        <v/>
      </c>
      <c r="BZ33" s="318">
        <f>IF(BU33=0,"***",BY33/BU33)</f>
        <v/>
      </c>
      <c r="CA33" s="354" t="n">
        <v>2043</v>
      </c>
      <c r="CB33" s="355" t="n">
        <v>12061</v>
      </c>
      <c r="CC33" s="316" t="n">
        <v>3000</v>
      </c>
      <c r="CD33" s="355" t="n">
        <v>12308</v>
      </c>
      <c r="CE33" s="315">
        <f>CD33-CC33</f>
        <v/>
      </c>
      <c r="CF33" s="315">
        <f>CD33-CB33</f>
        <v/>
      </c>
      <c r="CG33" s="318">
        <f>IF(CB33=0,"***",CF33/CB33)</f>
        <v/>
      </c>
      <c r="CH33" s="370" t="n">
        <v>623</v>
      </c>
      <c r="CI33" s="351" t="n">
        <v>2581</v>
      </c>
      <c r="CJ33" s="316" t="n">
        <v>600</v>
      </c>
      <c r="CK33" s="351" t="n">
        <v>2846</v>
      </c>
      <c r="CL33" s="315">
        <f>CK33-CJ33</f>
        <v/>
      </c>
      <c r="CM33" s="315">
        <f>CK33-CI33</f>
        <v/>
      </c>
      <c r="CN33" s="318">
        <f>IF(CI33=0,"***",CM33/CI33)</f>
        <v/>
      </c>
      <c r="CO33" s="354">
        <f>I33+W33+AK33+AY33+BM33+CA33</f>
        <v/>
      </c>
      <c r="CP33" s="355">
        <f>J33+X33+AL33+AZ33+BN33+CB33</f>
        <v/>
      </c>
      <c r="CQ33" s="316">
        <f>K33+Y33+AM33+BA33+BO33+CC33</f>
        <v/>
      </c>
      <c r="CR33" s="355">
        <f>L33+Z33+AN33+BB33+BP33+CD33</f>
        <v/>
      </c>
      <c r="CS33" s="315">
        <f>CR33-CQ33</f>
        <v/>
      </c>
      <c r="CT33" s="315">
        <f>CR33-CP33</f>
        <v/>
      </c>
      <c r="CU33" s="318">
        <f>IF(CP33=0,"***",CT33/CP33)</f>
        <v/>
      </c>
      <c r="CV33" s="370">
        <f>P33+AD33+AR33+BF33+BT33+CH33</f>
        <v/>
      </c>
      <c r="CW33" s="351">
        <f>Q33+AE33+AS33+BG33+BU33+CI33</f>
        <v/>
      </c>
      <c r="CX33" s="316">
        <f>R33+AF33+AT33+BH33+BV33+CJ33</f>
        <v/>
      </c>
      <c r="CY33" s="351">
        <f>S33+AG33+AU33+BI33+BW33+CK33</f>
        <v/>
      </c>
      <c r="CZ33" s="315">
        <f>CY33-CX33</f>
        <v/>
      </c>
      <c r="DA33" s="315">
        <f>CY33-CW33</f>
        <v/>
      </c>
      <c r="DB33" s="318">
        <f>IF(CW33=0,"***",DA33/CW33)</f>
        <v/>
      </c>
      <c r="DC33" s="319">
        <f>IF(CO33=0,"***",CV33/CO33)</f>
        <v/>
      </c>
      <c r="DD33" s="320">
        <f>IF(CP33=0,"***",CW33/CP33)</f>
        <v/>
      </c>
      <c r="DE33" s="320">
        <f>IF(CQ33=0,"***",CX33/CQ33)</f>
        <v/>
      </c>
      <c r="DF33" s="320">
        <f>IF(CR33=0,"***",CY33/CR33)</f>
        <v/>
      </c>
      <c r="DG33" s="321">
        <f>IF(DE33="***","***",DF33-DD33)</f>
        <v/>
      </c>
      <c r="DH33" s="320">
        <f>IF(DF33="***","***",DF33-DD33)</f>
        <v/>
      </c>
      <c r="DI33" s="31" t="n"/>
    </row>
    <row r="34">
      <c r="D34" s="8" t="n"/>
      <c r="E34" s="9" t="n"/>
      <c r="F34" s="9" t="n"/>
      <c r="G34" s="195" t="inlineStr">
        <is>
          <t>自治体</t>
        </is>
      </c>
      <c r="H34" s="196" t="n"/>
      <c r="I34" s="322" t="n"/>
      <c r="J34" s="323" t="n"/>
      <c r="K34" s="324" t="n"/>
      <c r="L34" s="323" t="n"/>
      <c r="M34" s="487">
        <f>L34-K34</f>
        <v/>
      </c>
      <c r="N34" s="487">
        <f>L34-J34</f>
        <v/>
      </c>
      <c r="O34" s="326">
        <f>IF(J34=0,"***",N34/J34)</f>
        <v/>
      </c>
      <c r="P34" s="327" t="n"/>
      <c r="Q34" s="328" t="n"/>
      <c r="R34" s="324" t="n"/>
      <c r="S34" s="328" t="n"/>
      <c r="T34" s="487">
        <f>S34-R34</f>
        <v/>
      </c>
      <c r="U34" s="487">
        <f>S34-Q34</f>
        <v/>
      </c>
      <c r="V34" s="326">
        <f>IF(Q34=0,"***",U34/Q34)</f>
        <v/>
      </c>
      <c r="W34" s="322" t="n"/>
      <c r="X34" s="323" t="n"/>
      <c r="Y34" s="324" t="n"/>
      <c r="Z34" s="323" t="n"/>
      <c r="AA34" s="487" t="n"/>
      <c r="AB34" s="487" t="n"/>
      <c r="AC34" s="326" t="n"/>
      <c r="AD34" s="327" t="n"/>
      <c r="AE34" s="328" t="n"/>
      <c r="AF34" s="324" t="n"/>
      <c r="AG34" s="328" t="n"/>
      <c r="AH34" s="487" t="n"/>
      <c r="AI34" s="487" t="n"/>
      <c r="AJ34" s="326" t="n"/>
      <c r="AK34" s="322" t="n"/>
      <c r="AL34" s="323" t="n"/>
      <c r="AM34" s="324" t="n"/>
      <c r="AN34" s="323" t="n"/>
      <c r="AO34" s="487" t="n"/>
      <c r="AP34" s="487" t="n"/>
      <c r="AQ34" s="326" t="n"/>
      <c r="AR34" s="327" t="n"/>
      <c r="AS34" s="328" t="n"/>
      <c r="AT34" s="324" t="n"/>
      <c r="AU34" s="328" t="n"/>
      <c r="AV34" s="487" t="n"/>
      <c r="AW34" s="487" t="n"/>
      <c r="AX34" s="326" t="n"/>
      <c r="AY34" s="322" t="n"/>
      <c r="AZ34" s="323" t="n"/>
      <c r="BA34" s="324" t="n"/>
      <c r="BB34" s="323" t="n"/>
      <c r="BC34" s="487" t="n"/>
      <c r="BD34" s="487" t="n"/>
      <c r="BE34" s="326" t="n"/>
      <c r="BF34" s="327" t="n"/>
      <c r="BG34" s="328" t="n"/>
      <c r="BH34" s="324" t="n"/>
      <c r="BI34" s="328" t="n"/>
      <c r="BJ34" s="487" t="n"/>
      <c r="BK34" s="487" t="n"/>
      <c r="BL34" s="326" t="n"/>
      <c r="BM34" s="322" t="n"/>
      <c r="BN34" s="323" t="n"/>
      <c r="BO34" s="324" t="n"/>
      <c r="BP34" s="323" t="n"/>
      <c r="BQ34" s="487" t="n"/>
      <c r="BR34" s="487" t="n"/>
      <c r="BS34" s="326" t="n"/>
      <c r="BT34" s="327" t="n"/>
      <c r="BU34" s="328" t="n"/>
      <c r="BV34" s="324" t="n"/>
      <c r="BW34" s="328" t="n"/>
      <c r="BX34" s="487" t="n"/>
      <c r="BY34" s="487" t="n"/>
      <c r="BZ34" s="326" t="n"/>
      <c r="CA34" s="322" t="n"/>
      <c r="CB34" s="323" t="n"/>
      <c r="CC34" s="324" t="n"/>
      <c r="CD34" s="323" t="n"/>
      <c r="CE34" s="487" t="n"/>
      <c r="CF34" s="487" t="n"/>
      <c r="CG34" s="326" t="n"/>
      <c r="CH34" s="327" t="n"/>
      <c r="CI34" s="328" t="n"/>
      <c r="CJ34" s="324" t="n"/>
      <c r="CK34" s="328" t="n"/>
      <c r="CL34" s="487" t="n"/>
      <c r="CM34" s="487" t="n"/>
      <c r="CN34" s="326" t="n"/>
      <c r="CO34" s="322" t="n">
        <v>0</v>
      </c>
      <c r="CP34" s="323" t="n">
        <v>0</v>
      </c>
      <c r="CQ34" s="324" t="n">
        <v>0</v>
      </c>
      <c r="CR34" s="323" t="n">
        <v>1094</v>
      </c>
      <c r="CS34" s="487" t="n"/>
      <c r="CT34" s="487" t="n"/>
      <c r="CU34" s="326" t="n"/>
      <c r="CV34" s="327" t="n">
        <v>0</v>
      </c>
      <c r="CW34" s="328" t="n">
        <v>0</v>
      </c>
      <c r="CX34" s="324" t="n">
        <v>0</v>
      </c>
      <c r="CY34" s="328" t="n">
        <v>51</v>
      </c>
      <c r="CZ34" s="487" t="n"/>
      <c r="DA34" s="487" t="n"/>
      <c r="DB34" s="326" t="n"/>
      <c r="DC34" s="329">
        <f>IF(CO34=0,"***",CV34/CO34)</f>
        <v/>
      </c>
      <c r="DD34" s="330">
        <f>IF(CP34=0,"***",CW34/CP34)</f>
        <v/>
      </c>
      <c r="DE34" s="330">
        <f>IF(CQ34=0,"***",CX34/CQ34)</f>
        <v/>
      </c>
      <c r="DF34" s="330">
        <f>IF(CR34=0,"***",CY34/CR34)</f>
        <v/>
      </c>
      <c r="DG34" s="331">
        <f>IF(DE34="***","***",DF34-DD34)</f>
        <v/>
      </c>
      <c r="DH34" s="330">
        <f>IF(DF34="***","***",DF34-DD34)</f>
        <v/>
      </c>
      <c r="DI34" s="45" t="n"/>
    </row>
    <row r="35">
      <c r="D35" s="8" t="n"/>
      <c r="E35" s="9" t="n"/>
      <c r="F35" s="9" t="n"/>
      <c r="G35" s="188" t="inlineStr">
        <is>
          <t>海外</t>
        </is>
      </c>
      <c r="H35" s="184" t="n"/>
      <c r="I35" s="332" t="n">
        <v>425</v>
      </c>
      <c r="J35" s="333" t="n">
        <v>167</v>
      </c>
      <c r="K35" s="334" t="n">
        <v>500</v>
      </c>
      <c r="L35" s="333" t="n">
        <v>3556</v>
      </c>
      <c r="M35" s="379">
        <f>L35-K35</f>
        <v/>
      </c>
      <c r="N35" s="379">
        <f>L35-J35</f>
        <v/>
      </c>
      <c r="O35" s="336">
        <f>IF(J35=0,"***",N35/J35)</f>
        <v/>
      </c>
      <c r="P35" s="371" t="n">
        <v>93</v>
      </c>
      <c r="Q35" s="338" t="n">
        <v>33</v>
      </c>
      <c r="R35" s="334" t="n">
        <v>100</v>
      </c>
      <c r="S35" s="372" t="n">
        <v>596</v>
      </c>
      <c r="T35" s="379">
        <f>S35-R35</f>
        <v/>
      </c>
      <c r="U35" s="379">
        <f>S35-Q35</f>
        <v/>
      </c>
      <c r="V35" s="336">
        <f>IF(Q35=0,"***",U35/Q35)</f>
        <v/>
      </c>
      <c r="W35" s="332" t="n">
        <v>4623</v>
      </c>
      <c r="X35" s="333" t="n">
        <v>1831</v>
      </c>
      <c r="Y35" s="334" t="n">
        <v>1900</v>
      </c>
      <c r="Z35" s="333" t="n">
        <v>370</v>
      </c>
      <c r="AA35" s="379">
        <f>Z35-Y35</f>
        <v/>
      </c>
      <c r="AB35" s="379">
        <f>Z35-X35</f>
        <v/>
      </c>
      <c r="AC35" s="336">
        <f>IF(X35=0,"***",AB35/X35)</f>
        <v/>
      </c>
      <c r="AD35" s="371" t="n">
        <v>677</v>
      </c>
      <c r="AE35" s="338" t="n">
        <v>348</v>
      </c>
      <c r="AF35" s="334" t="n">
        <v>370</v>
      </c>
      <c r="AG35" s="372" t="n">
        <v>84</v>
      </c>
      <c r="AH35" s="379">
        <f>AG35-AF35</f>
        <v/>
      </c>
      <c r="AI35" s="379">
        <f>AG35-AE35</f>
        <v/>
      </c>
      <c r="AJ35" s="336">
        <f>IF(AE35=0,"***",AI35/AE35)</f>
        <v/>
      </c>
      <c r="AK35" s="332" t="n">
        <v>2288</v>
      </c>
      <c r="AL35" s="333" t="n">
        <v>1994</v>
      </c>
      <c r="AM35" s="334" t="n">
        <v>2200</v>
      </c>
      <c r="AN35" s="333" t="n">
        <v>137</v>
      </c>
      <c r="AO35" s="379">
        <f>AN35-AM35</f>
        <v/>
      </c>
      <c r="AP35" s="379">
        <f>AN35-AL35</f>
        <v/>
      </c>
      <c r="AQ35" s="336">
        <f>IF(AL35=0,"***",AP35/AL35)</f>
        <v/>
      </c>
      <c r="AR35" s="371" t="n">
        <v>473</v>
      </c>
      <c r="AS35" s="338" t="n">
        <v>296</v>
      </c>
      <c r="AT35" s="334" t="n">
        <v>350</v>
      </c>
      <c r="AU35" s="372" t="n">
        <v>52</v>
      </c>
      <c r="AV35" s="379">
        <f>AU35-AT35</f>
        <v/>
      </c>
      <c r="AW35" s="379">
        <f>AU35-AS35</f>
        <v/>
      </c>
      <c r="AX35" s="336">
        <f>IF(AS35=0,"***",AW35/AS35)</f>
        <v/>
      </c>
      <c r="AY35" s="332" t="n">
        <v>788</v>
      </c>
      <c r="AZ35" s="333" t="n">
        <v>709</v>
      </c>
      <c r="BA35" s="334" t="n">
        <v>500</v>
      </c>
      <c r="BB35" s="333" t="n">
        <v>2551</v>
      </c>
      <c r="BC35" s="379">
        <f>BB35-BA35</f>
        <v/>
      </c>
      <c r="BD35" s="379">
        <f>BB35-AZ35</f>
        <v/>
      </c>
      <c r="BE35" s="336">
        <f>IF(AZ35=0,"***",BD35/AZ35)</f>
        <v/>
      </c>
      <c r="BF35" s="371" t="n">
        <v>143</v>
      </c>
      <c r="BG35" s="338" t="n">
        <v>206</v>
      </c>
      <c r="BH35" s="334" t="n">
        <v>100</v>
      </c>
      <c r="BI35" s="372" t="n">
        <v>449</v>
      </c>
      <c r="BJ35" s="379">
        <f>BI35-BH35</f>
        <v/>
      </c>
      <c r="BK35" s="379">
        <f>BI35-BG35</f>
        <v/>
      </c>
      <c r="BL35" s="336">
        <f>IF(BG35=0,"***",BK35/BG35)</f>
        <v/>
      </c>
      <c r="BM35" s="332" t="n">
        <v>1553</v>
      </c>
      <c r="BN35" s="333" t="n">
        <v>1551</v>
      </c>
      <c r="BO35" s="334" t="n">
        <v>1500</v>
      </c>
      <c r="BP35" s="333" t="n">
        <v>1159</v>
      </c>
      <c r="BQ35" s="379">
        <f>BP35-BO35</f>
        <v/>
      </c>
      <c r="BR35" s="379">
        <f>BP35-BN35</f>
        <v/>
      </c>
      <c r="BS35" s="336">
        <f>IF(BN35=0,"***",BR35/BN35)</f>
        <v/>
      </c>
      <c r="BT35" s="371" t="n">
        <v>262</v>
      </c>
      <c r="BU35" s="338" t="n">
        <v>422</v>
      </c>
      <c r="BV35" s="334" t="n">
        <v>400</v>
      </c>
      <c r="BW35" s="372" t="n">
        <v>272</v>
      </c>
      <c r="BX35" s="379">
        <f>BW35-BV35</f>
        <v/>
      </c>
      <c r="BY35" s="379">
        <f>BW35-BU35</f>
        <v/>
      </c>
      <c r="BZ35" s="336">
        <f>IF(BU35=0,"***",BY35/BU35)</f>
        <v/>
      </c>
      <c r="CA35" s="332" t="n">
        <v>3060</v>
      </c>
      <c r="CB35" s="333" t="n">
        <v>2994</v>
      </c>
      <c r="CC35" s="334" t="n">
        <v>18370</v>
      </c>
      <c r="CD35" s="333" t="n">
        <v>17572</v>
      </c>
      <c r="CE35" s="379">
        <f>CD35-CC35</f>
        <v/>
      </c>
      <c r="CF35" s="379">
        <f>CD35-CB35</f>
        <v/>
      </c>
      <c r="CG35" s="336">
        <f>IF(CB35=0,"***",CF35/CB35)</f>
        <v/>
      </c>
      <c r="CH35" s="371" t="n">
        <v>519</v>
      </c>
      <c r="CI35" s="338" t="n">
        <v>558</v>
      </c>
      <c r="CJ35" s="334" t="n">
        <v>4650</v>
      </c>
      <c r="CK35" s="372" t="n">
        <v>4416</v>
      </c>
      <c r="CL35" s="379">
        <f>CK35-CJ35</f>
        <v/>
      </c>
      <c r="CM35" s="379">
        <f>CK35-CI35</f>
        <v/>
      </c>
      <c r="CN35" s="336">
        <f>IF(CI35=0,"***",CM35/CI35)</f>
        <v/>
      </c>
      <c r="CO35" s="332" t="n">
        <v>12735</v>
      </c>
      <c r="CP35" s="333">
        <f>J35+X35+AL35+AZ35+BN35+CB35</f>
        <v/>
      </c>
      <c r="CQ35" s="334">
        <f>K35+Y35+AM35+BA35+BO35+CC35</f>
        <v/>
      </c>
      <c r="CR35" s="333">
        <f>L35+Z35+AN35+BB35+BP35+CD35</f>
        <v/>
      </c>
      <c r="CS35" s="379">
        <f>CR35-CQ35</f>
        <v/>
      </c>
      <c r="CT35" s="379">
        <f>CR35-CP35</f>
        <v/>
      </c>
      <c r="CU35" s="336">
        <f>IF(CP35=0,"***",CT35/CP35)</f>
        <v/>
      </c>
      <c r="CV35" s="371">
        <f>P35+AD35+AR35+BF35+BT35+CH35</f>
        <v/>
      </c>
      <c r="CW35" s="338" t="n">
        <v>1864</v>
      </c>
      <c r="CX35" s="334">
        <f>R35+AF35+AT35+BH35+BV35+CJ35</f>
        <v/>
      </c>
      <c r="CY35" s="372">
        <f>S35+AG35+AU35+BI35+BW35+CK35</f>
        <v/>
      </c>
      <c r="CZ35" s="379">
        <f>CY35-CX35</f>
        <v/>
      </c>
      <c r="DA35" s="379">
        <f>CY35-CW35</f>
        <v/>
      </c>
      <c r="DB35" s="336">
        <f>IF(CW35=0,"***",DA35/CW35)</f>
        <v/>
      </c>
      <c r="DC35" s="339">
        <f>IF(CO35=0,"***",CV35/CO35)</f>
        <v/>
      </c>
      <c r="DD35" s="340">
        <f>IF(CP35=0,"***",CW35/CP35)</f>
        <v/>
      </c>
      <c r="DE35" s="340">
        <f>IF(CQ35=0,"***",CX35/CQ35)</f>
        <v/>
      </c>
      <c r="DF35" s="340">
        <f>IF(CR35=0,"***",CY35/CR35)</f>
        <v/>
      </c>
      <c r="DG35" s="341">
        <f>IF(DE35="***","***",DF35-DD35)</f>
        <v/>
      </c>
      <c r="DH35" s="340">
        <f>IF(DF35="***","***",DF35-DD35)</f>
        <v/>
      </c>
      <c r="DI35" s="59" t="n"/>
    </row>
    <row r="36">
      <c r="D36" s="8" t="n"/>
      <c r="E36" s="10" t="inlineStr">
        <is>
          <t>営業部門合計</t>
        </is>
      </c>
      <c r="F36" s="5" t="n"/>
      <c r="G36" s="5" t="n"/>
      <c r="H36" s="61" t="n"/>
      <c r="I36" s="357">
        <f>I30+I21+I16+I10+I5</f>
        <v/>
      </c>
      <c r="J36" s="357">
        <f>J30+J21+J16+J10+J5</f>
        <v/>
      </c>
      <c r="K36" s="307">
        <f>K30+K21+K16+K10+K5</f>
        <v/>
      </c>
      <c r="L36" s="357">
        <f>L30+L21+L16+L10+L5</f>
        <v/>
      </c>
      <c r="M36" s="489">
        <f>L36-K36</f>
        <v/>
      </c>
      <c r="N36" s="489">
        <f>L36-J36</f>
        <v/>
      </c>
      <c r="O36" s="318">
        <f>IF(J36=0,"***",N36/J36)</f>
        <v/>
      </c>
      <c r="P36" s="357">
        <f>P30+P21+P16+P10+P5</f>
        <v/>
      </c>
      <c r="Q36" s="357">
        <f>Q30+Q21+Q16+Q10+Q5</f>
        <v/>
      </c>
      <c r="R36" s="307">
        <f>R30+R21+R16+R10+R5</f>
        <v/>
      </c>
      <c r="S36" s="357">
        <f>S30+S21+S16+S10+S5</f>
        <v/>
      </c>
      <c r="T36" s="489">
        <f>S36-R36</f>
        <v/>
      </c>
      <c r="U36" s="489">
        <f>S36-Q36</f>
        <v/>
      </c>
      <c r="V36" s="318">
        <f>IF(Q36=0,"***",U36/Q36)</f>
        <v/>
      </c>
      <c r="W36" s="357">
        <f>W30+W21+W16+W10+W5</f>
        <v/>
      </c>
      <c r="X36" s="357">
        <f>X30+X21+X16+X10+X5</f>
        <v/>
      </c>
      <c r="Y36" s="307">
        <f>Y30+Y21+Y16+Y10+Y5</f>
        <v/>
      </c>
      <c r="Z36" s="357">
        <f>Z30+Z21+Z16+Z10+Z5</f>
        <v/>
      </c>
      <c r="AA36" s="489">
        <f>Z36-Y36</f>
        <v/>
      </c>
      <c r="AB36" s="489">
        <f>Z36-X36</f>
        <v/>
      </c>
      <c r="AC36" s="318">
        <f>IF(X36=0,"***",AB36/X36)</f>
        <v/>
      </c>
      <c r="AD36" s="357">
        <f>AD30+AD21+AD16+AD10+AD5</f>
        <v/>
      </c>
      <c r="AE36" s="357">
        <f>AE30+AE21+AE16+AE10+AE5</f>
        <v/>
      </c>
      <c r="AF36" s="307">
        <f>AF30+AF21+AF16+AF10+AF5</f>
        <v/>
      </c>
      <c r="AG36" s="357">
        <f>AG30+AG21+AG16+AG10+AG5</f>
        <v/>
      </c>
      <c r="AH36" s="489">
        <f>AG36-AF36</f>
        <v/>
      </c>
      <c r="AI36" s="489">
        <f>AG36-AE36</f>
        <v/>
      </c>
      <c r="AJ36" s="318">
        <f>IF(AE36=0,"***",AI36/AE36)</f>
        <v/>
      </c>
      <c r="AK36" s="357">
        <f>AK30+AK21+AK16+AK10+AK5</f>
        <v/>
      </c>
      <c r="AL36" s="357">
        <f>AL30+AL21+AL16+AL10+AL5</f>
        <v/>
      </c>
      <c r="AM36" s="307">
        <f>AM30+AM21+AM16+AM10+AM5</f>
        <v/>
      </c>
      <c r="AN36" s="357">
        <f>AN30+AN21+AN16+AN10+AN5</f>
        <v/>
      </c>
      <c r="AO36" s="489">
        <f>AN36-AM36</f>
        <v/>
      </c>
      <c r="AP36" s="489">
        <f>AN36-AL36</f>
        <v/>
      </c>
      <c r="AQ36" s="318">
        <f>IF(AL36=0,"***",AP36/AL36)</f>
        <v/>
      </c>
      <c r="AR36" s="357">
        <f>AR30+AR21+AR16+AR10+AR5</f>
        <v/>
      </c>
      <c r="AS36" s="357">
        <f>AS30+AS21+AS16+AS10+AS5</f>
        <v/>
      </c>
      <c r="AT36" s="307">
        <f>AT30+AT21+AT16+AT10+AT5</f>
        <v/>
      </c>
      <c r="AU36" s="357">
        <f>AU30+AU21+AU16+AU10+AU5</f>
        <v/>
      </c>
      <c r="AV36" s="489">
        <f>AU36-AT36</f>
        <v/>
      </c>
      <c r="AW36" s="489">
        <f>AU36-AS36</f>
        <v/>
      </c>
      <c r="AX36" s="318">
        <f>IF(AS36=0,"***",AW36/AS36)</f>
        <v/>
      </c>
      <c r="AY36" s="357">
        <f>AY30+AY21+AY16+AY10+AY5</f>
        <v/>
      </c>
      <c r="AZ36" s="357">
        <f>AZ30+AZ21+AZ16+AZ10+AZ5</f>
        <v/>
      </c>
      <c r="BA36" s="307">
        <f>BA30+BA21+BA16+BA10+BA5</f>
        <v/>
      </c>
      <c r="BB36" s="357">
        <f>BB30+BB21+BB16+BB10+BB5</f>
        <v/>
      </c>
      <c r="BC36" s="489">
        <f>BB36-BA36</f>
        <v/>
      </c>
      <c r="BD36" s="489">
        <f>BB36-AZ36</f>
        <v/>
      </c>
      <c r="BE36" s="318">
        <f>IF(AZ36=0,"***",BD36/AZ36)</f>
        <v/>
      </c>
      <c r="BF36" s="357">
        <f>BF30+BF21+BF16+BF10+BF5</f>
        <v/>
      </c>
      <c r="BG36" s="357">
        <f>BG30+BG21+BG16+BG10+BG5</f>
        <v/>
      </c>
      <c r="BH36" s="307">
        <f>BH30+BH21+BH16+BH10+BH5</f>
        <v/>
      </c>
      <c r="BI36" s="357">
        <f>BI30+BI21+BI16+BI10+BI5</f>
        <v/>
      </c>
      <c r="BJ36" s="489">
        <f>BI36-BH36</f>
        <v/>
      </c>
      <c r="BK36" s="489">
        <f>BI36-BG36</f>
        <v/>
      </c>
      <c r="BL36" s="318">
        <f>IF(BG36=0,"***",BK36/BG36)</f>
        <v/>
      </c>
      <c r="BM36" s="357">
        <f>BM30+BM21+BM16+BM10+BM5</f>
        <v/>
      </c>
      <c r="BN36" s="357">
        <f>BN30+BN21+BN16+BN10+BN5</f>
        <v/>
      </c>
      <c r="BO36" s="307">
        <f>BO30+BO21+BO16+BO10+BO5</f>
        <v/>
      </c>
      <c r="BP36" s="357">
        <f>BP30+BP21+BP16+BP10+BP5</f>
        <v/>
      </c>
      <c r="BQ36" s="489">
        <f>BP36-BO36</f>
        <v/>
      </c>
      <c r="BR36" s="489">
        <f>BP36-BN36</f>
        <v/>
      </c>
      <c r="BS36" s="318">
        <f>IF(BN36=0,"***",BR36/BN36)</f>
        <v/>
      </c>
      <c r="BT36" s="357">
        <f>BT30+BT21+BT16+BT10+BT5</f>
        <v/>
      </c>
      <c r="BU36" s="357">
        <f>BU30+BU21+BU16+BU10+BU5</f>
        <v/>
      </c>
      <c r="BV36" s="307">
        <f>BV30+BV21+BV16+BV10+BV5</f>
        <v/>
      </c>
      <c r="BW36" s="357">
        <f>BW30+BW21+BW16+BW10+BW5</f>
        <v/>
      </c>
      <c r="BX36" s="489">
        <f>BW36-BV36</f>
        <v/>
      </c>
      <c r="BY36" s="489">
        <f>BW36-BU36</f>
        <v/>
      </c>
      <c r="BZ36" s="318">
        <f>IF(BU36=0,"***",BY36/BU36)</f>
        <v/>
      </c>
      <c r="CA36" s="357">
        <f>CA30+CA21+CA16+CA10+CA5</f>
        <v/>
      </c>
      <c r="CB36" s="357">
        <f>CB30+CB21+CB16+CB10+CB5</f>
        <v/>
      </c>
      <c r="CC36" s="307">
        <f>CC30+CC21+CC16+CC10+CC5</f>
        <v/>
      </c>
      <c r="CD36" s="357">
        <f>CD30+CD21+CD16+CD10+CD5</f>
        <v/>
      </c>
      <c r="CE36" s="489">
        <f>CD36-CC36</f>
        <v/>
      </c>
      <c r="CF36" s="489">
        <f>CD36-CB36</f>
        <v/>
      </c>
      <c r="CG36" s="318">
        <f>IF(CB36=0,"***",CF36/CB36)</f>
        <v/>
      </c>
      <c r="CH36" s="357">
        <f>CH30+CH21+CH16+CH10+CH5</f>
        <v/>
      </c>
      <c r="CI36" s="357">
        <f>CI30+CI21+CI16+CI10+CI5</f>
        <v/>
      </c>
      <c r="CJ36" s="307">
        <f>CJ30+CJ21+CJ16+CJ10+CJ5</f>
        <v/>
      </c>
      <c r="CK36" s="357">
        <f>CK30+CK21+CK16+CK10+CK5</f>
        <v/>
      </c>
      <c r="CL36" s="489">
        <f>CK36-CJ36</f>
        <v/>
      </c>
      <c r="CM36" s="489">
        <f>CK36-CI36</f>
        <v/>
      </c>
      <c r="CN36" s="318">
        <f>IF(CI36=0,"***",CM36/CI36)</f>
        <v/>
      </c>
      <c r="CO36" s="373">
        <f>CO30+CO21+CO16+CO10+CO5</f>
        <v/>
      </c>
      <c r="CP36" s="373">
        <f>CP30+CP21+CP16+CP10+CP5</f>
        <v/>
      </c>
      <c r="CQ36" s="307">
        <f>CQ30+CQ21+CQ16+CQ10+CQ5</f>
        <v/>
      </c>
      <c r="CR36" s="357">
        <f>CR30+CR21+CR16+CR10+CR5</f>
        <v/>
      </c>
      <c r="CS36" s="489">
        <f>CR36-CQ36</f>
        <v/>
      </c>
      <c r="CT36" s="489">
        <f>CR36-CP36</f>
        <v/>
      </c>
      <c r="CU36" s="318">
        <f>IF(CP36=0,"***",CT36/CP36)</f>
        <v/>
      </c>
      <c r="CV36" s="356">
        <f>CV30+CV21+CV16+CV10+CV5</f>
        <v/>
      </c>
      <c r="CW36" s="357">
        <f>CW30+CW21+CW16+CW10+CW5</f>
        <v/>
      </c>
      <c r="CX36" s="307">
        <f>CX30+CX21+CX16+CX10+CX5</f>
        <v/>
      </c>
      <c r="CY36" s="357">
        <f>CY30+CY21+CY16+CY10+CY5</f>
        <v/>
      </c>
      <c r="CZ36" s="491">
        <f>CY36-CX36</f>
        <v/>
      </c>
      <c r="DA36" s="491">
        <f>CY36-CW36</f>
        <v/>
      </c>
      <c r="DB36" s="309">
        <f>IF(CW36=0,"***",DA36/CW36)</f>
        <v/>
      </c>
      <c r="DC36" s="311">
        <f>IF(CO36=0,"***",CV36/CO36)</f>
        <v/>
      </c>
      <c r="DD36" s="312">
        <f>IF(CP36=0,"***",CW36/CP36)</f>
        <v/>
      </c>
      <c r="DE36" s="312">
        <f>IF(CQ36=0,"***",CX36/CQ36)</f>
        <v/>
      </c>
      <c r="DF36" s="312">
        <f>IF(CR36=0,"***",CY36/CR36)</f>
        <v/>
      </c>
      <c r="DG36" s="312">
        <f>IF(DE36="***","***",DF36-DD36)</f>
        <v/>
      </c>
      <c r="DH36" s="312">
        <f>IF(DF36="***","***",DF36-DD36)</f>
        <v/>
      </c>
      <c r="DI36" s="375" t="n"/>
    </row>
    <row r="37">
      <c r="D37" s="8" t="n"/>
      <c r="E37" s="9" t="n"/>
      <c r="H37" s="33" t="inlineStr">
        <is>
          <t>機械以外</t>
        </is>
      </c>
      <c r="I37" s="315">
        <f>I36-I38</f>
        <v/>
      </c>
      <c r="J37" s="315">
        <f>J36-J38</f>
        <v/>
      </c>
      <c r="K37" s="316">
        <f>K36-K38</f>
        <v/>
      </c>
      <c r="L37" s="315">
        <f>L36-L38</f>
        <v/>
      </c>
      <c r="M37" s="489">
        <f>L37-K37</f>
        <v/>
      </c>
      <c r="N37" s="489">
        <f>L37-J37</f>
        <v/>
      </c>
      <c r="O37" s="318">
        <f>IF(J37=0,"***",N37/J37)</f>
        <v/>
      </c>
      <c r="P37" s="314">
        <f>P36-P38</f>
        <v/>
      </c>
      <c r="Q37" s="315">
        <f>Q36-Q38</f>
        <v/>
      </c>
      <c r="R37" s="316">
        <f>R36-R38</f>
        <v/>
      </c>
      <c r="S37" s="315">
        <f>S36-S38</f>
        <v/>
      </c>
      <c r="T37" s="489">
        <f>S37-R37</f>
        <v/>
      </c>
      <c r="U37" s="489">
        <f>S37-Q37</f>
        <v/>
      </c>
      <c r="V37" s="318">
        <f>IF(Q37=0,"***",U37/Q37)</f>
        <v/>
      </c>
      <c r="W37" s="315">
        <f>W36-W38</f>
        <v/>
      </c>
      <c r="X37" s="315">
        <f>X36-X38</f>
        <v/>
      </c>
      <c r="Y37" s="316">
        <f>Y36-Y38</f>
        <v/>
      </c>
      <c r="Z37" s="315">
        <f>Z36-Z38</f>
        <v/>
      </c>
      <c r="AA37" s="489">
        <f>Z37-Y37</f>
        <v/>
      </c>
      <c r="AB37" s="489">
        <f>Z37-X37</f>
        <v/>
      </c>
      <c r="AC37" s="318">
        <f>IF(X37=0,"***",AB37/X37)</f>
        <v/>
      </c>
      <c r="AD37" s="314">
        <f>AD36-AD38</f>
        <v/>
      </c>
      <c r="AE37" s="315">
        <f>AE36-AE38</f>
        <v/>
      </c>
      <c r="AF37" s="316">
        <f>AF36-AF38</f>
        <v/>
      </c>
      <c r="AG37" s="315">
        <f>AG36-AG38</f>
        <v/>
      </c>
      <c r="AH37" s="489">
        <f>AG37-AF37</f>
        <v/>
      </c>
      <c r="AI37" s="489">
        <f>AG37-AE37</f>
        <v/>
      </c>
      <c r="AJ37" s="318">
        <f>IF(AE37=0,"***",AI37/AE37)</f>
        <v/>
      </c>
      <c r="AK37" s="315">
        <f>AK36-AK38</f>
        <v/>
      </c>
      <c r="AL37" s="315">
        <f>AL36-AL38</f>
        <v/>
      </c>
      <c r="AM37" s="316">
        <f>AM36-AM38</f>
        <v/>
      </c>
      <c r="AN37" s="315">
        <f>AN36-AN38</f>
        <v/>
      </c>
      <c r="AO37" s="489">
        <f>AN37-AM37</f>
        <v/>
      </c>
      <c r="AP37" s="489">
        <f>AN37-AL37</f>
        <v/>
      </c>
      <c r="AQ37" s="318">
        <f>IF(AL37=0,"***",AP37/AL37)</f>
        <v/>
      </c>
      <c r="AR37" s="314">
        <f>AR36-AR38</f>
        <v/>
      </c>
      <c r="AS37" s="315">
        <f>AS36-AS38</f>
        <v/>
      </c>
      <c r="AT37" s="316">
        <f>AT36-AT38</f>
        <v/>
      </c>
      <c r="AU37" s="315">
        <f>AU36-AU38</f>
        <v/>
      </c>
      <c r="AV37" s="489">
        <f>AU37-AT37</f>
        <v/>
      </c>
      <c r="AW37" s="489">
        <f>AU37-AS37</f>
        <v/>
      </c>
      <c r="AX37" s="318">
        <f>IF(AS37=0,"***",AW37/AS37)</f>
        <v/>
      </c>
      <c r="AY37" s="315">
        <f>AY36-AY38</f>
        <v/>
      </c>
      <c r="AZ37" s="315">
        <f>AZ36-AZ38</f>
        <v/>
      </c>
      <c r="BA37" s="316">
        <f>BA36-BA38</f>
        <v/>
      </c>
      <c r="BB37" s="315">
        <f>BB36-BB38</f>
        <v/>
      </c>
      <c r="BC37" s="489">
        <f>BB37-BA37</f>
        <v/>
      </c>
      <c r="BD37" s="489">
        <f>BB37-AZ37</f>
        <v/>
      </c>
      <c r="BE37" s="318">
        <f>IF(AZ37=0,"***",BD37/AZ37)</f>
        <v/>
      </c>
      <c r="BF37" s="314">
        <f>BF36-BF38</f>
        <v/>
      </c>
      <c r="BG37" s="315">
        <f>BG36-BG38</f>
        <v/>
      </c>
      <c r="BH37" s="316">
        <f>BH36-BH38</f>
        <v/>
      </c>
      <c r="BI37" s="315">
        <f>BI36-BI38</f>
        <v/>
      </c>
      <c r="BJ37" s="489">
        <f>BI37-BH37</f>
        <v/>
      </c>
      <c r="BK37" s="489">
        <f>BI37-BG37</f>
        <v/>
      </c>
      <c r="BL37" s="318">
        <f>IF(BG37=0,"***",BK37/BG37)</f>
        <v/>
      </c>
      <c r="BM37" s="315">
        <f>BM36-BM38</f>
        <v/>
      </c>
      <c r="BN37" s="315">
        <f>BN36-BN38</f>
        <v/>
      </c>
      <c r="BO37" s="316">
        <f>BO36-BO38</f>
        <v/>
      </c>
      <c r="BP37" s="315">
        <f>BP36-BP38</f>
        <v/>
      </c>
      <c r="BQ37" s="489">
        <f>BP37-BO37</f>
        <v/>
      </c>
      <c r="BR37" s="489">
        <f>BP37-BN37</f>
        <v/>
      </c>
      <c r="BS37" s="318">
        <f>IF(BN37=0,"***",BR37/BN37)</f>
        <v/>
      </c>
      <c r="BT37" s="314">
        <f>BT36-BT38</f>
        <v/>
      </c>
      <c r="BU37" s="315">
        <f>BU36-BU38</f>
        <v/>
      </c>
      <c r="BV37" s="316">
        <f>BV36-BV38</f>
        <v/>
      </c>
      <c r="BW37" s="315">
        <f>BW36-BW38</f>
        <v/>
      </c>
      <c r="BX37" s="489">
        <f>BW37-BV37</f>
        <v/>
      </c>
      <c r="BY37" s="489">
        <f>BW37-BU37</f>
        <v/>
      </c>
      <c r="BZ37" s="318">
        <f>IF(BU37=0,"***",BY37/BU37)</f>
        <v/>
      </c>
      <c r="CA37" s="315">
        <f>CA36-CA38</f>
        <v/>
      </c>
      <c r="CB37" s="315">
        <f>CB36-CB38</f>
        <v/>
      </c>
      <c r="CC37" s="316">
        <f>CC36-CC38</f>
        <v/>
      </c>
      <c r="CD37" s="315">
        <f>CD36-CD38</f>
        <v/>
      </c>
      <c r="CE37" s="489">
        <f>CD37-CC37</f>
        <v/>
      </c>
      <c r="CF37" s="489">
        <f>CD37-CB37</f>
        <v/>
      </c>
      <c r="CG37" s="318">
        <f>IF(CB37=0,"***",CF37/CB37)</f>
        <v/>
      </c>
      <c r="CH37" s="314">
        <f>CH36-CH38</f>
        <v/>
      </c>
      <c r="CI37" s="315">
        <f>CI36-CI38</f>
        <v/>
      </c>
      <c r="CJ37" s="316">
        <f>CJ36-CJ38</f>
        <v/>
      </c>
      <c r="CK37" s="315">
        <f>CK36-CK38</f>
        <v/>
      </c>
      <c r="CL37" s="489">
        <f>CK37-CJ37</f>
        <v/>
      </c>
      <c r="CM37" s="489">
        <f>CK37-CI37</f>
        <v/>
      </c>
      <c r="CN37" s="318">
        <f>IF(CI37=0,"***",CM37/CI37)</f>
        <v/>
      </c>
      <c r="CO37" s="315">
        <f>CO36-CO38-CO39-CO40</f>
        <v/>
      </c>
      <c r="CP37" s="315">
        <f>CP36-CP38-CP39-CP40</f>
        <v/>
      </c>
      <c r="CQ37" s="316">
        <f>CQ36-CQ38-CQ39-CQ40</f>
        <v/>
      </c>
      <c r="CR37" s="315">
        <f>CR36-CR38-CR39-CR40</f>
        <v/>
      </c>
      <c r="CS37" s="489">
        <f>CR37-CQ37</f>
        <v/>
      </c>
      <c r="CT37" s="489">
        <f>CR37-CP37</f>
        <v/>
      </c>
      <c r="CU37" s="318">
        <f>IF(CP37=0,"***",CT37/CP37)</f>
        <v/>
      </c>
      <c r="CV37" s="314">
        <f>CV36-CV38-CV39-CV40</f>
        <v/>
      </c>
      <c r="CW37" s="315">
        <f>CW36-CW38-CW39-CW40</f>
        <v/>
      </c>
      <c r="CX37" s="316">
        <f>CX36-CX38-CX39-CX40</f>
        <v/>
      </c>
      <c r="CY37" s="315">
        <f>CY36-CY38-CY39-CY40</f>
        <v/>
      </c>
      <c r="CZ37" s="489">
        <f>CY37-CX37</f>
        <v/>
      </c>
      <c r="DA37" s="489">
        <f>CY37-CW37</f>
        <v/>
      </c>
      <c r="DB37" s="318">
        <f>IF(CW37=0,"***",DA37/CW37)</f>
        <v/>
      </c>
      <c r="DC37" s="319">
        <f>IF(CO37=0,"***",CV37/CO37)</f>
        <v/>
      </c>
      <c r="DD37" s="320">
        <f>IF(CP37=0,"***",CW37/CP37)</f>
        <v/>
      </c>
      <c r="DE37" s="320">
        <f>IF(CQ37=0,"***",CX37/CQ37)</f>
        <v/>
      </c>
      <c r="DF37" s="320">
        <f>IF(CR37=0,"***",CY37/CR37)</f>
        <v/>
      </c>
      <c r="DG37" s="320">
        <f>IF(DE37="***","***",DF37-DD37)</f>
        <v/>
      </c>
      <c r="DH37" s="320">
        <f>IF(DF37="***","***",DF37-DD37)</f>
        <v/>
      </c>
      <c r="DI37" s="376" t="n"/>
    </row>
    <row r="38">
      <c r="D38" s="8" t="n"/>
      <c r="E38" s="9" t="n"/>
      <c r="F38" s="0" t="n"/>
      <c r="G38" s="0" t="n"/>
      <c r="H38" s="33" t="inlineStr">
        <is>
          <t>機械（海外除）</t>
        </is>
      </c>
      <c r="I38" s="379">
        <f>I33+I23+I19+I13+I8</f>
        <v/>
      </c>
      <c r="J38" s="379">
        <f>J33+J23+J19+J13+J8</f>
        <v/>
      </c>
      <c r="K38" s="334">
        <f>K33+K23+K19+K13+K8</f>
        <v/>
      </c>
      <c r="L38" s="379">
        <f>L33+L23+L19+L13+L8</f>
        <v/>
      </c>
      <c r="M38" s="489">
        <f>L38-K38</f>
        <v/>
      </c>
      <c r="N38" s="489">
        <f>L38-J38</f>
        <v/>
      </c>
      <c r="O38" s="318">
        <f>IF(J38=0,"***",N38/J38)</f>
        <v/>
      </c>
      <c r="P38" s="378">
        <f>P33+P23+P19+P13+P8</f>
        <v/>
      </c>
      <c r="Q38" s="379">
        <f>Q33+Q23+Q19+Q13+Q8</f>
        <v/>
      </c>
      <c r="R38" s="334">
        <f>R33+R23+R19+R13+R8</f>
        <v/>
      </c>
      <c r="S38" s="379">
        <f>S33+S23+S19+S13+S8</f>
        <v/>
      </c>
      <c r="T38" s="489">
        <f>S38-R38</f>
        <v/>
      </c>
      <c r="U38" s="489">
        <f>S38-Q38</f>
        <v/>
      </c>
      <c r="V38" s="318">
        <f>IF(Q38=0,"***",U38/Q38)</f>
        <v/>
      </c>
      <c r="W38" s="379">
        <f>W33+W23+W19+W13+W8</f>
        <v/>
      </c>
      <c r="X38" s="379">
        <f>X33+X23+X19+X13+X8</f>
        <v/>
      </c>
      <c r="Y38" s="334">
        <f>Y33+Y23+Y19+Y13+Y8</f>
        <v/>
      </c>
      <c r="Z38" s="379">
        <f>Z33+Z23+Z19+Z13+Z8</f>
        <v/>
      </c>
      <c r="AA38" s="489">
        <f>Z38-Y38</f>
        <v/>
      </c>
      <c r="AB38" s="489">
        <f>Z38-X38</f>
        <v/>
      </c>
      <c r="AC38" s="318">
        <f>IF(X38=0,"***",AB38/X38)</f>
        <v/>
      </c>
      <c r="AD38" s="378">
        <f>AD33+AD23+AD19+AD13+AD8</f>
        <v/>
      </c>
      <c r="AE38" s="379">
        <f>AE33+AE23+AE19+AE13+AE8</f>
        <v/>
      </c>
      <c r="AF38" s="334">
        <f>AF33+AF23+AF19+AF13+AF8</f>
        <v/>
      </c>
      <c r="AG38" s="379">
        <f>AG33+AG23+AG19+AG13+AG8</f>
        <v/>
      </c>
      <c r="AH38" s="489">
        <f>AG38-AF38</f>
        <v/>
      </c>
      <c r="AI38" s="489">
        <f>AG38-AE38</f>
        <v/>
      </c>
      <c r="AJ38" s="318">
        <f>IF(AE38=0,"***",AI38/AE38)</f>
        <v/>
      </c>
      <c r="AK38" s="379">
        <f>AK33+AK23+AK19+AK13+AK8</f>
        <v/>
      </c>
      <c r="AL38" s="379">
        <f>AL33+AL23+AL19+AL13+AL8</f>
        <v/>
      </c>
      <c r="AM38" s="334">
        <f>AM33+AM23+AM19+AM13+AM8</f>
        <v/>
      </c>
      <c r="AN38" s="379">
        <f>AN33+AN23+AN19+AN13+AN8</f>
        <v/>
      </c>
      <c r="AO38" s="489">
        <f>AN38-AM38</f>
        <v/>
      </c>
      <c r="AP38" s="489">
        <f>AN38-AL38</f>
        <v/>
      </c>
      <c r="AQ38" s="318">
        <f>IF(AL38=0,"***",AP38/AL38)</f>
        <v/>
      </c>
      <c r="AR38" s="378">
        <f>AR33+AR23+AR19+AR13+AR8</f>
        <v/>
      </c>
      <c r="AS38" s="379">
        <f>AS33+AS23+AS19+AS13+AS8</f>
        <v/>
      </c>
      <c r="AT38" s="334">
        <f>AT33+AT23+AT19+AT13+AT8</f>
        <v/>
      </c>
      <c r="AU38" s="379">
        <f>AU33+AU23+AU19+AU13+AU8</f>
        <v/>
      </c>
      <c r="AV38" s="489">
        <f>AU38-AT38</f>
        <v/>
      </c>
      <c r="AW38" s="489">
        <f>AU38-AS38</f>
        <v/>
      </c>
      <c r="AX38" s="318">
        <f>IF(AS38=0,"***",AW38/AS38)</f>
        <v/>
      </c>
      <c r="AY38" s="379">
        <f>AY33+AY23+AY19+AY13+AY8</f>
        <v/>
      </c>
      <c r="AZ38" s="379">
        <f>AZ33+AZ23+AZ19+AZ13+AZ8</f>
        <v/>
      </c>
      <c r="BA38" s="334">
        <f>BA33+BA23+BA19+BA13+BA8</f>
        <v/>
      </c>
      <c r="BB38" s="379">
        <f>BB33+BB23+BB19+BB13+BB8</f>
        <v/>
      </c>
      <c r="BC38" s="489">
        <f>BB38-BA38</f>
        <v/>
      </c>
      <c r="BD38" s="489">
        <f>BB38-AZ38</f>
        <v/>
      </c>
      <c r="BE38" s="318">
        <f>IF(AZ38=0,"***",BD38/AZ38)</f>
        <v/>
      </c>
      <c r="BF38" s="378">
        <f>BF33+BF23+BF19+BF13+BF8</f>
        <v/>
      </c>
      <c r="BG38" s="379">
        <f>BG33+BG23+BG19+BG13+BG8</f>
        <v/>
      </c>
      <c r="BH38" s="334">
        <f>BH33+BH23+BH19+BH13+BH8</f>
        <v/>
      </c>
      <c r="BI38" s="379">
        <f>BI33+BI23+BI19+BI13+BI8</f>
        <v/>
      </c>
      <c r="BJ38" s="489">
        <f>BI38-BH38</f>
        <v/>
      </c>
      <c r="BK38" s="489">
        <f>BI38-BG38</f>
        <v/>
      </c>
      <c r="BL38" s="318">
        <f>IF(BG38=0,"***",BK38/BG38)</f>
        <v/>
      </c>
      <c r="BM38" s="379">
        <f>BM33+BM23+BM19+BM13+BM8</f>
        <v/>
      </c>
      <c r="BN38" s="379">
        <f>BN33+BN23+BN19+BN13+BN8</f>
        <v/>
      </c>
      <c r="BO38" s="334">
        <f>BO33+BO23+BO19+BO13+BO8</f>
        <v/>
      </c>
      <c r="BP38" s="379">
        <f>BP33+BP23+BP19+BP13+BP8</f>
        <v/>
      </c>
      <c r="BQ38" s="489">
        <f>BP38-BO38</f>
        <v/>
      </c>
      <c r="BR38" s="489">
        <f>BP38-BN38</f>
        <v/>
      </c>
      <c r="BS38" s="318">
        <f>IF(BN38=0,"***",BR38/BN38)</f>
        <v/>
      </c>
      <c r="BT38" s="378">
        <f>BT33+BT23+BT19+BT13+BT8</f>
        <v/>
      </c>
      <c r="BU38" s="379">
        <f>BU33+BU23+BU19+BU13+BU8</f>
        <v/>
      </c>
      <c r="BV38" s="334">
        <f>BV33+BV23+BV19+BV13+BV8</f>
        <v/>
      </c>
      <c r="BW38" s="379">
        <f>BW33+BW23+BW19+BW13+BW8</f>
        <v/>
      </c>
      <c r="BX38" s="489">
        <f>BW38-BV38</f>
        <v/>
      </c>
      <c r="BY38" s="489">
        <f>BW38-BU38</f>
        <v/>
      </c>
      <c r="BZ38" s="318">
        <f>IF(BU38=0,"***",BY38/BU38)</f>
        <v/>
      </c>
      <c r="CA38" s="379">
        <f>CA33+CA23+CA19+CA13+CA8</f>
        <v/>
      </c>
      <c r="CB38" s="379">
        <f>CB33+CB23+CB19+CB13+CB8</f>
        <v/>
      </c>
      <c r="CC38" s="334">
        <f>CC33+CC23+CC19+CC13+CC8</f>
        <v/>
      </c>
      <c r="CD38" s="379">
        <f>CD33+CD23+CD19+CD13+CD8</f>
        <v/>
      </c>
      <c r="CE38" s="489">
        <f>CD38-CC38</f>
        <v/>
      </c>
      <c r="CF38" s="489">
        <f>CD38-CB38</f>
        <v/>
      </c>
      <c r="CG38" s="318">
        <f>IF(CB38=0,"***",CF38/CB38)</f>
        <v/>
      </c>
      <c r="CH38" s="378">
        <f>CH33+CH23+CH19+CH13+CH8</f>
        <v/>
      </c>
      <c r="CI38" s="379">
        <f>CI33+CI23+CI19+CI13+CI8</f>
        <v/>
      </c>
      <c r="CJ38" s="334">
        <f>CJ33+CJ23+CJ19+CJ13+CJ8</f>
        <v/>
      </c>
      <c r="CK38" s="379">
        <f>CK33+CK23+CK19+CK13+CK8</f>
        <v/>
      </c>
      <c r="CL38" s="489">
        <f>CK38-CJ38</f>
        <v/>
      </c>
      <c r="CM38" s="489">
        <f>CK38-CI38</f>
        <v/>
      </c>
      <c r="CN38" s="318">
        <f>IF(CI38=0,"***",CM38/CI38)</f>
        <v/>
      </c>
      <c r="CO38" s="314">
        <f>CO33+CO23+CO19+CO13+CO8</f>
        <v/>
      </c>
      <c r="CP38" s="315">
        <f>CP33+CP23+CP19+CP13+CP8</f>
        <v/>
      </c>
      <c r="CQ38" s="316">
        <f>CQ33+CQ23+CQ19+CQ13+CQ8</f>
        <v/>
      </c>
      <c r="CR38" s="315">
        <f>CR33+CR23+CR19+CR13+CR8</f>
        <v/>
      </c>
      <c r="CS38" s="489">
        <f>CR38-CQ38</f>
        <v/>
      </c>
      <c r="CT38" s="489">
        <f>CR38-CP38</f>
        <v/>
      </c>
      <c r="CU38" s="318">
        <f>IF(CP38=0,"***",CT38/CP38)</f>
        <v/>
      </c>
      <c r="CV38" s="314">
        <f>CV33+CV23+CV19+CV13+CV8</f>
        <v/>
      </c>
      <c r="CW38" s="315">
        <f>CW33+CW23+CW19+CW13+CW8</f>
        <v/>
      </c>
      <c r="CX38" s="316">
        <f>CX33+CX23+CX19+CX13+CX8</f>
        <v/>
      </c>
      <c r="CY38" s="315">
        <f>CY33+CY23+CY19+CY13+CY8</f>
        <v/>
      </c>
      <c r="CZ38" s="489">
        <f>CY38-CX38</f>
        <v/>
      </c>
      <c r="DA38" s="489">
        <f>CY38-CW38</f>
        <v/>
      </c>
      <c r="DB38" s="318">
        <f>IF(CW38=0,"***",DA38/CW38)</f>
        <v/>
      </c>
      <c r="DC38" s="319">
        <f>IF(CO38=0,"***",CV38/CO38)</f>
        <v/>
      </c>
      <c r="DD38" s="320">
        <f>IF(CP38=0,"***",CW38/CP38)</f>
        <v/>
      </c>
      <c r="DE38" s="320">
        <f>IF(CQ38=0,"***",CX38/CQ38)</f>
        <v/>
      </c>
      <c r="DF38" s="320">
        <f>IF(CR38=0,"***",CY38/CR38)</f>
        <v/>
      </c>
      <c r="DG38" s="320">
        <f>IF(DE38="***","***",DF38-DD38)</f>
        <v/>
      </c>
      <c r="DH38" s="320">
        <f>IF(DF38="***","***",DF38-DD38)</f>
        <v/>
      </c>
      <c r="DI38" s="376" t="n"/>
    </row>
    <row r="39">
      <c r="D39" s="8" t="n"/>
      <c r="E39" s="9" t="n"/>
      <c r="F39" s="0" t="n"/>
      <c r="G39" s="0" t="n"/>
      <c r="H39" s="33" t="inlineStr">
        <is>
          <t>自治体</t>
        </is>
      </c>
      <c r="I39" s="492" t="n"/>
      <c r="J39" s="493" t="n"/>
      <c r="K39" s="494" t="n"/>
      <c r="L39" s="493" t="n"/>
      <c r="M39" s="495" t="n"/>
      <c r="N39" s="495" t="n"/>
      <c r="O39" s="346" t="n"/>
      <c r="P39" s="496" t="n"/>
      <c r="Q39" s="493" t="n"/>
      <c r="R39" s="494" t="n"/>
      <c r="S39" s="493" t="n"/>
      <c r="T39" s="495" t="n"/>
      <c r="U39" s="495" t="n"/>
      <c r="V39" s="346" t="n"/>
      <c r="W39" s="492" t="n"/>
      <c r="X39" s="493" t="n"/>
      <c r="Y39" s="494" t="n"/>
      <c r="Z39" s="493" t="n"/>
      <c r="AA39" s="495" t="n"/>
      <c r="AB39" s="495" t="n"/>
      <c r="AC39" s="346" t="n"/>
      <c r="AD39" s="496" t="n"/>
      <c r="AE39" s="493" t="n"/>
      <c r="AF39" s="494" t="n"/>
      <c r="AG39" s="493" t="n"/>
      <c r="AH39" s="495" t="n"/>
      <c r="AI39" s="495" t="n"/>
      <c r="AJ39" s="346" t="n"/>
      <c r="AK39" s="492" t="n"/>
      <c r="AL39" s="493" t="n"/>
      <c r="AM39" s="494" t="n"/>
      <c r="AN39" s="493" t="n"/>
      <c r="AO39" s="495" t="n"/>
      <c r="AP39" s="495" t="n"/>
      <c r="AQ39" s="346" t="n"/>
      <c r="AR39" s="496" t="n"/>
      <c r="AS39" s="493" t="n"/>
      <c r="AT39" s="494" t="n"/>
      <c r="AU39" s="493" t="n"/>
      <c r="AV39" s="495" t="n"/>
      <c r="AW39" s="495" t="n"/>
      <c r="AX39" s="346" t="n"/>
      <c r="AY39" s="492" t="n"/>
      <c r="AZ39" s="493" t="n"/>
      <c r="BA39" s="494" t="n"/>
      <c r="BB39" s="493" t="n"/>
      <c r="BC39" s="495" t="n"/>
      <c r="BD39" s="495" t="n"/>
      <c r="BE39" s="346" t="n"/>
      <c r="BF39" s="496" t="n"/>
      <c r="BG39" s="493" t="n"/>
      <c r="BH39" s="494" t="n"/>
      <c r="BI39" s="493" t="n"/>
      <c r="BJ39" s="495" t="n"/>
      <c r="BK39" s="495" t="n"/>
      <c r="BL39" s="346" t="n"/>
      <c r="BM39" s="492" t="n"/>
      <c r="BN39" s="493" t="n"/>
      <c r="BO39" s="494" t="n"/>
      <c r="BP39" s="493" t="n"/>
      <c r="BQ39" s="495" t="n"/>
      <c r="BR39" s="495" t="n"/>
      <c r="BS39" s="346" t="n"/>
      <c r="BT39" s="496" t="n"/>
      <c r="BU39" s="493" t="n"/>
      <c r="BV39" s="494" t="n"/>
      <c r="BW39" s="493" t="n"/>
      <c r="BX39" s="495" t="n"/>
      <c r="BY39" s="495" t="n"/>
      <c r="BZ39" s="346" t="n"/>
      <c r="CA39" s="492" t="n"/>
      <c r="CB39" s="493" t="n"/>
      <c r="CC39" s="494" t="n"/>
      <c r="CD39" s="493" t="n"/>
      <c r="CE39" s="495" t="n"/>
      <c r="CF39" s="495" t="n"/>
      <c r="CG39" s="346" t="n"/>
      <c r="CH39" s="496" t="n"/>
      <c r="CI39" s="493" t="n"/>
      <c r="CJ39" s="494" t="n"/>
      <c r="CK39" s="493" t="n"/>
      <c r="CL39" s="495" t="n"/>
      <c r="CM39" s="495" t="n"/>
      <c r="CN39" s="346" t="n"/>
      <c r="CO39" s="314">
        <f>CO34+CO20+CO14+CO9</f>
        <v/>
      </c>
      <c r="CP39" s="315">
        <f>CP34+CP20+CP14+CP9</f>
        <v/>
      </c>
      <c r="CQ39" s="316">
        <f>CQ34+CQ20+CQ14+CQ9</f>
        <v/>
      </c>
      <c r="CR39" s="315">
        <f>CR34+CR20+CR14+CR9</f>
        <v/>
      </c>
      <c r="CS39" s="489">
        <f>CR39-CQ39</f>
        <v/>
      </c>
      <c r="CT39" s="489">
        <f>CR39-CP39</f>
        <v/>
      </c>
      <c r="CU39" s="318">
        <f>IF(CP39=0,"***",CT39/CP39)</f>
        <v/>
      </c>
      <c r="CV39" s="314">
        <f>CV34+CV20+CV14+CV9</f>
        <v/>
      </c>
      <c r="CW39" s="315">
        <f>CW34+CW20+CW14+CW9</f>
        <v/>
      </c>
      <c r="CX39" s="316">
        <f>CX34+CX20+CX14+CX9</f>
        <v/>
      </c>
      <c r="CY39" s="315">
        <f>CY34+CY20+CY14+CY9</f>
        <v/>
      </c>
      <c r="CZ39" s="489">
        <f>CY39-CX39</f>
        <v/>
      </c>
      <c r="DA39" s="489">
        <f>CY39-CW39</f>
        <v/>
      </c>
      <c r="DB39" s="318">
        <f>IF(CW39=0,"***",DA39/CW39)</f>
        <v/>
      </c>
      <c r="DC39" s="319">
        <f>IF(CO39=0,"***",CV39/CO39)</f>
        <v/>
      </c>
      <c r="DD39" s="320">
        <f>IF(CP39=0,"***",CW39/CP39)</f>
        <v/>
      </c>
      <c r="DE39" s="320">
        <f>IF(CQ39=0,"***",CX39/CQ39)</f>
        <v/>
      </c>
      <c r="DF39" s="320">
        <f>IF(CR39=0,"***",CY39/CR39)</f>
        <v/>
      </c>
      <c r="DG39" s="320">
        <f>IF(DE39="***","***",DF39-DD39)</f>
        <v/>
      </c>
      <c r="DH39" s="377">
        <f>IF(DF39="***","***",DF39-DD39)</f>
        <v/>
      </c>
      <c r="DI39" s="376" t="n"/>
    </row>
    <row r="40">
      <c r="D40" s="8" t="n"/>
      <c r="E40" s="9" t="n"/>
      <c r="F40" s="0" t="n"/>
      <c r="G40" s="0" t="n"/>
      <c r="H40" s="103" t="inlineStr">
        <is>
          <t>海外</t>
        </is>
      </c>
      <c r="I40" s="492" t="n"/>
      <c r="J40" s="493" t="n"/>
      <c r="K40" s="494" t="n"/>
      <c r="L40" s="493" t="n"/>
      <c r="M40" s="495" t="n"/>
      <c r="N40" s="495" t="n"/>
      <c r="O40" s="346" t="n"/>
      <c r="P40" s="496" t="n"/>
      <c r="Q40" s="493" t="n"/>
      <c r="R40" s="494" t="n"/>
      <c r="S40" s="493" t="n"/>
      <c r="T40" s="495" t="n"/>
      <c r="U40" s="495" t="n"/>
      <c r="V40" s="346" t="n"/>
      <c r="W40" s="492" t="n"/>
      <c r="X40" s="493" t="n"/>
      <c r="Y40" s="494" t="n"/>
      <c r="Z40" s="493" t="n"/>
      <c r="AA40" s="495" t="n"/>
      <c r="AB40" s="495" t="n"/>
      <c r="AC40" s="346" t="n"/>
      <c r="AD40" s="496" t="n"/>
      <c r="AE40" s="493" t="n"/>
      <c r="AF40" s="494" t="n"/>
      <c r="AG40" s="493" t="n"/>
      <c r="AH40" s="495" t="n"/>
      <c r="AI40" s="495" t="n"/>
      <c r="AJ40" s="346" t="n"/>
      <c r="AK40" s="492" t="n"/>
      <c r="AL40" s="493" t="n"/>
      <c r="AM40" s="494" t="n"/>
      <c r="AN40" s="493" t="n"/>
      <c r="AO40" s="495" t="n"/>
      <c r="AP40" s="495" t="n"/>
      <c r="AQ40" s="346" t="n"/>
      <c r="AR40" s="496" t="n"/>
      <c r="AS40" s="493" t="n"/>
      <c r="AT40" s="494" t="n"/>
      <c r="AU40" s="493" t="n"/>
      <c r="AV40" s="495" t="n"/>
      <c r="AW40" s="495" t="n"/>
      <c r="AX40" s="346" t="n"/>
      <c r="AY40" s="492" t="n"/>
      <c r="AZ40" s="493" t="n"/>
      <c r="BA40" s="494" t="n"/>
      <c r="BB40" s="493" t="n"/>
      <c r="BC40" s="495" t="n"/>
      <c r="BD40" s="495" t="n"/>
      <c r="BE40" s="346" t="n"/>
      <c r="BF40" s="496" t="n"/>
      <c r="BG40" s="493" t="n"/>
      <c r="BH40" s="494" t="n"/>
      <c r="BI40" s="493" t="n"/>
      <c r="BJ40" s="495" t="n"/>
      <c r="BK40" s="495" t="n"/>
      <c r="BL40" s="346" t="n"/>
      <c r="BM40" s="492" t="n"/>
      <c r="BN40" s="493" t="n"/>
      <c r="BO40" s="494" t="n"/>
      <c r="BP40" s="493" t="n"/>
      <c r="BQ40" s="495" t="n"/>
      <c r="BR40" s="495" t="n"/>
      <c r="BS40" s="346" t="n"/>
      <c r="BT40" s="496" t="n"/>
      <c r="BU40" s="493" t="n"/>
      <c r="BV40" s="494" t="n"/>
      <c r="BW40" s="493" t="n"/>
      <c r="BX40" s="495" t="n"/>
      <c r="BY40" s="495" t="n"/>
      <c r="BZ40" s="346" t="n"/>
      <c r="CA40" s="492" t="n"/>
      <c r="CB40" s="493" t="n"/>
      <c r="CC40" s="494" t="n"/>
      <c r="CD40" s="493" t="n"/>
      <c r="CE40" s="495" t="n"/>
      <c r="CF40" s="495" t="n"/>
      <c r="CG40" s="346" t="n"/>
      <c r="CH40" s="496" t="n"/>
      <c r="CI40" s="493" t="n"/>
      <c r="CJ40" s="494" t="n"/>
      <c r="CK40" s="493" t="n"/>
      <c r="CL40" s="495" t="n"/>
      <c r="CM40" s="495" t="n"/>
      <c r="CN40" s="346" t="n"/>
      <c r="CO40" s="378">
        <f>CO35+CO15</f>
        <v/>
      </c>
      <c r="CP40" s="379">
        <f>CP35+CP15</f>
        <v/>
      </c>
      <c r="CQ40" s="334">
        <f>CQ35+CQ15</f>
        <v/>
      </c>
      <c r="CR40" s="379">
        <f>CR35+CR15</f>
        <v/>
      </c>
      <c r="CS40" s="490">
        <f>CR40-CQ40</f>
        <v/>
      </c>
      <c r="CT40" s="490">
        <f>CR40-CP40</f>
        <v/>
      </c>
      <c r="CU40" s="336">
        <f>IF(CP40=0,"***",CT40/CP40)</f>
        <v/>
      </c>
      <c r="CV40" s="378">
        <f>CV35+CV15</f>
        <v/>
      </c>
      <c r="CW40" s="379">
        <f>CW35+CW15</f>
        <v/>
      </c>
      <c r="CX40" s="334">
        <f>CX35+CX15</f>
        <v/>
      </c>
      <c r="CY40" s="379">
        <f>CY35+CY15</f>
        <v/>
      </c>
      <c r="CZ40" s="490">
        <f>CY40-CX40</f>
        <v/>
      </c>
      <c r="DA40" s="490">
        <f>CY40-CW40</f>
        <v/>
      </c>
      <c r="DB40" s="336">
        <f>IF(CW40=0,"***",DA40/CW40)</f>
        <v/>
      </c>
      <c r="DC40" s="339">
        <f>IF(CO40=0,"***",CV40/CO40)</f>
        <v/>
      </c>
      <c r="DD40" s="340">
        <f>IF(CP40=0,"***",CW40/CP40)</f>
        <v/>
      </c>
      <c r="DE40" s="340">
        <f>IF(CQ40=0,"***",CX40/CQ40)</f>
        <v/>
      </c>
      <c r="DF40" s="340">
        <f>IF(CR40=0,"***",CY40/CR40)</f>
        <v/>
      </c>
      <c r="DG40" s="340">
        <f>IF(DE40="***","***",DF40-DD40)</f>
        <v/>
      </c>
      <c r="DH40" s="380">
        <f>IF(DF40="***","***",DF40-DD40)</f>
        <v/>
      </c>
      <c r="DI40" s="381" t="n"/>
    </row>
    <row r="41">
      <c r="D41" s="8" t="n"/>
      <c r="E41" s="185" t="inlineStr">
        <is>
          <t>水産部</t>
        </is>
      </c>
      <c r="F41" s="186" t="n"/>
      <c r="G41" s="186" t="n"/>
      <c r="H41" s="202" t="n"/>
      <c r="I41" s="367" t="n">
        <v>43942</v>
      </c>
      <c r="J41" s="306" t="n">
        <v>48262</v>
      </c>
      <c r="K41" s="307" t="n">
        <v>57800</v>
      </c>
      <c r="L41" s="306" t="n">
        <v>52629</v>
      </c>
      <c r="M41" s="357">
        <f>L41-K41</f>
        <v/>
      </c>
      <c r="N41" s="357">
        <f>L41-J41</f>
        <v/>
      </c>
      <c r="O41" s="309">
        <f>IF(J41=0,"***",N41/J41)</f>
        <v/>
      </c>
      <c r="P41" s="367" t="n">
        <v>12971</v>
      </c>
      <c r="Q41" s="306" t="n">
        <v>14340</v>
      </c>
      <c r="R41" s="307" t="n">
        <v>18460</v>
      </c>
      <c r="S41" s="306" t="n">
        <v>16327</v>
      </c>
      <c r="T41" s="357">
        <f>S41-R41</f>
        <v/>
      </c>
      <c r="U41" s="357">
        <f>S41-Q41</f>
        <v/>
      </c>
      <c r="V41" s="309">
        <f>IF(Q41=0,"***",U41/Q41)</f>
        <v/>
      </c>
      <c r="W41" s="367" t="n">
        <v>35025</v>
      </c>
      <c r="X41" s="306" t="n">
        <v>39464</v>
      </c>
      <c r="Y41" s="307" t="n">
        <v>47080</v>
      </c>
      <c r="Z41" s="306" t="n">
        <v>52719</v>
      </c>
      <c r="AA41" s="357">
        <f>Z41-Y41</f>
        <v/>
      </c>
      <c r="AB41" s="357">
        <f>Z41-X41</f>
        <v/>
      </c>
      <c r="AC41" s="309">
        <f>IF(X41=0,"***",AB41/X41)</f>
        <v/>
      </c>
      <c r="AD41" s="367" t="n">
        <v>9869</v>
      </c>
      <c r="AE41" s="306" t="n">
        <v>12440</v>
      </c>
      <c r="AF41" s="307" t="n">
        <v>15150</v>
      </c>
      <c r="AG41" s="306" t="n">
        <v>17959</v>
      </c>
      <c r="AH41" s="357">
        <f>AG41-AF41</f>
        <v/>
      </c>
      <c r="AI41" s="357">
        <f>AG41-AE41</f>
        <v/>
      </c>
      <c r="AJ41" s="309">
        <f>IF(AE41=0,"***",AI41/AE41)</f>
        <v/>
      </c>
      <c r="AK41" s="367" t="n">
        <v>31164</v>
      </c>
      <c r="AL41" s="306" t="n">
        <v>23842</v>
      </c>
      <c r="AM41" s="307" t="n">
        <v>30750</v>
      </c>
      <c r="AN41" s="306" t="n">
        <v>39124</v>
      </c>
      <c r="AO41" s="357">
        <f>AN41-AM41</f>
        <v/>
      </c>
      <c r="AP41" s="357">
        <f>AN41-AL41</f>
        <v/>
      </c>
      <c r="AQ41" s="309">
        <f>IF(AL41=0,"***",AP41/AL41)</f>
        <v/>
      </c>
      <c r="AR41" s="367" t="n">
        <v>8885</v>
      </c>
      <c r="AS41" s="306" t="n">
        <v>6826</v>
      </c>
      <c r="AT41" s="307" t="n">
        <v>9250</v>
      </c>
      <c r="AU41" s="306" t="n">
        <v>13009</v>
      </c>
      <c r="AV41" s="357">
        <f>AU41-AT41</f>
        <v/>
      </c>
      <c r="AW41" s="357">
        <f>AU41-AS41</f>
        <v/>
      </c>
      <c r="AX41" s="309">
        <f>IF(AS41=0,"***",AW41/AS41)</f>
        <v/>
      </c>
      <c r="AY41" s="367" t="n">
        <v>23583</v>
      </c>
      <c r="AZ41" s="306" t="n">
        <v>27112</v>
      </c>
      <c r="BA41" s="307" t="n">
        <v>33980</v>
      </c>
      <c r="BB41" s="306" t="n">
        <v>23249</v>
      </c>
      <c r="BC41" s="357">
        <f>BB41-BA41</f>
        <v/>
      </c>
      <c r="BD41" s="357">
        <f>BB41-AZ41</f>
        <v/>
      </c>
      <c r="BE41" s="309">
        <f>IF(AZ41=0,"***",BD41/AZ41)</f>
        <v/>
      </c>
      <c r="BF41" s="367" t="n">
        <v>7334</v>
      </c>
      <c r="BG41" s="306" t="n">
        <v>7639</v>
      </c>
      <c r="BH41" s="307" t="n">
        <v>12390</v>
      </c>
      <c r="BI41" s="306" t="n">
        <v>8163</v>
      </c>
      <c r="BJ41" s="357">
        <f>BI41-BH41</f>
        <v/>
      </c>
      <c r="BK41" s="357">
        <f>BI41-BG41</f>
        <v/>
      </c>
      <c r="BL41" s="309">
        <f>IF(BG41=0,"***",BK41/BG41)</f>
        <v/>
      </c>
      <c r="BM41" s="367" t="n">
        <v>33583</v>
      </c>
      <c r="BN41" s="306" t="n">
        <v>25307</v>
      </c>
      <c r="BO41" s="307" t="n">
        <v>31470</v>
      </c>
      <c r="BP41" s="306" t="n">
        <v>32065</v>
      </c>
      <c r="BQ41" s="357">
        <f>BP41-BO41</f>
        <v/>
      </c>
      <c r="BR41" s="357">
        <f>BP41-BN41</f>
        <v/>
      </c>
      <c r="BS41" s="309">
        <f>IF(BN41=0,"***",BR41/BN41)</f>
        <v/>
      </c>
      <c r="BT41" s="367" t="n">
        <v>9353</v>
      </c>
      <c r="BU41" s="306" t="n">
        <v>7072</v>
      </c>
      <c r="BV41" s="307" t="n">
        <v>9910</v>
      </c>
      <c r="BW41" s="306" t="n">
        <v>10538</v>
      </c>
      <c r="BX41" s="357">
        <f>BW41-BV41</f>
        <v/>
      </c>
      <c r="BY41" s="357">
        <f>BW41-BU41</f>
        <v/>
      </c>
      <c r="BZ41" s="309">
        <f>IF(BU41=0,"***",BY41/BU41)</f>
        <v/>
      </c>
      <c r="CA41" s="367" t="n">
        <v>28532</v>
      </c>
      <c r="CB41" s="306" t="n">
        <v>31826</v>
      </c>
      <c r="CC41" s="307" t="n">
        <v>39970</v>
      </c>
      <c r="CD41" s="306" t="n">
        <v>49671</v>
      </c>
      <c r="CE41" s="357">
        <f>CD41-CC41</f>
        <v/>
      </c>
      <c r="CF41" s="357">
        <f>CD41-CB41</f>
        <v/>
      </c>
      <c r="CG41" s="309">
        <f>IF(CB41=0,"***",CF41/CB41)</f>
        <v/>
      </c>
      <c r="CH41" s="367" t="n">
        <v>7262</v>
      </c>
      <c r="CI41" s="306" t="n">
        <v>8267</v>
      </c>
      <c r="CJ41" s="307" t="n">
        <v>11620</v>
      </c>
      <c r="CK41" s="306" t="n">
        <v>14786</v>
      </c>
      <c r="CL41" s="357">
        <f>CK41-CJ41</f>
        <v/>
      </c>
      <c r="CM41" s="357">
        <f>CK41-CI41</f>
        <v/>
      </c>
      <c r="CN41" s="309">
        <f>IF(CI41=0,"***",CM41/CI41)</f>
        <v/>
      </c>
      <c r="CO41" s="367" t="n">
        <v>195830</v>
      </c>
      <c r="CP41" s="306">
        <f>J41+X41+AL41+AZ41+BN41+CB41</f>
        <v/>
      </c>
      <c r="CQ41" s="307">
        <f>K41+Y41+AM41+BA41+BO41+CC41</f>
        <v/>
      </c>
      <c r="CR41" s="306">
        <f>L41+Z41+AN41+BB41+BP41+CD41</f>
        <v/>
      </c>
      <c r="CS41" s="357">
        <f>CR41-CQ41</f>
        <v/>
      </c>
      <c r="CT41" s="357">
        <f>CR41-CP41</f>
        <v/>
      </c>
      <c r="CU41" s="309">
        <f>IF(CP41=0,"***",CT41/CP41)</f>
        <v/>
      </c>
      <c r="CV41" s="367" t="n">
        <v>55675</v>
      </c>
      <c r="CW41" s="306" t="n">
        <v>56585</v>
      </c>
      <c r="CX41" s="307">
        <f>R41+AF41+AT41+BH41+BV41+CJ41</f>
        <v/>
      </c>
      <c r="CY41" s="306">
        <f>S41+AG41+AU41+BI41+BW41+CK41</f>
        <v/>
      </c>
      <c r="CZ41" s="357">
        <f>CY41-CX41</f>
        <v/>
      </c>
      <c r="DA41" s="357">
        <f>CY41-CW41</f>
        <v/>
      </c>
      <c r="DB41" s="309">
        <f>IF(CW41=0,"***",DA41/CW41)</f>
        <v/>
      </c>
      <c r="DC41" s="382">
        <f>IF(CO41=0,"***",CV41/CO41)</f>
        <v/>
      </c>
      <c r="DD41" s="383">
        <f>IF(CP41=0,"***",CW41/CP41)</f>
        <v/>
      </c>
      <c r="DE41" s="383">
        <f>IF(CQ41=0,"***",CX41/CQ41)</f>
        <v/>
      </c>
      <c r="DF41" s="383">
        <f>IF(CR41=0,"***",CY41/CR41)</f>
        <v/>
      </c>
      <c r="DG41" s="383">
        <f>IF(DE41="***","***",DF41-DD41)</f>
        <v/>
      </c>
      <c r="DH41" s="384">
        <f>IF(DF41="***","***",DF41-DD41)</f>
        <v/>
      </c>
      <c r="DI41" s="176" t="inlineStr">
        <is>
          <t>大海商権移行分（24,535/9,013）はそのまま前期比プラスに寄与</t>
        </is>
      </c>
    </row>
    <row r="42" customFormat="1" s="203">
      <c r="D42" s="204" t="n"/>
      <c r="E42" s="205" t="n"/>
      <c r="G42" s="206" t="n"/>
      <c r="H42" s="33" t="inlineStr">
        <is>
          <t>包装資材</t>
        </is>
      </c>
      <c r="I42" s="385">
        <f>#REF!+#REF!+#REF!</f>
        <v/>
      </c>
      <c r="J42" s="344">
        <f>#REF!+#REF!+#REF!</f>
        <v/>
      </c>
      <c r="K42" s="344">
        <f>#REF!+#REF!+#REF!</f>
        <v/>
      </c>
      <c r="L42" s="344">
        <f>#REF!+#REF!+#REF!</f>
        <v/>
      </c>
      <c r="M42" s="488">
        <f>L42-K42</f>
        <v/>
      </c>
      <c r="N42" s="488">
        <f>L42-J42</f>
        <v/>
      </c>
      <c r="O42" s="346">
        <f>IF(J42=0,"***",N42/J42)</f>
        <v/>
      </c>
      <c r="P42" s="385">
        <f>#REF!+#REF!+#REF!</f>
        <v/>
      </c>
      <c r="Q42" s="344">
        <f>#REF!+#REF!+#REF!</f>
        <v/>
      </c>
      <c r="R42" s="344">
        <f>#REF!+#REF!+#REF!</f>
        <v/>
      </c>
      <c r="S42" s="344">
        <f>#REF!+#REF!+#REF!</f>
        <v/>
      </c>
      <c r="T42" s="488">
        <f>S42-R42</f>
        <v/>
      </c>
      <c r="U42" s="488">
        <f>S42-Q42</f>
        <v/>
      </c>
      <c r="V42" s="346">
        <f>IF(Q42=0,"***",U42/Q42)</f>
        <v/>
      </c>
      <c r="W42" s="385">
        <f>#REF!+#REF!+#REF!</f>
        <v/>
      </c>
      <c r="X42" s="344">
        <f>#REF!+#REF!+#REF!</f>
        <v/>
      </c>
      <c r="Y42" s="344">
        <f>#REF!+#REF!+#REF!</f>
        <v/>
      </c>
      <c r="Z42" s="344">
        <f>#REF!+#REF!+#REF!</f>
        <v/>
      </c>
      <c r="AA42" s="488">
        <f>Z42-Y42</f>
        <v/>
      </c>
      <c r="AB42" s="488">
        <f>Z42-X42</f>
        <v/>
      </c>
      <c r="AC42" s="346">
        <f>IF(X42=0,"***",AB42/X42)</f>
        <v/>
      </c>
      <c r="AD42" s="385">
        <f>#REF!+#REF!+#REF!</f>
        <v/>
      </c>
      <c r="AE42" s="344">
        <f>#REF!+#REF!+#REF!</f>
        <v/>
      </c>
      <c r="AF42" s="344">
        <f>#REF!+#REF!+#REF!</f>
        <v/>
      </c>
      <c r="AG42" s="344">
        <f>#REF!+#REF!+#REF!</f>
        <v/>
      </c>
      <c r="AH42" s="488">
        <f>AG42-AF42</f>
        <v/>
      </c>
      <c r="AI42" s="488">
        <f>AG42-AE42</f>
        <v/>
      </c>
      <c r="AJ42" s="346">
        <f>IF(AE42=0,"***",AI42/AE42)</f>
        <v/>
      </c>
      <c r="AK42" s="385">
        <f>#REF!+#REF!+#REF!</f>
        <v/>
      </c>
      <c r="AL42" s="344">
        <f>#REF!+#REF!+#REF!</f>
        <v/>
      </c>
      <c r="AM42" s="344">
        <f>#REF!+#REF!+#REF!</f>
        <v/>
      </c>
      <c r="AN42" s="344">
        <f>#REF!+#REF!+#REF!</f>
        <v/>
      </c>
      <c r="AO42" s="488">
        <f>AN42-AM42</f>
        <v/>
      </c>
      <c r="AP42" s="488">
        <f>AN42-AL42</f>
        <v/>
      </c>
      <c r="AQ42" s="346">
        <f>IF(AL42=0,"***",AP42/AL42)</f>
        <v/>
      </c>
      <c r="AR42" s="385">
        <f>#REF!+#REF!+#REF!</f>
        <v/>
      </c>
      <c r="AS42" s="344">
        <f>#REF!+#REF!+#REF!</f>
        <v/>
      </c>
      <c r="AT42" s="344">
        <f>#REF!+#REF!+#REF!</f>
        <v/>
      </c>
      <c r="AU42" s="344">
        <f>#REF!+#REF!+#REF!</f>
        <v/>
      </c>
      <c r="AV42" s="488">
        <f>AU42-AT42</f>
        <v/>
      </c>
      <c r="AW42" s="488">
        <f>AU42-AS42</f>
        <v/>
      </c>
      <c r="AX42" s="346">
        <f>IF(AS42=0,"***",AW42/AS42)</f>
        <v/>
      </c>
      <c r="AY42" s="385">
        <f>#REF!+#REF!+#REF!</f>
        <v/>
      </c>
      <c r="AZ42" s="344">
        <f>#REF!+#REF!+#REF!</f>
        <v/>
      </c>
      <c r="BA42" s="344">
        <f>#REF!+#REF!+#REF!</f>
        <v/>
      </c>
      <c r="BB42" s="344">
        <f>#REF!+#REF!+#REF!</f>
        <v/>
      </c>
      <c r="BC42" s="488">
        <f>BB42-BA42</f>
        <v/>
      </c>
      <c r="BD42" s="488">
        <f>BB42-AZ42</f>
        <v/>
      </c>
      <c r="BE42" s="346">
        <f>IF(AZ42=0,"***",BD42/AZ42)</f>
        <v/>
      </c>
      <c r="BF42" s="385">
        <f>#REF!+#REF!+#REF!</f>
        <v/>
      </c>
      <c r="BG42" s="344">
        <f>#REF!+#REF!+#REF!</f>
        <v/>
      </c>
      <c r="BH42" s="344">
        <f>#REF!+#REF!+#REF!</f>
        <v/>
      </c>
      <c r="BI42" s="344">
        <f>#REF!+#REF!+#REF!</f>
        <v/>
      </c>
      <c r="BJ42" s="488">
        <f>BI42-BH42</f>
        <v/>
      </c>
      <c r="BK42" s="488">
        <f>BI42-BG42</f>
        <v/>
      </c>
      <c r="BL42" s="346">
        <f>IF(BG42=0,"***",BK42/BG42)</f>
        <v/>
      </c>
      <c r="BM42" s="385">
        <f>#REF!+#REF!+#REF!</f>
        <v/>
      </c>
      <c r="BN42" s="344">
        <f>#REF!+#REF!+#REF!</f>
        <v/>
      </c>
      <c r="BO42" s="344">
        <f>#REF!+#REF!+#REF!</f>
        <v/>
      </c>
      <c r="BP42" s="344">
        <f>#REF!+#REF!+#REF!</f>
        <v/>
      </c>
      <c r="BQ42" s="488">
        <f>BP42-BO42</f>
        <v/>
      </c>
      <c r="BR42" s="488">
        <f>BP42-BN42</f>
        <v/>
      </c>
      <c r="BS42" s="346">
        <f>IF(BN42=0,"***",BR42/BN42)</f>
        <v/>
      </c>
      <c r="BT42" s="385">
        <f>#REF!+#REF!+#REF!</f>
        <v/>
      </c>
      <c r="BU42" s="344">
        <f>#REF!+#REF!+#REF!</f>
        <v/>
      </c>
      <c r="BV42" s="344">
        <f>#REF!+#REF!+#REF!</f>
        <v/>
      </c>
      <c r="BW42" s="344">
        <f>#REF!+#REF!+#REF!</f>
        <v/>
      </c>
      <c r="BX42" s="488">
        <f>BW42-BV42</f>
        <v/>
      </c>
      <c r="BY42" s="488">
        <f>BW42-BU42</f>
        <v/>
      </c>
      <c r="BZ42" s="346">
        <f>IF(BU42=0,"***",BY42/BU42)</f>
        <v/>
      </c>
      <c r="CA42" s="385">
        <f>#REF!+#REF!+#REF!</f>
        <v/>
      </c>
      <c r="CB42" s="344">
        <f>#REF!+#REF!+#REF!</f>
        <v/>
      </c>
      <c r="CC42" s="344">
        <f>#REF!+#REF!+#REF!</f>
        <v/>
      </c>
      <c r="CD42" s="344">
        <f>#REF!+#REF!+#REF!</f>
        <v/>
      </c>
      <c r="CE42" s="488">
        <f>CD42-CC42</f>
        <v/>
      </c>
      <c r="CF42" s="488">
        <f>CD42-CB42</f>
        <v/>
      </c>
      <c r="CG42" s="346">
        <f>IF(CB42=0,"***",CF42/CB42)</f>
        <v/>
      </c>
      <c r="CH42" s="385">
        <f>#REF!+#REF!+#REF!</f>
        <v/>
      </c>
      <c r="CI42" s="344">
        <f>#REF!+#REF!+#REF!</f>
        <v/>
      </c>
      <c r="CJ42" s="344">
        <f>#REF!+#REF!+#REF!</f>
        <v/>
      </c>
      <c r="CK42" s="344">
        <f>#REF!+#REF!+#REF!</f>
        <v/>
      </c>
      <c r="CL42" s="488">
        <f>CK42-CJ42</f>
        <v/>
      </c>
      <c r="CM42" s="488">
        <f>CK42-CI42</f>
        <v/>
      </c>
      <c r="CN42" s="346">
        <f>IF(CI42=0,"***",CM42/CI42)</f>
        <v/>
      </c>
      <c r="CO42" s="385">
        <f>CO41-CO43-CO44</f>
        <v/>
      </c>
      <c r="CP42" s="344">
        <f>CP41-CP43-CP44</f>
        <v/>
      </c>
      <c r="CQ42" s="344">
        <f>CQ41-CQ43-CQ44</f>
        <v/>
      </c>
      <c r="CR42" s="344">
        <f>CR41-CR43-CR44</f>
        <v/>
      </c>
      <c r="CS42" s="488">
        <f>CR42-CQ42</f>
        <v/>
      </c>
      <c r="CT42" s="488">
        <f>CR42-CP42</f>
        <v/>
      </c>
      <c r="CU42" s="346">
        <f>IF(CP42=0,"***",CT42/CP42)</f>
        <v/>
      </c>
      <c r="CV42" s="385">
        <f>CV41-CV43-CV44</f>
        <v/>
      </c>
      <c r="CW42" s="344">
        <f>CW41-CW43-CW44</f>
        <v/>
      </c>
      <c r="CX42" s="344">
        <f>CX41-CX43-CX44</f>
        <v/>
      </c>
      <c r="CY42" s="344">
        <f>CY41-CY43-CY44</f>
        <v/>
      </c>
      <c r="CZ42" s="488">
        <f>CY42-CX42</f>
        <v/>
      </c>
      <c r="DA42" s="488">
        <f>CY42-CW42</f>
        <v/>
      </c>
      <c r="DB42" s="346">
        <f>IF(CW42=0,"***",DA42/CW42)</f>
        <v/>
      </c>
      <c r="DC42" s="386">
        <f>IF(CO42=0,"***",CV42/CO42)</f>
        <v/>
      </c>
      <c r="DD42" s="387">
        <f>IF(CP42=0,"***",CW42/CP42)</f>
        <v/>
      </c>
      <c r="DE42" s="387">
        <f>IF(CQ42=0,"***",CX42/CQ42)</f>
        <v/>
      </c>
      <c r="DF42" s="387">
        <f>IF(CR42=0,"***",CY42/CR42)</f>
        <v/>
      </c>
      <c r="DG42" s="387">
        <f>IF(DE42="***","***",DF42-DD42)</f>
        <v/>
      </c>
      <c r="DH42" s="388">
        <f>IF(DF42="***","***",DF42-DD42)</f>
        <v/>
      </c>
      <c r="DI42" s="389" t="n"/>
    </row>
    <row r="43" customFormat="1" s="203">
      <c r="D43" s="204" t="n"/>
      <c r="E43" s="205" t="n"/>
      <c r="G43" s="206" t="n"/>
      <c r="H43" s="34" t="inlineStr">
        <is>
          <t>荷役</t>
        </is>
      </c>
      <c r="I43" s="385" t="n"/>
      <c r="J43" s="344" t="n"/>
      <c r="K43" s="344" t="n"/>
      <c r="L43" s="344" t="n"/>
      <c r="M43" s="488" t="n"/>
      <c r="N43" s="488" t="n"/>
      <c r="O43" s="346" t="n"/>
      <c r="P43" s="385" t="n"/>
      <c r="Q43" s="344" t="n"/>
      <c r="R43" s="344" t="n"/>
      <c r="S43" s="344" t="n"/>
      <c r="T43" s="488" t="n"/>
      <c r="U43" s="488" t="n"/>
      <c r="V43" s="346" t="n"/>
      <c r="W43" s="385" t="n"/>
      <c r="X43" s="344" t="n"/>
      <c r="Y43" s="344" t="n"/>
      <c r="Z43" s="344" t="n"/>
      <c r="AA43" s="488" t="n"/>
      <c r="AB43" s="488" t="n"/>
      <c r="AC43" s="346" t="n"/>
      <c r="AD43" s="385" t="n"/>
      <c r="AE43" s="344" t="n"/>
      <c r="AF43" s="344" t="n"/>
      <c r="AG43" s="344" t="n"/>
      <c r="AH43" s="488" t="n"/>
      <c r="AI43" s="488" t="n"/>
      <c r="AJ43" s="346" t="n"/>
      <c r="AK43" s="385" t="n"/>
      <c r="AL43" s="344" t="n"/>
      <c r="AM43" s="344" t="n"/>
      <c r="AN43" s="344" t="n"/>
      <c r="AO43" s="488" t="n"/>
      <c r="AP43" s="488" t="n"/>
      <c r="AQ43" s="346" t="n"/>
      <c r="AR43" s="385" t="n"/>
      <c r="AS43" s="344" t="n"/>
      <c r="AT43" s="344" t="n"/>
      <c r="AU43" s="344" t="n"/>
      <c r="AV43" s="488" t="n"/>
      <c r="AW43" s="488" t="n"/>
      <c r="AX43" s="346" t="n"/>
      <c r="AY43" s="385" t="n"/>
      <c r="AZ43" s="344" t="n"/>
      <c r="BA43" s="344" t="n"/>
      <c r="BB43" s="344" t="n"/>
      <c r="BC43" s="488" t="n"/>
      <c r="BD43" s="488" t="n"/>
      <c r="BE43" s="346" t="n"/>
      <c r="BF43" s="385" t="n"/>
      <c r="BG43" s="344" t="n"/>
      <c r="BH43" s="344" t="n"/>
      <c r="BI43" s="344" t="n"/>
      <c r="BJ43" s="488" t="n"/>
      <c r="BK43" s="488" t="n"/>
      <c r="BL43" s="346" t="n"/>
      <c r="BM43" s="385" t="n"/>
      <c r="BN43" s="344" t="n"/>
      <c r="BO43" s="344" t="n"/>
      <c r="BP43" s="344" t="n"/>
      <c r="BQ43" s="488" t="n"/>
      <c r="BR43" s="488" t="n"/>
      <c r="BS43" s="346" t="n"/>
      <c r="BT43" s="385" t="n"/>
      <c r="BU43" s="344" t="n"/>
      <c r="BV43" s="344" t="n"/>
      <c r="BW43" s="344" t="n"/>
      <c r="BX43" s="488" t="n"/>
      <c r="BY43" s="488" t="n"/>
      <c r="BZ43" s="346" t="n"/>
      <c r="CA43" s="385" t="n"/>
      <c r="CB43" s="344" t="n"/>
      <c r="CC43" s="344" t="n"/>
      <c r="CD43" s="344" t="n"/>
      <c r="CE43" s="488" t="n"/>
      <c r="CF43" s="488" t="n"/>
      <c r="CG43" s="346" t="n"/>
      <c r="CH43" s="385" t="n"/>
      <c r="CI43" s="344" t="n"/>
      <c r="CJ43" s="344" t="n"/>
      <c r="CK43" s="344" t="n"/>
      <c r="CL43" s="488" t="n"/>
      <c r="CM43" s="488" t="n"/>
      <c r="CN43" s="346" t="n"/>
      <c r="CO43" s="305" t="n">
        <v>37980</v>
      </c>
      <c r="CP43" s="390" t="n">
        <v>41850</v>
      </c>
      <c r="CQ43" s="390" t="n">
        <v>45240</v>
      </c>
      <c r="CR43" s="390" t="n">
        <v>47830</v>
      </c>
      <c r="CS43" s="488">
        <f>CR43-CQ43</f>
        <v/>
      </c>
      <c r="CT43" s="488">
        <f>CR43-CP43</f>
        <v/>
      </c>
      <c r="CU43" s="346">
        <f>IF(CP43=0,"***",CT43/CP43)</f>
        <v/>
      </c>
      <c r="CV43" s="305" t="n">
        <v>22783</v>
      </c>
      <c r="CW43" s="390" t="n">
        <v>24953</v>
      </c>
      <c r="CX43" s="390" t="n">
        <v>27700</v>
      </c>
      <c r="CY43" s="390" t="n">
        <v>29339</v>
      </c>
      <c r="CZ43" s="488">
        <f>CY43-CX43</f>
        <v/>
      </c>
      <c r="DA43" s="488">
        <f>CY43-CW43</f>
        <v/>
      </c>
      <c r="DB43" s="346">
        <f>IF(CW43=0,"***",DA43/CW43)</f>
        <v/>
      </c>
      <c r="DC43" s="386">
        <f>IF(CO43=0,"***",CV43/CO43)</f>
        <v/>
      </c>
      <c r="DD43" s="387">
        <f>IF(CP43=0,"***",CW43/CP43)</f>
        <v/>
      </c>
      <c r="DE43" s="387">
        <f>IF(CQ43=0,"***",CX43/CQ43)</f>
        <v/>
      </c>
      <c r="DF43" s="387">
        <f>IF(CR43=0,"***",CY43/CR43)</f>
        <v/>
      </c>
      <c r="DG43" s="387" t="n"/>
      <c r="DH43" s="388" t="n"/>
      <c r="DI43" s="389" t="n"/>
    </row>
    <row r="44" customFormat="1" s="203">
      <c r="D44" s="204" t="n"/>
      <c r="E44" s="207" t="n"/>
      <c r="F44" s="208" t="n"/>
      <c r="G44" s="209" t="n"/>
      <c r="H44" s="103" t="inlineStr">
        <is>
          <t>機械</t>
        </is>
      </c>
      <c r="I44" s="385">
        <f>#REF!+#REF!+#REF!</f>
        <v/>
      </c>
      <c r="J44" s="344">
        <f>#REF!+#REF!+#REF!</f>
        <v/>
      </c>
      <c r="K44" s="344">
        <f>#REF!+#REF!+#REF!</f>
        <v/>
      </c>
      <c r="L44" s="344">
        <f>#REF!+#REF!+#REF!</f>
        <v/>
      </c>
      <c r="M44" s="488">
        <f>L44-K44</f>
        <v/>
      </c>
      <c r="N44" s="488">
        <f>L44-J44</f>
        <v/>
      </c>
      <c r="O44" s="346">
        <f>IF(J44=0,"***",N44/J44)</f>
        <v/>
      </c>
      <c r="P44" s="385">
        <f>#REF!+#REF!+#REF!</f>
        <v/>
      </c>
      <c r="Q44" s="344">
        <f>#REF!+#REF!+#REF!</f>
        <v/>
      </c>
      <c r="R44" s="344">
        <f>#REF!+#REF!+#REF!</f>
        <v/>
      </c>
      <c r="S44" s="344">
        <f>#REF!+#REF!+#REF!</f>
        <v/>
      </c>
      <c r="T44" s="488">
        <f>S44-R44</f>
        <v/>
      </c>
      <c r="U44" s="488">
        <f>S44-Q44</f>
        <v/>
      </c>
      <c r="V44" s="346">
        <f>IF(Q44=0,"***",U44/Q44)</f>
        <v/>
      </c>
      <c r="W44" s="385">
        <f>#REF!+#REF!+#REF!</f>
        <v/>
      </c>
      <c r="X44" s="344">
        <f>#REF!+#REF!+#REF!</f>
        <v/>
      </c>
      <c r="Y44" s="344">
        <f>#REF!+#REF!+#REF!</f>
        <v/>
      </c>
      <c r="Z44" s="344">
        <f>#REF!+#REF!+#REF!</f>
        <v/>
      </c>
      <c r="AA44" s="488">
        <f>Z44-Y44</f>
        <v/>
      </c>
      <c r="AB44" s="488">
        <f>Z44-X44</f>
        <v/>
      </c>
      <c r="AC44" s="346">
        <f>IF(X44=0,"***",AB44/X44)</f>
        <v/>
      </c>
      <c r="AD44" s="385">
        <f>#REF!+#REF!+#REF!</f>
        <v/>
      </c>
      <c r="AE44" s="344">
        <f>#REF!+#REF!+#REF!</f>
        <v/>
      </c>
      <c r="AF44" s="344">
        <f>#REF!+#REF!+#REF!</f>
        <v/>
      </c>
      <c r="AG44" s="344">
        <f>#REF!+#REF!+#REF!</f>
        <v/>
      </c>
      <c r="AH44" s="488">
        <f>AG44-AF44</f>
        <v/>
      </c>
      <c r="AI44" s="488">
        <f>AG44-AE44</f>
        <v/>
      </c>
      <c r="AJ44" s="346">
        <f>IF(AE44=0,"***",AI44/AE44)</f>
        <v/>
      </c>
      <c r="AK44" s="385">
        <f>#REF!+#REF!+#REF!</f>
        <v/>
      </c>
      <c r="AL44" s="344">
        <f>#REF!+#REF!+#REF!</f>
        <v/>
      </c>
      <c r="AM44" s="344">
        <f>#REF!+#REF!+#REF!</f>
        <v/>
      </c>
      <c r="AN44" s="344">
        <f>#REF!+#REF!+#REF!</f>
        <v/>
      </c>
      <c r="AO44" s="488">
        <f>AN44-AM44</f>
        <v/>
      </c>
      <c r="AP44" s="488">
        <f>AN44-AL44</f>
        <v/>
      </c>
      <c r="AQ44" s="346">
        <f>IF(AL44=0,"***",AP44/AL44)</f>
        <v/>
      </c>
      <c r="AR44" s="385">
        <f>#REF!+#REF!+#REF!</f>
        <v/>
      </c>
      <c r="AS44" s="344">
        <f>#REF!+#REF!+#REF!</f>
        <v/>
      </c>
      <c r="AT44" s="344">
        <f>#REF!+#REF!+#REF!</f>
        <v/>
      </c>
      <c r="AU44" s="344">
        <f>#REF!+#REF!+#REF!</f>
        <v/>
      </c>
      <c r="AV44" s="488">
        <f>AU44-AT44</f>
        <v/>
      </c>
      <c r="AW44" s="488">
        <f>AU44-AS44</f>
        <v/>
      </c>
      <c r="AX44" s="346">
        <f>IF(AS44=0,"***",AW44/AS44)</f>
        <v/>
      </c>
      <c r="AY44" s="385">
        <f>#REF!+#REF!+#REF!</f>
        <v/>
      </c>
      <c r="AZ44" s="344">
        <f>#REF!+#REF!+#REF!</f>
        <v/>
      </c>
      <c r="BA44" s="344">
        <f>#REF!+#REF!+#REF!</f>
        <v/>
      </c>
      <c r="BB44" s="344">
        <f>#REF!+#REF!+#REF!</f>
        <v/>
      </c>
      <c r="BC44" s="488">
        <f>BB44-BA44</f>
        <v/>
      </c>
      <c r="BD44" s="488">
        <f>BB44-AZ44</f>
        <v/>
      </c>
      <c r="BE44" s="346">
        <f>IF(AZ44=0,"***",BD44/AZ44)</f>
        <v/>
      </c>
      <c r="BF44" s="385">
        <f>#REF!+#REF!+#REF!</f>
        <v/>
      </c>
      <c r="BG44" s="344">
        <f>#REF!+#REF!+#REF!</f>
        <v/>
      </c>
      <c r="BH44" s="344">
        <f>#REF!+#REF!+#REF!</f>
        <v/>
      </c>
      <c r="BI44" s="344">
        <f>#REF!+#REF!+#REF!</f>
        <v/>
      </c>
      <c r="BJ44" s="488">
        <f>BI44-BH44</f>
        <v/>
      </c>
      <c r="BK44" s="488">
        <f>BI44-BG44</f>
        <v/>
      </c>
      <c r="BL44" s="346">
        <f>IF(BG44=0,"***",BK44/BG44)</f>
        <v/>
      </c>
      <c r="BM44" s="385">
        <f>#REF!+#REF!+#REF!</f>
        <v/>
      </c>
      <c r="BN44" s="344">
        <f>#REF!+#REF!+#REF!</f>
        <v/>
      </c>
      <c r="BO44" s="344">
        <f>#REF!+#REF!+#REF!</f>
        <v/>
      </c>
      <c r="BP44" s="344">
        <f>#REF!+#REF!+#REF!</f>
        <v/>
      </c>
      <c r="BQ44" s="488">
        <f>BP44-BO44</f>
        <v/>
      </c>
      <c r="BR44" s="488">
        <f>BP44-BN44</f>
        <v/>
      </c>
      <c r="BS44" s="346">
        <f>IF(BN44=0,"***",BR44/BN44)</f>
        <v/>
      </c>
      <c r="BT44" s="385">
        <f>#REF!+#REF!+#REF!</f>
        <v/>
      </c>
      <c r="BU44" s="344">
        <f>#REF!+#REF!+#REF!</f>
        <v/>
      </c>
      <c r="BV44" s="344">
        <f>#REF!+#REF!+#REF!</f>
        <v/>
      </c>
      <c r="BW44" s="344">
        <f>#REF!+#REF!+#REF!</f>
        <v/>
      </c>
      <c r="BX44" s="488">
        <f>BW44-BV44</f>
        <v/>
      </c>
      <c r="BY44" s="488">
        <f>BW44-BU44</f>
        <v/>
      </c>
      <c r="BZ44" s="346">
        <f>IF(BU44=0,"***",BY44/BU44)</f>
        <v/>
      </c>
      <c r="CA44" s="385">
        <f>#REF!+#REF!+#REF!</f>
        <v/>
      </c>
      <c r="CB44" s="344">
        <f>#REF!+#REF!+#REF!</f>
        <v/>
      </c>
      <c r="CC44" s="344">
        <f>#REF!+#REF!+#REF!</f>
        <v/>
      </c>
      <c r="CD44" s="344">
        <f>#REF!+#REF!+#REF!</f>
        <v/>
      </c>
      <c r="CE44" s="488">
        <f>CD44-CC44</f>
        <v/>
      </c>
      <c r="CF44" s="488">
        <f>CD44-CB44</f>
        <v/>
      </c>
      <c r="CG44" s="346">
        <f>IF(CB44=0,"***",CF44/CB44)</f>
        <v/>
      </c>
      <c r="CH44" s="385">
        <f>#REF!+#REF!+#REF!</f>
        <v/>
      </c>
      <c r="CI44" s="344">
        <f>#REF!+#REF!+#REF!</f>
        <v/>
      </c>
      <c r="CJ44" s="344">
        <f>#REF!+#REF!+#REF!</f>
        <v/>
      </c>
      <c r="CK44" s="344">
        <f>#REF!+#REF!+#REF!</f>
        <v/>
      </c>
      <c r="CL44" s="488">
        <f>CK44-CJ44</f>
        <v/>
      </c>
      <c r="CM44" s="488">
        <f>CK44-CI44</f>
        <v/>
      </c>
      <c r="CN44" s="346">
        <f>IF(CI44=0,"***",CM44/CI44)</f>
        <v/>
      </c>
      <c r="CO44" s="305" t="n">
        <v>7387</v>
      </c>
      <c r="CP44" s="390" t="n">
        <v>1056</v>
      </c>
      <c r="CQ44" s="390" t="n">
        <v>5190</v>
      </c>
      <c r="CR44" s="390" t="n">
        <v>8792</v>
      </c>
      <c r="CS44" s="488">
        <f>CR44-CQ44</f>
        <v/>
      </c>
      <c r="CT44" s="488">
        <f>CR44-CP44</f>
        <v/>
      </c>
      <c r="CU44" s="346">
        <f>IF(CP44=0,"***",CT44/CP44)</f>
        <v/>
      </c>
      <c r="CV44" s="305" t="n">
        <v>2202</v>
      </c>
      <c r="CW44" s="390" t="n">
        <v>204</v>
      </c>
      <c r="CX44" s="390" t="n">
        <v>1020</v>
      </c>
      <c r="CY44" s="390" t="n">
        <v>1723</v>
      </c>
      <c r="CZ44" s="488">
        <f>CY44-CX44</f>
        <v/>
      </c>
      <c r="DA44" s="488">
        <f>CY44-CW44</f>
        <v/>
      </c>
      <c r="DB44" s="346">
        <f>IF(CW44=0,"***",DA44/CW44)</f>
        <v/>
      </c>
      <c r="DC44" s="386">
        <f>IF(CO44=0,"***",CV44/CO44)</f>
        <v/>
      </c>
      <c r="DD44" s="387">
        <f>IF(CP44=0,"***",CW44/CP44)</f>
        <v/>
      </c>
      <c r="DE44" s="387">
        <f>IF(CQ44=0,"***",CX44/CQ44)</f>
        <v/>
      </c>
      <c r="DF44" s="387">
        <f>IF(CR44=0,"***",CY44/CR44)</f>
        <v/>
      </c>
      <c r="DG44" s="387">
        <f>IF(DE44="***","***",DF44-DD44)</f>
        <v/>
      </c>
      <c r="DH44" s="388">
        <f>IF(DF44="***","***",DF44-DD44)</f>
        <v/>
      </c>
      <c r="DI44" s="389" t="n"/>
    </row>
    <row r="45">
      <c r="D45" s="117" t="inlineStr">
        <is>
          <t>合計</t>
        </is>
      </c>
      <c r="E45" s="118" t="n"/>
      <c r="F45" s="118" t="n"/>
      <c r="G45" s="118" t="n"/>
      <c r="H45" s="118" t="n"/>
      <c r="I45" s="497">
        <f>I41+I36</f>
        <v/>
      </c>
      <c r="J45" s="393">
        <f>J41+J36</f>
        <v/>
      </c>
      <c r="K45" s="393">
        <f>K41+K36</f>
        <v/>
      </c>
      <c r="L45" s="393">
        <f>L41+L36</f>
        <v/>
      </c>
      <c r="M45" s="498">
        <f>L45-K45</f>
        <v/>
      </c>
      <c r="N45" s="498">
        <f>L45-J45</f>
        <v/>
      </c>
      <c r="O45" s="395">
        <f>IF(J45=0,"***",N45/J45)</f>
        <v/>
      </c>
      <c r="P45" s="396">
        <f>P41+P36</f>
        <v/>
      </c>
      <c r="Q45" s="393">
        <f>Q41+Q36</f>
        <v/>
      </c>
      <c r="R45" s="393">
        <f>R41+R36</f>
        <v/>
      </c>
      <c r="S45" s="393">
        <f>S41+S36</f>
        <v/>
      </c>
      <c r="T45" s="498">
        <f>S45-R45</f>
        <v/>
      </c>
      <c r="U45" s="498">
        <f>S45-Q45</f>
        <v/>
      </c>
      <c r="V45" s="395">
        <f>IF(Q45=0,"***",U45/Q45)</f>
        <v/>
      </c>
      <c r="W45" s="497">
        <f>W41+W36</f>
        <v/>
      </c>
      <c r="X45" s="393">
        <f>X41+X36</f>
        <v/>
      </c>
      <c r="Y45" s="393">
        <f>Y41+Y36</f>
        <v/>
      </c>
      <c r="Z45" s="393">
        <f>Z41+Z36</f>
        <v/>
      </c>
      <c r="AA45" s="498">
        <f>Z45-Y45</f>
        <v/>
      </c>
      <c r="AB45" s="498">
        <f>Z45-X45</f>
        <v/>
      </c>
      <c r="AC45" s="395">
        <f>IF(X45=0,"***",AB45/X45)</f>
        <v/>
      </c>
      <c r="AD45" s="396">
        <f>AD41+AD36</f>
        <v/>
      </c>
      <c r="AE45" s="393">
        <f>AE41+AE36</f>
        <v/>
      </c>
      <c r="AF45" s="393">
        <f>AF41+AF36</f>
        <v/>
      </c>
      <c r="AG45" s="393">
        <f>AG41+AG36</f>
        <v/>
      </c>
      <c r="AH45" s="498">
        <f>AG45-AF45</f>
        <v/>
      </c>
      <c r="AI45" s="498">
        <f>AG45-AE45</f>
        <v/>
      </c>
      <c r="AJ45" s="395">
        <f>IF(AE45=0,"***",AI45/AE45)</f>
        <v/>
      </c>
      <c r="AK45" s="497">
        <f>AK41+AK36</f>
        <v/>
      </c>
      <c r="AL45" s="393">
        <f>AL41+AL36</f>
        <v/>
      </c>
      <c r="AM45" s="393">
        <f>AM41+AM36</f>
        <v/>
      </c>
      <c r="AN45" s="393">
        <f>AN41+AN36</f>
        <v/>
      </c>
      <c r="AO45" s="498">
        <f>AN45-AM45</f>
        <v/>
      </c>
      <c r="AP45" s="498">
        <f>AN45-AL45</f>
        <v/>
      </c>
      <c r="AQ45" s="395">
        <f>IF(AL45=0,"***",AP45/AL45)</f>
        <v/>
      </c>
      <c r="AR45" s="396">
        <f>AR41+AR36</f>
        <v/>
      </c>
      <c r="AS45" s="393">
        <f>AS41+AS36</f>
        <v/>
      </c>
      <c r="AT45" s="393">
        <f>AT41+AT36</f>
        <v/>
      </c>
      <c r="AU45" s="393">
        <f>AU41+AU36</f>
        <v/>
      </c>
      <c r="AV45" s="498">
        <f>AU45-AT45</f>
        <v/>
      </c>
      <c r="AW45" s="498">
        <f>AU45-AS45</f>
        <v/>
      </c>
      <c r="AX45" s="395">
        <f>IF(AS45=0,"***",AW45/AS45)</f>
        <v/>
      </c>
      <c r="AY45" s="497">
        <f>AY41+AY36</f>
        <v/>
      </c>
      <c r="AZ45" s="393">
        <f>AZ41+AZ36</f>
        <v/>
      </c>
      <c r="BA45" s="393">
        <f>BA41+BA36</f>
        <v/>
      </c>
      <c r="BB45" s="393">
        <f>BB41+BB36</f>
        <v/>
      </c>
      <c r="BC45" s="498">
        <f>BB45-BA45</f>
        <v/>
      </c>
      <c r="BD45" s="498">
        <f>BB45-AZ45</f>
        <v/>
      </c>
      <c r="BE45" s="395">
        <f>IF(AZ45=0,"***",BD45/AZ45)</f>
        <v/>
      </c>
      <c r="BF45" s="396">
        <f>BF41+BF36</f>
        <v/>
      </c>
      <c r="BG45" s="393">
        <f>BG41+BG36</f>
        <v/>
      </c>
      <c r="BH45" s="393">
        <f>BH41+BH36</f>
        <v/>
      </c>
      <c r="BI45" s="393">
        <f>BI41+BI36</f>
        <v/>
      </c>
      <c r="BJ45" s="498">
        <f>BI45-BH45</f>
        <v/>
      </c>
      <c r="BK45" s="498">
        <f>BI45-BG45</f>
        <v/>
      </c>
      <c r="BL45" s="395">
        <f>IF(BG45=0,"***",BK45/BG45)</f>
        <v/>
      </c>
      <c r="BM45" s="497">
        <f>BM41+BM36</f>
        <v/>
      </c>
      <c r="BN45" s="393">
        <f>BN41+BN36</f>
        <v/>
      </c>
      <c r="BO45" s="393">
        <f>BO41+BO36</f>
        <v/>
      </c>
      <c r="BP45" s="393">
        <f>BP41+BP36</f>
        <v/>
      </c>
      <c r="BQ45" s="498">
        <f>BP45-BO45</f>
        <v/>
      </c>
      <c r="BR45" s="498">
        <f>BP45-BN45</f>
        <v/>
      </c>
      <c r="BS45" s="395">
        <f>IF(BN45=0,"***",BR45/BN45)</f>
        <v/>
      </c>
      <c r="BT45" s="396">
        <f>BT41+BT36</f>
        <v/>
      </c>
      <c r="BU45" s="393">
        <f>BU41+BU36</f>
        <v/>
      </c>
      <c r="BV45" s="393">
        <f>BV41+BV36</f>
        <v/>
      </c>
      <c r="BW45" s="393">
        <f>BW41+BW36</f>
        <v/>
      </c>
      <c r="BX45" s="498">
        <f>BW45-BV45</f>
        <v/>
      </c>
      <c r="BY45" s="498">
        <f>BW45-BU45</f>
        <v/>
      </c>
      <c r="BZ45" s="395">
        <f>IF(BU45=0,"***",BY45/BU45)</f>
        <v/>
      </c>
      <c r="CA45" s="497">
        <f>CA41+CA36</f>
        <v/>
      </c>
      <c r="CB45" s="393">
        <f>CB41+CB36</f>
        <v/>
      </c>
      <c r="CC45" s="393">
        <f>CC41+CC36</f>
        <v/>
      </c>
      <c r="CD45" s="393">
        <f>CD41+CD36</f>
        <v/>
      </c>
      <c r="CE45" s="498">
        <f>CD45-CC45</f>
        <v/>
      </c>
      <c r="CF45" s="498">
        <f>CD45-CB45</f>
        <v/>
      </c>
      <c r="CG45" s="395">
        <f>IF(CB45=0,"***",CF45/CB45)</f>
        <v/>
      </c>
      <c r="CH45" s="396">
        <f>CH41+CH36</f>
        <v/>
      </c>
      <c r="CI45" s="393">
        <f>CI41+CI36</f>
        <v/>
      </c>
      <c r="CJ45" s="393">
        <f>CJ41+CJ36</f>
        <v/>
      </c>
      <c r="CK45" s="393">
        <f>CK41+CK36</f>
        <v/>
      </c>
      <c r="CL45" s="498">
        <f>CK45-CJ45</f>
        <v/>
      </c>
      <c r="CM45" s="498">
        <f>CK45-CI45</f>
        <v/>
      </c>
      <c r="CN45" s="395">
        <f>IF(CI45=0,"***",CM45/CI45)</f>
        <v/>
      </c>
      <c r="CO45" s="391">
        <f>CO41+CO36</f>
        <v/>
      </c>
      <c r="CP45" s="392">
        <f>CP41+CP36</f>
        <v/>
      </c>
      <c r="CQ45" s="393">
        <f>CQ41+CQ36</f>
        <v/>
      </c>
      <c r="CR45" s="393">
        <f>CR41+CR36</f>
        <v/>
      </c>
      <c r="CS45" s="498">
        <f>CR45-CQ45</f>
        <v/>
      </c>
      <c r="CT45" s="498">
        <f>CR45-CP45</f>
        <v/>
      </c>
      <c r="CU45" s="395">
        <f>IF(CP45=0,"***",CT45/CP45)</f>
        <v/>
      </c>
      <c r="CV45" s="396">
        <f>CV41+CV36</f>
        <v/>
      </c>
      <c r="CW45" s="393">
        <f>CW41+CW36</f>
        <v/>
      </c>
      <c r="CX45" s="393">
        <f>CX41+CX36</f>
        <v/>
      </c>
      <c r="CY45" s="393">
        <f>CY41+CY36</f>
        <v/>
      </c>
      <c r="CZ45" s="498">
        <f>CY45-CX45</f>
        <v/>
      </c>
      <c r="DA45" s="498">
        <f>CY45-CW45</f>
        <v/>
      </c>
      <c r="DB45" s="395">
        <f>IF(CW45=0,"***",DA45/CW45)</f>
        <v/>
      </c>
      <c r="DC45" s="397">
        <f>IF(CO45=0,"***",CV45/CO45)</f>
        <v/>
      </c>
      <c r="DD45" s="398">
        <f>IF(CP45=0,"***",CW45/CP45)</f>
        <v/>
      </c>
      <c r="DE45" s="398">
        <f>IF(CQ45=0,"***",CX45/CQ45)</f>
        <v/>
      </c>
      <c r="DF45" s="398">
        <f>IF(CR45=0,"***",CY45/CR45)</f>
        <v/>
      </c>
      <c r="DG45" s="398">
        <f>IF(DE45="***","***",DF45-DD45)</f>
        <v/>
      </c>
      <c r="DH45" s="399">
        <f>IF(DF45="***","***",DF45-DD45)</f>
        <v/>
      </c>
      <c r="DI45" s="499" t="inlineStr">
        <is>
          <t>参考大海商権移行分(47,424/12,305)</t>
        </is>
      </c>
    </row>
    <row r="46">
      <c r="D46" s="8" t="n"/>
      <c r="E46" s="118" t="n"/>
      <c r="F46" s="118" t="n"/>
      <c r="G46" s="118" t="n"/>
      <c r="H46" s="130" t="inlineStr">
        <is>
          <t>機械以外</t>
        </is>
      </c>
      <c r="I46" s="420">
        <f>I45-I47</f>
        <v/>
      </c>
      <c r="J46" s="403">
        <f>J45-J47</f>
        <v/>
      </c>
      <c r="K46" s="403">
        <f>K45-K47</f>
        <v/>
      </c>
      <c r="L46" s="403">
        <f>L45-L47</f>
        <v/>
      </c>
      <c r="M46" s="500">
        <f>L46-K46</f>
        <v/>
      </c>
      <c r="N46" s="500">
        <f>L46-J46</f>
        <v/>
      </c>
      <c r="O46" s="405">
        <f>IF(J46=0,"***",N46/J46)</f>
        <v/>
      </c>
      <c r="P46" s="406">
        <f>P45-P47</f>
        <v/>
      </c>
      <c r="Q46" s="403">
        <f>Q45-Q47</f>
        <v/>
      </c>
      <c r="R46" s="403">
        <f>R45-R47</f>
        <v/>
      </c>
      <c r="S46" s="403">
        <f>S45-S47</f>
        <v/>
      </c>
      <c r="T46" s="500">
        <f>S46-R46</f>
        <v/>
      </c>
      <c r="U46" s="500">
        <f>S46-Q46</f>
        <v/>
      </c>
      <c r="V46" s="405">
        <f>IF(Q46=0,"***",U46/Q46)</f>
        <v/>
      </c>
      <c r="W46" s="420">
        <f>W45-W47</f>
        <v/>
      </c>
      <c r="X46" s="403">
        <f>X45-X47</f>
        <v/>
      </c>
      <c r="Y46" s="403">
        <f>Y45-Y47</f>
        <v/>
      </c>
      <c r="Z46" s="403">
        <f>Z45-Z47</f>
        <v/>
      </c>
      <c r="AA46" s="500">
        <f>Z46-Y46</f>
        <v/>
      </c>
      <c r="AB46" s="500">
        <f>Z46-X46</f>
        <v/>
      </c>
      <c r="AC46" s="405">
        <f>IF(X46=0,"***",AB46/X46)</f>
        <v/>
      </c>
      <c r="AD46" s="406">
        <f>AD45-AD47</f>
        <v/>
      </c>
      <c r="AE46" s="403">
        <f>AE45-AE47</f>
        <v/>
      </c>
      <c r="AF46" s="403">
        <f>AF45-AF47</f>
        <v/>
      </c>
      <c r="AG46" s="403">
        <f>AG45-AG47</f>
        <v/>
      </c>
      <c r="AH46" s="500">
        <f>AG46-AF46</f>
        <v/>
      </c>
      <c r="AI46" s="500">
        <f>AG46-AE46</f>
        <v/>
      </c>
      <c r="AJ46" s="405">
        <f>IF(AE46=0,"***",AI46/AE46)</f>
        <v/>
      </c>
      <c r="AK46" s="420">
        <f>AK45-AK47</f>
        <v/>
      </c>
      <c r="AL46" s="403">
        <f>AL45-AL47</f>
        <v/>
      </c>
      <c r="AM46" s="403">
        <f>AM45-AM47</f>
        <v/>
      </c>
      <c r="AN46" s="403">
        <f>AN45-AN47</f>
        <v/>
      </c>
      <c r="AO46" s="500">
        <f>AN46-AM46</f>
        <v/>
      </c>
      <c r="AP46" s="500">
        <f>AN46-AL46</f>
        <v/>
      </c>
      <c r="AQ46" s="405">
        <f>IF(AL46=0,"***",AP46/AL46)</f>
        <v/>
      </c>
      <c r="AR46" s="406">
        <f>AR45-AR47</f>
        <v/>
      </c>
      <c r="AS46" s="403">
        <f>AS45-AS47</f>
        <v/>
      </c>
      <c r="AT46" s="403">
        <f>AT45-AT47</f>
        <v/>
      </c>
      <c r="AU46" s="403">
        <f>AU45-AU47</f>
        <v/>
      </c>
      <c r="AV46" s="500">
        <f>AU46-AT46</f>
        <v/>
      </c>
      <c r="AW46" s="500">
        <f>AU46-AS46</f>
        <v/>
      </c>
      <c r="AX46" s="405">
        <f>IF(AS46=0,"***",AW46/AS46)</f>
        <v/>
      </c>
      <c r="AY46" s="420">
        <f>AY45-AY47</f>
        <v/>
      </c>
      <c r="AZ46" s="403">
        <f>AZ45-AZ47</f>
        <v/>
      </c>
      <c r="BA46" s="403">
        <f>BA45-BA47</f>
        <v/>
      </c>
      <c r="BB46" s="403">
        <f>BB45-BB47</f>
        <v/>
      </c>
      <c r="BC46" s="500">
        <f>BB46-BA46</f>
        <v/>
      </c>
      <c r="BD46" s="500">
        <f>BB46-AZ46</f>
        <v/>
      </c>
      <c r="BE46" s="405">
        <f>IF(AZ46=0,"***",BD46/AZ46)</f>
        <v/>
      </c>
      <c r="BF46" s="406">
        <f>BF45-BF47</f>
        <v/>
      </c>
      <c r="BG46" s="403">
        <f>BG45-BG47</f>
        <v/>
      </c>
      <c r="BH46" s="403">
        <f>BH45-BH47</f>
        <v/>
      </c>
      <c r="BI46" s="403">
        <f>BI45-BI47</f>
        <v/>
      </c>
      <c r="BJ46" s="500">
        <f>BI46-BH46</f>
        <v/>
      </c>
      <c r="BK46" s="500">
        <f>BI46-BG46</f>
        <v/>
      </c>
      <c r="BL46" s="405">
        <f>IF(BG46=0,"***",BK46/BG46)</f>
        <v/>
      </c>
      <c r="BM46" s="420">
        <f>BM45-BM47</f>
        <v/>
      </c>
      <c r="BN46" s="403">
        <f>BN45-BN47</f>
        <v/>
      </c>
      <c r="BO46" s="403">
        <f>BO45-BO47</f>
        <v/>
      </c>
      <c r="BP46" s="403">
        <f>BP45-BP47</f>
        <v/>
      </c>
      <c r="BQ46" s="500">
        <f>BP46-BO46</f>
        <v/>
      </c>
      <c r="BR46" s="500">
        <f>BP46-BN46</f>
        <v/>
      </c>
      <c r="BS46" s="405">
        <f>IF(BN46=0,"***",BR46/BN46)</f>
        <v/>
      </c>
      <c r="BT46" s="406">
        <f>BT45-BT47</f>
        <v/>
      </c>
      <c r="BU46" s="403">
        <f>BU45-BU47</f>
        <v/>
      </c>
      <c r="BV46" s="403">
        <f>BV45-BV47</f>
        <v/>
      </c>
      <c r="BW46" s="403">
        <f>BW45-BW47</f>
        <v/>
      </c>
      <c r="BX46" s="500">
        <f>BW46-BV46</f>
        <v/>
      </c>
      <c r="BY46" s="500">
        <f>BW46-BU46</f>
        <v/>
      </c>
      <c r="BZ46" s="405">
        <f>IF(BU46=0,"***",BY46/BU46)</f>
        <v/>
      </c>
      <c r="CA46" s="420">
        <f>CA45-CA47</f>
        <v/>
      </c>
      <c r="CB46" s="403">
        <f>CB45-CB47</f>
        <v/>
      </c>
      <c r="CC46" s="403">
        <f>CC45-CC47</f>
        <v/>
      </c>
      <c r="CD46" s="403">
        <f>CD45-CD47</f>
        <v/>
      </c>
      <c r="CE46" s="500">
        <f>CD46-CC46</f>
        <v/>
      </c>
      <c r="CF46" s="500">
        <f>CD46-CB46</f>
        <v/>
      </c>
      <c r="CG46" s="405">
        <f>IF(CB46=0,"***",CF46/CB46)</f>
        <v/>
      </c>
      <c r="CH46" s="406">
        <f>CH45-CH47</f>
        <v/>
      </c>
      <c r="CI46" s="403">
        <f>CI45-CI47</f>
        <v/>
      </c>
      <c r="CJ46" s="403">
        <f>CJ45-CJ47</f>
        <v/>
      </c>
      <c r="CK46" s="403">
        <f>CK45-CK47</f>
        <v/>
      </c>
      <c r="CL46" s="500">
        <f>CK46-CJ46</f>
        <v/>
      </c>
      <c r="CM46" s="500">
        <f>CK46-CI46</f>
        <v/>
      </c>
      <c r="CN46" s="405">
        <f>IF(CI46=0,"***",CM46/CI46)</f>
        <v/>
      </c>
      <c r="CO46" s="401">
        <f>CO45-CO47</f>
        <v/>
      </c>
      <c r="CP46" s="402">
        <f>CP45-CP47</f>
        <v/>
      </c>
      <c r="CQ46" s="403">
        <f>CQ45-CQ47</f>
        <v/>
      </c>
      <c r="CR46" s="403">
        <f>CR45-CR47</f>
        <v/>
      </c>
      <c r="CS46" s="500">
        <f>CR46-CQ46</f>
        <v/>
      </c>
      <c r="CT46" s="500">
        <f>CR46-CP46</f>
        <v/>
      </c>
      <c r="CU46" s="405">
        <f>IF(CP46=0,"***",CT46/CP46)</f>
        <v/>
      </c>
      <c r="CV46" s="406">
        <f>CV45-CV47</f>
        <v/>
      </c>
      <c r="CW46" s="403">
        <f>CW45-CW47</f>
        <v/>
      </c>
      <c r="CX46" s="403">
        <f>CX45-CX47</f>
        <v/>
      </c>
      <c r="CY46" s="403">
        <f>CY45-CY47</f>
        <v/>
      </c>
      <c r="CZ46" s="500">
        <f>CY46-CX46</f>
        <v/>
      </c>
      <c r="DA46" s="500">
        <f>CY46-CW46</f>
        <v/>
      </c>
      <c r="DB46" s="405">
        <f>IF(CW46=0,"***",DA46/CW46)</f>
        <v/>
      </c>
      <c r="DC46" s="407">
        <f>IF(CO46=0,"***",CV46/CO46)</f>
        <v/>
      </c>
      <c r="DD46" s="408">
        <f>IF(CP46=0,"***",CW46/CP46)</f>
        <v/>
      </c>
      <c r="DE46" s="408">
        <f>IF(CQ46=0,"***",CX46/CQ46)</f>
        <v/>
      </c>
      <c r="DF46" s="408">
        <f>IF(CR46=0,"***",CY46/CR46)</f>
        <v/>
      </c>
      <c r="DG46" s="408">
        <f>IF(DE46="***","***",DF46-DD46)</f>
        <v/>
      </c>
      <c r="DH46" s="409">
        <f>IF(DF46="***","***",DF46-DD46)</f>
        <v/>
      </c>
      <c r="DI46" s="410" t="n"/>
    </row>
    <row r="47">
      <c r="D47" s="8" t="n"/>
      <c r="E47" s="118" t="n"/>
      <c r="F47" s="118" t="n"/>
      <c r="G47" s="118" t="n"/>
      <c r="H47" s="212" t="inlineStr">
        <is>
          <t>機械</t>
        </is>
      </c>
      <c r="I47" s="411">
        <f>I38+I44</f>
        <v/>
      </c>
      <c r="J47" s="412">
        <f>J38+J44</f>
        <v/>
      </c>
      <c r="K47" s="412">
        <f>K38+K44</f>
        <v/>
      </c>
      <c r="L47" s="412">
        <f>L38+L44</f>
        <v/>
      </c>
      <c r="M47" s="501">
        <f>L47-K47</f>
        <v/>
      </c>
      <c r="N47" s="501">
        <f>L47-J47</f>
        <v/>
      </c>
      <c r="O47" s="414">
        <f>IF(J47=0,"***",N47/J47)</f>
        <v/>
      </c>
      <c r="P47" s="415">
        <f>P38+P44</f>
        <v/>
      </c>
      <c r="Q47" s="412">
        <f>Q38+Q44</f>
        <v/>
      </c>
      <c r="R47" s="412">
        <f>R38+R44</f>
        <v/>
      </c>
      <c r="S47" s="412">
        <f>S38+S44</f>
        <v/>
      </c>
      <c r="T47" s="501">
        <f>S47-R47</f>
        <v/>
      </c>
      <c r="U47" s="501">
        <f>S47-Q47</f>
        <v/>
      </c>
      <c r="V47" s="414">
        <f>IF(Q47=0,"***",U47/Q47)</f>
        <v/>
      </c>
      <c r="W47" s="411">
        <f>W38+W44</f>
        <v/>
      </c>
      <c r="X47" s="412">
        <f>X38+X44</f>
        <v/>
      </c>
      <c r="Y47" s="412">
        <f>Y38+Y44</f>
        <v/>
      </c>
      <c r="Z47" s="412">
        <f>Z38+Z44</f>
        <v/>
      </c>
      <c r="AA47" s="501">
        <f>Z47-Y47</f>
        <v/>
      </c>
      <c r="AB47" s="501">
        <f>Z47-X47</f>
        <v/>
      </c>
      <c r="AC47" s="414">
        <f>IF(X47=0,"***",AB47/X47)</f>
        <v/>
      </c>
      <c r="AD47" s="415">
        <f>AD38+AD44</f>
        <v/>
      </c>
      <c r="AE47" s="412">
        <f>AE38+AE44</f>
        <v/>
      </c>
      <c r="AF47" s="412">
        <f>AF38+AF44</f>
        <v/>
      </c>
      <c r="AG47" s="412">
        <f>AG38+AG44</f>
        <v/>
      </c>
      <c r="AH47" s="501">
        <f>AG47-AF47</f>
        <v/>
      </c>
      <c r="AI47" s="501">
        <f>AG47-AE47</f>
        <v/>
      </c>
      <c r="AJ47" s="414">
        <f>IF(AE47=0,"***",AI47/AE47)</f>
        <v/>
      </c>
      <c r="AK47" s="411">
        <f>AK38+AK44</f>
        <v/>
      </c>
      <c r="AL47" s="412">
        <f>AL38+AL44</f>
        <v/>
      </c>
      <c r="AM47" s="412">
        <f>AM38+AM44</f>
        <v/>
      </c>
      <c r="AN47" s="412">
        <f>AN38+AN44</f>
        <v/>
      </c>
      <c r="AO47" s="501">
        <f>AN47-AM47</f>
        <v/>
      </c>
      <c r="AP47" s="501">
        <f>AN47-AL47</f>
        <v/>
      </c>
      <c r="AQ47" s="414">
        <f>IF(AL47=0,"***",AP47/AL47)</f>
        <v/>
      </c>
      <c r="AR47" s="415">
        <f>AR38+AR44</f>
        <v/>
      </c>
      <c r="AS47" s="412">
        <f>AS38+AS44</f>
        <v/>
      </c>
      <c r="AT47" s="412">
        <f>AT38+AT44</f>
        <v/>
      </c>
      <c r="AU47" s="412">
        <f>AU38+AU44</f>
        <v/>
      </c>
      <c r="AV47" s="501">
        <f>AU47-AT47</f>
        <v/>
      </c>
      <c r="AW47" s="501">
        <f>AU47-AS47</f>
        <v/>
      </c>
      <c r="AX47" s="414">
        <f>IF(AS47=0,"***",AW47/AS47)</f>
        <v/>
      </c>
      <c r="AY47" s="411">
        <f>AY38+AY44</f>
        <v/>
      </c>
      <c r="AZ47" s="412">
        <f>AZ38+AZ44</f>
        <v/>
      </c>
      <c r="BA47" s="412">
        <f>BA38+BA44</f>
        <v/>
      </c>
      <c r="BB47" s="412">
        <f>BB38+BB44</f>
        <v/>
      </c>
      <c r="BC47" s="501">
        <f>BB47-BA47</f>
        <v/>
      </c>
      <c r="BD47" s="501">
        <f>BB47-AZ47</f>
        <v/>
      </c>
      <c r="BE47" s="414">
        <f>IF(AZ47=0,"***",BD47/AZ47)</f>
        <v/>
      </c>
      <c r="BF47" s="415">
        <f>BF38+BF44</f>
        <v/>
      </c>
      <c r="BG47" s="412">
        <f>BG38+BG44</f>
        <v/>
      </c>
      <c r="BH47" s="412">
        <f>BH38+BH44</f>
        <v/>
      </c>
      <c r="BI47" s="412">
        <f>BI38+BI44</f>
        <v/>
      </c>
      <c r="BJ47" s="501">
        <f>BI47-BH47</f>
        <v/>
      </c>
      <c r="BK47" s="501">
        <f>BI47-BG47</f>
        <v/>
      </c>
      <c r="BL47" s="414">
        <f>IF(BG47=0,"***",BK47/BG47)</f>
        <v/>
      </c>
      <c r="BM47" s="411">
        <f>BM38+BM44</f>
        <v/>
      </c>
      <c r="BN47" s="412">
        <f>BN38+BN44</f>
        <v/>
      </c>
      <c r="BO47" s="412">
        <f>BO38+BO44</f>
        <v/>
      </c>
      <c r="BP47" s="412">
        <f>BP38+BP44</f>
        <v/>
      </c>
      <c r="BQ47" s="501">
        <f>BP47-BO47</f>
        <v/>
      </c>
      <c r="BR47" s="501">
        <f>BP47-BN47</f>
        <v/>
      </c>
      <c r="BS47" s="414">
        <f>IF(BN47=0,"***",BR47/BN47)</f>
        <v/>
      </c>
      <c r="BT47" s="415">
        <f>BT38+BT44</f>
        <v/>
      </c>
      <c r="BU47" s="412">
        <f>BU38+BU44</f>
        <v/>
      </c>
      <c r="BV47" s="412">
        <f>BV38+BV44</f>
        <v/>
      </c>
      <c r="BW47" s="412">
        <f>BW38+BW44</f>
        <v/>
      </c>
      <c r="BX47" s="501">
        <f>BW47-BV47</f>
        <v/>
      </c>
      <c r="BY47" s="501">
        <f>BW47-BU47</f>
        <v/>
      </c>
      <c r="BZ47" s="414">
        <f>IF(BU47=0,"***",BY47/BU47)</f>
        <v/>
      </c>
      <c r="CA47" s="411">
        <f>CA38+CA44</f>
        <v/>
      </c>
      <c r="CB47" s="412">
        <f>CB38+CB44</f>
        <v/>
      </c>
      <c r="CC47" s="412">
        <f>CC38+CC44</f>
        <v/>
      </c>
      <c r="CD47" s="412">
        <f>CD38+CD44</f>
        <v/>
      </c>
      <c r="CE47" s="501">
        <f>CD47-CC47</f>
        <v/>
      </c>
      <c r="CF47" s="501">
        <f>CD47-CB47</f>
        <v/>
      </c>
      <c r="CG47" s="414">
        <f>IF(CB47=0,"***",CF47/CB47)</f>
        <v/>
      </c>
      <c r="CH47" s="415">
        <f>CH38+CH44</f>
        <v/>
      </c>
      <c r="CI47" s="412">
        <f>CI38+CI44</f>
        <v/>
      </c>
      <c r="CJ47" s="412">
        <f>CJ38+CJ44</f>
        <v/>
      </c>
      <c r="CK47" s="412">
        <f>CK38+CK44</f>
        <v/>
      </c>
      <c r="CL47" s="501">
        <f>CK47-CJ47</f>
        <v/>
      </c>
      <c r="CM47" s="501">
        <f>CK47-CI47</f>
        <v/>
      </c>
      <c r="CN47" s="414">
        <f>IF(CI47=0,"***",CM47/CI47)</f>
        <v/>
      </c>
      <c r="CO47" s="411">
        <f>CO38+CO44</f>
        <v/>
      </c>
      <c r="CP47" s="412">
        <f>CP38+CP44</f>
        <v/>
      </c>
      <c r="CQ47" s="412">
        <f>CQ38+CQ44</f>
        <v/>
      </c>
      <c r="CR47" s="412">
        <f>CR38+CR44</f>
        <v/>
      </c>
      <c r="CS47" s="501">
        <f>CR47-CQ47</f>
        <v/>
      </c>
      <c r="CT47" s="501">
        <f>CR47-CP47</f>
        <v/>
      </c>
      <c r="CU47" s="414">
        <f>IF(CP47=0,"***",CT47/CP47)</f>
        <v/>
      </c>
      <c r="CV47" s="415">
        <f>CV38+CV44</f>
        <v/>
      </c>
      <c r="CW47" s="412">
        <f>CW38+CW44</f>
        <v/>
      </c>
      <c r="CX47" s="412">
        <f>CX38+CX44</f>
        <v/>
      </c>
      <c r="CY47" s="412">
        <f>CY38+CY44</f>
        <v/>
      </c>
      <c r="CZ47" s="501">
        <f>CY47-CX47</f>
        <v/>
      </c>
      <c r="DA47" s="501">
        <f>CY47-CW47</f>
        <v/>
      </c>
      <c r="DB47" s="414">
        <f>IF(CW47=0,"***",DA47/CW47)</f>
        <v/>
      </c>
      <c r="DC47" s="416">
        <f>IF(CO47=0,"***",CV47/CO47)</f>
        <v/>
      </c>
      <c r="DD47" s="417">
        <f>IF(CP47=0,"***",CW47/CP47)</f>
        <v/>
      </c>
      <c r="DE47" s="417">
        <f>IF(CQ47=0,"***",CX47/CQ47)</f>
        <v/>
      </c>
      <c r="DF47" s="417">
        <f>IF(CR47=0,"***",CY47/CR47)</f>
        <v/>
      </c>
      <c r="DG47" s="417">
        <f>IF(DE47="***","***",DF47-DD47)</f>
        <v/>
      </c>
      <c r="DH47" s="418">
        <f>IF(DF47="***","***",DF47-DD47)</f>
        <v/>
      </c>
      <c r="DI47" s="419" t="n"/>
    </row>
    <row r="48">
      <c r="D48" s="8" t="n"/>
      <c r="E48" s="118" t="n"/>
      <c r="F48" s="118" t="n"/>
      <c r="G48" s="118" t="n"/>
      <c r="H48" s="213" t="inlineStr">
        <is>
          <t>自治体</t>
        </is>
      </c>
      <c r="I48" s="420" t="n"/>
      <c r="J48" s="403" t="n"/>
      <c r="K48" s="403" t="n"/>
      <c r="L48" s="403" t="n"/>
      <c r="M48" s="500" t="n"/>
      <c r="N48" s="500" t="n"/>
      <c r="O48" s="405" t="n"/>
      <c r="P48" s="406" t="n"/>
      <c r="Q48" s="403" t="n"/>
      <c r="R48" s="403" t="n"/>
      <c r="S48" s="403" t="n"/>
      <c r="T48" s="500" t="n"/>
      <c r="U48" s="500" t="n"/>
      <c r="V48" s="405" t="n"/>
      <c r="W48" s="420" t="n"/>
      <c r="X48" s="403" t="n"/>
      <c r="Y48" s="403" t="n"/>
      <c r="Z48" s="403" t="n"/>
      <c r="AA48" s="500" t="n"/>
      <c r="AB48" s="500" t="n"/>
      <c r="AC48" s="405" t="n"/>
      <c r="AD48" s="406" t="n"/>
      <c r="AE48" s="403" t="n"/>
      <c r="AF48" s="403" t="n"/>
      <c r="AG48" s="403" t="n"/>
      <c r="AH48" s="500" t="n"/>
      <c r="AI48" s="500" t="n"/>
      <c r="AJ48" s="405" t="n"/>
      <c r="AK48" s="420" t="n"/>
      <c r="AL48" s="403" t="n"/>
      <c r="AM48" s="403" t="n"/>
      <c r="AN48" s="403" t="n"/>
      <c r="AO48" s="500" t="n"/>
      <c r="AP48" s="500" t="n"/>
      <c r="AQ48" s="405" t="n"/>
      <c r="AR48" s="406" t="n"/>
      <c r="AS48" s="403" t="n"/>
      <c r="AT48" s="403" t="n"/>
      <c r="AU48" s="403" t="n"/>
      <c r="AV48" s="500" t="n"/>
      <c r="AW48" s="500" t="n"/>
      <c r="AX48" s="405" t="n"/>
      <c r="AY48" s="420" t="n"/>
      <c r="AZ48" s="403" t="n"/>
      <c r="BA48" s="403" t="n"/>
      <c r="BB48" s="403" t="n"/>
      <c r="BC48" s="500" t="n"/>
      <c r="BD48" s="500" t="n"/>
      <c r="BE48" s="405" t="n"/>
      <c r="BF48" s="406" t="n"/>
      <c r="BG48" s="403" t="n"/>
      <c r="BH48" s="403" t="n"/>
      <c r="BI48" s="403" t="n"/>
      <c r="BJ48" s="500" t="n"/>
      <c r="BK48" s="500" t="n"/>
      <c r="BL48" s="405" t="n"/>
      <c r="BM48" s="420" t="n"/>
      <c r="BN48" s="403" t="n"/>
      <c r="BO48" s="403" t="n"/>
      <c r="BP48" s="403" t="n"/>
      <c r="BQ48" s="500" t="n"/>
      <c r="BR48" s="500" t="n"/>
      <c r="BS48" s="405" t="n"/>
      <c r="BT48" s="406" t="n"/>
      <c r="BU48" s="403" t="n"/>
      <c r="BV48" s="403" t="n"/>
      <c r="BW48" s="403" t="n"/>
      <c r="BX48" s="500" t="n"/>
      <c r="BY48" s="500" t="n"/>
      <c r="BZ48" s="405" t="n"/>
      <c r="CA48" s="420" t="n"/>
      <c r="CB48" s="403" t="n"/>
      <c r="CC48" s="403" t="n"/>
      <c r="CD48" s="403" t="n"/>
      <c r="CE48" s="500" t="n"/>
      <c r="CF48" s="500" t="n"/>
      <c r="CG48" s="405" t="n"/>
      <c r="CH48" s="406" t="n"/>
      <c r="CI48" s="403" t="n"/>
      <c r="CJ48" s="403" t="n"/>
      <c r="CK48" s="403" t="n"/>
      <c r="CL48" s="500" t="n"/>
      <c r="CM48" s="500" t="n"/>
      <c r="CN48" s="405" t="n"/>
      <c r="CO48" s="420">
        <f>CO39</f>
        <v/>
      </c>
      <c r="CP48" s="403">
        <f>CP39</f>
        <v/>
      </c>
      <c r="CQ48" s="403">
        <f>CQ39</f>
        <v/>
      </c>
      <c r="CR48" s="403">
        <f>CR39</f>
        <v/>
      </c>
      <c r="CS48" s="500">
        <f>CR48-CQ48</f>
        <v/>
      </c>
      <c r="CT48" s="500">
        <f>CR48-CP48</f>
        <v/>
      </c>
      <c r="CU48" s="405">
        <f>IF(CP48=0,"***",CT48/CP48)</f>
        <v/>
      </c>
      <c r="CV48" s="406">
        <f>CV39</f>
        <v/>
      </c>
      <c r="CW48" s="403">
        <f>CW39</f>
        <v/>
      </c>
      <c r="CX48" s="403">
        <f>CX39</f>
        <v/>
      </c>
      <c r="CY48" s="403">
        <f>CY39</f>
        <v/>
      </c>
      <c r="CZ48" s="500">
        <f>CY48-CX48</f>
        <v/>
      </c>
      <c r="DA48" s="500">
        <f>CY48-CW48</f>
        <v/>
      </c>
      <c r="DB48" s="405">
        <f>IF(CW48=0,"***",DA48/CW48)</f>
        <v/>
      </c>
      <c r="DC48" s="407">
        <f>IF(CO48=0,"***",CV48/CO48)</f>
        <v/>
      </c>
      <c r="DD48" s="408">
        <f>IF(CP48=0,"***",CW48/CP48)</f>
        <v/>
      </c>
      <c r="DE48" s="408">
        <f>IF(CQ48=0,"***",CX48/CQ48)</f>
        <v/>
      </c>
      <c r="DF48" s="408">
        <f>IF(CR48=0,"***",CY48/CR48)</f>
        <v/>
      </c>
      <c r="DG48" s="408">
        <f>IF(DE48="***","***",DF48-DD48)</f>
        <v/>
      </c>
      <c r="DH48" s="409">
        <f>IF(DF48="***","***",DF48-DD48)</f>
        <v/>
      </c>
      <c r="DI48" s="410" t="n"/>
    </row>
    <row r="49">
      <c r="D49" s="152" t="n"/>
      <c r="E49" s="153" t="n"/>
      <c r="F49" s="153" t="n"/>
      <c r="G49" s="153" t="n"/>
      <c r="H49" s="214" t="inlineStr">
        <is>
          <t>海外</t>
        </is>
      </c>
      <c r="I49" s="421" t="n"/>
      <c r="J49" s="422" t="n"/>
      <c r="K49" s="422" t="n"/>
      <c r="L49" s="422" t="n"/>
      <c r="M49" s="502" t="n"/>
      <c r="N49" s="502" t="n"/>
      <c r="O49" s="424" t="n"/>
      <c r="P49" s="425" t="n"/>
      <c r="Q49" s="422" t="n"/>
      <c r="R49" s="422" t="n"/>
      <c r="S49" s="422" t="n"/>
      <c r="T49" s="502" t="n"/>
      <c r="U49" s="502" t="n"/>
      <c r="V49" s="424" t="n"/>
      <c r="W49" s="421" t="n"/>
      <c r="X49" s="422" t="n"/>
      <c r="Y49" s="422" t="n"/>
      <c r="Z49" s="422" t="n"/>
      <c r="AA49" s="502" t="n"/>
      <c r="AB49" s="502" t="n"/>
      <c r="AC49" s="424" t="n"/>
      <c r="AD49" s="425" t="n"/>
      <c r="AE49" s="422" t="n"/>
      <c r="AF49" s="422" t="n"/>
      <c r="AG49" s="422" t="n"/>
      <c r="AH49" s="502" t="n"/>
      <c r="AI49" s="502" t="n"/>
      <c r="AJ49" s="424" t="n"/>
      <c r="AK49" s="421" t="n"/>
      <c r="AL49" s="422" t="n"/>
      <c r="AM49" s="422" t="n"/>
      <c r="AN49" s="422" t="n"/>
      <c r="AO49" s="502" t="n"/>
      <c r="AP49" s="502" t="n"/>
      <c r="AQ49" s="424" t="n"/>
      <c r="AR49" s="425" t="n"/>
      <c r="AS49" s="422" t="n"/>
      <c r="AT49" s="422" t="n"/>
      <c r="AU49" s="422" t="n"/>
      <c r="AV49" s="502" t="n"/>
      <c r="AW49" s="502" t="n"/>
      <c r="AX49" s="424" t="n"/>
      <c r="AY49" s="421" t="n"/>
      <c r="AZ49" s="422" t="n"/>
      <c r="BA49" s="422" t="n"/>
      <c r="BB49" s="422" t="n"/>
      <c r="BC49" s="502" t="n"/>
      <c r="BD49" s="502" t="n"/>
      <c r="BE49" s="424" t="n"/>
      <c r="BF49" s="425" t="n"/>
      <c r="BG49" s="422" t="n"/>
      <c r="BH49" s="422" t="n"/>
      <c r="BI49" s="422" t="n"/>
      <c r="BJ49" s="502" t="n"/>
      <c r="BK49" s="502" t="n"/>
      <c r="BL49" s="424" t="n"/>
      <c r="BM49" s="421" t="n"/>
      <c r="BN49" s="422" t="n"/>
      <c r="BO49" s="422" t="n"/>
      <c r="BP49" s="422" t="n"/>
      <c r="BQ49" s="502" t="n"/>
      <c r="BR49" s="502" t="n"/>
      <c r="BS49" s="424" t="n"/>
      <c r="BT49" s="425" t="n"/>
      <c r="BU49" s="422" t="n"/>
      <c r="BV49" s="422" t="n"/>
      <c r="BW49" s="422" t="n"/>
      <c r="BX49" s="502" t="n"/>
      <c r="BY49" s="502" t="n"/>
      <c r="BZ49" s="424" t="n"/>
      <c r="CA49" s="421" t="n"/>
      <c r="CB49" s="422" t="n"/>
      <c r="CC49" s="422" t="n"/>
      <c r="CD49" s="422" t="n"/>
      <c r="CE49" s="502" t="n"/>
      <c r="CF49" s="502" t="n"/>
      <c r="CG49" s="424" t="n"/>
      <c r="CH49" s="425" t="n"/>
      <c r="CI49" s="422" t="n"/>
      <c r="CJ49" s="422" t="n"/>
      <c r="CK49" s="422" t="n"/>
      <c r="CL49" s="502" t="n"/>
      <c r="CM49" s="502" t="n"/>
      <c r="CN49" s="424" t="n"/>
      <c r="CO49" s="421">
        <f>CO40</f>
        <v/>
      </c>
      <c r="CP49" s="422">
        <f>CP40</f>
        <v/>
      </c>
      <c r="CQ49" s="422">
        <f>CQ40</f>
        <v/>
      </c>
      <c r="CR49" s="422">
        <f>CR40</f>
        <v/>
      </c>
      <c r="CS49" s="502">
        <f>CR49-CQ49</f>
        <v/>
      </c>
      <c r="CT49" s="502">
        <f>CR49-CP49</f>
        <v/>
      </c>
      <c r="CU49" s="424">
        <f>IF(CP49=0,"***",CT49/CP49)</f>
        <v/>
      </c>
      <c r="CV49" s="425">
        <f>CV40</f>
        <v/>
      </c>
      <c r="CW49" s="422">
        <f>CW40</f>
        <v/>
      </c>
      <c r="CX49" s="422">
        <f>CX40</f>
        <v/>
      </c>
      <c r="CY49" s="422">
        <f>CY40</f>
        <v/>
      </c>
      <c r="CZ49" s="502">
        <f>CY49-CX49</f>
        <v/>
      </c>
      <c r="DA49" s="502">
        <f>CY49-CW49</f>
        <v/>
      </c>
      <c r="DB49" s="424">
        <f>IF(CW49=0,"***",DA49/CW49)</f>
        <v/>
      </c>
      <c r="DC49" s="426">
        <f>IF(CO49=0,"***",CV49/CO49)</f>
        <v/>
      </c>
      <c r="DD49" s="427">
        <f>IF(CP49=0,"***",CW49/CP49)</f>
        <v/>
      </c>
      <c r="DE49" s="427">
        <f>IF(CQ49=0,"***",CX49/CQ49)</f>
        <v/>
      </c>
      <c r="DF49" s="427">
        <f>IF(CR49=0,"***",CY49/CR49)</f>
        <v/>
      </c>
      <c r="DG49" s="427">
        <f>IF(DE49="***","***",DF49-DD49)</f>
        <v/>
      </c>
      <c r="DH49" s="428">
        <f>IF(DF49="***","***",DF49-DD49)</f>
        <v/>
      </c>
      <c r="DI49" s="429" t="n"/>
    </row>
    <row r="50">
      <c r="D50" s="215" t="inlineStr">
        <is>
          <t>キョウワ（税抜）</t>
        </is>
      </c>
      <c r="E50" s="216" t="n"/>
      <c r="F50" s="216" t="n"/>
      <c r="G50" s="216" t="n"/>
      <c r="H50" s="216" t="n"/>
      <c r="I50" s="430" t="n">
        <v>3470</v>
      </c>
      <c r="J50" s="431" t="n">
        <v>1555</v>
      </c>
      <c r="K50" s="431" t="n">
        <v>2760</v>
      </c>
      <c r="L50" s="431" t="n">
        <v>3414</v>
      </c>
      <c r="M50" s="431">
        <f>L50-K50</f>
        <v/>
      </c>
      <c r="N50" s="431">
        <f>L50-J50</f>
        <v/>
      </c>
      <c r="O50" s="433">
        <f>IF(J50=0,"***",N50/J50)</f>
        <v/>
      </c>
      <c r="P50" s="430" t="n">
        <v>2500</v>
      </c>
      <c r="Q50" s="431" t="n">
        <v>1013</v>
      </c>
      <c r="R50" s="431" t="n">
        <v>1930</v>
      </c>
      <c r="S50" s="431" t="n">
        <v>2121</v>
      </c>
      <c r="T50" s="431">
        <f>S50-R50</f>
        <v/>
      </c>
      <c r="U50" s="431">
        <f>S50-Q50</f>
        <v/>
      </c>
      <c r="V50" s="433">
        <f>IF(Q50=0,"***",U50/Q50)</f>
        <v/>
      </c>
      <c r="W50" s="430" t="n">
        <v>880</v>
      </c>
      <c r="X50" s="431" t="n">
        <v>1668</v>
      </c>
      <c r="Y50" s="431" t="n">
        <v>1400</v>
      </c>
      <c r="Z50" s="431" t="n">
        <v>2956</v>
      </c>
      <c r="AA50" s="431">
        <f>Z50-Y50</f>
        <v/>
      </c>
      <c r="AB50" s="431">
        <f>Z50-X50</f>
        <v/>
      </c>
      <c r="AC50" s="433">
        <f>IF(X50=0,"***",AB50/X50)</f>
        <v/>
      </c>
      <c r="AD50" s="430" t="n">
        <v>-70</v>
      </c>
      <c r="AE50" s="431" t="n">
        <v>1196</v>
      </c>
      <c r="AF50" s="431" t="n">
        <v>620</v>
      </c>
      <c r="AG50" s="431" t="n">
        <v>1473</v>
      </c>
      <c r="AH50" s="431">
        <f>AG50-AF50</f>
        <v/>
      </c>
      <c r="AI50" s="431">
        <f>AG50-AE50</f>
        <v/>
      </c>
      <c r="AJ50" s="433">
        <f>IF(AE50=0,"***",AI50/AE50)</f>
        <v/>
      </c>
      <c r="AK50" s="430" t="n">
        <v>1530</v>
      </c>
      <c r="AL50" s="431" t="n">
        <v>1433</v>
      </c>
      <c r="AM50" s="431" t="n">
        <v>1630</v>
      </c>
      <c r="AN50" s="431" t="n">
        <v>2129</v>
      </c>
      <c r="AO50" s="431">
        <f>AN50-AM50</f>
        <v/>
      </c>
      <c r="AP50" s="431">
        <f>AN50-AL50</f>
        <v/>
      </c>
      <c r="AQ50" s="433">
        <f>IF(AL50=0,"***",AP50/AL50)</f>
        <v/>
      </c>
      <c r="AR50" s="430" t="n">
        <v>1050</v>
      </c>
      <c r="AS50" s="431" t="n">
        <v>1110</v>
      </c>
      <c r="AT50" s="431" t="n">
        <v>1190</v>
      </c>
      <c r="AU50" s="431" t="n">
        <v>1202</v>
      </c>
      <c r="AV50" s="431">
        <f>AU50-AT50</f>
        <v/>
      </c>
      <c r="AW50" s="431">
        <f>AU50-AS50</f>
        <v/>
      </c>
      <c r="AX50" s="433">
        <f>IF(AS50=0,"***",AW50/AS50)</f>
        <v/>
      </c>
      <c r="AY50" s="430" t="n">
        <v>980</v>
      </c>
      <c r="AZ50" s="431" t="n">
        <v>2611</v>
      </c>
      <c r="BA50" s="431" t="n">
        <v>1980</v>
      </c>
      <c r="BB50" s="431" t="n">
        <v>2226</v>
      </c>
      <c r="BC50" s="431">
        <f>BB50-BA50</f>
        <v/>
      </c>
      <c r="BD50" s="431">
        <f>BB50-AZ50</f>
        <v/>
      </c>
      <c r="BE50" s="433">
        <f>IF(AZ50=0,"***",BD50/AZ50)</f>
        <v/>
      </c>
      <c r="BF50" s="430" t="n">
        <v>600</v>
      </c>
      <c r="BG50" s="431" t="n">
        <v>1948</v>
      </c>
      <c r="BH50" s="431" t="n">
        <v>1400</v>
      </c>
      <c r="BI50" s="431" t="n">
        <v>1319</v>
      </c>
      <c r="BJ50" s="431">
        <f>BI50-BH50</f>
        <v/>
      </c>
      <c r="BK50" s="431">
        <f>BI50-BG50</f>
        <v/>
      </c>
      <c r="BL50" s="433">
        <f>IF(BG50=0,"***",BK50/BG50)</f>
        <v/>
      </c>
      <c r="BM50" s="430" t="n">
        <v>3490</v>
      </c>
      <c r="BN50" s="431" t="n">
        <v>2162</v>
      </c>
      <c r="BO50" s="431" t="n">
        <v>3110</v>
      </c>
      <c r="BP50" s="431" t="n">
        <v>3797</v>
      </c>
      <c r="BQ50" s="431">
        <f>BP50-BO50</f>
        <v/>
      </c>
      <c r="BR50" s="431">
        <f>BP50-BN50</f>
        <v/>
      </c>
      <c r="BS50" s="433">
        <f>IF(BN50=0,"***",BR50/BN50)</f>
        <v/>
      </c>
      <c r="BT50" s="430" t="n">
        <v>2390</v>
      </c>
      <c r="BU50" s="431" t="n">
        <v>1863</v>
      </c>
      <c r="BV50" s="431" t="n">
        <v>2340</v>
      </c>
      <c r="BW50" s="431" t="n">
        <v>1897</v>
      </c>
      <c r="BX50" s="431">
        <f>BW50-BV50</f>
        <v/>
      </c>
      <c r="BY50" s="431">
        <f>BW50-BU50</f>
        <v/>
      </c>
      <c r="BZ50" s="433">
        <f>IF(BU50=0,"***",BY50/BU50)</f>
        <v/>
      </c>
      <c r="CA50" s="430" t="n">
        <v>3070</v>
      </c>
      <c r="CB50" s="431" t="n">
        <v>3659</v>
      </c>
      <c r="CC50" s="431" t="n">
        <v>3700</v>
      </c>
      <c r="CD50" s="431" t="n">
        <v>2360</v>
      </c>
      <c r="CE50" s="431">
        <f>CD50-CC50</f>
        <v/>
      </c>
      <c r="CF50" s="431">
        <f>CD50-CB50</f>
        <v/>
      </c>
      <c r="CG50" s="433">
        <f>IF(CB50=0,"***",CF50/CB50)</f>
        <v/>
      </c>
      <c r="CH50" s="430" t="n">
        <v>1030</v>
      </c>
      <c r="CI50" s="431" t="n">
        <v>2570</v>
      </c>
      <c r="CJ50" s="431" t="n">
        <v>1980</v>
      </c>
      <c r="CK50" s="431" t="n">
        <v>1712</v>
      </c>
      <c r="CL50" s="431">
        <f>CK50-CJ50</f>
        <v/>
      </c>
      <c r="CM50" s="431">
        <f>CK50-CI50</f>
        <v/>
      </c>
      <c r="CN50" s="433">
        <f>IF(CI50=0,"***",CM50/CI50)</f>
        <v/>
      </c>
      <c r="CO50" s="430">
        <f>I50+W50+AK50+AY50+BM50+CA50</f>
        <v/>
      </c>
      <c r="CP50" s="431">
        <f>J50+X50+AL50+AZ50+BN50+CB50</f>
        <v/>
      </c>
      <c r="CQ50" s="431">
        <f>K50+Y50+AM50+BA50+BO50+CC50</f>
        <v/>
      </c>
      <c r="CR50" s="431">
        <f>L50+Z50+AN50+BB50+BP50+CD50</f>
        <v/>
      </c>
      <c r="CS50" s="431">
        <f>CR50-CQ50</f>
        <v/>
      </c>
      <c r="CT50" s="431">
        <f>CR50-CP50</f>
        <v/>
      </c>
      <c r="CU50" s="433">
        <f>IF(CP50=0,"***",CT50/CP50)</f>
        <v/>
      </c>
      <c r="CV50" s="430">
        <f>P50+AD50+AR50+BF50+BT50+CH50</f>
        <v/>
      </c>
      <c r="CW50" s="431">
        <f>Q50+AE50+AS50+BG50+BU50+CI50</f>
        <v/>
      </c>
      <c r="CX50" s="431">
        <f>R50+AF50+AT50+BH50+BV50+CJ50</f>
        <v/>
      </c>
      <c r="CY50" s="431">
        <f>S50+AG50+AU50+BI50+BW50+CK50</f>
        <v/>
      </c>
      <c r="CZ50" s="431">
        <f>CY50-CX50</f>
        <v/>
      </c>
      <c r="DA50" s="431">
        <f>CY50-CW50</f>
        <v/>
      </c>
      <c r="DB50" s="433">
        <f>IF(CW50=0,"***",DA50/CW50)</f>
        <v/>
      </c>
      <c r="DC50" s="434">
        <f>IF(CO50=0,"***",CV50/CO50)</f>
        <v/>
      </c>
      <c r="DD50" s="435">
        <f>IF(CP50=0,"***",CW50/CP50)</f>
        <v/>
      </c>
      <c r="DE50" s="435">
        <f>IF(CQ50=0,"***",CX50/CQ50)</f>
        <v/>
      </c>
      <c r="DF50" s="435">
        <f>IF(CR50=0,"***",CY50/CR50)</f>
        <v/>
      </c>
      <c r="DG50" s="435">
        <f>IF(DE50="***","***",DF50-DD50)</f>
        <v/>
      </c>
      <c r="DH50" s="433">
        <f>IF(DF50="***","***",DF50-DD50)</f>
        <v/>
      </c>
      <c r="DI50" s="436" t="n"/>
    </row>
  </sheetData>
  <mergeCells count="62">
    <mergeCell ref="CX3:CX4"/>
    <mergeCell ref="DD3:DD4"/>
    <mergeCell ref="L3:L4"/>
    <mergeCell ref="AE3:AE4"/>
    <mergeCell ref="D3:H4"/>
    <mergeCell ref="AK3:AK4"/>
    <mergeCell ref="BU3:BU4"/>
    <mergeCell ref="X3:X4"/>
    <mergeCell ref="BF3:BF4"/>
    <mergeCell ref="Z3:Z4"/>
    <mergeCell ref="BH3:BH4"/>
    <mergeCell ref="BN3:BN4"/>
    <mergeCell ref="BI3:BI4"/>
    <mergeCell ref="BT3:BT4"/>
    <mergeCell ref="CQ3:CQ4"/>
    <mergeCell ref="BP3:BP4"/>
    <mergeCell ref="CB3:CB4"/>
    <mergeCell ref="DE3:DE4"/>
    <mergeCell ref="BA3:BA4"/>
    <mergeCell ref="I3:I4"/>
    <mergeCell ref="AL3:AL4"/>
    <mergeCell ref="DC3:DC4"/>
    <mergeCell ref="W3:W4"/>
    <mergeCell ref="BW3:BW4"/>
    <mergeCell ref="BO3:BO4"/>
    <mergeCell ref="CP3:CP4"/>
    <mergeCell ref="CA3:CA4"/>
    <mergeCell ref="AZ3:AZ4"/>
    <mergeCell ref="CR3:CR4"/>
    <mergeCell ref="CI3:CI4"/>
    <mergeCell ref="CK3:CK4"/>
    <mergeCell ref="P3:P4"/>
    <mergeCell ref="AG3:AG4"/>
    <mergeCell ref="R3:R4"/>
    <mergeCell ref="CC3:CC4"/>
    <mergeCell ref="J3:J4"/>
    <mergeCell ref="AM3:AM4"/>
    <mergeCell ref="AS3:AS4"/>
    <mergeCell ref="BV3:BV4"/>
    <mergeCell ref="AD3:AD4"/>
    <mergeCell ref="AU3:AU4"/>
    <mergeCell ref="DF3:DF4"/>
    <mergeCell ref="CO3:CO4"/>
    <mergeCell ref="CD3:CD4"/>
    <mergeCell ref="CW3:CW4"/>
    <mergeCell ref="K3:K4"/>
    <mergeCell ref="DI3:DI4"/>
    <mergeCell ref="AF3:AF4"/>
    <mergeCell ref="Q3:Q4"/>
    <mergeCell ref="AN3:AN4"/>
    <mergeCell ref="AY3:AY4"/>
    <mergeCell ref="S3:S4"/>
    <mergeCell ref="Y3:Y4"/>
    <mergeCell ref="BG3:BG4"/>
    <mergeCell ref="CH3:CH4"/>
    <mergeCell ref="AR3:AR4"/>
    <mergeCell ref="CJ3:CJ4"/>
    <mergeCell ref="AT3:AT4"/>
    <mergeCell ref="CY3:CY4"/>
    <mergeCell ref="BM3:BM4"/>
    <mergeCell ref="BB3:BB4"/>
    <mergeCell ref="CV3:CV4"/>
  </mergeCell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ma-takahashi</dc:creator>
  <dc:language xmlns:dc="http://purl.org/dc/elements/1.1/">en-US</dc:language>
  <dcterms:created xmlns:dcterms="http://purl.org/dc/terms/" xmlns:xsi="http://www.w3.org/2001/XMLSchema-instance" xsi:type="dcterms:W3CDTF">2026-05-08T06:07:29Z</dcterms:created>
  <dcterms:modified xmlns:dcterms="http://purl.org/dc/terms/" xmlns:xsi="http://www.w3.org/2001/XMLSchema-instance" xsi:type="dcterms:W3CDTF">2026-09-05T01:23:15Z</dcterms:modified>
  <cp:lastModifiedBy>ma-takahashi</cp:lastModifiedBy>
  <cp:revision>0</cp:revision>
</cp:coreProperties>
</file>