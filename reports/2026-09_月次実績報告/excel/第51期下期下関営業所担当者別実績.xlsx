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G:\マイドライブ\第52期経営計画策定\実績資料作成\"/>
    </mc:Choice>
  </mc:AlternateContent>
  <xr:revisionPtr revIDLastSave="0" documentId="13_ncr:1_{4D69ED55-C449-44F8-9790-A80C0C6D649D}" xr6:coauthVersionLast="47" xr6:coauthVersionMax="47" xr10:uidLastSave="{00000000-0000-0000-0000-000000000000}"/>
  <bookViews>
    <workbookView xWindow="-28920" yWindow="-120" windowWidth="29040" windowHeight="15720" activeTab="2" xr2:uid="{00000000-000D-0000-FFFF-FFFF00000000}"/>
  </bookViews>
  <sheets>
    <sheet name="包装資材" sheetId="1" r:id="rId1"/>
    <sheet name="機械" sheetId="2" r:id="rId2"/>
    <sheet name="全体" sheetId="3" r:id="rId3"/>
    <sheet name="総括" sheetId="4" r:id="rId4"/>
  </sheets>
  <definedNames>
    <definedName name="_xlnm.Print_Area" localSheetId="1">機械!$C$1:$Y$96</definedName>
    <definedName name="_xlnm.Print_Area" localSheetId="2">全体!$C$1:$Y$108</definedName>
    <definedName name="_xlnm.Print_Area" localSheetId="3">総括!$D$1:$U$15</definedName>
    <definedName name="_xlnm.Print_Area" localSheetId="0">包装資材!$C$1:$Y$108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82" i="1" l="1"/>
  <c r="K82" i="1"/>
  <c r="R82" i="2"/>
  <c r="K82" i="2"/>
  <c r="R82" i="3"/>
  <c r="K82" i="3"/>
  <c r="T14" i="4"/>
  <c r="S14" i="4"/>
  <c r="R14" i="4"/>
  <c r="N14" i="4"/>
  <c r="O14" i="4" s="1"/>
  <c r="M14" i="4"/>
  <c r="L14" i="4"/>
  <c r="I14" i="4"/>
  <c r="T13" i="4"/>
  <c r="S13" i="4"/>
  <c r="R13" i="4"/>
  <c r="O13" i="4"/>
  <c r="L13" i="4"/>
  <c r="I13" i="4"/>
  <c r="N12" i="4"/>
  <c r="M12" i="4"/>
  <c r="O12" i="4" s="1"/>
  <c r="L12" i="4"/>
  <c r="I12" i="4"/>
  <c r="N11" i="4"/>
  <c r="K11" i="4"/>
  <c r="H11" i="4"/>
  <c r="K10" i="4"/>
  <c r="J10" i="4"/>
  <c r="J11" i="4" s="1"/>
  <c r="H10" i="4"/>
  <c r="N10" i="4" s="1"/>
  <c r="G10" i="4"/>
  <c r="G11" i="4" s="1"/>
  <c r="M11" i="4" s="1"/>
  <c r="O9" i="4"/>
  <c r="N9" i="4"/>
  <c r="M9" i="4"/>
  <c r="L9" i="4"/>
  <c r="I9" i="4"/>
  <c r="H108" i="3"/>
  <c r="Q107" i="3"/>
  <c r="P107" i="3"/>
  <c r="O107" i="3"/>
  <c r="N107" i="3"/>
  <c r="M107" i="3"/>
  <c r="R107" i="3" s="1"/>
  <c r="L107" i="3"/>
  <c r="J107" i="3"/>
  <c r="I107" i="3"/>
  <c r="H107" i="3"/>
  <c r="G107" i="3"/>
  <c r="F107" i="3"/>
  <c r="E107" i="3"/>
  <c r="K107" i="3" s="1"/>
  <c r="Q106" i="3"/>
  <c r="P106" i="3"/>
  <c r="O106" i="3"/>
  <c r="N106" i="3"/>
  <c r="M106" i="3"/>
  <c r="L106" i="3"/>
  <c r="R106" i="3" s="1"/>
  <c r="J106" i="3"/>
  <c r="I106" i="3"/>
  <c r="H106" i="3"/>
  <c r="G106" i="3"/>
  <c r="F106" i="3"/>
  <c r="E106" i="3"/>
  <c r="K106" i="3" s="1"/>
  <c r="Q105" i="3"/>
  <c r="P105" i="3"/>
  <c r="O105" i="3"/>
  <c r="N105" i="3"/>
  <c r="M105" i="3"/>
  <c r="L105" i="3"/>
  <c r="R105" i="3" s="1"/>
  <c r="J105" i="3"/>
  <c r="I105" i="3"/>
  <c r="H105" i="3"/>
  <c r="G105" i="3"/>
  <c r="F105" i="3"/>
  <c r="E105" i="3"/>
  <c r="K105" i="3" s="1"/>
  <c r="Q104" i="3"/>
  <c r="P104" i="3"/>
  <c r="O104" i="3"/>
  <c r="N104" i="3"/>
  <c r="M104" i="3"/>
  <c r="R104" i="3" s="1"/>
  <c r="L104" i="3"/>
  <c r="J104" i="3"/>
  <c r="I104" i="3"/>
  <c r="K104" i="3" s="1"/>
  <c r="H104" i="3"/>
  <c r="G104" i="3"/>
  <c r="F104" i="3"/>
  <c r="E104" i="3"/>
  <c r="R103" i="3"/>
  <c r="Q103" i="3"/>
  <c r="P103" i="3"/>
  <c r="O103" i="3"/>
  <c r="N103" i="3"/>
  <c r="M103" i="3"/>
  <c r="L103" i="3"/>
  <c r="J103" i="3"/>
  <c r="I103" i="3"/>
  <c r="H103" i="3"/>
  <c r="G103" i="3"/>
  <c r="F103" i="3"/>
  <c r="F108" i="3" s="1"/>
  <c r="E103" i="3"/>
  <c r="K103" i="3" s="1"/>
  <c r="Q102" i="3"/>
  <c r="Q108" i="3" s="1"/>
  <c r="P102" i="3"/>
  <c r="O102" i="3"/>
  <c r="N102" i="3"/>
  <c r="M102" i="3"/>
  <c r="L102" i="3"/>
  <c r="R102" i="3" s="1"/>
  <c r="J102" i="3"/>
  <c r="I102" i="3"/>
  <c r="H102" i="3"/>
  <c r="G102" i="3"/>
  <c r="F102" i="3"/>
  <c r="E102" i="3"/>
  <c r="K102" i="3" s="1"/>
  <c r="Q101" i="3"/>
  <c r="P101" i="3"/>
  <c r="P108" i="3" s="1"/>
  <c r="O101" i="3"/>
  <c r="O108" i="3" s="1"/>
  <c r="N101" i="3"/>
  <c r="N108" i="3" s="1"/>
  <c r="M101" i="3"/>
  <c r="M108" i="3" s="1"/>
  <c r="L101" i="3"/>
  <c r="L108" i="3" s="1"/>
  <c r="J101" i="3"/>
  <c r="J108" i="3" s="1"/>
  <c r="I101" i="3"/>
  <c r="I108" i="3" s="1"/>
  <c r="H101" i="3"/>
  <c r="G101" i="3"/>
  <c r="G108" i="3" s="1"/>
  <c r="F101" i="3"/>
  <c r="E101" i="3"/>
  <c r="K101" i="3" s="1"/>
  <c r="M96" i="3"/>
  <c r="R95" i="3"/>
  <c r="Q95" i="3"/>
  <c r="P95" i="3"/>
  <c r="O95" i="3"/>
  <c r="N95" i="3"/>
  <c r="M95" i="3"/>
  <c r="L95" i="3"/>
  <c r="J95" i="3"/>
  <c r="I95" i="3"/>
  <c r="H95" i="3"/>
  <c r="G95" i="3"/>
  <c r="F95" i="3"/>
  <c r="E95" i="3"/>
  <c r="K95" i="3" s="1"/>
  <c r="Q94" i="3"/>
  <c r="P94" i="3"/>
  <c r="O94" i="3"/>
  <c r="N94" i="3"/>
  <c r="M94" i="3"/>
  <c r="L94" i="3"/>
  <c r="R94" i="3" s="1"/>
  <c r="J94" i="3"/>
  <c r="I94" i="3"/>
  <c r="H94" i="3"/>
  <c r="G94" i="3"/>
  <c r="F94" i="3"/>
  <c r="E94" i="3"/>
  <c r="K94" i="3" s="1"/>
  <c r="Q93" i="3"/>
  <c r="R93" i="3" s="1"/>
  <c r="P93" i="3"/>
  <c r="O93" i="3"/>
  <c r="N93" i="3"/>
  <c r="M93" i="3"/>
  <c r="L93" i="3"/>
  <c r="J93" i="3"/>
  <c r="I93" i="3"/>
  <c r="H93" i="3"/>
  <c r="G93" i="3"/>
  <c r="F93" i="3"/>
  <c r="E93" i="3"/>
  <c r="K93" i="3" s="1"/>
  <c r="R92" i="3"/>
  <c r="Q92" i="3"/>
  <c r="P92" i="3"/>
  <c r="O92" i="3"/>
  <c r="N92" i="3"/>
  <c r="M92" i="3"/>
  <c r="L92" i="3"/>
  <c r="J92" i="3"/>
  <c r="I92" i="3"/>
  <c r="H92" i="3"/>
  <c r="G92" i="3"/>
  <c r="F92" i="3"/>
  <c r="K92" i="3" s="1"/>
  <c r="E92" i="3"/>
  <c r="Q91" i="3"/>
  <c r="P91" i="3"/>
  <c r="O91" i="3"/>
  <c r="N91" i="3"/>
  <c r="M91" i="3"/>
  <c r="L91" i="3"/>
  <c r="R91" i="3" s="1"/>
  <c r="K91" i="3"/>
  <c r="J91" i="3"/>
  <c r="I91" i="3"/>
  <c r="H91" i="3"/>
  <c r="G91" i="3"/>
  <c r="F91" i="3"/>
  <c r="E91" i="3"/>
  <c r="Q90" i="3"/>
  <c r="P90" i="3"/>
  <c r="O90" i="3"/>
  <c r="N90" i="3"/>
  <c r="M90" i="3"/>
  <c r="L90" i="3"/>
  <c r="R90" i="3" s="1"/>
  <c r="J90" i="3"/>
  <c r="J96" i="3" s="1"/>
  <c r="I90" i="3"/>
  <c r="H90" i="3"/>
  <c r="G90" i="3"/>
  <c r="F90" i="3"/>
  <c r="E90" i="3"/>
  <c r="K90" i="3" s="1"/>
  <c r="Q89" i="3"/>
  <c r="Q96" i="3" s="1"/>
  <c r="P89" i="3"/>
  <c r="P96" i="3" s="1"/>
  <c r="O89" i="3"/>
  <c r="O96" i="3" s="1"/>
  <c r="N89" i="3"/>
  <c r="N96" i="3" s="1"/>
  <c r="M89" i="3"/>
  <c r="L89" i="3"/>
  <c r="L96" i="3" s="1"/>
  <c r="J89" i="3"/>
  <c r="I89" i="3"/>
  <c r="I96" i="3" s="1"/>
  <c r="H89" i="3"/>
  <c r="H96" i="3" s="1"/>
  <c r="G89" i="3"/>
  <c r="G96" i="3" s="1"/>
  <c r="F89" i="3"/>
  <c r="F96" i="3" s="1"/>
  <c r="E89" i="3"/>
  <c r="E96" i="3" s="1"/>
  <c r="X84" i="3"/>
  <c r="R84" i="3"/>
  <c r="Q84" i="3"/>
  <c r="P84" i="3"/>
  <c r="W84" i="3" s="1"/>
  <c r="O84" i="3"/>
  <c r="N84" i="3"/>
  <c r="M84" i="3"/>
  <c r="L84" i="3"/>
  <c r="J84" i="3"/>
  <c r="I84" i="3"/>
  <c r="H84" i="3"/>
  <c r="V84" i="3" s="1"/>
  <c r="G84" i="3"/>
  <c r="U84" i="3" s="1"/>
  <c r="F84" i="3"/>
  <c r="K84" i="3" s="1"/>
  <c r="Y84" i="3" s="1"/>
  <c r="E84" i="3"/>
  <c r="S84" i="3" s="1"/>
  <c r="Y83" i="3"/>
  <c r="X83" i="3"/>
  <c r="W83" i="3"/>
  <c r="V83" i="3"/>
  <c r="U83" i="3"/>
  <c r="T83" i="3"/>
  <c r="S83" i="3"/>
  <c r="R83" i="3"/>
  <c r="K83" i="3"/>
  <c r="X81" i="3"/>
  <c r="W81" i="3"/>
  <c r="W105" i="3" s="1"/>
  <c r="V81" i="3"/>
  <c r="V105" i="3" s="1"/>
  <c r="U81" i="3"/>
  <c r="T81" i="3"/>
  <c r="S81" i="3"/>
  <c r="R81" i="3"/>
  <c r="K81" i="3"/>
  <c r="Y81" i="3" s="1"/>
  <c r="X80" i="3"/>
  <c r="W80" i="3"/>
  <c r="W92" i="3" s="1"/>
  <c r="V80" i="3"/>
  <c r="U80" i="3"/>
  <c r="U92" i="3" s="1"/>
  <c r="T80" i="3"/>
  <c r="T104" i="3" s="1"/>
  <c r="S80" i="3"/>
  <c r="R80" i="3"/>
  <c r="K80" i="3"/>
  <c r="Y79" i="3"/>
  <c r="X79" i="3"/>
  <c r="W79" i="3"/>
  <c r="V79" i="3"/>
  <c r="U79" i="3"/>
  <c r="T79" i="3"/>
  <c r="T91" i="3" s="1"/>
  <c r="S79" i="3"/>
  <c r="R79" i="3"/>
  <c r="K79" i="3"/>
  <c r="Y78" i="3"/>
  <c r="X78" i="3"/>
  <c r="W78" i="3"/>
  <c r="V78" i="3"/>
  <c r="U78" i="3"/>
  <c r="T78" i="3"/>
  <c r="S78" i="3"/>
  <c r="R78" i="3"/>
  <c r="K78" i="3"/>
  <c r="X77" i="3"/>
  <c r="W77" i="3"/>
  <c r="W101" i="3" s="1"/>
  <c r="V77" i="3"/>
  <c r="U77" i="3"/>
  <c r="T77" i="3"/>
  <c r="S77" i="3"/>
  <c r="R77" i="3"/>
  <c r="K77" i="3"/>
  <c r="P72" i="3"/>
  <c r="P71" i="3"/>
  <c r="O71" i="3"/>
  <c r="N71" i="3"/>
  <c r="J69" i="3"/>
  <c r="I69" i="3"/>
  <c r="I68" i="3"/>
  <c r="H68" i="3"/>
  <c r="G68" i="3"/>
  <c r="F68" i="3"/>
  <c r="Q67" i="3"/>
  <c r="P67" i="3"/>
  <c r="O67" i="3"/>
  <c r="G67" i="3"/>
  <c r="F67" i="3"/>
  <c r="E67" i="3"/>
  <c r="N66" i="3"/>
  <c r="M66" i="3"/>
  <c r="L66" i="3"/>
  <c r="J65" i="3"/>
  <c r="I65" i="3"/>
  <c r="H60" i="3"/>
  <c r="G60" i="3"/>
  <c r="Q59" i="3"/>
  <c r="R59" i="3" s="1"/>
  <c r="P59" i="3"/>
  <c r="O59" i="3"/>
  <c r="N59" i="3"/>
  <c r="M59" i="3"/>
  <c r="L59" i="3"/>
  <c r="J59" i="3"/>
  <c r="I59" i="3"/>
  <c r="H59" i="3"/>
  <c r="G59" i="3"/>
  <c r="F59" i="3"/>
  <c r="F60" i="3" s="1"/>
  <c r="E59" i="3"/>
  <c r="Q57" i="3"/>
  <c r="P57" i="3"/>
  <c r="O57" i="3"/>
  <c r="N57" i="3"/>
  <c r="M57" i="3"/>
  <c r="L57" i="3"/>
  <c r="J57" i="3"/>
  <c r="I57" i="3"/>
  <c r="H57" i="3"/>
  <c r="G57" i="3"/>
  <c r="F57" i="3"/>
  <c r="E57" i="3"/>
  <c r="K57" i="3" s="1"/>
  <c r="X56" i="3"/>
  <c r="W56" i="3"/>
  <c r="Q56" i="3"/>
  <c r="P56" i="3"/>
  <c r="O56" i="3"/>
  <c r="N56" i="3"/>
  <c r="M56" i="3"/>
  <c r="L56" i="3"/>
  <c r="R56" i="3" s="1"/>
  <c r="J56" i="3"/>
  <c r="I56" i="3"/>
  <c r="K56" i="3" s="1"/>
  <c r="H56" i="3"/>
  <c r="G56" i="3"/>
  <c r="F56" i="3"/>
  <c r="E56" i="3"/>
  <c r="V55" i="3"/>
  <c r="R55" i="3"/>
  <c r="Q55" i="3"/>
  <c r="P55" i="3"/>
  <c r="O55" i="3"/>
  <c r="N55" i="3"/>
  <c r="M55" i="3"/>
  <c r="L55" i="3"/>
  <c r="J55" i="3"/>
  <c r="J60" i="3" s="1"/>
  <c r="I55" i="3"/>
  <c r="I60" i="3" s="1"/>
  <c r="H55" i="3"/>
  <c r="G55" i="3"/>
  <c r="F55" i="3"/>
  <c r="E55" i="3"/>
  <c r="Q54" i="3"/>
  <c r="P54" i="3"/>
  <c r="O54" i="3"/>
  <c r="N54" i="3"/>
  <c r="M54" i="3"/>
  <c r="L54" i="3"/>
  <c r="J54" i="3"/>
  <c r="I54" i="3"/>
  <c r="H54" i="3"/>
  <c r="G54" i="3"/>
  <c r="F54" i="3"/>
  <c r="E54" i="3"/>
  <c r="Q53" i="3"/>
  <c r="P53" i="3"/>
  <c r="O53" i="3"/>
  <c r="O60" i="3" s="1"/>
  <c r="N53" i="3"/>
  <c r="N60" i="3" s="1"/>
  <c r="M53" i="3"/>
  <c r="M60" i="3" s="1"/>
  <c r="L53" i="3"/>
  <c r="J53" i="3"/>
  <c r="I53" i="3"/>
  <c r="H53" i="3"/>
  <c r="G53" i="3"/>
  <c r="F53" i="3"/>
  <c r="E53" i="3"/>
  <c r="E60" i="3" s="1"/>
  <c r="W48" i="3"/>
  <c r="V48" i="3"/>
  <c r="U48" i="3"/>
  <c r="Q48" i="3"/>
  <c r="P48" i="3"/>
  <c r="O48" i="3"/>
  <c r="N48" i="3"/>
  <c r="M48" i="3"/>
  <c r="L48" i="3"/>
  <c r="R48" i="3" s="1"/>
  <c r="J48" i="3"/>
  <c r="I48" i="3"/>
  <c r="H48" i="3"/>
  <c r="G48" i="3"/>
  <c r="F48" i="3"/>
  <c r="T48" i="3" s="1"/>
  <c r="T60" i="3" s="1"/>
  <c r="E48" i="3"/>
  <c r="X47" i="3"/>
  <c r="W47" i="3"/>
  <c r="V47" i="3"/>
  <c r="U47" i="3"/>
  <c r="T47" i="3"/>
  <c r="S47" i="3"/>
  <c r="R47" i="3"/>
  <c r="K47" i="3"/>
  <c r="Y47" i="3" s="1"/>
  <c r="X46" i="3"/>
  <c r="W46" i="3"/>
  <c r="V46" i="3"/>
  <c r="U46" i="3"/>
  <c r="T46" i="3"/>
  <c r="S46" i="3"/>
  <c r="R46" i="3"/>
  <c r="K46" i="3"/>
  <c r="Y46" i="3" s="1"/>
  <c r="Y45" i="3"/>
  <c r="X45" i="3"/>
  <c r="X57" i="3" s="1"/>
  <c r="W45" i="3"/>
  <c r="W57" i="3" s="1"/>
  <c r="V45" i="3"/>
  <c r="V57" i="3" s="1"/>
  <c r="U45" i="3"/>
  <c r="U57" i="3" s="1"/>
  <c r="T45" i="3"/>
  <c r="S45" i="3"/>
  <c r="R45" i="3"/>
  <c r="K45" i="3"/>
  <c r="X44" i="3"/>
  <c r="W44" i="3"/>
  <c r="V44" i="3"/>
  <c r="U44" i="3"/>
  <c r="U56" i="3" s="1"/>
  <c r="T44" i="3"/>
  <c r="T56" i="3" s="1"/>
  <c r="S44" i="3"/>
  <c r="S56" i="3" s="1"/>
  <c r="R44" i="3"/>
  <c r="K44" i="3"/>
  <c r="Y44" i="3" s="1"/>
  <c r="X43" i="3"/>
  <c r="W43" i="3"/>
  <c r="V43" i="3"/>
  <c r="U43" i="3"/>
  <c r="T43" i="3"/>
  <c r="S43" i="3"/>
  <c r="R43" i="3"/>
  <c r="Y43" i="3" s="1"/>
  <c r="K43" i="3"/>
  <c r="X42" i="3"/>
  <c r="X54" i="3" s="1"/>
  <c r="W42" i="3"/>
  <c r="V42" i="3"/>
  <c r="U42" i="3"/>
  <c r="T42" i="3"/>
  <c r="S42" i="3"/>
  <c r="S54" i="3" s="1"/>
  <c r="R42" i="3"/>
  <c r="K42" i="3"/>
  <c r="X41" i="3"/>
  <c r="W41" i="3"/>
  <c r="W53" i="3" s="1"/>
  <c r="V41" i="3"/>
  <c r="V53" i="3" s="1"/>
  <c r="U41" i="3"/>
  <c r="U53" i="3" s="1"/>
  <c r="T41" i="3"/>
  <c r="S41" i="3"/>
  <c r="R41" i="3"/>
  <c r="K41" i="3"/>
  <c r="Y41" i="3" s="1"/>
  <c r="P36" i="3"/>
  <c r="V35" i="3"/>
  <c r="T35" i="3"/>
  <c r="Q35" i="3"/>
  <c r="Q71" i="3" s="1"/>
  <c r="P35" i="3"/>
  <c r="O35" i="3"/>
  <c r="N35" i="3"/>
  <c r="M35" i="3"/>
  <c r="M71" i="3" s="1"/>
  <c r="L35" i="3"/>
  <c r="J35" i="3"/>
  <c r="J71" i="3" s="1"/>
  <c r="I35" i="3"/>
  <c r="H35" i="3"/>
  <c r="H71" i="3" s="1"/>
  <c r="G35" i="3"/>
  <c r="F35" i="3"/>
  <c r="F71" i="3" s="1"/>
  <c r="E35" i="3"/>
  <c r="E71" i="3" s="1"/>
  <c r="Q34" i="3"/>
  <c r="P34" i="3"/>
  <c r="O34" i="3"/>
  <c r="N34" i="3"/>
  <c r="M34" i="3"/>
  <c r="L34" i="3"/>
  <c r="J34" i="3"/>
  <c r="X34" i="3" s="1"/>
  <c r="I34" i="3"/>
  <c r="W34" i="3" s="1"/>
  <c r="H34" i="3"/>
  <c r="G34" i="3"/>
  <c r="U34" i="3" s="1"/>
  <c r="F34" i="3"/>
  <c r="T34" i="3" s="1"/>
  <c r="E34" i="3"/>
  <c r="K34" i="3" s="1"/>
  <c r="X33" i="3"/>
  <c r="T33" i="3"/>
  <c r="Q33" i="3"/>
  <c r="Q69" i="3" s="1"/>
  <c r="P33" i="3"/>
  <c r="P69" i="3" s="1"/>
  <c r="O33" i="3"/>
  <c r="O69" i="3" s="1"/>
  <c r="N33" i="3"/>
  <c r="N69" i="3" s="1"/>
  <c r="M33" i="3"/>
  <c r="M69" i="3" s="1"/>
  <c r="L33" i="3"/>
  <c r="L69" i="3" s="1"/>
  <c r="J33" i="3"/>
  <c r="I33" i="3"/>
  <c r="W33" i="3" s="1"/>
  <c r="W69" i="3" s="1"/>
  <c r="H33" i="3"/>
  <c r="G33" i="3"/>
  <c r="F33" i="3"/>
  <c r="F69" i="3" s="1"/>
  <c r="E33" i="3"/>
  <c r="Q32" i="3"/>
  <c r="Q68" i="3" s="1"/>
  <c r="P32" i="3"/>
  <c r="P68" i="3" s="1"/>
  <c r="O32" i="3"/>
  <c r="N32" i="3"/>
  <c r="M32" i="3"/>
  <c r="M68" i="3" s="1"/>
  <c r="L32" i="3"/>
  <c r="J32" i="3"/>
  <c r="J68" i="3" s="1"/>
  <c r="I32" i="3"/>
  <c r="H32" i="3"/>
  <c r="G32" i="3"/>
  <c r="F32" i="3"/>
  <c r="T32" i="3" s="1"/>
  <c r="T68" i="3" s="1"/>
  <c r="E32" i="3"/>
  <c r="X31" i="3"/>
  <c r="W31" i="3"/>
  <c r="V31" i="3"/>
  <c r="Q31" i="3"/>
  <c r="P31" i="3"/>
  <c r="O31" i="3"/>
  <c r="N31" i="3"/>
  <c r="N67" i="3" s="1"/>
  <c r="M31" i="3"/>
  <c r="L31" i="3"/>
  <c r="K31" i="3"/>
  <c r="J31" i="3"/>
  <c r="J67" i="3" s="1"/>
  <c r="I31" i="3"/>
  <c r="I67" i="3" s="1"/>
  <c r="H31" i="3"/>
  <c r="H67" i="3" s="1"/>
  <c r="G31" i="3"/>
  <c r="F31" i="3"/>
  <c r="E31" i="3"/>
  <c r="R30" i="3"/>
  <c r="Q30" i="3"/>
  <c r="P30" i="3"/>
  <c r="P66" i="3" s="1"/>
  <c r="O30" i="3"/>
  <c r="O66" i="3" s="1"/>
  <c r="N30" i="3"/>
  <c r="M30" i="3"/>
  <c r="L30" i="3"/>
  <c r="J30" i="3"/>
  <c r="I30" i="3"/>
  <c r="I66" i="3" s="1"/>
  <c r="H30" i="3"/>
  <c r="H66" i="3" s="1"/>
  <c r="G30" i="3"/>
  <c r="F30" i="3"/>
  <c r="F66" i="3" s="1"/>
  <c r="E30" i="3"/>
  <c r="X29" i="3"/>
  <c r="Q29" i="3"/>
  <c r="Q65" i="3" s="1"/>
  <c r="P29" i="3"/>
  <c r="P65" i="3" s="1"/>
  <c r="O29" i="3"/>
  <c r="O65" i="3" s="1"/>
  <c r="N29" i="3"/>
  <c r="M29" i="3"/>
  <c r="M65" i="3" s="1"/>
  <c r="L29" i="3"/>
  <c r="J29" i="3"/>
  <c r="I29" i="3"/>
  <c r="H29" i="3"/>
  <c r="G29" i="3"/>
  <c r="F29" i="3"/>
  <c r="E29" i="3"/>
  <c r="V24" i="3"/>
  <c r="U24" i="3"/>
  <c r="Q24" i="3"/>
  <c r="X24" i="3" s="1"/>
  <c r="P24" i="3"/>
  <c r="O24" i="3"/>
  <c r="N24" i="3"/>
  <c r="M24" i="3"/>
  <c r="L24" i="3"/>
  <c r="J24" i="3"/>
  <c r="I24" i="3"/>
  <c r="W24" i="3" s="1"/>
  <c r="H24" i="3"/>
  <c r="G24" i="3"/>
  <c r="F24" i="3"/>
  <c r="T24" i="3" s="1"/>
  <c r="E24" i="3"/>
  <c r="X23" i="3"/>
  <c r="W23" i="3"/>
  <c r="V23" i="3"/>
  <c r="U23" i="3"/>
  <c r="T23" i="3"/>
  <c r="S23" i="3"/>
  <c r="R23" i="3"/>
  <c r="Y23" i="3" s="1"/>
  <c r="K23" i="3"/>
  <c r="X22" i="3"/>
  <c r="W22" i="3"/>
  <c r="V22" i="3"/>
  <c r="U22" i="3"/>
  <c r="T22" i="3"/>
  <c r="S22" i="3"/>
  <c r="R22" i="3"/>
  <c r="K22" i="3"/>
  <c r="Y22" i="3" s="1"/>
  <c r="X21" i="3"/>
  <c r="W21" i="3"/>
  <c r="V21" i="3"/>
  <c r="U21" i="3"/>
  <c r="T21" i="3"/>
  <c r="S21" i="3"/>
  <c r="R21" i="3"/>
  <c r="K21" i="3"/>
  <c r="Y21" i="3" s="1"/>
  <c r="X20" i="3"/>
  <c r="W20" i="3"/>
  <c r="V20" i="3"/>
  <c r="V104" i="3" s="1"/>
  <c r="U20" i="3"/>
  <c r="T20" i="3"/>
  <c r="S20" i="3"/>
  <c r="R20" i="3"/>
  <c r="K20" i="3"/>
  <c r="Y20" i="3" s="1"/>
  <c r="Y19" i="3"/>
  <c r="X19" i="3"/>
  <c r="W19" i="3"/>
  <c r="V19" i="3"/>
  <c r="V103" i="3" s="1"/>
  <c r="U19" i="3"/>
  <c r="U55" i="3" s="1"/>
  <c r="T19" i="3"/>
  <c r="T55" i="3" s="1"/>
  <c r="S19" i="3"/>
  <c r="S103" i="3" s="1"/>
  <c r="R19" i="3"/>
  <c r="K19" i="3"/>
  <c r="X18" i="3"/>
  <c r="W18" i="3"/>
  <c r="V18" i="3"/>
  <c r="U18" i="3"/>
  <c r="T18" i="3"/>
  <c r="S18" i="3"/>
  <c r="S102" i="3" s="1"/>
  <c r="R18" i="3"/>
  <c r="K18" i="3"/>
  <c r="X17" i="3"/>
  <c r="X101" i="3" s="1"/>
  <c r="W17" i="3"/>
  <c r="V17" i="3"/>
  <c r="U17" i="3"/>
  <c r="T17" i="3"/>
  <c r="S17" i="3"/>
  <c r="R17" i="3"/>
  <c r="K17" i="3"/>
  <c r="Y17" i="3" s="1"/>
  <c r="X12" i="3"/>
  <c r="Q12" i="3"/>
  <c r="P12" i="3"/>
  <c r="O12" i="3"/>
  <c r="V12" i="3" s="1"/>
  <c r="N12" i="3"/>
  <c r="U12" i="3" s="1"/>
  <c r="M12" i="3"/>
  <c r="L12" i="3"/>
  <c r="K12" i="3"/>
  <c r="J12" i="3"/>
  <c r="I12" i="3"/>
  <c r="W12" i="3" s="1"/>
  <c r="H12" i="3"/>
  <c r="G12" i="3"/>
  <c r="F12" i="3"/>
  <c r="E12" i="3"/>
  <c r="Y11" i="3"/>
  <c r="X11" i="3"/>
  <c r="W11" i="3"/>
  <c r="V11" i="3"/>
  <c r="U11" i="3"/>
  <c r="T11" i="3"/>
  <c r="S11" i="3"/>
  <c r="R11" i="3"/>
  <c r="K11" i="3"/>
  <c r="X9" i="3"/>
  <c r="W9" i="3"/>
  <c r="V9" i="3"/>
  <c r="U9" i="3"/>
  <c r="T9" i="3"/>
  <c r="S9" i="3"/>
  <c r="R9" i="3"/>
  <c r="K9" i="3"/>
  <c r="Y9" i="3" s="1"/>
  <c r="X8" i="3"/>
  <c r="W8" i="3"/>
  <c r="V8" i="3"/>
  <c r="U8" i="3"/>
  <c r="T8" i="3"/>
  <c r="S8" i="3"/>
  <c r="R8" i="3"/>
  <c r="Y8" i="3" s="1"/>
  <c r="K8" i="3"/>
  <c r="Y7" i="3"/>
  <c r="X7" i="3"/>
  <c r="W7" i="3"/>
  <c r="V7" i="3"/>
  <c r="U7" i="3"/>
  <c r="T7" i="3"/>
  <c r="S7" i="3"/>
  <c r="R7" i="3"/>
  <c r="K7" i="3"/>
  <c r="X6" i="3"/>
  <c r="W6" i="3"/>
  <c r="V6" i="3"/>
  <c r="U6" i="3"/>
  <c r="T6" i="3"/>
  <c r="S6" i="3"/>
  <c r="R6" i="3"/>
  <c r="Y6" i="3" s="1"/>
  <c r="K6" i="3"/>
  <c r="X5" i="3"/>
  <c r="W5" i="3"/>
  <c r="V5" i="3"/>
  <c r="U5" i="3"/>
  <c r="T5" i="3"/>
  <c r="S5" i="3"/>
  <c r="R5" i="3"/>
  <c r="K5" i="3"/>
  <c r="Y5" i="3" s="1"/>
  <c r="N107" i="1"/>
  <c r="M107" i="1"/>
  <c r="L107" i="1"/>
  <c r="O106" i="1"/>
  <c r="N106" i="1"/>
  <c r="M106" i="1"/>
  <c r="L106" i="1"/>
  <c r="G106" i="1"/>
  <c r="F106" i="1"/>
  <c r="P105" i="1"/>
  <c r="O105" i="1"/>
  <c r="J104" i="1"/>
  <c r="G104" i="1"/>
  <c r="F104" i="1"/>
  <c r="E104" i="1"/>
  <c r="P102" i="1"/>
  <c r="V101" i="1"/>
  <c r="Q95" i="1"/>
  <c r="P95" i="1"/>
  <c r="N95" i="1"/>
  <c r="L94" i="1"/>
  <c r="J94" i="1"/>
  <c r="L92" i="1"/>
  <c r="J92" i="1"/>
  <c r="F92" i="1"/>
  <c r="E92" i="1"/>
  <c r="N91" i="1"/>
  <c r="L91" i="1"/>
  <c r="J91" i="1"/>
  <c r="Q90" i="1"/>
  <c r="P90" i="1"/>
  <c r="E89" i="1"/>
  <c r="T83" i="1"/>
  <c r="S83" i="1"/>
  <c r="Q83" i="1"/>
  <c r="P83" i="1"/>
  <c r="O83" i="1"/>
  <c r="N83" i="1"/>
  <c r="M83" i="1"/>
  <c r="L83" i="1"/>
  <c r="J83" i="1"/>
  <c r="I83" i="1"/>
  <c r="H83" i="1"/>
  <c r="G83" i="1"/>
  <c r="F83" i="1"/>
  <c r="E83" i="1"/>
  <c r="Q82" i="1"/>
  <c r="P82" i="1"/>
  <c r="O82" i="1"/>
  <c r="N82" i="1"/>
  <c r="M82" i="1"/>
  <c r="L82" i="1"/>
  <c r="J82" i="1"/>
  <c r="J106" i="1" s="1"/>
  <c r="I82" i="1"/>
  <c r="H82" i="1"/>
  <c r="H106" i="1" s="1"/>
  <c r="G82" i="1"/>
  <c r="F82" i="1"/>
  <c r="E82" i="1"/>
  <c r="W81" i="1"/>
  <c r="W105" i="1" s="1"/>
  <c r="S81" i="1"/>
  <c r="Q81" i="1"/>
  <c r="P81" i="1"/>
  <c r="O81" i="1"/>
  <c r="N81" i="1"/>
  <c r="M81" i="1"/>
  <c r="L81" i="1"/>
  <c r="J81" i="1"/>
  <c r="J105" i="1" s="1"/>
  <c r="I81" i="1"/>
  <c r="I93" i="1" s="1"/>
  <c r="H81" i="1"/>
  <c r="V81" i="1" s="1"/>
  <c r="G81" i="1"/>
  <c r="F81" i="1"/>
  <c r="E81" i="1"/>
  <c r="U80" i="1"/>
  <c r="T80" i="1"/>
  <c r="Q80" i="1"/>
  <c r="Q104" i="1" s="1"/>
  <c r="P80" i="1"/>
  <c r="O80" i="1"/>
  <c r="N80" i="1"/>
  <c r="M80" i="1"/>
  <c r="L80" i="1"/>
  <c r="K80" i="1"/>
  <c r="J80" i="1"/>
  <c r="X80" i="1" s="1"/>
  <c r="I80" i="1"/>
  <c r="H80" i="1"/>
  <c r="H92" i="1" s="1"/>
  <c r="G80" i="1"/>
  <c r="F80" i="1"/>
  <c r="E80" i="1"/>
  <c r="S80" i="1" s="1"/>
  <c r="T79" i="1"/>
  <c r="Q79" i="1"/>
  <c r="P79" i="1"/>
  <c r="P91" i="1" s="1"/>
  <c r="O79" i="1"/>
  <c r="N79" i="1"/>
  <c r="M79" i="1"/>
  <c r="L79" i="1"/>
  <c r="J79" i="1"/>
  <c r="I79" i="1"/>
  <c r="H79" i="1"/>
  <c r="G79" i="1"/>
  <c r="F79" i="1"/>
  <c r="E79" i="1"/>
  <c r="X78" i="1"/>
  <c r="V78" i="1"/>
  <c r="Q78" i="1"/>
  <c r="P78" i="1"/>
  <c r="O78" i="1"/>
  <c r="N78" i="1"/>
  <c r="M78" i="1"/>
  <c r="L78" i="1"/>
  <c r="J78" i="1"/>
  <c r="I78" i="1"/>
  <c r="H78" i="1"/>
  <c r="G78" i="1"/>
  <c r="F78" i="1"/>
  <c r="T78" i="1" s="1"/>
  <c r="E78" i="1"/>
  <c r="V77" i="1"/>
  <c r="T77" i="1"/>
  <c r="S77" i="1"/>
  <c r="R77" i="1"/>
  <c r="Q77" i="1"/>
  <c r="P77" i="1"/>
  <c r="O77" i="1"/>
  <c r="N77" i="1"/>
  <c r="M77" i="1"/>
  <c r="L77" i="1"/>
  <c r="J77" i="1"/>
  <c r="J84" i="1" s="1"/>
  <c r="I77" i="1"/>
  <c r="H77" i="1"/>
  <c r="H84" i="1" s="1"/>
  <c r="G77" i="1"/>
  <c r="F77" i="1"/>
  <c r="E77" i="1"/>
  <c r="O71" i="1"/>
  <c r="P70" i="1"/>
  <c r="O70" i="1"/>
  <c r="N70" i="1"/>
  <c r="G70" i="1"/>
  <c r="F70" i="1"/>
  <c r="E70" i="1"/>
  <c r="O59" i="1"/>
  <c r="N59" i="1"/>
  <c r="M59" i="1"/>
  <c r="L59" i="1"/>
  <c r="P58" i="1"/>
  <c r="O58" i="1"/>
  <c r="N58" i="1"/>
  <c r="M58" i="1"/>
  <c r="L58" i="1"/>
  <c r="E58" i="1"/>
  <c r="P57" i="1"/>
  <c r="F57" i="1"/>
  <c r="P56" i="1"/>
  <c r="L55" i="1"/>
  <c r="J55" i="1"/>
  <c r="F53" i="1"/>
  <c r="P48" i="1"/>
  <c r="O48" i="1"/>
  <c r="U47" i="1"/>
  <c r="T47" i="1"/>
  <c r="Q47" i="1"/>
  <c r="P47" i="1"/>
  <c r="O47" i="1"/>
  <c r="N47" i="1"/>
  <c r="M47" i="1"/>
  <c r="L47" i="1"/>
  <c r="R47" i="1" s="1"/>
  <c r="J47" i="1"/>
  <c r="I47" i="1"/>
  <c r="H47" i="1"/>
  <c r="G47" i="1"/>
  <c r="F47" i="1"/>
  <c r="E47" i="1"/>
  <c r="S47" i="1" s="1"/>
  <c r="U46" i="1"/>
  <c r="Q46" i="1"/>
  <c r="P46" i="1"/>
  <c r="O46" i="1"/>
  <c r="N46" i="1"/>
  <c r="M46" i="1"/>
  <c r="M70" i="1" s="1"/>
  <c r="L46" i="1"/>
  <c r="L70" i="1" s="1"/>
  <c r="J46" i="1"/>
  <c r="I46" i="1"/>
  <c r="H46" i="1"/>
  <c r="V46" i="1" s="1"/>
  <c r="G46" i="1"/>
  <c r="F46" i="1"/>
  <c r="E46" i="1"/>
  <c r="X45" i="1"/>
  <c r="R45" i="1"/>
  <c r="Q45" i="1"/>
  <c r="P45" i="1"/>
  <c r="P93" i="1" s="1"/>
  <c r="O45" i="1"/>
  <c r="O93" i="1" s="1"/>
  <c r="N45" i="1"/>
  <c r="M45" i="1"/>
  <c r="L45" i="1"/>
  <c r="L57" i="1" s="1"/>
  <c r="J45" i="1"/>
  <c r="I45" i="1"/>
  <c r="H45" i="1"/>
  <c r="G45" i="1"/>
  <c r="F45" i="1"/>
  <c r="E45" i="1"/>
  <c r="E57" i="1" s="1"/>
  <c r="X44" i="1"/>
  <c r="Q44" i="1"/>
  <c r="Q92" i="1" s="1"/>
  <c r="P44" i="1"/>
  <c r="O44" i="1"/>
  <c r="N44" i="1"/>
  <c r="M44" i="1"/>
  <c r="L44" i="1"/>
  <c r="K44" i="1"/>
  <c r="J44" i="1"/>
  <c r="J56" i="1" s="1"/>
  <c r="I44" i="1"/>
  <c r="H44" i="1"/>
  <c r="V44" i="1" s="1"/>
  <c r="G44" i="1"/>
  <c r="F44" i="1"/>
  <c r="E44" i="1"/>
  <c r="X43" i="1"/>
  <c r="U43" i="1"/>
  <c r="Q43" i="1"/>
  <c r="P43" i="1"/>
  <c r="O43" i="1"/>
  <c r="O67" i="1" s="1"/>
  <c r="N43" i="1"/>
  <c r="M43" i="1"/>
  <c r="L43" i="1"/>
  <c r="K43" i="1"/>
  <c r="J43" i="1"/>
  <c r="I43" i="1"/>
  <c r="I91" i="1" s="1"/>
  <c r="H43" i="1"/>
  <c r="H91" i="1" s="1"/>
  <c r="G43" i="1"/>
  <c r="F43" i="1"/>
  <c r="E43" i="1"/>
  <c r="S43" i="1" s="1"/>
  <c r="U42" i="1"/>
  <c r="R42" i="1"/>
  <c r="Q42" i="1"/>
  <c r="Q54" i="1" s="1"/>
  <c r="P42" i="1"/>
  <c r="P54" i="1" s="1"/>
  <c r="O42" i="1"/>
  <c r="N42" i="1"/>
  <c r="M42" i="1"/>
  <c r="L42" i="1"/>
  <c r="J42" i="1"/>
  <c r="I42" i="1"/>
  <c r="H42" i="1"/>
  <c r="V42" i="1" s="1"/>
  <c r="G42" i="1"/>
  <c r="F42" i="1"/>
  <c r="E42" i="1"/>
  <c r="X41" i="1"/>
  <c r="S41" i="1"/>
  <c r="Q41" i="1"/>
  <c r="P41" i="1"/>
  <c r="O41" i="1"/>
  <c r="N41" i="1"/>
  <c r="N53" i="1" s="1"/>
  <c r="M41" i="1"/>
  <c r="L41" i="1"/>
  <c r="J41" i="1"/>
  <c r="I41" i="1"/>
  <c r="H41" i="1"/>
  <c r="G41" i="1"/>
  <c r="F41" i="1"/>
  <c r="E41" i="1"/>
  <c r="P35" i="1"/>
  <c r="P71" i="1" s="1"/>
  <c r="N35" i="1"/>
  <c r="N71" i="1" s="1"/>
  <c r="M35" i="1"/>
  <c r="P33" i="1"/>
  <c r="P69" i="1" s="1"/>
  <c r="O33" i="1"/>
  <c r="O69" i="1" s="1"/>
  <c r="M33" i="1"/>
  <c r="M69" i="1" s="1"/>
  <c r="H33" i="1"/>
  <c r="V33" i="1" s="1"/>
  <c r="Q32" i="1"/>
  <c r="J32" i="1"/>
  <c r="X32" i="1" s="1"/>
  <c r="X68" i="1" s="1"/>
  <c r="F32" i="1"/>
  <c r="E32" i="1"/>
  <c r="H31" i="1"/>
  <c r="G31" i="1"/>
  <c r="P30" i="1"/>
  <c r="P66" i="1" s="1"/>
  <c r="M30" i="1"/>
  <c r="L30" i="1"/>
  <c r="M29" i="1"/>
  <c r="Q24" i="1"/>
  <c r="J24" i="1"/>
  <c r="U23" i="1"/>
  <c r="T23" i="1"/>
  <c r="Q23" i="1"/>
  <c r="Q107" i="1" s="1"/>
  <c r="P23" i="1"/>
  <c r="O23" i="1"/>
  <c r="O35" i="1" s="1"/>
  <c r="N23" i="1"/>
  <c r="M23" i="1"/>
  <c r="L23" i="1"/>
  <c r="J23" i="1"/>
  <c r="I23" i="1"/>
  <c r="H23" i="1"/>
  <c r="G23" i="1"/>
  <c r="G35" i="1" s="1"/>
  <c r="U35" i="1" s="1"/>
  <c r="F23" i="1"/>
  <c r="F35" i="1" s="1"/>
  <c r="T35" i="1" s="1"/>
  <c r="E23" i="1"/>
  <c r="X21" i="1"/>
  <c r="W21" i="1"/>
  <c r="Q21" i="1"/>
  <c r="Q33" i="1" s="1"/>
  <c r="P21" i="1"/>
  <c r="O21" i="1"/>
  <c r="N21" i="1"/>
  <c r="N33" i="1" s="1"/>
  <c r="M21" i="1"/>
  <c r="L21" i="1"/>
  <c r="J21" i="1"/>
  <c r="I21" i="1"/>
  <c r="H21" i="1"/>
  <c r="V21" i="1" s="1"/>
  <c r="G21" i="1"/>
  <c r="F21" i="1"/>
  <c r="E21" i="1"/>
  <c r="K21" i="1" s="1"/>
  <c r="Y21" i="1" s="1"/>
  <c r="V20" i="1"/>
  <c r="U20" i="1"/>
  <c r="U104" i="1" s="1"/>
  <c r="T20" i="1"/>
  <c r="Q20" i="1"/>
  <c r="P20" i="1"/>
  <c r="P32" i="1" s="1"/>
  <c r="O20" i="1"/>
  <c r="N20" i="1"/>
  <c r="M20" i="1"/>
  <c r="M32" i="1" s="1"/>
  <c r="M68" i="1" s="1"/>
  <c r="L20" i="1"/>
  <c r="J20" i="1"/>
  <c r="X20" i="1" s="1"/>
  <c r="I20" i="1"/>
  <c r="I32" i="1" s="1"/>
  <c r="I68" i="1" s="1"/>
  <c r="H20" i="1"/>
  <c r="G20" i="1"/>
  <c r="F20" i="1"/>
  <c r="E20" i="1"/>
  <c r="V19" i="1"/>
  <c r="U19" i="1"/>
  <c r="Q19" i="1"/>
  <c r="Q31" i="1" s="1"/>
  <c r="Q67" i="1" s="1"/>
  <c r="P19" i="1"/>
  <c r="O19" i="1"/>
  <c r="N19" i="1"/>
  <c r="N103" i="1" s="1"/>
  <c r="M19" i="1"/>
  <c r="M31" i="1" s="1"/>
  <c r="L19" i="1"/>
  <c r="J19" i="1"/>
  <c r="J103" i="1" s="1"/>
  <c r="I19" i="1"/>
  <c r="W19" i="1" s="1"/>
  <c r="H19" i="1"/>
  <c r="G19" i="1"/>
  <c r="F19" i="1"/>
  <c r="E19" i="1"/>
  <c r="U18" i="1"/>
  <c r="S18" i="1"/>
  <c r="Q18" i="1"/>
  <c r="Q102" i="1" s="1"/>
  <c r="P18" i="1"/>
  <c r="O18" i="1"/>
  <c r="N18" i="1"/>
  <c r="R18" i="1" s="1"/>
  <c r="M18" i="1"/>
  <c r="L18" i="1"/>
  <c r="J18" i="1"/>
  <c r="I18" i="1"/>
  <c r="H18" i="1"/>
  <c r="G18" i="1"/>
  <c r="G54" i="1" s="1"/>
  <c r="F18" i="1"/>
  <c r="E18" i="1"/>
  <c r="Q17" i="1"/>
  <c r="P17" i="1"/>
  <c r="O17" i="1"/>
  <c r="N17" i="1"/>
  <c r="M17" i="1"/>
  <c r="M24" i="1" s="1"/>
  <c r="L17" i="1"/>
  <c r="J17" i="1"/>
  <c r="I17" i="1"/>
  <c r="H17" i="1"/>
  <c r="V17" i="1" s="1"/>
  <c r="G17" i="1"/>
  <c r="F17" i="1"/>
  <c r="E17" i="1"/>
  <c r="X11" i="1"/>
  <c r="U11" i="1"/>
  <c r="T11" i="1"/>
  <c r="Q11" i="1"/>
  <c r="Q35" i="1" s="1"/>
  <c r="Q71" i="1" s="1"/>
  <c r="P11" i="1"/>
  <c r="O11" i="1"/>
  <c r="N11" i="1"/>
  <c r="M11" i="1"/>
  <c r="L11" i="1"/>
  <c r="J11" i="1"/>
  <c r="I11" i="1"/>
  <c r="W11" i="1" s="1"/>
  <c r="H11" i="1"/>
  <c r="V11" i="1" s="1"/>
  <c r="G11" i="1"/>
  <c r="F11" i="1"/>
  <c r="E11" i="1"/>
  <c r="V9" i="1"/>
  <c r="T9" i="1"/>
  <c r="R9" i="1"/>
  <c r="Q9" i="1"/>
  <c r="P9" i="1"/>
  <c r="O9" i="1"/>
  <c r="N9" i="1"/>
  <c r="M9" i="1"/>
  <c r="L9" i="1"/>
  <c r="J9" i="1"/>
  <c r="I9" i="1"/>
  <c r="H9" i="1"/>
  <c r="G9" i="1"/>
  <c r="U9" i="1" s="1"/>
  <c r="F9" i="1"/>
  <c r="E9" i="1"/>
  <c r="S8" i="1"/>
  <c r="Q8" i="1"/>
  <c r="X8" i="1" s="1"/>
  <c r="P8" i="1"/>
  <c r="W8" i="1" s="1"/>
  <c r="O8" i="1"/>
  <c r="N8" i="1"/>
  <c r="M8" i="1"/>
  <c r="L8" i="1"/>
  <c r="K8" i="1"/>
  <c r="J8" i="1"/>
  <c r="I8" i="1"/>
  <c r="H8" i="1"/>
  <c r="G8" i="1"/>
  <c r="U8" i="1" s="1"/>
  <c r="F8" i="1"/>
  <c r="E8" i="1"/>
  <c r="T7" i="1"/>
  <c r="Q7" i="1"/>
  <c r="P7" i="1"/>
  <c r="P31" i="1" s="1"/>
  <c r="O7" i="1"/>
  <c r="O31" i="1" s="1"/>
  <c r="N7" i="1"/>
  <c r="N31" i="1" s="1"/>
  <c r="M7" i="1"/>
  <c r="M12" i="1" s="1"/>
  <c r="L7" i="1"/>
  <c r="J7" i="1"/>
  <c r="X7" i="1" s="1"/>
  <c r="I7" i="1"/>
  <c r="W7" i="1" s="1"/>
  <c r="H7" i="1"/>
  <c r="V7" i="1" s="1"/>
  <c r="G7" i="1"/>
  <c r="F7" i="1"/>
  <c r="E7" i="1"/>
  <c r="W6" i="1"/>
  <c r="T6" i="1"/>
  <c r="S6" i="1"/>
  <c r="Q6" i="1"/>
  <c r="Q30" i="1" s="1"/>
  <c r="Q66" i="1" s="1"/>
  <c r="P6" i="1"/>
  <c r="O6" i="1"/>
  <c r="N6" i="1"/>
  <c r="M6" i="1"/>
  <c r="L6" i="1"/>
  <c r="R6" i="1" s="1"/>
  <c r="J6" i="1"/>
  <c r="I6" i="1"/>
  <c r="H6" i="1"/>
  <c r="V6" i="1" s="1"/>
  <c r="G6" i="1"/>
  <c r="F6" i="1"/>
  <c r="E6" i="1"/>
  <c r="E30" i="1" s="1"/>
  <c r="S30" i="1" s="1"/>
  <c r="Q5" i="1"/>
  <c r="P5" i="1"/>
  <c r="O5" i="1"/>
  <c r="O12" i="1" s="1"/>
  <c r="N5" i="1"/>
  <c r="M5" i="1"/>
  <c r="L5" i="1"/>
  <c r="J5" i="1"/>
  <c r="I5" i="1"/>
  <c r="W5" i="1" s="1"/>
  <c r="H5" i="1"/>
  <c r="H29" i="1" s="1"/>
  <c r="G5" i="1"/>
  <c r="F5" i="1"/>
  <c r="E5" i="1"/>
  <c r="N108" i="2"/>
  <c r="Y107" i="2"/>
  <c r="X107" i="2"/>
  <c r="T107" i="2"/>
  <c r="Q107" i="2"/>
  <c r="P107" i="2"/>
  <c r="O107" i="2"/>
  <c r="N107" i="2"/>
  <c r="M107" i="2"/>
  <c r="L107" i="2"/>
  <c r="K107" i="2"/>
  <c r="J107" i="2"/>
  <c r="I107" i="2"/>
  <c r="H107" i="2"/>
  <c r="G107" i="2"/>
  <c r="F107" i="2"/>
  <c r="E107" i="2"/>
  <c r="Q106" i="2"/>
  <c r="P106" i="2"/>
  <c r="O106" i="2"/>
  <c r="N106" i="2"/>
  <c r="M106" i="2"/>
  <c r="L106" i="2"/>
  <c r="R106" i="2" s="1"/>
  <c r="J106" i="2"/>
  <c r="I106" i="2"/>
  <c r="H106" i="2"/>
  <c r="G106" i="2"/>
  <c r="F106" i="2"/>
  <c r="E106" i="2"/>
  <c r="K106" i="2" s="1"/>
  <c r="Q105" i="2"/>
  <c r="P105" i="2"/>
  <c r="O105" i="2"/>
  <c r="N105" i="2"/>
  <c r="M105" i="2"/>
  <c r="L105" i="2"/>
  <c r="R105" i="2" s="1"/>
  <c r="J105" i="2"/>
  <c r="I105" i="2"/>
  <c r="H105" i="2"/>
  <c r="G105" i="2"/>
  <c r="F105" i="2"/>
  <c r="E105" i="2"/>
  <c r="X104" i="2"/>
  <c r="T104" i="2"/>
  <c r="Q104" i="2"/>
  <c r="P104" i="2"/>
  <c r="O104" i="2"/>
  <c r="N104" i="2"/>
  <c r="M104" i="2"/>
  <c r="L104" i="2"/>
  <c r="J104" i="2"/>
  <c r="I104" i="2"/>
  <c r="H104" i="2"/>
  <c r="G104" i="2"/>
  <c r="F104" i="2"/>
  <c r="E104" i="2"/>
  <c r="K104" i="2" s="1"/>
  <c r="R103" i="2"/>
  <c r="Q103" i="2"/>
  <c r="P103" i="2"/>
  <c r="O103" i="2"/>
  <c r="N103" i="2"/>
  <c r="M103" i="2"/>
  <c r="L103" i="2"/>
  <c r="J103" i="2"/>
  <c r="I103" i="2"/>
  <c r="H103" i="2"/>
  <c r="G103" i="2"/>
  <c r="F103" i="2"/>
  <c r="E103" i="2"/>
  <c r="K103" i="2" s="1"/>
  <c r="V102" i="2"/>
  <c r="Q102" i="2"/>
  <c r="P102" i="2"/>
  <c r="O102" i="2"/>
  <c r="N102" i="2"/>
  <c r="M102" i="2"/>
  <c r="L102" i="2"/>
  <c r="K102" i="2"/>
  <c r="J102" i="2"/>
  <c r="I102" i="2"/>
  <c r="H102" i="2"/>
  <c r="G102" i="2"/>
  <c r="F102" i="2"/>
  <c r="F108" i="2" s="1"/>
  <c r="E102" i="2"/>
  <c r="Y101" i="2"/>
  <c r="Q101" i="2"/>
  <c r="P101" i="2"/>
  <c r="O101" i="2"/>
  <c r="N101" i="2"/>
  <c r="M101" i="2"/>
  <c r="L101" i="2"/>
  <c r="K101" i="2"/>
  <c r="J101" i="2"/>
  <c r="I101" i="2"/>
  <c r="H101" i="2"/>
  <c r="G101" i="2"/>
  <c r="G108" i="2" s="1"/>
  <c r="F101" i="2"/>
  <c r="E101" i="2"/>
  <c r="L96" i="2"/>
  <c r="Y95" i="2"/>
  <c r="R95" i="2"/>
  <c r="Q95" i="2"/>
  <c r="P95" i="2"/>
  <c r="O95" i="2"/>
  <c r="N95" i="2"/>
  <c r="M95" i="2"/>
  <c r="L95" i="2"/>
  <c r="J95" i="2"/>
  <c r="I95" i="2"/>
  <c r="H95" i="2"/>
  <c r="G95" i="2"/>
  <c r="F95" i="2"/>
  <c r="E95" i="2"/>
  <c r="K95" i="2" s="1"/>
  <c r="Q94" i="2"/>
  <c r="P94" i="2"/>
  <c r="O94" i="2"/>
  <c r="R94" i="2" s="1"/>
  <c r="N94" i="2"/>
  <c r="M94" i="2"/>
  <c r="L94" i="2"/>
  <c r="J94" i="2"/>
  <c r="I94" i="2"/>
  <c r="H94" i="2"/>
  <c r="G94" i="2"/>
  <c r="K94" i="2" s="1"/>
  <c r="F94" i="2"/>
  <c r="E94" i="2"/>
  <c r="Q93" i="2"/>
  <c r="Q96" i="2" s="1"/>
  <c r="P93" i="2"/>
  <c r="O93" i="2"/>
  <c r="N93" i="2"/>
  <c r="M93" i="2"/>
  <c r="L93" i="2"/>
  <c r="J93" i="2"/>
  <c r="I93" i="2"/>
  <c r="H93" i="2"/>
  <c r="G93" i="2"/>
  <c r="F93" i="2"/>
  <c r="E93" i="2"/>
  <c r="K93" i="2" s="1"/>
  <c r="Q92" i="2"/>
  <c r="P92" i="2"/>
  <c r="O92" i="2"/>
  <c r="N92" i="2"/>
  <c r="M92" i="2"/>
  <c r="L92" i="2"/>
  <c r="J92" i="2"/>
  <c r="K92" i="2" s="1"/>
  <c r="I92" i="2"/>
  <c r="H92" i="2"/>
  <c r="G92" i="2"/>
  <c r="F92" i="2"/>
  <c r="E92" i="2"/>
  <c r="U91" i="2"/>
  <c r="T91" i="2"/>
  <c r="S91" i="2"/>
  <c r="Q91" i="2"/>
  <c r="P91" i="2"/>
  <c r="O91" i="2"/>
  <c r="N91" i="2"/>
  <c r="M91" i="2"/>
  <c r="L91" i="2"/>
  <c r="R91" i="2" s="1"/>
  <c r="J91" i="2"/>
  <c r="I91" i="2"/>
  <c r="I96" i="2" s="1"/>
  <c r="H91" i="2"/>
  <c r="G91" i="2"/>
  <c r="K91" i="2" s="1"/>
  <c r="F91" i="2"/>
  <c r="E91" i="2"/>
  <c r="V90" i="2"/>
  <c r="Q90" i="2"/>
  <c r="P90" i="2"/>
  <c r="O90" i="2"/>
  <c r="R90" i="2" s="1"/>
  <c r="N90" i="2"/>
  <c r="M90" i="2"/>
  <c r="L90" i="2"/>
  <c r="J90" i="2"/>
  <c r="I90" i="2"/>
  <c r="H90" i="2"/>
  <c r="G90" i="2"/>
  <c r="F90" i="2"/>
  <c r="E90" i="2"/>
  <c r="T89" i="2"/>
  <c r="Q89" i="2"/>
  <c r="P89" i="2"/>
  <c r="P96" i="2" s="1"/>
  <c r="O89" i="2"/>
  <c r="N89" i="2"/>
  <c r="M89" i="2"/>
  <c r="L89" i="2"/>
  <c r="J89" i="2"/>
  <c r="I89" i="2"/>
  <c r="H89" i="2"/>
  <c r="H96" i="2" s="1"/>
  <c r="G89" i="2"/>
  <c r="F89" i="2"/>
  <c r="E89" i="2"/>
  <c r="X84" i="2"/>
  <c r="Q84" i="2"/>
  <c r="P84" i="2"/>
  <c r="O84" i="2"/>
  <c r="V84" i="2" s="1"/>
  <c r="N84" i="2"/>
  <c r="U84" i="2" s="1"/>
  <c r="M84" i="2"/>
  <c r="L84" i="2"/>
  <c r="J84" i="2"/>
  <c r="I84" i="2"/>
  <c r="W84" i="2" s="1"/>
  <c r="H84" i="2"/>
  <c r="G84" i="2"/>
  <c r="F84" i="2"/>
  <c r="E84" i="2"/>
  <c r="Y83" i="2"/>
  <c r="X83" i="2"/>
  <c r="W83" i="2"/>
  <c r="V83" i="2"/>
  <c r="U83" i="2"/>
  <c r="U95" i="2" s="1"/>
  <c r="T83" i="2"/>
  <c r="T95" i="2" s="1"/>
  <c r="S83" i="2"/>
  <c r="S107" i="2" s="1"/>
  <c r="R83" i="2"/>
  <c r="K83" i="2"/>
  <c r="Y81" i="2"/>
  <c r="X81" i="2"/>
  <c r="W81" i="2"/>
  <c r="W93" i="2" s="1"/>
  <c r="V81" i="2"/>
  <c r="V93" i="2" s="1"/>
  <c r="U81" i="2"/>
  <c r="U93" i="2" s="1"/>
  <c r="T81" i="2"/>
  <c r="S81" i="2"/>
  <c r="S93" i="2" s="1"/>
  <c r="R81" i="2"/>
  <c r="K81" i="2"/>
  <c r="X80" i="2"/>
  <c r="W80" i="2"/>
  <c r="V80" i="2"/>
  <c r="V104" i="2" s="1"/>
  <c r="U80" i="2"/>
  <c r="U104" i="2" s="1"/>
  <c r="T80" i="2"/>
  <c r="T92" i="2" s="1"/>
  <c r="S80" i="2"/>
  <c r="S92" i="2" s="1"/>
  <c r="R80" i="2"/>
  <c r="K80" i="2"/>
  <c r="X79" i="2"/>
  <c r="X103" i="2" s="1"/>
  <c r="W79" i="2"/>
  <c r="V79" i="2"/>
  <c r="U79" i="2"/>
  <c r="T79" i="2"/>
  <c r="S79" i="2"/>
  <c r="R79" i="2"/>
  <c r="K79" i="2"/>
  <c r="Y79" i="2" s="1"/>
  <c r="Y103" i="2" s="1"/>
  <c r="Y78" i="2"/>
  <c r="X78" i="2"/>
  <c r="W78" i="2"/>
  <c r="V78" i="2"/>
  <c r="U78" i="2"/>
  <c r="U102" i="2" s="1"/>
  <c r="T78" i="2"/>
  <c r="S78" i="2"/>
  <c r="R78" i="2"/>
  <c r="K78" i="2"/>
  <c r="X77" i="2"/>
  <c r="X89" i="2" s="1"/>
  <c r="W77" i="2"/>
  <c r="W89" i="2" s="1"/>
  <c r="V77" i="2"/>
  <c r="V89" i="2" s="1"/>
  <c r="U77" i="2"/>
  <c r="T77" i="2"/>
  <c r="T101" i="2" s="1"/>
  <c r="S77" i="2"/>
  <c r="S101" i="2" s="1"/>
  <c r="R77" i="2"/>
  <c r="K77" i="2"/>
  <c r="Y77" i="2" s="1"/>
  <c r="W71" i="2"/>
  <c r="Q71" i="2"/>
  <c r="P71" i="2"/>
  <c r="L71" i="2"/>
  <c r="I71" i="2"/>
  <c r="G71" i="2"/>
  <c r="E71" i="2"/>
  <c r="W69" i="2"/>
  <c r="N69" i="2"/>
  <c r="M69" i="2"/>
  <c r="J69" i="2"/>
  <c r="I69" i="2"/>
  <c r="F69" i="2"/>
  <c r="E69" i="2"/>
  <c r="O68" i="2"/>
  <c r="N68" i="2"/>
  <c r="J68" i="2"/>
  <c r="G68" i="2"/>
  <c r="F68" i="2"/>
  <c r="T67" i="2"/>
  <c r="P67" i="2"/>
  <c r="O67" i="2"/>
  <c r="L67" i="2"/>
  <c r="H67" i="2"/>
  <c r="G67" i="2"/>
  <c r="Q66" i="2"/>
  <c r="P66" i="2"/>
  <c r="M66" i="2"/>
  <c r="L66" i="2"/>
  <c r="R66" i="2" s="1"/>
  <c r="I66" i="2"/>
  <c r="H66" i="2"/>
  <c r="E66" i="2"/>
  <c r="Q65" i="2"/>
  <c r="N65" i="2"/>
  <c r="N72" i="2" s="1"/>
  <c r="M65" i="2"/>
  <c r="J65" i="2"/>
  <c r="I65" i="2"/>
  <c r="F65" i="2"/>
  <c r="E65" i="2"/>
  <c r="F60" i="2"/>
  <c r="W59" i="2"/>
  <c r="T59" i="2"/>
  <c r="S59" i="2"/>
  <c r="Q59" i="2"/>
  <c r="P59" i="2"/>
  <c r="O59" i="2"/>
  <c r="N59" i="2"/>
  <c r="M59" i="2"/>
  <c r="L59" i="2"/>
  <c r="R59" i="2" s="1"/>
  <c r="J59" i="2"/>
  <c r="I59" i="2"/>
  <c r="H59" i="2"/>
  <c r="G59" i="2"/>
  <c r="K59" i="2" s="1"/>
  <c r="F59" i="2"/>
  <c r="E59" i="2"/>
  <c r="X57" i="2"/>
  <c r="Q57" i="2"/>
  <c r="P57" i="2"/>
  <c r="O57" i="2"/>
  <c r="N57" i="2"/>
  <c r="M57" i="2"/>
  <c r="L57" i="2"/>
  <c r="R57" i="2" s="1"/>
  <c r="J57" i="2"/>
  <c r="I57" i="2"/>
  <c r="H57" i="2"/>
  <c r="G57" i="2"/>
  <c r="F57" i="2"/>
  <c r="E57" i="2"/>
  <c r="Q56" i="2"/>
  <c r="P56" i="2"/>
  <c r="O56" i="2"/>
  <c r="N56" i="2"/>
  <c r="N60" i="2" s="1"/>
  <c r="M56" i="2"/>
  <c r="R56" i="2" s="1"/>
  <c r="L56" i="2"/>
  <c r="J56" i="2"/>
  <c r="I56" i="2"/>
  <c r="H56" i="2"/>
  <c r="G56" i="2"/>
  <c r="F56" i="2"/>
  <c r="E56" i="2"/>
  <c r="W55" i="2"/>
  <c r="Q55" i="2"/>
  <c r="P55" i="2"/>
  <c r="O55" i="2"/>
  <c r="N55" i="2"/>
  <c r="R55" i="2" s="1"/>
  <c r="M55" i="2"/>
  <c r="L55" i="2"/>
  <c r="J55" i="2"/>
  <c r="J60" i="2" s="1"/>
  <c r="I55" i="2"/>
  <c r="H55" i="2"/>
  <c r="G55" i="2"/>
  <c r="F55" i="2"/>
  <c r="K55" i="2" s="1"/>
  <c r="E55" i="2"/>
  <c r="W54" i="2"/>
  <c r="T54" i="2"/>
  <c r="Q54" i="2"/>
  <c r="P54" i="2"/>
  <c r="O54" i="2"/>
  <c r="O60" i="2" s="1"/>
  <c r="N54" i="2"/>
  <c r="M54" i="2"/>
  <c r="L54" i="2"/>
  <c r="R54" i="2" s="1"/>
  <c r="J54" i="2"/>
  <c r="I54" i="2"/>
  <c r="H54" i="2"/>
  <c r="G54" i="2"/>
  <c r="G60" i="2" s="1"/>
  <c r="F54" i="2"/>
  <c r="E54" i="2"/>
  <c r="Q53" i="2"/>
  <c r="P53" i="2"/>
  <c r="P60" i="2" s="1"/>
  <c r="O53" i="2"/>
  <c r="N53" i="2"/>
  <c r="M53" i="2"/>
  <c r="L53" i="2"/>
  <c r="J53" i="2"/>
  <c r="I53" i="2"/>
  <c r="H53" i="2"/>
  <c r="G53" i="2"/>
  <c r="F53" i="2"/>
  <c r="E53" i="2"/>
  <c r="Q48" i="2"/>
  <c r="P48" i="2"/>
  <c r="O48" i="2"/>
  <c r="V48" i="2" s="1"/>
  <c r="N48" i="2"/>
  <c r="U48" i="2" s="1"/>
  <c r="M48" i="2"/>
  <c r="R48" i="2" s="1"/>
  <c r="Q12" i="4" s="1"/>
  <c r="L48" i="2"/>
  <c r="J48" i="2"/>
  <c r="I48" i="2"/>
  <c r="W48" i="2" s="1"/>
  <c r="H48" i="2"/>
  <c r="G48" i="2"/>
  <c r="F48" i="2"/>
  <c r="E48" i="2"/>
  <c r="Y47" i="2"/>
  <c r="X47" i="2"/>
  <c r="X59" i="2" s="1"/>
  <c r="W47" i="2"/>
  <c r="V47" i="2"/>
  <c r="U47" i="2"/>
  <c r="T47" i="2"/>
  <c r="S47" i="2"/>
  <c r="S71" i="2" s="1"/>
  <c r="R47" i="2"/>
  <c r="K47" i="2"/>
  <c r="X46" i="2"/>
  <c r="W46" i="2"/>
  <c r="V46" i="2"/>
  <c r="U46" i="2"/>
  <c r="T46" i="2"/>
  <c r="S46" i="2"/>
  <c r="R46" i="2"/>
  <c r="K46" i="2"/>
  <c r="Y46" i="2" s="1"/>
  <c r="X45" i="2"/>
  <c r="W45" i="2"/>
  <c r="W57" i="2" s="1"/>
  <c r="V45" i="2"/>
  <c r="U45" i="2"/>
  <c r="T45" i="2"/>
  <c r="S45" i="2"/>
  <c r="R45" i="2"/>
  <c r="K45" i="2"/>
  <c r="Y45" i="2" s="1"/>
  <c r="Y44" i="2"/>
  <c r="X44" i="2"/>
  <c r="X92" i="2" s="1"/>
  <c r="W44" i="2"/>
  <c r="W92" i="2" s="1"/>
  <c r="V44" i="2"/>
  <c r="V56" i="2" s="1"/>
  <c r="U44" i="2"/>
  <c r="T44" i="2"/>
  <c r="T56" i="2" s="1"/>
  <c r="S44" i="2"/>
  <c r="S56" i="2" s="1"/>
  <c r="R44" i="2"/>
  <c r="K44" i="2"/>
  <c r="X43" i="2"/>
  <c r="W43" i="2"/>
  <c r="W91" i="2" s="1"/>
  <c r="V43" i="2"/>
  <c r="V55" i="2" s="1"/>
  <c r="U43" i="2"/>
  <c r="U55" i="2" s="1"/>
  <c r="T43" i="2"/>
  <c r="T55" i="2" s="1"/>
  <c r="S43" i="2"/>
  <c r="R43" i="2"/>
  <c r="Y43" i="2" s="1"/>
  <c r="K43" i="2"/>
  <c r="X42" i="2"/>
  <c r="X54" i="2" s="1"/>
  <c r="W42" i="2"/>
  <c r="W66" i="2" s="1"/>
  <c r="V42" i="2"/>
  <c r="V66" i="2" s="1"/>
  <c r="U42" i="2"/>
  <c r="T42" i="2"/>
  <c r="S42" i="2"/>
  <c r="R42" i="2"/>
  <c r="K42" i="2"/>
  <c r="Y42" i="2" s="1"/>
  <c r="X41" i="2"/>
  <c r="W41" i="2"/>
  <c r="W53" i="2" s="1"/>
  <c r="V41" i="2"/>
  <c r="V53" i="2" s="1"/>
  <c r="U41" i="2"/>
  <c r="U53" i="2" s="1"/>
  <c r="T41" i="2"/>
  <c r="T65" i="2" s="1"/>
  <c r="S41" i="2"/>
  <c r="S65" i="2" s="1"/>
  <c r="R41" i="2"/>
  <c r="K41" i="2"/>
  <c r="Y41" i="2" s="1"/>
  <c r="W35" i="2"/>
  <c r="V35" i="2"/>
  <c r="S35" i="2"/>
  <c r="R35" i="2"/>
  <c r="Q35" i="2"/>
  <c r="P35" i="2"/>
  <c r="O35" i="2"/>
  <c r="O71" i="2" s="1"/>
  <c r="N35" i="2"/>
  <c r="N71" i="2" s="1"/>
  <c r="M35" i="2"/>
  <c r="M71" i="2" s="1"/>
  <c r="L35" i="2"/>
  <c r="J35" i="2"/>
  <c r="I35" i="2"/>
  <c r="H35" i="2"/>
  <c r="H71" i="2" s="1"/>
  <c r="G35" i="2"/>
  <c r="U35" i="2" s="1"/>
  <c r="U71" i="2" s="1"/>
  <c r="F35" i="2"/>
  <c r="T35" i="2" s="1"/>
  <c r="E35" i="2"/>
  <c r="X33" i="2"/>
  <c r="W33" i="2"/>
  <c r="T33" i="2"/>
  <c r="S33" i="2"/>
  <c r="Q33" i="2"/>
  <c r="Q69" i="2" s="1"/>
  <c r="P33" i="2"/>
  <c r="P69" i="2" s="1"/>
  <c r="O33" i="2"/>
  <c r="O69" i="2" s="1"/>
  <c r="N33" i="2"/>
  <c r="M33" i="2"/>
  <c r="L33" i="2"/>
  <c r="L69" i="2" s="1"/>
  <c r="R69" i="2" s="1"/>
  <c r="K33" i="2"/>
  <c r="Y33" i="2" s="1"/>
  <c r="J33" i="2"/>
  <c r="I33" i="2"/>
  <c r="H33" i="2"/>
  <c r="G33" i="2"/>
  <c r="F33" i="2"/>
  <c r="E33" i="2"/>
  <c r="X32" i="2"/>
  <c r="X68" i="2" s="1"/>
  <c r="T32" i="2"/>
  <c r="T68" i="2" s="1"/>
  <c r="Q32" i="2"/>
  <c r="Q68" i="2" s="1"/>
  <c r="P32" i="2"/>
  <c r="P68" i="2" s="1"/>
  <c r="O32" i="2"/>
  <c r="N32" i="2"/>
  <c r="U32" i="2" s="1"/>
  <c r="M32" i="2"/>
  <c r="M68" i="2" s="1"/>
  <c r="L32" i="2"/>
  <c r="J32" i="2"/>
  <c r="I32" i="2"/>
  <c r="H32" i="2"/>
  <c r="G32" i="2"/>
  <c r="F32" i="2"/>
  <c r="E32" i="2"/>
  <c r="V31" i="2"/>
  <c r="U31" i="2"/>
  <c r="U67" i="2" s="1"/>
  <c r="Q31" i="2"/>
  <c r="Q67" i="2" s="1"/>
  <c r="P31" i="2"/>
  <c r="O31" i="2"/>
  <c r="N31" i="2"/>
  <c r="N67" i="2" s="1"/>
  <c r="M31" i="2"/>
  <c r="M36" i="2" s="1"/>
  <c r="L31" i="2"/>
  <c r="J31" i="2"/>
  <c r="J67" i="2" s="1"/>
  <c r="I31" i="2"/>
  <c r="I36" i="2" s="1"/>
  <c r="H31" i="2"/>
  <c r="G31" i="2"/>
  <c r="F31" i="2"/>
  <c r="T31" i="2" s="1"/>
  <c r="E31" i="2"/>
  <c r="W30" i="2"/>
  <c r="V30" i="2"/>
  <c r="Q30" i="2"/>
  <c r="P30" i="2"/>
  <c r="O30" i="2"/>
  <c r="O66" i="2" s="1"/>
  <c r="N30" i="2"/>
  <c r="N66" i="2" s="1"/>
  <c r="M30" i="2"/>
  <c r="L30" i="2"/>
  <c r="S30" i="2" s="1"/>
  <c r="J30" i="2"/>
  <c r="I30" i="2"/>
  <c r="H30" i="2"/>
  <c r="G30" i="2"/>
  <c r="G66" i="2" s="1"/>
  <c r="F30" i="2"/>
  <c r="E30" i="2"/>
  <c r="W29" i="2"/>
  <c r="W65" i="2" s="1"/>
  <c r="T29" i="2"/>
  <c r="S29" i="2"/>
  <c r="Q29" i="2"/>
  <c r="X29" i="2" s="1"/>
  <c r="P29" i="2"/>
  <c r="P65" i="2" s="1"/>
  <c r="P72" i="2" s="1"/>
  <c r="O29" i="2"/>
  <c r="N29" i="2"/>
  <c r="M29" i="2"/>
  <c r="L29" i="2"/>
  <c r="L65" i="2" s="1"/>
  <c r="J29" i="2"/>
  <c r="I29" i="2"/>
  <c r="H29" i="2"/>
  <c r="G29" i="2"/>
  <c r="F29" i="2"/>
  <c r="E29" i="2"/>
  <c r="X24" i="2"/>
  <c r="T24" i="2"/>
  <c r="Q24" i="2"/>
  <c r="P24" i="2"/>
  <c r="O24" i="2"/>
  <c r="N24" i="2"/>
  <c r="U24" i="2" s="1"/>
  <c r="M24" i="2"/>
  <c r="L24" i="2"/>
  <c r="J24" i="2"/>
  <c r="I24" i="2"/>
  <c r="H24" i="2"/>
  <c r="V24" i="2" s="1"/>
  <c r="G24" i="2"/>
  <c r="F24" i="2"/>
  <c r="E24" i="2"/>
  <c r="Y23" i="2"/>
  <c r="X23" i="2"/>
  <c r="W23" i="2"/>
  <c r="V23" i="2"/>
  <c r="U23" i="2"/>
  <c r="T23" i="2"/>
  <c r="S23" i="2"/>
  <c r="R23" i="2"/>
  <c r="K23" i="2"/>
  <c r="R22" i="2"/>
  <c r="K22" i="2"/>
  <c r="Y21" i="2"/>
  <c r="X21" i="2"/>
  <c r="W21" i="2"/>
  <c r="V21" i="2"/>
  <c r="U21" i="2"/>
  <c r="T21" i="2"/>
  <c r="S21" i="2"/>
  <c r="R21" i="2"/>
  <c r="K21" i="2"/>
  <c r="Y20" i="2"/>
  <c r="X20" i="2"/>
  <c r="W20" i="2"/>
  <c r="W104" i="2" s="1"/>
  <c r="V20" i="2"/>
  <c r="U20" i="2"/>
  <c r="T20" i="2"/>
  <c r="S20" i="2"/>
  <c r="R20" i="2"/>
  <c r="K20" i="2"/>
  <c r="X19" i="2"/>
  <c r="W19" i="2"/>
  <c r="V19" i="2"/>
  <c r="U19" i="2"/>
  <c r="U103" i="2" s="1"/>
  <c r="T19" i="2"/>
  <c r="T103" i="2" s="1"/>
  <c r="S19" i="2"/>
  <c r="R19" i="2"/>
  <c r="K19" i="2"/>
  <c r="Y19" i="2" s="1"/>
  <c r="X18" i="2"/>
  <c r="W18" i="2"/>
  <c r="V18" i="2"/>
  <c r="U18" i="2"/>
  <c r="T18" i="2"/>
  <c r="S18" i="2"/>
  <c r="S54" i="2" s="1"/>
  <c r="R18" i="2"/>
  <c r="K18" i="2"/>
  <c r="Y18" i="2" s="1"/>
  <c r="Y17" i="2"/>
  <c r="X17" i="2"/>
  <c r="X101" i="2" s="1"/>
  <c r="W17" i="2"/>
  <c r="V17" i="2"/>
  <c r="U17" i="2"/>
  <c r="T17" i="2"/>
  <c r="S17" i="2"/>
  <c r="R17" i="2"/>
  <c r="K17" i="2"/>
  <c r="V12" i="2"/>
  <c r="U12" i="2"/>
  <c r="Q12" i="2"/>
  <c r="P12" i="2"/>
  <c r="O12" i="2"/>
  <c r="N12" i="2"/>
  <c r="M12" i="2"/>
  <c r="R12" i="2" s="1"/>
  <c r="L12" i="2"/>
  <c r="J12" i="2"/>
  <c r="I12" i="2"/>
  <c r="W12" i="2" s="1"/>
  <c r="H12" i="2"/>
  <c r="G12" i="2"/>
  <c r="F12" i="2"/>
  <c r="E12" i="2"/>
  <c r="X11" i="2"/>
  <c r="W11" i="2"/>
  <c r="V11" i="2"/>
  <c r="U11" i="2"/>
  <c r="T11" i="2"/>
  <c r="S11" i="2"/>
  <c r="R11" i="2"/>
  <c r="K11" i="2"/>
  <c r="Y11" i="2" s="1"/>
  <c r="X9" i="2"/>
  <c r="W9" i="2"/>
  <c r="V9" i="2"/>
  <c r="U9" i="2"/>
  <c r="T9" i="2"/>
  <c r="S9" i="2"/>
  <c r="R9" i="2"/>
  <c r="K9" i="2"/>
  <c r="Y9" i="2" s="1"/>
  <c r="Y8" i="2"/>
  <c r="X8" i="2"/>
  <c r="W8" i="2"/>
  <c r="V8" i="2"/>
  <c r="U8" i="2"/>
  <c r="T8" i="2"/>
  <c r="S8" i="2"/>
  <c r="R8" i="2"/>
  <c r="K8" i="2"/>
  <c r="Y7" i="2"/>
  <c r="X7" i="2"/>
  <c r="W7" i="2"/>
  <c r="V7" i="2"/>
  <c r="U7" i="2"/>
  <c r="T7" i="2"/>
  <c r="S7" i="2"/>
  <c r="R7" i="2"/>
  <c r="K7" i="2"/>
  <c r="X6" i="2"/>
  <c r="W6" i="2"/>
  <c r="V6" i="2"/>
  <c r="U6" i="2"/>
  <c r="T6" i="2"/>
  <c r="S6" i="2"/>
  <c r="R6" i="2"/>
  <c r="K6" i="2"/>
  <c r="X5" i="2"/>
  <c r="W5" i="2"/>
  <c r="V5" i="2"/>
  <c r="U5" i="2"/>
  <c r="T5" i="2"/>
  <c r="S5" i="2"/>
  <c r="R5" i="2"/>
  <c r="K5" i="2"/>
  <c r="Y5" i="2" s="1"/>
  <c r="U60" i="2" l="1"/>
  <c r="E68" i="2"/>
  <c r="K68" i="2" s="1"/>
  <c r="K32" i="2"/>
  <c r="Y32" i="2" s="1"/>
  <c r="Y68" i="2" s="1"/>
  <c r="S32" i="2"/>
  <c r="S68" i="2" s="1"/>
  <c r="Y93" i="2"/>
  <c r="Y105" i="2"/>
  <c r="E66" i="3"/>
  <c r="K30" i="3"/>
  <c r="Y30" i="3" s="1"/>
  <c r="S30" i="3"/>
  <c r="Y6" i="2"/>
  <c r="R65" i="2"/>
  <c r="L72" i="2"/>
  <c r="X53" i="2"/>
  <c r="R71" i="2"/>
  <c r="Y80" i="2"/>
  <c r="V95" i="2"/>
  <c r="V107" i="2"/>
  <c r="U108" i="2"/>
  <c r="U96" i="2"/>
  <c r="J96" i="2"/>
  <c r="U92" i="2"/>
  <c r="R104" i="2"/>
  <c r="R11" i="1"/>
  <c r="L35" i="1"/>
  <c r="R35" i="1" s="1"/>
  <c r="Q29" i="1"/>
  <c r="Q36" i="1" s="1"/>
  <c r="X17" i="1"/>
  <c r="Q53" i="1"/>
  <c r="S31" i="2"/>
  <c r="S67" i="2" s="1"/>
  <c r="K31" i="2"/>
  <c r="E67" i="2"/>
  <c r="F72" i="2"/>
  <c r="W95" i="2"/>
  <c r="W107" i="2"/>
  <c r="P108" i="2"/>
  <c r="W102" i="2"/>
  <c r="W90" i="2"/>
  <c r="E29" i="1"/>
  <c r="E53" i="1"/>
  <c r="K17" i="1"/>
  <c r="E24" i="1"/>
  <c r="S17" i="1"/>
  <c r="S53" i="1" s="1"/>
  <c r="Y43" i="1"/>
  <c r="J66" i="2"/>
  <c r="J72" i="2" s="1"/>
  <c r="X30" i="2"/>
  <c r="X66" i="2" s="1"/>
  <c r="J36" i="2"/>
  <c r="X48" i="2"/>
  <c r="H60" i="2"/>
  <c r="X90" i="2"/>
  <c r="X102" i="2"/>
  <c r="R93" i="2"/>
  <c r="E108" i="2"/>
  <c r="Q108" i="2"/>
  <c r="F102" i="1"/>
  <c r="F24" i="1"/>
  <c r="T24" i="1" s="1"/>
  <c r="F30" i="1"/>
  <c r="T30" i="1" s="1"/>
  <c r="T18" i="1"/>
  <c r="T102" i="1" s="1"/>
  <c r="U45" i="1"/>
  <c r="G57" i="1"/>
  <c r="K57" i="1" s="1"/>
  <c r="N93" i="1"/>
  <c r="N105" i="1"/>
  <c r="V108" i="2"/>
  <c r="V96" i="2"/>
  <c r="N12" i="1"/>
  <c r="R5" i="1"/>
  <c r="R46" i="1"/>
  <c r="Q70" i="1"/>
  <c r="R70" i="1" s="1"/>
  <c r="K24" i="2"/>
  <c r="S24" i="2"/>
  <c r="O36" i="2"/>
  <c r="O65" i="2"/>
  <c r="O72" i="2" s="1"/>
  <c r="K30" i="2"/>
  <c r="U68" i="2"/>
  <c r="X93" i="2"/>
  <c r="X69" i="2"/>
  <c r="I60" i="2"/>
  <c r="U89" i="2"/>
  <c r="U101" i="2"/>
  <c r="X105" i="2"/>
  <c r="P12" i="1"/>
  <c r="K7" i="1"/>
  <c r="Y7" i="1" s="1"/>
  <c r="K9" i="1"/>
  <c r="Y9" i="1" s="1"/>
  <c r="S9" i="1"/>
  <c r="K19" i="1"/>
  <c r="Y19" i="1" s="1"/>
  <c r="S19" i="1"/>
  <c r="S55" i="1" s="1"/>
  <c r="E31" i="1"/>
  <c r="R19" i="1"/>
  <c r="X24" i="1"/>
  <c r="G67" i="1"/>
  <c r="U31" i="1"/>
  <c r="U67" i="1" s="1"/>
  <c r="I71" i="3"/>
  <c r="W35" i="3"/>
  <c r="E36" i="2"/>
  <c r="F31" i="1"/>
  <c r="T19" i="1"/>
  <c r="T103" i="1" s="1"/>
  <c r="Y44" i="1"/>
  <c r="L60" i="2"/>
  <c r="R60" i="2" s="1"/>
  <c r="R53" i="2"/>
  <c r="R101" i="2"/>
  <c r="L108" i="2"/>
  <c r="U5" i="1"/>
  <c r="U54" i="1"/>
  <c r="O95" i="1"/>
  <c r="O107" i="1"/>
  <c r="K12" i="2"/>
  <c r="Y12" i="2" s="1"/>
  <c r="S12" i="2"/>
  <c r="X65" i="2"/>
  <c r="M60" i="2"/>
  <c r="Q72" i="2"/>
  <c r="S103" i="2"/>
  <c r="E96" i="2"/>
  <c r="M108" i="2"/>
  <c r="K11" i="1"/>
  <c r="S11" i="1"/>
  <c r="J30" i="1"/>
  <c r="X30" i="1" s="1"/>
  <c r="X18" i="1"/>
  <c r="R21" i="1"/>
  <c r="K32" i="1"/>
  <c r="I48" i="1"/>
  <c r="W48" i="1" s="1"/>
  <c r="W41" i="1"/>
  <c r="I53" i="1"/>
  <c r="I89" i="1"/>
  <c r="P67" i="1"/>
  <c r="P106" i="1"/>
  <c r="R106" i="1" s="1"/>
  <c r="P94" i="1"/>
  <c r="Y55" i="2"/>
  <c r="X96" i="2"/>
  <c r="X108" i="2"/>
  <c r="I102" i="1"/>
  <c r="I90" i="1"/>
  <c r="K78" i="1"/>
  <c r="W78" i="1"/>
  <c r="T12" i="2"/>
  <c r="W24" i="2"/>
  <c r="W108" i="2" s="1"/>
  <c r="G65" i="2"/>
  <c r="G72" i="2" s="1"/>
  <c r="G36" i="2"/>
  <c r="U29" i="2"/>
  <c r="U65" i="2" s="1"/>
  <c r="V32" i="2"/>
  <c r="V68" i="2" s="1"/>
  <c r="H68" i="2"/>
  <c r="N36" i="2"/>
  <c r="Y54" i="2"/>
  <c r="K54" i="2"/>
  <c r="G96" i="2"/>
  <c r="W9" i="1"/>
  <c r="I33" i="1"/>
  <c r="W33" i="1" s="1"/>
  <c r="L29" i="1"/>
  <c r="R17" i="1"/>
  <c r="L24" i="1"/>
  <c r="M65" i="1"/>
  <c r="M36" i="1"/>
  <c r="T32" i="1"/>
  <c r="H90" i="1"/>
  <c r="H54" i="1"/>
  <c r="F105" i="1"/>
  <c r="K81" i="1"/>
  <c r="Y81" i="1" s="1"/>
  <c r="T81" i="1"/>
  <c r="F93" i="1"/>
  <c r="H35" i="1"/>
  <c r="V35" i="1" s="1"/>
  <c r="V23" i="1"/>
  <c r="O108" i="2"/>
  <c r="U105" i="2"/>
  <c r="H12" i="1"/>
  <c r="V12" i="1" s="1"/>
  <c r="V5" i="1"/>
  <c r="K6" i="1"/>
  <c r="Y6" i="1" s="1"/>
  <c r="U6" i="1"/>
  <c r="R8" i="1"/>
  <c r="Y8" i="1" s="1"/>
  <c r="X9" i="1"/>
  <c r="J33" i="1"/>
  <c r="X33" i="1" s="1"/>
  <c r="X69" i="1" s="1"/>
  <c r="N29" i="1"/>
  <c r="N36" i="1" s="1"/>
  <c r="J71" i="1"/>
  <c r="J59" i="1"/>
  <c r="X47" i="1"/>
  <c r="K47" i="1"/>
  <c r="Y47" i="1" s="1"/>
  <c r="N90" i="1"/>
  <c r="N84" i="1"/>
  <c r="N102" i="1"/>
  <c r="V34" i="3"/>
  <c r="R34" i="3"/>
  <c r="Y34" i="3" s="1"/>
  <c r="S84" i="2"/>
  <c r="K84" i="2"/>
  <c r="Y84" i="2" s="1"/>
  <c r="H67" i="1"/>
  <c r="V31" i="1"/>
  <c r="Y69" i="2"/>
  <c r="Y57" i="2"/>
  <c r="Y59" i="2"/>
  <c r="F96" i="2"/>
  <c r="K90" i="2"/>
  <c r="R24" i="2"/>
  <c r="H69" i="2"/>
  <c r="K69" i="2" s="1"/>
  <c r="V33" i="2"/>
  <c r="V69" i="2" s="1"/>
  <c r="S48" i="2"/>
  <c r="K48" i="2"/>
  <c r="K56" i="2"/>
  <c r="U56" i="2"/>
  <c r="F71" i="2"/>
  <c r="S102" i="2"/>
  <c r="V103" i="2"/>
  <c r="R102" i="2"/>
  <c r="V105" i="2"/>
  <c r="J12" i="1"/>
  <c r="X12" i="1" s="1"/>
  <c r="S101" i="1"/>
  <c r="S89" i="1"/>
  <c r="L36" i="3"/>
  <c r="S29" i="3"/>
  <c r="R29" i="3"/>
  <c r="L65" i="3"/>
  <c r="J66" i="3"/>
  <c r="X30" i="3"/>
  <c r="X66" i="3" s="1"/>
  <c r="J36" i="3"/>
  <c r="T12" i="4"/>
  <c r="I67" i="2"/>
  <c r="I72" i="2" s="1"/>
  <c r="W31" i="2"/>
  <c r="W67" i="2" s="1"/>
  <c r="S55" i="2"/>
  <c r="H65" i="2"/>
  <c r="H72" i="2" s="1"/>
  <c r="H36" i="2"/>
  <c r="V29" i="2"/>
  <c r="V65" i="2" s="1"/>
  <c r="M67" i="2"/>
  <c r="R67" i="2" s="1"/>
  <c r="R31" i="2"/>
  <c r="W96" i="2"/>
  <c r="U59" i="2"/>
  <c r="U107" i="2"/>
  <c r="F36" i="2"/>
  <c r="T36" i="2" s="1"/>
  <c r="F66" i="2"/>
  <c r="T30" i="2"/>
  <c r="T66" i="2" s="1"/>
  <c r="R30" i="2"/>
  <c r="R32" i="2"/>
  <c r="L68" i="2"/>
  <c r="R68" i="2" s="1"/>
  <c r="T48" i="2"/>
  <c r="Q60" i="2"/>
  <c r="Y56" i="2"/>
  <c r="V60" i="2"/>
  <c r="K105" i="2"/>
  <c r="H104" i="1"/>
  <c r="H32" i="1"/>
  <c r="K20" i="1"/>
  <c r="Y20" i="1" s="1"/>
  <c r="W20" i="1"/>
  <c r="J54" i="1"/>
  <c r="G101" i="1"/>
  <c r="G84" i="1"/>
  <c r="U84" i="1" s="1"/>
  <c r="G89" i="1"/>
  <c r="U77" i="1"/>
  <c r="T101" i="1"/>
  <c r="J71" i="2"/>
  <c r="X35" i="2"/>
  <c r="X71" i="2" s="1"/>
  <c r="M72" i="2"/>
  <c r="Y91" i="2"/>
  <c r="K35" i="2"/>
  <c r="Y35" i="2" s="1"/>
  <c r="V71" i="2"/>
  <c r="V59" i="2"/>
  <c r="W32" i="2"/>
  <c r="W68" i="2" s="1"/>
  <c r="G69" i="2"/>
  <c r="U33" i="2"/>
  <c r="U69" i="2" s="1"/>
  <c r="Q36" i="2"/>
  <c r="V91" i="2"/>
  <c r="V67" i="2"/>
  <c r="S90" i="2"/>
  <c r="S66" i="2"/>
  <c r="X12" i="2"/>
  <c r="K29" i="2"/>
  <c r="Y53" i="2"/>
  <c r="T69" i="2"/>
  <c r="E60" i="2"/>
  <c r="K60" i="2" s="1"/>
  <c r="K53" i="2"/>
  <c r="T53" i="2"/>
  <c r="K57" i="2"/>
  <c r="T57" i="2"/>
  <c r="W60" i="2"/>
  <c r="Y89" i="2"/>
  <c r="T93" i="2"/>
  <c r="R89" i="2"/>
  <c r="P24" i="1"/>
  <c r="W17" i="1"/>
  <c r="P29" i="1"/>
  <c r="P107" i="1"/>
  <c r="R23" i="1"/>
  <c r="W32" i="1"/>
  <c r="X56" i="1"/>
  <c r="Q58" i="1"/>
  <c r="R58" i="1" s="1"/>
  <c r="X108" i="3"/>
  <c r="T102" i="2"/>
  <c r="W103" i="2"/>
  <c r="V92" i="2"/>
  <c r="S95" i="2"/>
  <c r="H108" i="2"/>
  <c r="U7" i="1"/>
  <c r="S20" i="1"/>
  <c r="I29" i="1"/>
  <c r="I65" i="1" s="1"/>
  <c r="F48" i="1"/>
  <c r="T41" i="1"/>
  <c r="X53" i="1"/>
  <c r="R43" i="1"/>
  <c r="Q69" i="1"/>
  <c r="Q93" i="1"/>
  <c r="Q57" i="1"/>
  <c r="N48" i="1"/>
  <c r="P101" i="1"/>
  <c r="F89" i="1"/>
  <c r="R107" i="1"/>
  <c r="N68" i="3"/>
  <c r="U32" i="3"/>
  <c r="U68" i="3" s="1"/>
  <c r="Y53" i="3"/>
  <c r="Y56" i="3"/>
  <c r="W56" i="2"/>
  <c r="K89" i="2"/>
  <c r="I108" i="2"/>
  <c r="V101" i="2"/>
  <c r="S105" i="2"/>
  <c r="X5" i="1"/>
  <c r="N24" i="1"/>
  <c r="H30" i="1"/>
  <c r="E107" i="1"/>
  <c r="K23" i="1"/>
  <c r="J29" i="1"/>
  <c r="G48" i="1"/>
  <c r="U41" i="1"/>
  <c r="K42" i="1"/>
  <c r="Y42" i="1" s="1"/>
  <c r="E90" i="1"/>
  <c r="E66" i="1"/>
  <c r="E54" i="1"/>
  <c r="K54" i="1" s="1"/>
  <c r="M67" i="1"/>
  <c r="M48" i="1"/>
  <c r="M91" i="1"/>
  <c r="V56" i="1"/>
  <c r="K45" i="1"/>
  <c r="Y45" i="1" s="1"/>
  <c r="E93" i="1"/>
  <c r="J68" i="1"/>
  <c r="R78" i="1"/>
  <c r="L90" i="1"/>
  <c r="L102" i="1"/>
  <c r="R102" i="1" s="1"/>
  <c r="L84" i="1"/>
  <c r="U79" i="1"/>
  <c r="G103" i="1"/>
  <c r="G91" i="1"/>
  <c r="T104" i="1"/>
  <c r="O68" i="3"/>
  <c r="V32" i="3"/>
  <c r="V68" i="3" s="1"/>
  <c r="O36" i="3"/>
  <c r="T71" i="2"/>
  <c r="R29" i="2"/>
  <c r="U30" i="2"/>
  <c r="U66" i="2" s="1"/>
  <c r="X31" i="2"/>
  <c r="X67" i="2" s="1"/>
  <c r="R33" i="2"/>
  <c r="L36" i="2"/>
  <c r="X56" i="2"/>
  <c r="F67" i="2"/>
  <c r="I68" i="2"/>
  <c r="R84" i="2"/>
  <c r="S89" i="2"/>
  <c r="J108" i="2"/>
  <c r="W101" i="2"/>
  <c r="T105" i="2"/>
  <c r="I12" i="1"/>
  <c r="W12" i="1" s="1"/>
  <c r="O101" i="1"/>
  <c r="O24" i="1"/>
  <c r="I30" i="1"/>
  <c r="W30" i="1" s="1"/>
  <c r="W18" i="1"/>
  <c r="V18" i="1"/>
  <c r="V54" i="1" s="1"/>
  <c r="L105" i="1"/>
  <c r="L33" i="1"/>
  <c r="S23" i="1"/>
  <c r="S107" i="1" s="1"/>
  <c r="G30" i="1"/>
  <c r="H65" i="1"/>
  <c r="H48" i="1"/>
  <c r="V48" i="1" s="1"/>
  <c r="V41" i="1"/>
  <c r="H53" i="1"/>
  <c r="F90" i="1"/>
  <c r="F54" i="1"/>
  <c r="T42" i="1"/>
  <c r="S42" i="1"/>
  <c r="I56" i="1"/>
  <c r="T45" i="1"/>
  <c r="S45" i="1"/>
  <c r="M71" i="1"/>
  <c r="U54" i="2"/>
  <c r="Y90" i="2"/>
  <c r="X95" i="2"/>
  <c r="R92" i="2"/>
  <c r="W105" i="2"/>
  <c r="R107" i="2"/>
  <c r="R7" i="1"/>
  <c r="L12" i="1"/>
  <c r="R12" i="1" s="1"/>
  <c r="F29" i="1"/>
  <c r="T17" i="1"/>
  <c r="I35" i="1"/>
  <c r="W35" i="1" s="1"/>
  <c r="W23" i="1"/>
  <c r="O29" i="1"/>
  <c r="I31" i="1"/>
  <c r="G32" i="1"/>
  <c r="L53" i="1"/>
  <c r="R41" i="1"/>
  <c r="L48" i="1"/>
  <c r="I66" i="1"/>
  <c r="W42" i="1"/>
  <c r="Q55" i="1"/>
  <c r="P59" i="1"/>
  <c r="G53" i="1"/>
  <c r="M55" i="1"/>
  <c r="R55" i="1" s="1"/>
  <c r="Q106" i="1"/>
  <c r="Q94" i="1"/>
  <c r="Y55" i="3"/>
  <c r="V56" i="3"/>
  <c r="X55" i="2"/>
  <c r="P36" i="2"/>
  <c r="W36" i="2" s="1"/>
  <c r="W72" i="2" s="1"/>
  <c r="S69" i="2"/>
  <c r="S53" i="2"/>
  <c r="V54" i="2"/>
  <c r="S57" i="2"/>
  <c r="Y71" i="2"/>
  <c r="S104" i="2"/>
  <c r="T8" i="1"/>
  <c r="G29" i="1"/>
  <c r="U17" i="1"/>
  <c r="H103" i="1"/>
  <c r="H55" i="1"/>
  <c r="J107" i="1"/>
  <c r="J35" i="1"/>
  <c r="X35" i="1" s="1"/>
  <c r="X23" i="1"/>
  <c r="N30" i="1"/>
  <c r="N66" i="1" s="1"/>
  <c r="J31" i="1"/>
  <c r="M53" i="1"/>
  <c r="X42" i="1"/>
  <c r="F55" i="1"/>
  <c r="F60" i="1" s="1"/>
  <c r="T43" i="1"/>
  <c r="Q59" i="1"/>
  <c r="R59" i="1" s="1"/>
  <c r="I84" i="1"/>
  <c r="I101" i="1"/>
  <c r="W77" i="1"/>
  <c r="V105" i="1"/>
  <c r="N65" i="3"/>
  <c r="N36" i="3"/>
  <c r="Y31" i="3"/>
  <c r="Y67" i="3" s="1"/>
  <c r="G69" i="3"/>
  <c r="U33" i="3"/>
  <c r="U69" i="3" s="1"/>
  <c r="S67" i="3"/>
  <c r="S55" i="3"/>
  <c r="L104" i="1"/>
  <c r="R20" i="1"/>
  <c r="L56" i="1"/>
  <c r="H94" i="1"/>
  <c r="H58" i="1"/>
  <c r="H70" i="1"/>
  <c r="K70" i="1" s="1"/>
  <c r="R91" i="1"/>
  <c r="X53" i="3"/>
  <c r="X65" i="3"/>
  <c r="U57" i="2"/>
  <c r="T84" i="2"/>
  <c r="M96" i="2"/>
  <c r="R96" i="2" s="1"/>
  <c r="X91" i="2"/>
  <c r="E12" i="1"/>
  <c r="K5" i="1"/>
  <c r="Y5" i="1" s="1"/>
  <c r="X6" i="1"/>
  <c r="V8" i="1"/>
  <c r="F33" i="1"/>
  <c r="T33" i="1" s="1"/>
  <c r="T21" i="1"/>
  <c r="G24" i="1"/>
  <c r="E35" i="1"/>
  <c r="O89" i="1"/>
  <c r="O96" i="1" s="1"/>
  <c r="O53" i="1"/>
  <c r="O60" i="1" s="1"/>
  <c r="M57" i="1"/>
  <c r="I58" i="1"/>
  <c r="I70" i="1"/>
  <c r="W46" i="1"/>
  <c r="O103" i="1"/>
  <c r="O84" i="1"/>
  <c r="V84" i="1" s="1"/>
  <c r="O91" i="1"/>
  <c r="R79" i="1"/>
  <c r="R80" i="1"/>
  <c r="Y80" i="1" s="1"/>
  <c r="M104" i="1"/>
  <c r="M92" i="1"/>
  <c r="R92" i="1" s="1"/>
  <c r="G107" i="1"/>
  <c r="G95" i="1"/>
  <c r="K83" i="1"/>
  <c r="Y83" i="1" s="1"/>
  <c r="U83" i="1"/>
  <c r="M67" i="3"/>
  <c r="M72" i="3" s="1"/>
  <c r="T31" i="3"/>
  <c r="T67" i="3" s="1"/>
  <c r="Q12" i="1"/>
  <c r="O102" i="1"/>
  <c r="O30" i="1"/>
  <c r="O66" i="1" s="1"/>
  <c r="E33" i="1"/>
  <c r="V57" i="2"/>
  <c r="N96" i="2"/>
  <c r="T90" i="2"/>
  <c r="F12" i="1"/>
  <c r="T12" i="1" s="1"/>
  <c r="S5" i="1"/>
  <c r="N32" i="1"/>
  <c r="N56" i="1"/>
  <c r="G33" i="1"/>
  <c r="U33" i="1" s="1"/>
  <c r="U21" i="1"/>
  <c r="S21" i="1"/>
  <c r="H24" i="1"/>
  <c r="V24" i="1" s="1"/>
  <c r="L32" i="1"/>
  <c r="P53" i="1"/>
  <c r="P68" i="1"/>
  <c r="W44" i="1"/>
  <c r="N69" i="1"/>
  <c r="N57" i="1"/>
  <c r="J58" i="1"/>
  <c r="J70" i="1"/>
  <c r="X46" i="1"/>
  <c r="H59" i="1"/>
  <c r="V47" i="1"/>
  <c r="V71" i="1" s="1"/>
  <c r="M56" i="1"/>
  <c r="U78" i="1"/>
  <c r="X102" i="1"/>
  <c r="P103" i="1"/>
  <c r="X35" i="3"/>
  <c r="X71" i="3" s="1"/>
  <c r="I103" i="1"/>
  <c r="I55" i="1"/>
  <c r="L66" i="1"/>
  <c r="U55" i="1"/>
  <c r="O96" i="2"/>
  <c r="U90" i="2"/>
  <c r="Y102" i="2"/>
  <c r="G12" i="1"/>
  <c r="U12" i="1" s="1"/>
  <c r="T5" i="1"/>
  <c r="S7" i="1"/>
  <c r="K18" i="1"/>
  <c r="Y18" i="1" s="1"/>
  <c r="L31" i="1"/>
  <c r="R31" i="1" s="1"/>
  <c r="X19" i="1"/>
  <c r="X55" i="1" s="1"/>
  <c r="O32" i="1"/>
  <c r="O68" i="1" s="1"/>
  <c r="I24" i="1"/>
  <c r="W24" i="1" s="1"/>
  <c r="E68" i="1"/>
  <c r="I54" i="1"/>
  <c r="O56" i="1"/>
  <c r="N101" i="1"/>
  <c r="Q91" i="1"/>
  <c r="Q103" i="1"/>
  <c r="I106" i="1"/>
  <c r="I94" i="1"/>
  <c r="I107" i="1"/>
  <c r="K104" i="1"/>
  <c r="M36" i="3"/>
  <c r="V60" i="3"/>
  <c r="F68" i="1"/>
  <c r="F59" i="1"/>
  <c r="T71" i="1"/>
  <c r="J102" i="1"/>
  <c r="J90" i="1"/>
  <c r="K79" i="1"/>
  <c r="Y79" i="1" s="1"/>
  <c r="E91" i="1"/>
  <c r="K91" i="1" s="1"/>
  <c r="E84" i="1"/>
  <c r="E103" i="1"/>
  <c r="K103" i="1" s="1"/>
  <c r="E106" i="1"/>
  <c r="E94" i="1"/>
  <c r="S24" i="3"/>
  <c r="K24" i="3"/>
  <c r="O72" i="3"/>
  <c r="R35" i="3"/>
  <c r="L71" i="3"/>
  <c r="R71" i="3" s="1"/>
  <c r="J65" i="1"/>
  <c r="N67" i="1"/>
  <c r="G68" i="1"/>
  <c r="G59" i="1"/>
  <c r="U71" i="1"/>
  <c r="O57" i="1"/>
  <c r="F101" i="1"/>
  <c r="F84" i="1"/>
  <c r="F91" i="1"/>
  <c r="F103" i="1"/>
  <c r="S79" i="1"/>
  <c r="F107" i="1"/>
  <c r="T107" i="1"/>
  <c r="T95" i="1"/>
  <c r="H89" i="1"/>
  <c r="H96" i="1" s="1"/>
  <c r="U60" i="3"/>
  <c r="I59" i="1"/>
  <c r="I95" i="1"/>
  <c r="W47" i="1"/>
  <c r="M90" i="1"/>
  <c r="M102" i="1"/>
  <c r="V79" i="1"/>
  <c r="S104" i="1"/>
  <c r="M105" i="1"/>
  <c r="M93" i="1"/>
  <c r="H107" i="1"/>
  <c r="H95" i="1"/>
  <c r="V83" i="1"/>
  <c r="X92" i="1"/>
  <c r="Q66" i="3"/>
  <c r="Q72" i="3" s="1"/>
  <c r="Q36" i="3"/>
  <c r="L67" i="3"/>
  <c r="R67" i="3" s="1"/>
  <c r="S31" i="3"/>
  <c r="R31" i="3"/>
  <c r="T69" i="3"/>
  <c r="T57" i="3"/>
  <c r="W72" i="3"/>
  <c r="W60" i="3"/>
  <c r="R54" i="3"/>
  <c r="Q60" i="3"/>
  <c r="J89" i="1"/>
  <c r="X77" i="1"/>
  <c r="X79" i="1"/>
  <c r="J95" i="1"/>
  <c r="H101" i="1"/>
  <c r="H108" i="1" s="1"/>
  <c r="W32" i="3"/>
  <c r="W68" i="3" s="1"/>
  <c r="H69" i="3"/>
  <c r="V33" i="3"/>
  <c r="V69" i="3" s="1"/>
  <c r="S34" i="3"/>
  <c r="V66" i="3"/>
  <c r="V54" i="3"/>
  <c r="R57" i="3"/>
  <c r="M66" i="1"/>
  <c r="G55" i="1"/>
  <c r="R44" i="1"/>
  <c r="H69" i="1"/>
  <c r="K46" i="1"/>
  <c r="Y46" i="1" s="1"/>
  <c r="K77" i="1"/>
  <c r="Y77" i="1" s="1"/>
  <c r="V80" i="1"/>
  <c r="M84" i="1"/>
  <c r="J101" i="1"/>
  <c r="Y12" i="3"/>
  <c r="G66" i="3"/>
  <c r="U30" i="3"/>
  <c r="T30" i="3"/>
  <c r="S35" i="3"/>
  <c r="S71" i="3" s="1"/>
  <c r="S65" i="3"/>
  <c r="S53" i="3"/>
  <c r="W54" i="3"/>
  <c r="X48" i="3"/>
  <c r="K48" i="3"/>
  <c r="Y48" i="3" s="1"/>
  <c r="Y96" i="3" s="1"/>
  <c r="T101" i="3"/>
  <c r="T89" i="3"/>
  <c r="X102" i="3"/>
  <c r="X90" i="3"/>
  <c r="Q89" i="1"/>
  <c r="Q96" i="1" s="1"/>
  <c r="Q65" i="1"/>
  <c r="Q72" i="1" s="1"/>
  <c r="Q48" i="1"/>
  <c r="N54" i="1"/>
  <c r="N60" i="1" s="1"/>
  <c r="V43" i="1"/>
  <c r="I69" i="1"/>
  <c r="F94" i="1"/>
  <c r="F58" i="1"/>
  <c r="K58" i="1" s="1"/>
  <c r="S46" i="1"/>
  <c r="S78" i="1"/>
  <c r="Q84" i="1"/>
  <c r="X84" i="1" s="1"/>
  <c r="I92" i="1"/>
  <c r="I104" i="1"/>
  <c r="W80" i="1"/>
  <c r="Q105" i="1"/>
  <c r="R12" i="3"/>
  <c r="V30" i="3"/>
  <c r="T65" i="3"/>
  <c r="T53" i="3"/>
  <c r="U101" i="3"/>
  <c r="U89" i="3"/>
  <c r="Y102" i="3"/>
  <c r="S104" i="3"/>
  <c r="S92" i="3"/>
  <c r="K41" i="1"/>
  <c r="Y41" i="1" s="1"/>
  <c r="E65" i="1"/>
  <c r="E48" i="1"/>
  <c r="O54" i="1"/>
  <c r="W43" i="1"/>
  <c r="U44" i="1"/>
  <c r="U92" i="1" s="1"/>
  <c r="N92" i="1"/>
  <c r="N68" i="1"/>
  <c r="J69" i="1"/>
  <c r="G94" i="1"/>
  <c r="G58" i="1"/>
  <c r="T46" i="1"/>
  <c r="M101" i="1"/>
  <c r="M108" i="1" s="1"/>
  <c r="V90" i="1"/>
  <c r="X104" i="1"/>
  <c r="E105" i="1"/>
  <c r="R81" i="1"/>
  <c r="S95" i="1"/>
  <c r="R69" i="3"/>
  <c r="G71" i="3"/>
  <c r="K35" i="3"/>
  <c r="U35" i="3"/>
  <c r="Y57" i="3"/>
  <c r="T71" i="3"/>
  <c r="T59" i="3"/>
  <c r="E68" i="3"/>
  <c r="K68" i="3" s="1"/>
  <c r="S32" i="3"/>
  <c r="S68" i="3" s="1"/>
  <c r="K60" i="3"/>
  <c r="X69" i="3"/>
  <c r="X89" i="3"/>
  <c r="S91" i="3"/>
  <c r="V92" i="3"/>
  <c r="U108" i="3"/>
  <c r="U96" i="3"/>
  <c r="K96" i="3"/>
  <c r="O10" i="4"/>
  <c r="V108" i="3"/>
  <c r="V96" i="3"/>
  <c r="N55" i="1"/>
  <c r="E56" i="1"/>
  <c r="Q56" i="1"/>
  <c r="H57" i="1"/>
  <c r="F71" i="1"/>
  <c r="L89" i="1"/>
  <c r="O90" i="1"/>
  <c r="N104" i="1"/>
  <c r="G105" i="1"/>
  <c r="S105" i="1"/>
  <c r="P84" i="1"/>
  <c r="M89" i="1"/>
  <c r="M96" i="1" s="1"/>
  <c r="G90" i="1"/>
  <c r="G93" i="1"/>
  <c r="E95" i="1"/>
  <c r="E102" i="1"/>
  <c r="H105" i="1"/>
  <c r="S12" i="3"/>
  <c r="W30" i="3"/>
  <c r="W66" i="3" s="1"/>
  <c r="U71" i="3"/>
  <c r="U59" i="3"/>
  <c r="K54" i="3"/>
  <c r="U103" i="3"/>
  <c r="X104" i="3"/>
  <c r="L54" i="1"/>
  <c r="O55" i="1"/>
  <c r="F56" i="1"/>
  <c r="I57" i="1"/>
  <c r="E59" i="1"/>
  <c r="G71" i="1"/>
  <c r="W79" i="1"/>
  <c r="O104" i="1"/>
  <c r="W83" i="1"/>
  <c r="N89" i="1"/>
  <c r="H93" i="1"/>
  <c r="F95" i="1"/>
  <c r="L101" i="1"/>
  <c r="I105" i="1"/>
  <c r="T12" i="3"/>
  <c r="K29" i="3"/>
  <c r="Y29" i="3" s="1"/>
  <c r="Y65" i="3" s="1"/>
  <c r="E65" i="3"/>
  <c r="E36" i="3"/>
  <c r="Y42" i="3"/>
  <c r="U91" i="3"/>
  <c r="X92" i="3"/>
  <c r="V71" i="3"/>
  <c r="V59" i="3"/>
  <c r="R66" i="3"/>
  <c r="S90" i="3"/>
  <c r="V91" i="3"/>
  <c r="Y93" i="3"/>
  <c r="Y105" i="3"/>
  <c r="S107" i="3"/>
  <c r="I11" i="4"/>
  <c r="S44" i="1"/>
  <c r="V45" i="1"/>
  <c r="V69" i="1" s="1"/>
  <c r="J53" i="1"/>
  <c r="M54" i="1"/>
  <c r="P55" i="1"/>
  <c r="G56" i="1"/>
  <c r="J57" i="1"/>
  <c r="P104" i="1"/>
  <c r="U81" i="1"/>
  <c r="X83" i="1"/>
  <c r="O92" i="1"/>
  <c r="G102" i="1"/>
  <c r="R24" i="3"/>
  <c r="F65" i="3"/>
  <c r="F72" i="3" s="1"/>
  <c r="F36" i="3"/>
  <c r="X32" i="3"/>
  <c r="X68" i="3" s="1"/>
  <c r="I36" i="3"/>
  <c r="W36" i="3" s="1"/>
  <c r="V67" i="3"/>
  <c r="W71" i="3"/>
  <c r="T102" i="3"/>
  <c r="W103" i="3"/>
  <c r="T107" i="3"/>
  <c r="L11" i="4"/>
  <c r="T44" i="1"/>
  <c r="W45" i="1"/>
  <c r="W69" i="1" s="1"/>
  <c r="E55" i="1"/>
  <c r="H56" i="1"/>
  <c r="Q68" i="1"/>
  <c r="L103" i="1"/>
  <c r="J93" i="1"/>
  <c r="M94" i="1"/>
  <c r="R83" i="1"/>
  <c r="L95" i="1"/>
  <c r="R95" i="1" s="1"/>
  <c r="P89" i="1"/>
  <c r="P96" i="1" s="1"/>
  <c r="P92" i="1"/>
  <c r="Y18" i="3"/>
  <c r="G65" i="3"/>
  <c r="G36" i="3"/>
  <c r="U36" i="3" s="1"/>
  <c r="U29" i="3"/>
  <c r="U65" i="3" s="1"/>
  <c r="T29" i="3"/>
  <c r="S66" i="3"/>
  <c r="W67" i="3"/>
  <c r="W55" i="3"/>
  <c r="W91" i="3"/>
  <c r="X59" i="3"/>
  <c r="K55" i="3"/>
  <c r="K59" i="3"/>
  <c r="I72" i="3"/>
  <c r="Y77" i="3"/>
  <c r="U102" i="3"/>
  <c r="U90" i="3"/>
  <c r="X103" i="3"/>
  <c r="X91" i="3"/>
  <c r="S105" i="3"/>
  <c r="S93" i="3"/>
  <c r="U107" i="3"/>
  <c r="O11" i="4"/>
  <c r="M103" i="1"/>
  <c r="W93" i="1"/>
  <c r="N94" i="1"/>
  <c r="M95" i="1"/>
  <c r="H65" i="3"/>
  <c r="H72" i="3" s="1"/>
  <c r="H36" i="3"/>
  <c r="V29" i="3"/>
  <c r="V65" i="3" s="1"/>
  <c r="K32" i="3"/>
  <c r="Y32" i="3" s="1"/>
  <c r="Y68" i="3" s="1"/>
  <c r="K33" i="3"/>
  <c r="Y33" i="3" s="1"/>
  <c r="Y69" i="3" s="1"/>
  <c r="E69" i="3"/>
  <c r="K69" i="3" s="1"/>
  <c r="R33" i="3"/>
  <c r="K71" i="3"/>
  <c r="T66" i="3"/>
  <c r="T54" i="3"/>
  <c r="T90" i="3"/>
  <c r="X67" i="3"/>
  <c r="X55" i="3"/>
  <c r="S48" i="3"/>
  <c r="L60" i="3"/>
  <c r="R53" i="3"/>
  <c r="S59" i="3"/>
  <c r="J72" i="3"/>
  <c r="V102" i="3"/>
  <c r="V90" i="3"/>
  <c r="Y103" i="3"/>
  <c r="Y91" i="3"/>
  <c r="T105" i="3"/>
  <c r="T93" i="3"/>
  <c r="V107" i="3"/>
  <c r="R96" i="3"/>
  <c r="J48" i="1"/>
  <c r="E101" i="1"/>
  <c r="Q101" i="1"/>
  <c r="H102" i="1"/>
  <c r="V102" i="1"/>
  <c r="G92" i="1"/>
  <c r="K92" i="1" s="1"/>
  <c r="L93" i="1"/>
  <c r="R93" i="1" s="1"/>
  <c r="X81" i="1"/>
  <c r="O94" i="1"/>
  <c r="W29" i="3"/>
  <c r="W65" i="3" s="1"/>
  <c r="U31" i="3"/>
  <c r="U67" i="3" s="1"/>
  <c r="R32" i="3"/>
  <c r="L68" i="3"/>
  <c r="S33" i="3"/>
  <c r="S69" i="3" s="1"/>
  <c r="U66" i="3"/>
  <c r="U54" i="3"/>
  <c r="S57" i="3"/>
  <c r="U72" i="3"/>
  <c r="S101" i="3"/>
  <c r="S89" i="3"/>
  <c r="W102" i="3"/>
  <c r="W90" i="3"/>
  <c r="Y80" i="3"/>
  <c r="U105" i="3"/>
  <c r="U93" i="3"/>
  <c r="W107" i="3"/>
  <c r="X107" i="3"/>
  <c r="W108" i="3"/>
  <c r="W96" i="3"/>
  <c r="Y95" i="3"/>
  <c r="Y59" i="3"/>
  <c r="P60" i="3"/>
  <c r="K67" i="3"/>
  <c r="V101" i="3"/>
  <c r="V89" i="3"/>
  <c r="X93" i="3"/>
  <c r="S96" i="3"/>
  <c r="S108" i="3"/>
  <c r="R108" i="3"/>
  <c r="U104" i="3"/>
  <c r="X105" i="3"/>
  <c r="Y107" i="3"/>
  <c r="R89" i="3"/>
  <c r="S95" i="3"/>
  <c r="E108" i="3"/>
  <c r="K108" i="3" s="1"/>
  <c r="L10" i="4"/>
  <c r="T95" i="3"/>
  <c r="T103" i="3"/>
  <c r="W104" i="3"/>
  <c r="M10" i="4"/>
  <c r="U95" i="3"/>
  <c r="X96" i="3"/>
  <c r="W59" i="3"/>
  <c r="V95" i="3"/>
  <c r="V93" i="3"/>
  <c r="W95" i="3"/>
  <c r="T84" i="3"/>
  <c r="K89" i="3"/>
  <c r="W89" i="3"/>
  <c r="T92" i="3"/>
  <c r="W93" i="3"/>
  <c r="X95" i="3"/>
  <c r="R101" i="3"/>
  <c r="K53" i="3"/>
  <c r="I10" i="4"/>
  <c r="X108" i="1" l="1"/>
  <c r="Y104" i="1"/>
  <c r="Y92" i="1"/>
  <c r="V108" i="1"/>
  <c r="V96" i="1"/>
  <c r="W104" i="1"/>
  <c r="W92" i="1"/>
  <c r="F36" i="1"/>
  <c r="T36" i="1" s="1"/>
  <c r="T29" i="1"/>
  <c r="X93" i="1"/>
  <c r="X105" i="1"/>
  <c r="T56" i="1"/>
  <c r="T68" i="1"/>
  <c r="S56" i="1"/>
  <c r="W95" i="1"/>
  <c r="W107" i="1"/>
  <c r="S48" i="1"/>
  <c r="K48" i="1"/>
  <c r="K94" i="1"/>
  <c r="U102" i="1"/>
  <c r="U90" i="1"/>
  <c r="P60" i="1"/>
  <c r="R104" i="1"/>
  <c r="I108" i="1"/>
  <c r="G60" i="1"/>
  <c r="W31" i="1"/>
  <c r="I67" i="1"/>
  <c r="I72" i="1" s="1"/>
  <c r="U103" i="1"/>
  <c r="U91" i="1"/>
  <c r="V30" i="1"/>
  <c r="V66" i="1" s="1"/>
  <c r="K30" i="1"/>
  <c r="V36" i="2"/>
  <c r="V72" i="2" s="1"/>
  <c r="K66" i="2"/>
  <c r="R24" i="1"/>
  <c r="K31" i="1"/>
  <c r="Y31" i="1" s="1"/>
  <c r="E67" i="1"/>
  <c r="S31" i="1"/>
  <c r="S67" i="1" s="1"/>
  <c r="X36" i="2"/>
  <c r="K106" i="1"/>
  <c r="K68" i="1"/>
  <c r="L68" i="1"/>
  <c r="R68" i="1" s="1"/>
  <c r="R32" i="1"/>
  <c r="Y32" i="1" s="1"/>
  <c r="Y68" i="1" s="1"/>
  <c r="S33" i="1"/>
  <c r="S69" i="1" s="1"/>
  <c r="K33" i="1"/>
  <c r="T108" i="2"/>
  <c r="T96" i="2"/>
  <c r="W84" i="1"/>
  <c r="O65" i="1"/>
  <c r="O72" i="1" s="1"/>
  <c r="O36" i="1"/>
  <c r="H60" i="1"/>
  <c r="O108" i="1"/>
  <c r="R84" i="1"/>
  <c r="R36" i="3"/>
  <c r="S32" i="1"/>
  <c r="S68" i="1" s="1"/>
  <c r="K65" i="2"/>
  <c r="W103" i="1"/>
  <c r="W91" i="1"/>
  <c r="V53" i="1"/>
  <c r="L36" i="1"/>
  <c r="R29" i="1"/>
  <c r="S36" i="3"/>
  <c r="K36" i="3"/>
  <c r="Y36" i="3" s="1"/>
  <c r="S92" i="1"/>
  <c r="J72" i="1"/>
  <c r="S84" i="1"/>
  <c r="K84" i="1"/>
  <c r="R66" i="1"/>
  <c r="H71" i="1"/>
  <c r="S35" i="1"/>
  <c r="S71" i="1" s="1"/>
  <c r="E71" i="1"/>
  <c r="K71" i="1" s="1"/>
  <c r="K35" i="1"/>
  <c r="Y35" i="1" s="1"/>
  <c r="F66" i="1"/>
  <c r="V60" i="1"/>
  <c r="R90" i="1"/>
  <c r="F96" i="1"/>
  <c r="T48" i="1"/>
  <c r="H68" i="1"/>
  <c r="V32" i="1"/>
  <c r="V68" i="1" s="1"/>
  <c r="P12" i="4"/>
  <c r="Y48" i="2"/>
  <c r="Y96" i="2" s="1"/>
  <c r="Y108" i="2"/>
  <c r="T93" i="1"/>
  <c r="T105" i="1"/>
  <c r="Y30" i="2"/>
  <c r="Y66" i="2" s="1"/>
  <c r="Y67" i="1"/>
  <c r="Y55" i="1"/>
  <c r="K67" i="2"/>
  <c r="E72" i="2"/>
  <c r="K72" i="2" s="1"/>
  <c r="Y56" i="1"/>
  <c r="R94" i="1"/>
  <c r="U105" i="1"/>
  <c r="U93" i="1"/>
  <c r="K65" i="3"/>
  <c r="E72" i="3"/>
  <c r="K72" i="3" s="1"/>
  <c r="K59" i="1"/>
  <c r="V103" i="1"/>
  <c r="V91" i="1"/>
  <c r="U24" i="1"/>
  <c r="U108" i="1" s="1"/>
  <c r="T55" i="1"/>
  <c r="K90" i="1"/>
  <c r="P108" i="1"/>
  <c r="F65" i="1"/>
  <c r="E96" i="1"/>
  <c r="S60" i="2"/>
  <c r="S72" i="2"/>
  <c r="S96" i="2"/>
  <c r="S108" i="2"/>
  <c r="Y105" i="1"/>
  <c r="Y93" i="1"/>
  <c r="U36" i="2"/>
  <c r="U72" i="2" s="1"/>
  <c r="F67" i="1"/>
  <c r="T31" i="1"/>
  <c r="T67" i="1" s="1"/>
  <c r="Y31" i="2"/>
  <c r="Y67" i="2" s="1"/>
  <c r="R72" i="2"/>
  <c r="H36" i="1"/>
  <c r="V36" i="1" s="1"/>
  <c r="V72" i="1" s="1"/>
  <c r="Y54" i="3"/>
  <c r="Y66" i="3"/>
  <c r="X103" i="1"/>
  <c r="X91" i="1"/>
  <c r="Y103" i="1"/>
  <c r="Y91" i="1"/>
  <c r="U29" i="1"/>
  <c r="U65" i="1" s="1"/>
  <c r="G36" i="1"/>
  <c r="U36" i="1" s="1"/>
  <c r="W66" i="1"/>
  <c r="W54" i="1"/>
  <c r="S93" i="1"/>
  <c r="U30" i="1"/>
  <c r="U66" i="1" s="1"/>
  <c r="G66" i="1"/>
  <c r="K66" i="1" s="1"/>
  <c r="Y54" i="1"/>
  <c r="W29" i="1"/>
  <c r="I36" i="1"/>
  <c r="K89" i="1"/>
  <c r="S36" i="2"/>
  <c r="K36" i="2"/>
  <c r="Y36" i="2" s="1"/>
  <c r="S24" i="1"/>
  <c r="K24" i="1"/>
  <c r="Y24" i="1" s="1"/>
  <c r="V29" i="1"/>
  <c r="V65" i="1" s="1"/>
  <c r="R89" i="1"/>
  <c r="L96" i="1"/>
  <c r="R96" i="1" s="1"/>
  <c r="Y35" i="3"/>
  <c r="Y71" i="3" s="1"/>
  <c r="T69" i="1"/>
  <c r="K93" i="1"/>
  <c r="U53" i="1"/>
  <c r="T91" i="1"/>
  <c r="K108" i="2"/>
  <c r="Y17" i="1"/>
  <c r="Y53" i="1" s="1"/>
  <c r="S103" i="1"/>
  <c r="S91" i="1"/>
  <c r="S90" i="1"/>
  <c r="S102" i="1"/>
  <c r="V89" i="1"/>
  <c r="X66" i="1"/>
  <c r="X54" i="1"/>
  <c r="Y92" i="3"/>
  <c r="Y104" i="3"/>
  <c r="R68" i="3"/>
  <c r="X48" i="1"/>
  <c r="R60" i="3"/>
  <c r="J108" i="1"/>
  <c r="X89" i="1"/>
  <c r="X101" i="1"/>
  <c r="Y24" i="3"/>
  <c r="Y108" i="3" s="1"/>
  <c r="N72" i="3"/>
  <c r="J66" i="1"/>
  <c r="R48" i="1"/>
  <c r="Q11" i="4" s="1"/>
  <c r="F69" i="1"/>
  <c r="R33" i="1"/>
  <c r="L69" i="1"/>
  <c r="R69" i="1" s="1"/>
  <c r="E69" i="1"/>
  <c r="U48" i="1"/>
  <c r="U101" i="1"/>
  <c r="U89" i="1"/>
  <c r="X36" i="3"/>
  <c r="X72" i="3" s="1"/>
  <c r="H66" i="1"/>
  <c r="H72" i="1" s="1"/>
  <c r="Y11" i="1"/>
  <c r="Y24" i="2"/>
  <c r="E60" i="1"/>
  <c r="K53" i="1"/>
  <c r="T65" i="1"/>
  <c r="T53" i="1"/>
  <c r="T89" i="1"/>
  <c r="E108" i="1"/>
  <c r="K108" i="1" s="1"/>
  <c r="K101" i="1"/>
  <c r="R103" i="1"/>
  <c r="S72" i="3"/>
  <c r="S60" i="3"/>
  <c r="V36" i="3"/>
  <c r="V72" i="3" s="1"/>
  <c r="R101" i="1"/>
  <c r="L108" i="1"/>
  <c r="R54" i="1"/>
  <c r="K102" i="1"/>
  <c r="Y72" i="3"/>
  <c r="J96" i="1"/>
  <c r="W71" i="1"/>
  <c r="T84" i="1"/>
  <c r="N108" i="1"/>
  <c r="U95" i="1"/>
  <c r="U107" i="1"/>
  <c r="M60" i="1"/>
  <c r="L65" i="1"/>
  <c r="R105" i="1"/>
  <c r="G65" i="1"/>
  <c r="P36" i="1"/>
  <c r="P65" i="1"/>
  <c r="P72" i="1" s="1"/>
  <c r="G96" i="1"/>
  <c r="W90" i="1"/>
  <c r="W102" i="1"/>
  <c r="I96" i="1"/>
  <c r="S29" i="1"/>
  <c r="S65" i="1" s="1"/>
  <c r="E36" i="1"/>
  <c r="K29" i="1"/>
  <c r="Q108" i="1"/>
  <c r="R30" i="1"/>
  <c r="K95" i="1"/>
  <c r="X60" i="3"/>
  <c r="V104" i="1"/>
  <c r="V92" i="1"/>
  <c r="V95" i="1"/>
  <c r="V107" i="1"/>
  <c r="I71" i="1"/>
  <c r="F108" i="1"/>
  <c r="Y95" i="1"/>
  <c r="V93" i="1"/>
  <c r="X31" i="1"/>
  <c r="X67" i="1" s="1"/>
  <c r="J67" i="1"/>
  <c r="S54" i="1"/>
  <c r="S66" i="1"/>
  <c r="T92" i="1"/>
  <c r="X29" i="1"/>
  <c r="X65" i="1" s="1"/>
  <c r="J36" i="1"/>
  <c r="X36" i="1" s="1"/>
  <c r="T72" i="2"/>
  <c r="T60" i="2"/>
  <c r="Y78" i="1"/>
  <c r="I60" i="1"/>
  <c r="K96" i="2"/>
  <c r="U69" i="1"/>
  <c r="K66" i="3"/>
  <c r="X95" i="1"/>
  <c r="X107" i="1"/>
  <c r="T36" i="3"/>
  <c r="T72" i="3" s="1"/>
  <c r="U56" i="1"/>
  <c r="Y89" i="3"/>
  <c r="Y101" i="3"/>
  <c r="G72" i="3"/>
  <c r="J60" i="1"/>
  <c r="K56" i="1"/>
  <c r="W67" i="1"/>
  <c r="W55" i="1"/>
  <c r="Y89" i="1"/>
  <c r="Y101" i="1"/>
  <c r="N65" i="1"/>
  <c r="N72" i="1" s="1"/>
  <c r="W56" i="1"/>
  <c r="W68" i="1"/>
  <c r="R57" i="1"/>
  <c r="S12" i="1"/>
  <c r="K12" i="1"/>
  <c r="Y12" i="1" s="1"/>
  <c r="R56" i="1"/>
  <c r="R53" i="1"/>
  <c r="L60" i="1"/>
  <c r="T66" i="1"/>
  <c r="T90" i="1"/>
  <c r="T54" i="1"/>
  <c r="Y23" i="1"/>
  <c r="Y107" i="1" s="1"/>
  <c r="L67" i="1"/>
  <c r="R67" i="1" s="1"/>
  <c r="G108" i="1"/>
  <c r="L72" i="3"/>
  <c r="R72" i="3" s="1"/>
  <c r="R65" i="3"/>
  <c r="K71" i="2"/>
  <c r="Y71" i="1"/>
  <c r="W53" i="1"/>
  <c r="W65" i="1"/>
  <c r="R108" i="2"/>
  <c r="G69" i="1"/>
  <c r="Q60" i="1"/>
  <c r="Y104" i="2"/>
  <c r="Y92" i="2"/>
  <c r="Y90" i="3"/>
  <c r="T96" i="3"/>
  <c r="T108" i="3"/>
  <c r="K55" i="1"/>
  <c r="N96" i="1"/>
  <c r="K105" i="1"/>
  <c r="V55" i="1"/>
  <c r="V67" i="1"/>
  <c r="L71" i="1"/>
  <c r="R71" i="1" s="1"/>
  <c r="X90" i="1"/>
  <c r="W89" i="1"/>
  <c r="W101" i="1"/>
  <c r="U32" i="1"/>
  <c r="U68" i="1" s="1"/>
  <c r="R36" i="2"/>
  <c r="K107" i="1"/>
  <c r="Y29" i="2"/>
  <c r="Y65" i="2" s="1"/>
  <c r="X71" i="1"/>
  <c r="M72" i="1"/>
  <c r="W60" i="1"/>
  <c r="X60" i="2"/>
  <c r="X72" i="2"/>
  <c r="T108" i="1" l="1"/>
  <c r="T96" i="1"/>
  <c r="K96" i="1"/>
  <c r="Y30" i="1"/>
  <c r="Y66" i="1" s="1"/>
  <c r="F72" i="1"/>
  <c r="P11" i="4"/>
  <c r="Y48" i="1"/>
  <c r="S60" i="1"/>
  <c r="S72" i="1"/>
  <c r="R60" i="1"/>
  <c r="U72" i="1"/>
  <c r="U60" i="1"/>
  <c r="Y60" i="3"/>
  <c r="K69" i="1"/>
  <c r="X72" i="1"/>
  <c r="X60" i="1"/>
  <c r="R36" i="1"/>
  <c r="E72" i="1"/>
  <c r="G72" i="1"/>
  <c r="Y72" i="2"/>
  <c r="Y60" i="2"/>
  <c r="K65" i="1"/>
  <c r="S12" i="4"/>
  <c r="R12" i="4"/>
  <c r="Y90" i="1"/>
  <c r="Y102" i="1"/>
  <c r="W36" i="1"/>
  <c r="W72" i="1" s="1"/>
  <c r="W108" i="1"/>
  <c r="W96" i="1"/>
  <c r="T11" i="4"/>
  <c r="R11" i="4"/>
  <c r="Q10" i="4"/>
  <c r="K67" i="1"/>
  <c r="R108" i="1"/>
  <c r="U96" i="1"/>
  <c r="K36" i="1"/>
  <c r="Y36" i="1" s="1"/>
  <c r="S36" i="1"/>
  <c r="T60" i="1"/>
  <c r="T72" i="1"/>
  <c r="Y84" i="1"/>
  <c r="X96" i="1"/>
  <c r="Y29" i="1"/>
  <c r="Y65" i="1" s="1"/>
  <c r="L72" i="1"/>
  <c r="R72" i="1" s="1"/>
  <c r="R65" i="1"/>
  <c r="K60" i="1"/>
  <c r="S108" i="1"/>
  <c r="S96" i="1"/>
  <c r="Y33" i="1"/>
  <c r="Y69" i="1" s="1"/>
  <c r="T10" i="4" l="1"/>
  <c r="Q9" i="4"/>
  <c r="Y72" i="1"/>
  <c r="Y60" i="1"/>
  <c r="K72" i="1"/>
  <c r="S11" i="4"/>
  <c r="P10" i="4"/>
  <c r="R10" i="4" s="1"/>
  <c r="Y108" i="1"/>
  <c r="Y96" i="1"/>
  <c r="S10" i="4" l="1"/>
  <c r="P9" i="4"/>
  <c r="S9" i="4" s="1"/>
  <c r="T9" i="4"/>
  <c r="R9" i="4"/>
</calcChain>
</file>

<file path=xl/sharedStrings.xml><?xml version="1.0" encoding="utf-8"?>
<sst xmlns="http://schemas.openxmlformats.org/spreadsheetml/2006/main" count="625" uniqueCount="45">
  <si>
    <t>下関営業所機械</t>
  </si>
  <si>
    <t>1．2024年</t>
  </si>
  <si>
    <t>売上</t>
  </si>
  <si>
    <t>粗利益</t>
  </si>
  <si>
    <t>粗利益率</t>
  </si>
  <si>
    <t>合計</t>
  </si>
  <si>
    <t>0021 集計</t>
  </si>
  <si>
    <t>高橋所長</t>
  </si>
  <si>
    <t>0024 集計</t>
  </si>
  <si>
    <t>東野</t>
  </si>
  <si>
    <t>0025 集計</t>
  </si>
  <si>
    <t>橋本課長</t>
  </si>
  <si>
    <t>0026 集計</t>
  </si>
  <si>
    <t>井上課長</t>
  </si>
  <si>
    <t>0027 集計</t>
  </si>
  <si>
    <t>中国</t>
  </si>
  <si>
    <t>0028 集計</t>
  </si>
  <si>
    <t>自治体</t>
  </si>
  <si>
    <t>0029 集計</t>
  </si>
  <si>
    <t>その他</t>
  </si>
  <si>
    <t>2．2025年</t>
  </si>
  <si>
    <t>3．過年度平均</t>
  </si>
  <si>
    <t>4．計画</t>
  </si>
  <si>
    <t>５．前期比</t>
  </si>
  <si>
    <t>6．過年度平均比</t>
  </si>
  <si>
    <t>7．実績</t>
  </si>
  <si>
    <t>８．計画比</t>
  </si>
  <si>
    <t>9．前期比</t>
  </si>
  <si>
    <t>下関営業所包装資材</t>
  </si>
  <si>
    <t>下関営業所全体</t>
  </si>
  <si>
    <t>下関営業所第51期下期予算について</t>
  </si>
  <si>
    <t>管理職の業務は数字責任と人材育成です。なので営業所全体の目標達成に取り組みます。</t>
  </si>
  <si>
    <t>所長は予算の過年度平均増加分の人員からは外した上で、営業所全体で計画を作成ます。その営業所全体の予算から所長含めて営業担当に配分するようにお願いします。</t>
  </si>
  <si>
    <t>2024年4～9月</t>
  </si>
  <si>
    <t>2025年4～9月</t>
  </si>
  <si>
    <t>過年度平均</t>
  </si>
  <si>
    <t>計画</t>
  </si>
  <si>
    <t>根拠</t>
  </si>
  <si>
    <t>売上年率</t>
  </si>
  <si>
    <t>粗利益年率</t>
  </si>
  <si>
    <t>下関営業所</t>
  </si>
  <si>
    <t>営業</t>
  </si>
  <si>
    <t>包装資材</t>
  </si>
  <si>
    <t>機械</t>
  </si>
  <si>
    <t>中国事業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</si>
</sst>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7"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游ゴシック"/>
      <family val="3"/>
      <charset val="128"/>
      <scheme val="minor"/>
    </font>
    <font>
      <sz val="16"/>
      <color theme="1"/>
      <name val="HGP創英角ｺﾞｼｯｸUB"/>
      <family val="3"/>
      <charset val="128"/>
    </font>
    <font>
      <sz val="9"/>
      <color theme="1"/>
      <name val="游ゴシック"/>
      <family val="2"/>
      <charset val="128"/>
      <scheme val="minor"/>
    </font>
    <font>
      <sz val="10"/>
      <color theme="1"/>
      <name val="游ゴシック"/>
      <family val="2"/>
      <charset val="128"/>
      <scheme val="minor"/>
    </font>
  </fonts>
  <fills count="5">
    <fill>
      <patternFill patternType="none"/>
    </fill>
    <fill>
      <patternFill patternType="gray125"/>
    </fill>
    <fill>
      <patternFill patternType="solid">
        <fgColor rgb="FFFFFF00"/>
        <bgColor indexed="64"/>
      </patternFill>
    </fill>
    <fill>
      <patternFill patternType="gray0625"/>
    </fill>
    <fill>
      <patternFill patternType="gray0625">
        <bgColor rgb="FFFFFF00"/>
      </patternFill>
    </fill>
  </fills>
  <borders count="47">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thin">
        <color auto="1"/>
      </left>
      <right style="thin">
        <color auto="1"/>
      </right>
      <top style="hair">
        <color auto="1"/>
      </top>
      <bottom/>
      <diagonal/>
    </border>
    <border>
      <left style="thin">
        <color auto="1"/>
      </left>
      <right style="thin">
        <color auto="1"/>
      </right>
      <top style="thin">
        <color auto="1"/>
      </top>
      <bottom style="thin">
        <color auto="1"/>
      </bottom>
      <diagonal/>
    </border>
  </borders>
  <cellStyleXfs count="3">
    <xf numFmtId="0" fontId="0" fillId="0" borderId="0">
      <alignment vertical="center"/>
    </xf>
    <xf numFmtId="38" fontId="1" fillId="0" borderId="0">
      <alignment vertical="center"/>
    </xf>
    <xf numFmtId="9" fontId="1" fillId="0" borderId="0">
      <alignment vertical="center"/>
    </xf>
  </cellStyleXfs>
  <cellXfs count="102">
    <xf numFmtId="0" fontId="0" fillId="0" borderId="0" xfId="0">
      <alignment vertical="center"/>
    </xf>
    <xf numFmtId="0" fontId="0" fillId="0" borderId="1" xfId="0" applyBorder="1">
      <alignment vertical="center"/>
    </xf>
    <xf numFmtId="38" fontId="0" fillId="0" borderId="4" xfId="1" applyFont="1" applyBorder="1">
      <alignment vertical="center"/>
    </xf>
    <xf numFmtId="38" fontId="0" fillId="0" borderId="5" xfId="1" applyFont="1" applyBorder="1">
      <alignment vertical="center"/>
    </xf>
    <xf numFmtId="38" fontId="0" fillId="0" borderId="7" xfId="1" applyFont="1" applyBorder="1">
      <alignment vertical="center"/>
    </xf>
    <xf numFmtId="38" fontId="0" fillId="0" borderId="8" xfId="1" applyFont="1" applyBorder="1">
      <alignment vertical="center"/>
    </xf>
    <xf numFmtId="38" fontId="0" fillId="3" borderId="8" xfId="0" applyNumberFormat="1" applyFill="1" applyBorder="1">
      <alignment vertical="center"/>
    </xf>
    <xf numFmtId="176" fontId="0" fillId="0" borderId="5" xfId="2" applyNumberFormat="1" applyFont="1" applyBorder="1" applyAlignment="1">
      <alignment horizontal="right" vertical="center"/>
    </xf>
    <xf numFmtId="176" fontId="0" fillId="2" borderId="5" xfId="2" applyNumberFormat="1" applyFont="1" applyFill="1" applyBorder="1" applyAlignment="1">
      <alignment horizontal="right" vertical="center"/>
    </xf>
    <xf numFmtId="176" fontId="0" fillId="3" borderId="8" xfId="2" applyNumberFormat="1" applyFont="1" applyFill="1" applyBorder="1" applyAlignment="1">
      <alignment horizontal="right" vertical="center"/>
    </xf>
    <xf numFmtId="176" fontId="0" fillId="4" borderId="8" xfId="2" applyNumberFormat="1" applyFont="1" applyFill="1" applyBorder="1" applyAlignment="1">
      <alignment horizontal="right" vertical="center"/>
    </xf>
    <xf numFmtId="38" fontId="0" fillId="0" borderId="0" xfId="0" applyNumberFormat="1">
      <alignment vertical="center"/>
    </xf>
    <xf numFmtId="38" fontId="0" fillId="0" borderId="0" xfId="1" applyFont="1">
      <alignment vertical="center"/>
    </xf>
    <xf numFmtId="176" fontId="0" fillId="0" borderId="0" xfId="2" applyNumberFormat="1" applyFont="1" applyAlignment="1">
      <alignment horizontal="right" vertical="center"/>
    </xf>
    <xf numFmtId="0" fontId="0" fillId="0" borderId="3" xfId="0" applyBorder="1">
      <alignment vertical="center"/>
    </xf>
    <xf numFmtId="38" fontId="0" fillId="0" borderId="6" xfId="1" applyFont="1" applyBorder="1">
      <alignment vertical="center"/>
    </xf>
    <xf numFmtId="0" fontId="0" fillId="0" borderId="9" xfId="0" applyBorder="1">
      <alignment vertical="center"/>
    </xf>
    <xf numFmtId="0" fontId="4" fillId="0" borderId="0" xfId="0" applyFont="1">
      <alignment vertical="center"/>
    </xf>
    <xf numFmtId="176" fontId="0" fillId="0" borderId="6" xfId="2" applyNumberFormat="1" applyFont="1" applyBorder="1">
      <alignment vertical="center"/>
    </xf>
    <xf numFmtId="176" fontId="0" fillId="0" borderId="9" xfId="2" applyNumberFormat="1" applyFont="1" applyBorder="1">
      <alignment vertical="center"/>
    </xf>
    <xf numFmtId="0" fontId="0" fillId="0" borderId="22" xfId="0" applyBorder="1">
      <alignment vertical="center"/>
    </xf>
    <xf numFmtId="0" fontId="0" fillId="0" borderId="23" xfId="0" applyBorder="1">
      <alignment vertical="center"/>
    </xf>
    <xf numFmtId="176" fontId="0" fillId="0" borderId="27" xfId="2" applyNumberFormat="1" applyFont="1" applyBorder="1">
      <alignment vertical="center"/>
    </xf>
    <xf numFmtId="176" fontId="0" fillId="0" borderId="28" xfId="2" applyNumberFormat="1" applyFont="1" applyBorder="1">
      <alignment vertical="center"/>
    </xf>
    <xf numFmtId="0" fontId="0" fillId="0" borderId="6" xfId="0" applyBorder="1">
      <alignment vertical="center"/>
    </xf>
    <xf numFmtId="0" fontId="0" fillId="0" borderId="29" xfId="0" applyBorder="1">
      <alignment vertical="center"/>
    </xf>
    <xf numFmtId="0" fontId="0" fillId="0" borderId="30" xfId="0" applyBorder="1">
      <alignment vertical="center"/>
    </xf>
    <xf numFmtId="0" fontId="0" fillId="0" borderId="31" xfId="0" applyBorder="1">
      <alignment vertical="center"/>
    </xf>
    <xf numFmtId="0" fontId="0" fillId="0" borderId="10" xfId="0" applyBorder="1">
      <alignment vertical="center"/>
    </xf>
    <xf numFmtId="0" fontId="0" fillId="0" borderId="32" xfId="0" applyBorder="1">
      <alignment vertical="center"/>
    </xf>
    <xf numFmtId="0" fontId="0" fillId="0" borderId="33" xfId="0" applyBorder="1">
      <alignment vertical="center"/>
    </xf>
    <xf numFmtId="0" fontId="0" fillId="0" borderId="34" xfId="0" applyBorder="1">
      <alignment vertical="center"/>
    </xf>
    <xf numFmtId="0" fontId="0" fillId="0" borderId="20" xfId="0" applyBorder="1">
      <alignment vertical="center"/>
    </xf>
    <xf numFmtId="0" fontId="0" fillId="0" borderId="15" xfId="0" applyBorder="1">
      <alignment vertical="center"/>
    </xf>
    <xf numFmtId="0" fontId="0" fillId="0" borderId="28" xfId="0" applyBorder="1">
      <alignment vertical="center"/>
    </xf>
    <xf numFmtId="0" fontId="0" fillId="0" borderId="25" xfId="0" applyBorder="1">
      <alignment vertical="center"/>
    </xf>
    <xf numFmtId="38" fontId="0" fillId="0" borderId="35" xfId="1" applyFont="1" applyBorder="1">
      <alignment vertical="center"/>
    </xf>
    <xf numFmtId="38" fontId="0" fillId="0" borderId="36" xfId="1" applyFont="1" applyBorder="1">
      <alignment vertical="center"/>
    </xf>
    <xf numFmtId="176" fontId="0" fillId="0" borderId="37" xfId="2" applyNumberFormat="1" applyFont="1" applyBorder="1">
      <alignment vertical="center"/>
    </xf>
    <xf numFmtId="176" fontId="0" fillId="0" borderId="38" xfId="2" applyNumberFormat="1" applyFont="1" applyBorder="1">
      <alignment vertical="center"/>
    </xf>
    <xf numFmtId="0" fontId="0" fillId="0" borderId="39" xfId="0" applyBorder="1">
      <alignment vertical="center"/>
    </xf>
    <xf numFmtId="38" fontId="0" fillId="0" borderId="7" xfId="1" applyFont="1" applyBorder="1" applyAlignment="1">
      <alignment horizontal="center" vertical="center"/>
    </xf>
    <xf numFmtId="38" fontId="0" fillId="0" borderId="8" xfId="1" applyFont="1" applyBorder="1" applyAlignment="1">
      <alignment horizontal="center" vertical="center"/>
    </xf>
    <xf numFmtId="0" fontId="0" fillId="0" borderId="9" xfId="0" applyBorder="1" applyAlignment="1">
      <alignment horizontal="center" vertical="center"/>
    </xf>
    <xf numFmtId="0" fontId="0" fillId="0" borderId="28" xfId="0" applyBorder="1" applyAlignment="1">
      <alignment horizontal="center" vertical="center"/>
    </xf>
    <xf numFmtId="0" fontId="0" fillId="0" borderId="11" xfId="0" applyBorder="1">
      <alignment vertical="center"/>
    </xf>
    <xf numFmtId="0" fontId="0" fillId="0" borderId="16" xfId="0" applyBorder="1">
      <alignment vertical="center"/>
    </xf>
    <xf numFmtId="0" fontId="0" fillId="0" borderId="40" xfId="0" applyBorder="1">
      <alignment vertical="center"/>
    </xf>
    <xf numFmtId="55" fontId="3" fillId="0" borderId="17" xfId="0" applyNumberFormat="1" applyFont="1" applyBorder="1" applyAlignment="1">
      <alignment horizontal="center" vertical="center"/>
    </xf>
    <xf numFmtId="38" fontId="0" fillId="3" borderId="7" xfId="0" applyNumberFormat="1" applyFill="1" applyBorder="1">
      <alignment vertical="center"/>
    </xf>
    <xf numFmtId="38" fontId="0" fillId="4" borderId="9" xfId="1" applyFont="1" applyFill="1" applyBorder="1">
      <alignment vertical="center"/>
    </xf>
    <xf numFmtId="55" fontId="3" fillId="0" borderId="2" xfId="0" applyNumberFormat="1" applyFont="1" applyBorder="1" applyAlignment="1">
      <alignment horizontal="center" vertical="center"/>
    </xf>
    <xf numFmtId="0" fontId="0" fillId="2" borderId="3" xfId="0" applyFill="1" applyBorder="1" applyAlignment="1">
      <alignment horizontal="center" vertical="center"/>
    </xf>
    <xf numFmtId="0" fontId="0" fillId="2" borderId="2" xfId="0" applyFill="1" applyBorder="1" applyAlignment="1">
      <alignment horizontal="center" vertical="center"/>
    </xf>
    <xf numFmtId="55" fontId="3" fillId="0" borderId="1" xfId="0" applyNumberFormat="1" applyFont="1" applyBorder="1" applyAlignment="1">
      <alignment horizontal="center" vertical="center"/>
    </xf>
    <xf numFmtId="0" fontId="0" fillId="2" borderId="41" xfId="0" applyFill="1" applyBorder="1" applyAlignment="1">
      <alignment horizontal="center" vertical="center"/>
    </xf>
    <xf numFmtId="38" fontId="0" fillId="2" borderId="6" xfId="1" applyFont="1" applyFill="1" applyBorder="1">
      <alignment vertical="center"/>
    </xf>
    <xf numFmtId="176" fontId="0" fillId="0" borderId="18" xfId="2" applyNumberFormat="1" applyFont="1" applyBorder="1" applyAlignment="1">
      <alignment horizontal="right" vertical="center"/>
    </xf>
    <xf numFmtId="176" fontId="0" fillId="3" borderId="19" xfId="2" applyNumberFormat="1" applyFont="1" applyFill="1" applyBorder="1" applyAlignment="1">
      <alignment horizontal="right" vertical="center"/>
    </xf>
    <xf numFmtId="38" fontId="0" fillId="2" borderId="27" xfId="1" applyFont="1" applyFill="1" applyBorder="1">
      <alignment vertical="center"/>
    </xf>
    <xf numFmtId="38" fontId="0" fillId="4" borderId="28" xfId="1" applyFont="1" applyFill="1" applyBorder="1">
      <alignment vertical="center"/>
    </xf>
    <xf numFmtId="0" fontId="5" fillId="0" borderId="22" xfId="0" applyFont="1" applyBorder="1">
      <alignment vertical="center"/>
    </xf>
    <xf numFmtId="38" fontId="0" fillId="0" borderId="18" xfId="1" applyFont="1" applyBorder="1">
      <alignment vertical="center"/>
    </xf>
    <xf numFmtId="176" fontId="0" fillId="0" borderId="0" xfId="2" applyNumberFormat="1" applyFont="1">
      <alignment vertical="center"/>
    </xf>
    <xf numFmtId="176" fontId="0" fillId="2" borderId="6" xfId="2" applyNumberFormat="1" applyFont="1" applyFill="1" applyBorder="1" applyAlignment="1">
      <alignment horizontal="right" vertical="center"/>
    </xf>
    <xf numFmtId="176" fontId="0" fillId="4" borderId="9" xfId="2" applyNumberFormat="1" applyFont="1" applyFill="1" applyBorder="1" applyAlignment="1">
      <alignment horizontal="right" vertical="center"/>
    </xf>
    <xf numFmtId="38" fontId="0" fillId="3" borderId="19" xfId="0" applyNumberFormat="1" applyFill="1" applyBorder="1">
      <alignment vertical="center"/>
    </xf>
    <xf numFmtId="0" fontId="0" fillId="0" borderId="5" xfId="0" applyBorder="1">
      <alignment vertical="center"/>
    </xf>
    <xf numFmtId="38" fontId="0" fillId="0" borderId="42" xfId="1" applyFont="1" applyBorder="1">
      <alignment vertical="center"/>
    </xf>
    <xf numFmtId="38" fontId="0" fillId="0" borderId="5" xfId="2" applyNumberFormat="1" applyFont="1" applyBorder="1">
      <alignment vertical="center"/>
    </xf>
    <xf numFmtId="38" fontId="0" fillId="0" borderId="4" xfId="1" quotePrefix="1" applyFont="1" applyBorder="1">
      <alignment vertical="center"/>
    </xf>
    <xf numFmtId="0" fontId="0" fillId="0" borderId="4" xfId="0" applyBorder="1">
      <alignment vertical="center"/>
    </xf>
    <xf numFmtId="38" fontId="0" fillId="0" borderId="43" xfId="1" applyFont="1" applyBorder="1">
      <alignment vertical="center"/>
    </xf>
    <xf numFmtId="38" fontId="0" fillId="0" borderId="44" xfId="1" applyFont="1" applyBorder="1">
      <alignment vertical="center"/>
    </xf>
    <xf numFmtId="176" fontId="0" fillId="0" borderId="10" xfId="2" applyNumberFormat="1" applyFont="1" applyBorder="1">
      <alignment vertical="center"/>
    </xf>
    <xf numFmtId="0" fontId="0" fillId="0" borderId="45" xfId="0" applyBorder="1">
      <alignment vertical="center"/>
    </xf>
    <xf numFmtId="40" fontId="0" fillId="0" borderId="0" xfId="1" applyNumberFormat="1" applyFont="1">
      <alignment vertical="center"/>
    </xf>
    <xf numFmtId="0" fontId="6" fillId="0" borderId="22" xfId="0" applyFont="1" applyBorder="1">
      <alignment vertical="center"/>
    </xf>
    <xf numFmtId="0" fontId="0" fillId="0" borderId="0" xfId="0" applyAlignment="1"/>
    <xf numFmtId="38" fontId="1" fillId="0" borderId="5" xfId="1" applyBorder="1">
      <alignment vertical="center"/>
    </xf>
    <xf numFmtId="38" fontId="1" fillId="0" borderId="18" xfId="1" applyBorder="1">
      <alignment vertical="center"/>
    </xf>
    <xf numFmtId="38" fontId="1" fillId="0" borderId="4" xfId="1" applyBorder="1">
      <alignment vertical="center"/>
    </xf>
    <xf numFmtId="38" fontId="0" fillId="0" borderId="14" xfId="1" applyFont="1" applyBorder="1" applyAlignment="1">
      <alignment horizontal="center" vertical="center"/>
    </xf>
    <xf numFmtId="0" fontId="0" fillId="0" borderId="13" xfId="0" applyBorder="1" applyAlignment="1"/>
    <xf numFmtId="0" fontId="0" fillId="0" borderId="14" xfId="0" applyBorder="1" applyAlignment="1"/>
    <xf numFmtId="0" fontId="0" fillId="0" borderId="46" xfId="0" applyBorder="1" applyAlignment="1">
      <alignment horizontal="center" vertical="center"/>
    </xf>
    <xf numFmtId="38" fontId="0" fillId="0" borderId="46" xfId="1" applyFont="1" applyBorder="1" applyAlignment="1">
      <alignment horizontal="center" vertical="center"/>
    </xf>
    <xf numFmtId="0" fontId="0" fillId="0" borderId="12" xfId="0" applyBorder="1" applyAlignment="1">
      <alignment horizontal="center" vertical="center"/>
    </xf>
    <xf numFmtId="0" fontId="0" fillId="0" borderId="1" xfId="0" applyBorder="1" applyAlignment="1">
      <alignment horizontal="center" vertical="center"/>
    </xf>
    <xf numFmtId="0" fontId="0" fillId="0" borderId="26" xfId="0" applyBorder="1" applyAlignment="1"/>
    <xf numFmtId="0" fontId="0" fillId="0" borderId="17" xfId="0" applyBorder="1" applyAlignment="1"/>
    <xf numFmtId="0" fontId="4" fillId="0" borderId="0" xfId="0" applyFont="1" applyAlignment="1">
      <alignment horizontal="center" vertical="center"/>
    </xf>
    <xf numFmtId="0" fontId="0" fillId="0" borderId="0" xfId="0" applyAlignment="1"/>
    <xf numFmtId="0" fontId="0" fillId="0" borderId="0" xfId="0">
      <alignment vertical="center"/>
    </xf>
    <xf numFmtId="0" fontId="0" fillId="0" borderId="21" xfId="0" applyBorder="1" applyAlignment="1">
      <alignment horizontal="center" vertical="center"/>
    </xf>
    <xf numFmtId="0" fontId="0" fillId="0" borderId="24" xfId="0" applyBorder="1" applyAlignment="1"/>
    <xf numFmtId="0" fontId="0" fillId="0" borderId="33" xfId="0" applyBorder="1" applyAlignment="1"/>
    <xf numFmtId="0" fontId="0" fillId="0" borderId="34" xfId="0" applyBorder="1" applyAlignment="1"/>
    <xf numFmtId="0" fontId="0" fillId="0" borderId="15" xfId="0" applyBorder="1" applyAlignment="1"/>
    <xf numFmtId="0" fontId="0" fillId="0" borderId="11" xfId="0" applyBorder="1" applyAlignment="1"/>
    <xf numFmtId="0" fontId="0" fillId="0" borderId="16" xfId="0" applyBorder="1" applyAlignment="1"/>
    <xf numFmtId="0" fontId="0" fillId="0" borderId="39" xfId="0" applyBorder="1" applyAlignment="1"/>
  </cellXfs>
  <cellStyles count="3">
    <cellStyle name="パーセント" xfId="2" builtinId="5"/>
    <cellStyle name="桁区切り" xfId="1" builtinId="6"/>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249977111117893"/>
    <pageSetUpPr fitToPage="1"/>
  </sheetPr>
  <dimension ref="A1:Y108"/>
  <sheetViews>
    <sheetView workbookViewId="0">
      <pane xSplit="4" ySplit="1" topLeftCell="E91" activePane="bottomRight" state="frozen"/>
      <selection activeCell="E99" sqref="E99:Y100"/>
      <selection pane="topRight" activeCell="E99" sqref="E99:Y100"/>
      <selection pane="bottomLeft" activeCell="E99" sqref="E99:Y100"/>
      <selection pane="bottomRight" activeCell="M79" sqref="M79"/>
    </sheetView>
  </sheetViews>
  <sheetFormatPr defaultRowHeight="18.75" x14ac:dyDescent="0.4"/>
  <cols>
    <col min="1" max="4" width="9" style="78" customWidth="1"/>
    <col min="5" max="25" width="10.125" style="78" customWidth="1"/>
  </cols>
  <sheetData>
    <row r="1" spans="3:25" x14ac:dyDescent="0.4">
      <c r="C1" s="17" t="s">
        <v>28</v>
      </c>
    </row>
    <row r="2" spans="3:25" x14ac:dyDescent="0.4">
      <c r="C2" t="s">
        <v>1</v>
      </c>
    </row>
    <row r="3" spans="3:25" x14ac:dyDescent="0.4">
      <c r="C3" s="85"/>
      <c r="D3" s="84"/>
      <c r="E3" s="87" t="s">
        <v>2</v>
      </c>
      <c r="F3" s="83"/>
      <c r="G3" s="83"/>
      <c r="H3" s="83"/>
      <c r="I3" s="83"/>
      <c r="J3" s="83"/>
      <c r="K3" s="83"/>
      <c r="L3" s="86" t="s">
        <v>3</v>
      </c>
      <c r="M3" s="83"/>
      <c r="N3" s="83"/>
      <c r="O3" s="83"/>
      <c r="P3" s="83"/>
      <c r="Q3" s="83"/>
      <c r="R3" s="84"/>
      <c r="S3" s="82" t="s">
        <v>4</v>
      </c>
      <c r="T3" s="83"/>
      <c r="U3" s="83"/>
      <c r="V3" s="83"/>
      <c r="W3" s="83"/>
      <c r="X3" s="83"/>
      <c r="Y3" s="84"/>
    </row>
    <row r="4" spans="3:25" x14ac:dyDescent="0.4">
      <c r="C4" s="1"/>
      <c r="D4" s="14"/>
      <c r="E4" s="51">
        <v>45383</v>
      </c>
      <c r="F4" s="51">
        <v>45413</v>
      </c>
      <c r="G4" s="51">
        <v>45444</v>
      </c>
      <c r="H4" s="51">
        <v>45474</v>
      </c>
      <c r="I4" s="51">
        <v>45505</v>
      </c>
      <c r="J4" s="51">
        <v>45536</v>
      </c>
      <c r="K4" s="55" t="s">
        <v>5</v>
      </c>
      <c r="L4" s="54">
        <v>45383</v>
      </c>
      <c r="M4" s="51">
        <v>45413</v>
      </c>
      <c r="N4" s="51">
        <v>45444</v>
      </c>
      <c r="O4" s="51">
        <v>45474</v>
      </c>
      <c r="P4" s="51">
        <v>45505</v>
      </c>
      <c r="Q4" s="51">
        <v>45536</v>
      </c>
      <c r="R4" s="52" t="s">
        <v>5</v>
      </c>
      <c r="S4" s="48">
        <v>45017</v>
      </c>
      <c r="T4" s="51">
        <v>45047</v>
      </c>
      <c r="U4" s="51">
        <v>45078</v>
      </c>
      <c r="V4" s="51">
        <v>45108</v>
      </c>
      <c r="W4" s="51">
        <v>45139</v>
      </c>
      <c r="X4" s="51">
        <v>45170</v>
      </c>
      <c r="Y4" s="52" t="s">
        <v>5</v>
      </c>
    </row>
    <row r="5" spans="3:25" x14ac:dyDescent="0.4">
      <c r="C5" s="2" t="s">
        <v>6</v>
      </c>
      <c r="D5" s="15" t="s">
        <v>7</v>
      </c>
      <c r="E5" s="2">
        <f>全体!E5-機械!E5</f>
        <v>11639.171</v>
      </c>
      <c r="F5" s="3">
        <f>全体!F5-機械!F5</f>
        <v>9736.8790000000008</v>
      </c>
      <c r="G5" s="3">
        <f>全体!G5-機械!G5</f>
        <v>9116.0700000000015</v>
      </c>
      <c r="H5" s="3">
        <f>全体!H5-機械!H5</f>
        <v>10488.855</v>
      </c>
      <c r="I5" s="3">
        <f>全体!I5-機械!I5</f>
        <v>10683.385</v>
      </c>
      <c r="J5" s="3">
        <f>全体!J5-機械!J5</f>
        <v>8594.655999999999</v>
      </c>
      <c r="K5" s="56">
        <f>SUM(E5:J5)</f>
        <v>60259.016000000003</v>
      </c>
      <c r="L5" s="2">
        <f>全体!L5-機械!L5</f>
        <v>2607.741</v>
      </c>
      <c r="M5" s="3">
        <f>全体!M5-機械!M5</f>
        <v>2169.820999999999</v>
      </c>
      <c r="N5" s="3">
        <f>全体!N5-機械!N5</f>
        <v>1999.6079999999999</v>
      </c>
      <c r="O5" s="3">
        <f>全体!O5-機械!O5</f>
        <v>2311.4290000000001</v>
      </c>
      <c r="P5" s="3">
        <f>全体!P5-機械!P5</f>
        <v>2370.0369999999998</v>
      </c>
      <c r="Q5" s="3">
        <f>全体!Q5-機械!Q5</f>
        <v>2050.3980000000001</v>
      </c>
      <c r="R5" s="56">
        <f>SUM(L5:Q5)</f>
        <v>13509.034</v>
      </c>
      <c r="S5" s="57">
        <f t="shared" ref="S5:Y9" si="0">IF(E5=0,"***",L5/E5)</f>
        <v>0.22404868869097291</v>
      </c>
      <c r="T5" s="7">
        <f t="shared" si="0"/>
        <v>0.2228456366768036</v>
      </c>
      <c r="U5" s="7">
        <f t="shared" si="0"/>
        <v>0.21934978559839927</v>
      </c>
      <c r="V5" s="7">
        <f t="shared" si="0"/>
        <v>0.22037000225477424</v>
      </c>
      <c r="W5" s="7">
        <f t="shared" si="0"/>
        <v>0.22184326409653868</v>
      </c>
      <c r="X5" s="7">
        <f t="shared" si="0"/>
        <v>0.23856661627876677</v>
      </c>
      <c r="Y5" s="64">
        <f t="shared" si="0"/>
        <v>0.22418278453136373</v>
      </c>
    </row>
    <row r="6" spans="3:25" x14ac:dyDescent="0.4">
      <c r="C6" s="2" t="s">
        <v>8</v>
      </c>
      <c r="D6" s="15" t="s">
        <v>9</v>
      </c>
      <c r="E6" s="2">
        <f>全体!E6-機械!E6</f>
        <v>13103.239</v>
      </c>
      <c r="F6" s="3">
        <f>全体!F6-機械!F6</f>
        <v>10362.931</v>
      </c>
      <c r="G6" s="3">
        <f>全体!G6-機械!G6</f>
        <v>11923.208000000001</v>
      </c>
      <c r="H6" s="3">
        <f>全体!H6-機械!H6</f>
        <v>13749.186</v>
      </c>
      <c r="I6" s="3">
        <f>全体!I6-機械!I6</f>
        <v>11383.003000000001</v>
      </c>
      <c r="J6" s="3">
        <f>全体!J6-機械!J6</f>
        <v>13964.165999999999</v>
      </c>
      <c r="K6" s="56">
        <f>SUM(E6:J6)</f>
        <v>74485.732999999993</v>
      </c>
      <c r="L6" s="2">
        <f>全体!L6-機械!L6</f>
        <v>2790.9229999999998</v>
      </c>
      <c r="M6" s="3">
        <f>全体!M6-機械!M6</f>
        <v>2145.5160000000001</v>
      </c>
      <c r="N6" s="3">
        <f>全体!N6-機械!N6</f>
        <v>2515.6379999999999</v>
      </c>
      <c r="O6" s="3">
        <f>全体!O6-機械!O6</f>
        <v>2948.2979999999998</v>
      </c>
      <c r="P6" s="3">
        <f>全体!P6-機械!P6</f>
        <v>2296.569</v>
      </c>
      <c r="Q6" s="3">
        <f>全体!Q6-機械!Q6</f>
        <v>2896.8560000000011</v>
      </c>
      <c r="R6" s="56">
        <f>SUM(L6:Q6)</f>
        <v>15593.800000000001</v>
      </c>
      <c r="S6" s="57">
        <f t="shared" si="0"/>
        <v>0.21299489385792322</v>
      </c>
      <c r="T6" s="7">
        <f t="shared" si="0"/>
        <v>0.20703756495146017</v>
      </c>
      <c r="U6" s="7">
        <f t="shared" si="0"/>
        <v>0.2109866740561768</v>
      </c>
      <c r="V6" s="7">
        <f t="shared" si="0"/>
        <v>0.21443436724181342</v>
      </c>
      <c r="W6" s="7">
        <f t="shared" si="0"/>
        <v>0.20175422952976468</v>
      </c>
      <c r="X6" s="7">
        <f t="shared" si="0"/>
        <v>0.20744926693079996</v>
      </c>
      <c r="Y6" s="64">
        <f t="shared" si="0"/>
        <v>0.20935284344989935</v>
      </c>
    </row>
    <row r="7" spans="3:25" x14ac:dyDescent="0.4">
      <c r="C7" s="2" t="s">
        <v>10</v>
      </c>
      <c r="D7" s="15" t="s">
        <v>11</v>
      </c>
      <c r="E7" s="2">
        <f>全体!E7-機械!E7</f>
        <v>9695.1179999999986</v>
      </c>
      <c r="F7" s="3">
        <f>全体!F7-機械!F7</f>
        <v>8078.02</v>
      </c>
      <c r="G7" s="3">
        <f>全体!G7-機械!G7</f>
        <v>7512.0229999999992</v>
      </c>
      <c r="H7" s="3">
        <f>全体!H7-機械!H7</f>
        <v>8068.27</v>
      </c>
      <c r="I7" s="3">
        <f>全体!I7-機械!I7</f>
        <v>8801.3920000000016</v>
      </c>
      <c r="J7" s="3">
        <f>全体!J7-機械!J7</f>
        <v>9947.1290000000008</v>
      </c>
      <c r="K7" s="56">
        <f>SUM(E7:J7)</f>
        <v>52101.951999999997</v>
      </c>
      <c r="L7" s="2">
        <f>全体!L7-機械!L7</f>
        <v>1808.7760000000001</v>
      </c>
      <c r="M7" s="3">
        <f>全体!M7-機械!M7</f>
        <v>1471.587</v>
      </c>
      <c r="N7" s="3">
        <f>全体!N7-機械!N7</f>
        <v>1260.4190000000001</v>
      </c>
      <c r="O7" s="3">
        <f>全体!O7-機械!O7</f>
        <v>1425.3979999999999</v>
      </c>
      <c r="P7" s="3">
        <f>全体!P7-機械!P7</f>
        <v>1564.4580000000001</v>
      </c>
      <c r="Q7" s="3">
        <f>全体!Q7-機械!Q7</f>
        <v>1620.124</v>
      </c>
      <c r="R7" s="56">
        <f>SUM(L7:Q7)</f>
        <v>9150.7620000000006</v>
      </c>
      <c r="S7" s="57">
        <f t="shared" si="0"/>
        <v>0.18656565087707033</v>
      </c>
      <c r="T7" s="7">
        <f t="shared" si="0"/>
        <v>0.18217174505633804</v>
      </c>
      <c r="U7" s="7">
        <f t="shared" si="0"/>
        <v>0.16778689309124856</v>
      </c>
      <c r="V7" s="7">
        <f t="shared" si="0"/>
        <v>0.17666711699038329</v>
      </c>
      <c r="W7" s="7">
        <f t="shared" si="0"/>
        <v>0.17775120117363252</v>
      </c>
      <c r="X7" s="7">
        <f t="shared" si="0"/>
        <v>0.16287352863323679</v>
      </c>
      <c r="Y7" s="64">
        <f t="shared" si="0"/>
        <v>0.17563184580877125</v>
      </c>
    </row>
    <row r="8" spans="3:25" x14ac:dyDescent="0.4">
      <c r="C8" s="2" t="s">
        <v>12</v>
      </c>
      <c r="D8" s="15" t="s">
        <v>13</v>
      </c>
      <c r="E8" s="2">
        <f>全体!E8-機械!E8</f>
        <v>13194.614</v>
      </c>
      <c r="F8" s="3">
        <f>全体!F8-機械!F8</f>
        <v>11540.928</v>
      </c>
      <c r="G8" s="3">
        <f>全体!G8-機械!G8</f>
        <v>11605.598</v>
      </c>
      <c r="H8" s="3">
        <f>全体!H8-機械!H8</f>
        <v>12568.026</v>
      </c>
      <c r="I8" s="3">
        <f>全体!I8-機械!I8</f>
        <v>11210.949000000001</v>
      </c>
      <c r="J8" s="3">
        <f>全体!J8-機械!J8</f>
        <v>11377.983</v>
      </c>
      <c r="K8" s="56">
        <f>SUM(E8:J8)</f>
        <v>71498.097999999998</v>
      </c>
      <c r="L8" s="2">
        <f>全体!L8-機械!L8</f>
        <v>2507.61</v>
      </c>
      <c r="M8" s="3">
        <f>全体!M8-機械!M8</f>
        <v>2219.1959999999999</v>
      </c>
      <c r="N8" s="3">
        <f>全体!N8-機械!N8</f>
        <v>2171.799</v>
      </c>
      <c r="O8" s="3">
        <f>全体!O8-機械!O8</f>
        <v>2380.7080000000001</v>
      </c>
      <c r="P8" s="3">
        <f>全体!P8-機械!P8</f>
        <v>2198.0120000000002</v>
      </c>
      <c r="Q8" s="3">
        <f>全体!Q8-機械!Q8</f>
        <v>2230.7550000000001</v>
      </c>
      <c r="R8" s="56">
        <f>SUM(L8:Q8)</f>
        <v>13708.080000000002</v>
      </c>
      <c r="S8" s="57">
        <f t="shared" si="0"/>
        <v>0.19004799988843935</v>
      </c>
      <c r="T8" s="7">
        <f t="shared" si="0"/>
        <v>0.19228921625713288</v>
      </c>
      <c r="U8" s="7">
        <f t="shared" si="0"/>
        <v>0.18713374356065066</v>
      </c>
      <c r="V8" s="7">
        <f t="shared" si="0"/>
        <v>0.18942576980665063</v>
      </c>
      <c r="W8" s="7">
        <f t="shared" si="0"/>
        <v>0.19605940585404502</v>
      </c>
      <c r="X8" s="7">
        <f t="shared" si="0"/>
        <v>0.19605891483578416</v>
      </c>
      <c r="Y8" s="64">
        <f t="shared" si="0"/>
        <v>0.1917264987944155</v>
      </c>
    </row>
    <row r="9" spans="3:25" x14ac:dyDescent="0.4">
      <c r="C9" s="2" t="s">
        <v>14</v>
      </c>
      <c r="D9" s="15" t="s">
        <v>15</v>
      </c>
      <c r="E9" s="2">
        <f>全体!E9-機械!E9</f>
        <v>3244.4180000000001</v>
      </c>
      <c r="F9" s="3">
        <f>全体!F9-機械!F9</f>
        <v>0</v>
      </c>
      <c r="G9" s="3">
        <f>全体!G9-機械!G9</f>
        <v>0</v>
      </c>
      <c r="H9" s="3">
        <f>全体!H9-機械!H9</f>
        <v>0</v>
      </c>
      <c r="I9" s="3">
        <f>全体!I9-機械!I9</f>
        <v>0</v>
      </c>
      <c r="J9" s="3">
        <f>全体!J9-機械!J9</f>
        <v>2238.4749999999999</v>
      </c>
      <c r="K9" s="56">
        <f>SUM(E9:J9)</f>
        <v>5482.893</v>
      </c>
      <c r="L9" s="2">
        <f>全体!L9-機械!L9</f>
        <v>177.04300000000001</v>
      </c>
      <c r="M9" s="3">
        <f>全体!M9-機械!M9</f>
        <v>0</v>
      </c>
      <c r="N9" s="3">
        <f>全体!N9-機械!N9</f>
        <v>0</v>
      </c>
      <c r="O9" s="3">
        <f>全体!O9-機械!O9</f>
        <v>0</v>
      </c>
      <c r="P9" s="3">
        <f>全体!P9-機械!P9</f>
        <v>0</v>
      </c>
      <c r="Q9" s="3">
        <f>全体!Q9-機械!Q9</f>
        <v>136.78</v>
      </c>
      <c r="R9" s="56">
        <f>SUM(L9:Q9)</f>
        <v>313.82299999999998</v>
      </c>
      <c r="S9" s="57">
        <f t="shared" si="0"/>
        <v>5.4568492715796793E-2</v>
      </c>
      <c r="T9" s="7" t="str">
        <f t="shared" si="0"/>
        <v>***</v>
      </c>
      <c r="U9" s="7" t="str">
        <f t="shared" si="0"/>
        <v>***</v>
      </c>
      <c r="V9" s="7" t="str">
        <f t="shared" si="0"/>
        <v>***</v>
      </c>
      <c r="W9" s="7" t="str">
        <f t="shared" si="0"/>
        <v>***</v>
      </c>
      <c r="X9" s="7">
        <f t="shared" si="0"/>
        <v>6.1104099889433661E-2</v>
      </c>
      <c r="Y9" s="64">
        <f t="shared" si="0"/>
        <v>5.7236754392252405E-2</v>
      </c>
    </row>
    <row r="10" spans="3:25" x14ac:dyDescent="0.4">
      <c r="C10" s="70" t="s">
        <v>16</v>
      </c>
      <c r="D10" s="15" t="s">
        <v>17</v>
      </c>
      <c r="E10" s="2"/>
      <c r="F10" s="3"/>
      <c r="G10" s="3"/>
      <c r="H10" s="3"/>
      <c r="I10" s="3"/>
      <c r="J10" s="3"/>
      <c r="K10" s="56"/>
      <c r="L10" s="2"/>
      <c r="M10" s="3"/>
      <c r="N10" s="3"/>
      <c r="O10" s="3"/>
      <c r="P10" s="3"/>
      <c r="Q10" s="3"/>
      <c r="R10" s="56"/>
      <c r="S10" s="57"/>
      <c r="T10" s="7"/>
      <c r="U10" s="7"/>
      <c r="V10" s="7"/>
      <c r="W10" s="7"/>
      <c r="X10" s="7"/>
      <c r="Y10" s="64"/>
    </row>
    <row r="11" spans="3:25" x14ac:dyDescent="0.4">
      <c r="C11" s="2" t="s">
        <v>18</v>
      </c>
      <c r="D11" s="15" t="s">
        <v>19</v>
      </c>
      <c r="E11" s="2">
        <f>全体!E11-機械!E11</f>
        <v>75.2</v>
      </c>
      <c r="F11" s="3">
        <f>全体!F11-機械!F11</f>
        <v>1.8</v>
      </c>
      <c r="G11" s="3">
        <f>全体!G11-機械!G11</f>
        <v>0</v>
      </c>
      <c r="H11" s="3">
        <f>全体!H11-機械!H11</f>
        <v>0</v>
      </c>
      <c r="I11" s="3">
        <f>全体!I11-機械!I11</f>
        <v>0</v>
      </c>
      <c r="J11" s="3">
        <f>全体!J11-機械!J11</f>
        <v>0</v>
      </c>
      <c r="K11" s="56">
        <f>SUM(E11:J11)</f>
        <v>77</v>
      </c>
      <c r="L11" s="2">
        <f>全体!L11-機械!L11</f>
        <v>16.72</v>
      </c>
      <c r="M11" s="3">
        <f>全体!M11-機械!M11</f>
        <v>0.52500000000000002</v>
      </c>
      <c r="N11" s="3">
        <f>全体!N11-機械!N11</f>
        <v>0</v>
      </c>
      <c r="O11" s="3">
        <f>全体!O11-機械!O11</f>
        <v>0</v>
      </c>
      <c r="P11" s="3">
        <f>全体!P11-機械!P11</f>
        <v>0</v>
      </c>
      <c r="Q11" s="3">
        <f>全体!Q11-機械!Q11</f>
        <v>0</v>
      </c>
      <c r="R11" s="56">
        <f>SUM(L11:Q11)</f>
        <v>17.244999999999997</v>
      </c>
      <c r="S11" s="57">
        <f t="shared" ref="S11:Y12" si="1">IF(E11=0,"***",L11/E11)</f>
        <v>0.22234042553191488</v>
      </c>
      <c r="T11" s="7">
        <f t="shared" si="1"/>
        <v>0.29166666666666669</v>
      </c>
      <c r="U11" s="7" t="str">
        <f t="shared" si="1"/>
        <v>***</v>
      </c>
      <c r="V11" s="7" t="str">
        <f t="shared" si="1"/>
        <v>***</v>
      </c>
      <c r="W11" s="7" t="str">
        <f t="shared" si="1"/>
        <v>***</v>
      </c>
      <c r="X11" s="7" t="str">
        <f t="shared" si="1"/>
        <v>***</v>
      </c>
      <c r="Y11" s="64">
        <f t="shared" si="1"/>
        <v>0.22396103896103892</v>
      </c>
    </row>
    <row r="12" spans="3:25" x14ac:dyDescent="0.4">
      <c r="C12" s="4" t="s">
        <v>5</v>
      </c>
      <c r="D12" s="16"/>
      <c r="E12" s="49">
        <f t="shared" ref="E12:J12" si="2">SUM(E5:E11)</f>
        <v>50951.759999999995</v>
      </c>
      <c r="F12" s="6">
        <f t="shared" si="2"/>
        <v>39720.558000000005</v>
      </c>
      <c r="G12" s="6">
        <f t="shared" si="2"/>
        <v>40156.898999999998</v>
      </c>
      <c r="H12" s="6">
        <f t="shared" si="2"/>
        <v>44874.337</v>
      </c>
      <c r="I12" s="6">
        <f t="shared" si="2"/>
        <v>42078.728999999999</v>
      </c>
      <c r="J12" s="6">
        <f t="shared" si="2"/>
        <v>46122.409</v>
      </c>
      <c r="K12" s="50">
        <f>SUM(E12:J12)</f>
        <v>263904.69199999998</v>
      </c>
      <c r="L12" s="49">
        <f t="shared" ref="L12:Q12" si="3">SUM(L5:L11)</f>
        <v>9908.8129999999983</v>
      </c>
      <c r="M12" s="6">
        <f t="shared" si="3"/>
        <v>8006.6449999999986</v>
      </c>
      <c r="N12" s="6">
        <f t="shared" si="3"/>
        <v>7947.4639999999999</v>
      </c>
      <c r="O12" s="6">
        <f t="shared" si="3"/>
        <v>9065.8330000000005</v>
      </c>
      <c r="P12" s="6">
        <f t="shared" si="3"/>
        <v>8429.0760000000009</v>
      </c>
      <c r="Q12" s="6">
        <f t="shared" si="3"/>
        <v>8934.9130000000023</v>
      </c>
      <c r="R12" s="50">
        <f>SUM(L12:Q12)</f>
        <v>52292.743999999999</v>
      </c>
      <c r="S12" s="58">
        <f t="shared" si="1"/>
        <v>0.19447440088428739</v>
      </c>
      <c r="T12" s="9">
        <f t="shared" si="1"/>
        <v>0.20157433337165095</v>
      </c>
      <c r="U12" s="9">
        <f t="shared" si="1"/>
        <v>0.19791030178899024</v>
      </c>
      <c r="V12" s="9">
        <f t="shared" si="1"/>
        <v>0.20202711852879299</v>
      </c>
      <c r="W12" s="9">
        <f t="shared" si="1"/>
        <v>0.20031679188789189</v>
      </c>
      <c r="X12" s="9">
        <f t="shared" si="1"/>
        <v>0.19372173296498893</v>
      </c>
      <c r="Y12" s="65">
        <f t="shared" si="1"/>
        <v>0.19815011094990309</v>
      </c>
    </row>
    <row r="13" spans="3:25" x14ac:dyDescent="0.4">
      <c r="C13" s="12"/>
      <c r="E13" s="11"/>
      <c r="F13" s="11"/>
      <c r="G13" s="11"/>
      <c r="H13" s="11"/>
      <c r="I13" s="11"/>
      <c r="J13" s="11"/>
      <c r="K13" s="12"/>
      <c r="L13" s="11"/>
      <c r="M13" s="11"/>
      <c r="N13" s="11"/>
      <c r="O13" s="11"/>
      <c r="P13" s="11"/>
      <c r="Q13" s="11"/>
      <c r="R13" s="12"/>
      <c r="S13" s="13"/>
      <c r="T13" s="13"/>
      <c r="U13" s="13"/>
      <c r="V13" s="13"/>
      <c r="W13" s="13"/>
      <c r="X13" s="13"/>
      <c r="Y13" s="13"/>
    </row>
    <row r="14" spans="3:25" x14ac:dyDescent="0.4">
      <c r="C14" s="12" t="s">
        <v>20</v>
      </c>
    </row>
    <row r="15" spans="3:25" x14ac:dyDescent="0.4">
      <c r="C15" s="85"/>
      <c r="D15" s="84"/>
      <c r="E15" s="87" t="s">
        <v>2</v>
      </c>
      <c r="F15" s="83"/>
      <c r="G15" s="83"/>
      <c r="H15" s="83"/>
      <c r="I15" s="83"/>
      <c r="J15" s="83"/>
      <c r="K15" s="83"/>
      <c r="L15" s="86" t="s">
        <v>3</v>
      </c>
      <c r="M15" s="83"/>
      <c r="N15" s="83"/>
      <c r="O15" s="83"/>
      <c r="P15" s="83"/>
      <c r="Q15" s="83"/>
      <c r="R15" s="84"/>
      <c r="S15" s="86" t="s">
        <v>4</v>
      </c>
      <c r="T15" s="83"/>
      <c r="U15" s="83"/>
      <c r="V15" s="83"/>
      <c r="W15" s="83"/>
      <c r="X15" s="83"/>
      <c r="Y15" s="84"/>
    </row>
    <row r="16" spans="3:25" x14ac:dyDescent="0.4">
      <c r="C16" s="1"/>
      <c r="D16" s="14"/>
      <c r="E16" s="51">
        <v>45748</v>
      </c>
      <c r="F16" s="51">
        <v>45778</v>
      </c>
      <c r="G16" s="51">
        <v>45809</v>
      </c>
      <c r="H16" s="51">
        <v>45839</v>
      </c>
      <c r="I16" s="51">
        <v>45870</v>
      </c>
      <c r="J16" s="51">
        <v>45901</v>
      </c>
      <c r="K16" s="52" t="s">
        <v>5</v>
      </c>
      <c r="L16" s="48">
        <v>45748</v>
      </c>
      <c r="M16" s="51">
        <v>45778</v>
      </c>
      <c r="N16" s="51">
        <v>45809</v>
      </c>
      <c r="O16" s="51">
        <v>45839</v>
      </c>
      <c r="P16" s="51">
        <v>45870</v>
      </c>
      <c r="Q16" s="51">
        <v>45901</v>
      </c>
      <c r="R16" s="53" t="s">
        <v>5</v>
      </c>
      <c r="S16" s="51">
        <v>45748</v>
      </c>
      <c r="T16" s="51">
        <v>45778</v>
      </c>
      <c r="U16" s="51">
        <v>45809</v>
      </c>
      <c r="V16" s="51">
        <v>45839</v>
      </c>
      <c r="W16" s="51">
        <v>45870</v>
      </c>
      <c r="X16" s="51">
        <v>45901</v>
      </c>
      <c r="Y16" s="52" t="s">
        <v>5</v>
      </c>
    </row>
    <row r="17" spans="3:25" x14ac:dyDescent="0.4">
      <c r="C17" s="2" t="s">
        <v>6</v>
      </c>
      <c r="D17" s="15" t="s">
        <v>7</v>
      </c>
      <c r="E17" s="2">
        <f>全体!E17-機械!E17</f>
        <v>12525.22</v>
      </c>
      <c r="F17" s="3">
        <f>全体!F17-機械!F17</f>
        <v>8689.2239999999983</v>
      </c>
      <c r="G17" s="3">
        <f>全体!G17-機械!G17</f>
        <v>8895.0970000000016</v>
      </c>
      <c r="H17" s="3">
        <f>全体!H17-機械!H17</f>
        <v>11707.28</v>
      </c>
      <c r="I17" s="3">
        <f>全体!I17-機械!I17</f>
        <v>8461.6230000000014</v>
      </c>
      <c r="J17" s="3">
        <f>全体!J17-機械!J17</f>
        <v>10873.977999999999</v>
      </c>
      <c r="K17" s="56">
        <f>SUM(E17:J17)</f>
        <v>61152.421999999991</v>
      </c>
      <c r="L17" s="2">
        <f>全体!L17-機械!L17</f>
        <v>3039.373</v>
      </c>
      <c r="M17" s="3">
        <f>全体!M17-機械!M17</f>
        <v>1994.807</v>
      </c>
      <c r="N17" s="3">
        <f>全体!N17-機械!N17</f>
        <v>2146.1060000000002</v>
      </c>
      <c r="O17" s="3">
        <f>全体!O17-機械!O17</f>
        <v>2759.03</v>
      </c>
      <c r="P17" s="3">
        <f>全体!P17-機械!P17</f>
        <v>1947.3979999999999</v>
      </c>
      <c r="Q17" s="3">
        <f>全体!Q17-機械!Q17</f>
        <v>2467.5859999999998</v>
      </c>
      <c r="R17" s="56">
        <f>SUM(L17:Q17)</f>
        <v>14354.3</v>
      </c>
      <c r="S17" s="57">
        <f t="shared" ref="S17:Y21" si="4">IF(E17=0,"***",L17/E17)</f>
        <v>0.24266024868225869</v>
      </c>
      <c r="T17" s="7">
        <f t="shared" si="4"/>
        <v>0.22957251418538646</v>
      </c>
      <c r="U17" s="7">
        <f t="shared" si="4"/>
        <v>0.24126842011953326</v>
      </c>
      <c r="V17" s="7">
        <f t="shared" si="4"/>
        <v>0.2356678921149917</v>
      </c>
      <c r="W17" s="7">
        <f t="shared" si="4"/>
        <v>0.23014473700849111</v>
      </c>
      <c r="X17" s="7">
        <f t="shared" si="4"/>
        <v>0.22692578557727447</v>
      </c>
      <c r="Y17" s="64">
        <f t="shared" si="4"/>
        <v>0.23472986891672093</v>
      </c>
    </row>
    <row r="18" spans="3:25" x14ac:dyDescent="0.4">
      <c r="C18" s="2" t="s">
        <v>8</v>
      </c>
      <c r="D18" s="15" t="s">
        <v>9</v>
      </c>
      <c r="E18" s="2">
        <f>全体!E18-機械!E18</f>
        <v>14114.865</v>
      </c>
      <c r="F18" s="3">
        <f>全体!F18-機械!F18</f>
        <v>12262.771000000001</v>
      </c>
      <c r="G18" s="3">
        <f>全体!G18-機械!G18</f>
        <v>11636.779</v>
      </c>
      <c r="H18" s="3">
        <f>全体!H18-機械!H18</f>
        <v>13954.075999999999</v>
      </c>
      <c r="I18" s="3">
        <f>全体!I18-機械!I18</f>
        <v>11683.85</v>
      </c>
      <c r="J18" s="3">
        <f>全体!J18-機械!J18</f>
        <v>12674.688</v>
      </c>
      <c r="K18" s="56">
        <f>SUM(E18:J18)</f>
        <v>76327.028999999995</v>
      </c>
      <c r="L18" s="2">
        <f>全体!L18-機械!L18</f>
        <v>2932.326</v>
      </c>
      <c r="M18" s="3">
        <f>全体!M18-機械!M18</f>
        <v>2639.6570000000002</v>
      </c>
      <c r="N18" s="3">
        <f>全体!N18-機械!N18</f>
        <v>2387.0030000000002</v>
      </c>
      <c r="O18" s="3">
        <f>全体!O18-機械!O18</f>
        <v>2858.271999999999</v>
      </c>
      <c r="P18" s="3">
        <f>全体!P18-機械!P18</f>
        <v>2483.065000000001</v>
      </c>
      <c r="Q18" s="3">
        <f>全体!Q18-機械!Q18</f>
        <v>2545.7199999999998</v>
      </c>
      <c r="R18" s="56">
        <f>SUM(L18:Q18)</f>
        <v>15846.043</v>
      </c>
      <c r="S18" s="57">
        <f t="shared" si="4"/>
        <v>0.20774736421496062</v>
      </c>
      <c r="T18" s="7">
        <f t="shared" si="4"/>
        <v>0.21525779124473579</v>
      </c>
      <c r="U18" s="7">
        <f t="shared" si="4"/>
        <v>0.20512574828481317</v>
      </c>
      <c r="V18" s="7">
        <f t="shared" si="4"/>
        <v>0.20483420041570644</v>
      </c>
      <c r="W18" s="7">
        <f t="shared" si="4"/>
        <v>0.21252112959341321</v>
      </c>
      <c r="X18" s="7">
        <f t="shared" si="4"/>
        <v>0.20085070338615041</v>
      </c>
      <c r="Y18" s="64">
        <f t="shared" si="4"/>
        <v>0.20760722915076388</v>
      </c>
    </row>
    <row r="19" spans="3:25" x14ac:dyDescent="0.4">
      <c r="C19" s="2" t="s">
        <v>10</v>
      </c>
      <c r="D19" s="15" t="s">
        <v>11</v>
      </c>
      <c r="E19" s="2">
        <f>全体!E19-機械!E19</f>
        <v>7608.1920000000009</v>
      </c>
      <c r="F19" s="3">
        <f>全体!F19-機械!F19</f>
        <v>7379.3889999999992</v>
      </c>
      <c r="G19" s="3">
        <f>全体!G19-機械!G19</f>
        <v>6499.1149999999989</v>
      </c>
      <c r="H19" s="3">
        <f>全体!H19-機械!H19</f>
        <v>7484.947000000001</v>
      </c>
      <c r="I19" s="3">
        <f>全体!I19-機械!I19</f>
        <v>7106.0659999999998</v>
      </c>
      <c r="J19" s="3">
        <f>全体!J19-機械!J19</f>
        <v>9858.9249999999993</v>
      </c>
      <c r="K19" s="56">
        <f>SUM(E19:J19)</f>
        <v>45936.634000000005</v>
      </c>
      <c r="L19" s="2">
        <f>全体!L19-機械!L19</f>
        <v>1409.049</v>
      </c>
      <c r="M19" s="3">
        <f>全体!M19-機械!M19</f>
        <v>1498.787</v>
      </c>
      <c r="N19" s="3">
        <f>全体!N19-機械!N19</f>
        <v>1226.2149999999999</v>
      </c>
      <c r="O19" s="3">
        <f>全体!O19-機械!O19</f>
        <v>1371.1669999999999</v>
      </c>
      <c r="P19" s="3">
        <f>全体!P19-機械!P19</f>
        <v>1453.3810000000001</v>
      </c>
      <c r="Q19" s="3">
        <f>全体!Q19-機械!Q19</f>
        <v>1848.951</v>
      </c>
      <c r="R19" s="56">
        <f>SUM(L19:Q19)</f>
        <v>8807.5500000000011</v>
      </c>
      <c r="S19" s="57">
        <f t="shared" si="4"/>
        <v>0.18520155642759803</v>
      </c>
      <c r="T19" s="7">
        <f t="shared" si="4"/>
        <v>0.20310448466668449</v>
      </c>
      <c r="U19" s="7">
        <f t="shared" si="4"/>
        <v>0.18867415024968787</v>
      </c>
      <c r="V19" s="7">
        <f t="shared" si="4"/>
        <v>0.18318994109109921</v>
      </c>
      <c r="W19" s="7">
        <f t="shared" si="4"/>
        <v>0.20452680850417096</v>
      </c>
      <c r="X19" s="7">
        <f t="shared" si="4"/>
        <v>0.18754083229155311</v>
      </c>
      <c r="Y19" s="64">
        <f t="shared" si="4"/>
        <v>0.19173259407731094</v>
      </c>
    </row>
    <row r="20" spans="3:25" x14ac:dyDescent="0.4">
      <c r="C20" s="2" t="s">
        <v>12</v>
      </c>
      <c r="D20" s="15" t="s">
        <v>13</v>
      </c>
      <c r="E20" s="2">
        <f>全体!E20-機械!E20</f>
        <v>13515.099</v>
      </c>
      <c r="F20" s="3">
        <f>全体!F20-機械!F20</f>
        <v>12386.69</v>
      </c>
      <c r="G20" s="3">
        <f>全体!G20-機械!G20</f>
        <v>10960.365</v>
      </c>
      <c r="H20" s="3">
        <f>全体!H20-機械!H20</f>
        <v>12871.361000000001</v>
      </c>
      <c r="I20" s="3">
        <f>全体!I20-機械!I20</f>
        <v>11845.249</v>
      </c>
      <c r="J20" s="3">
        <f>全体!J20-機械!J20</f>
        <v>11500.983</v>
      </c>
      <c r="K20" s="56">
        <f>SUM(E20:J20)</f>
        <v>73079.747000000003</v>
      </c>
      <c r="L20" s="2">
        <f>全体!L20-機械!L20</f>
        <v>2628.7040000000002</v>
      </c>
      <c r="M20" s="3">
        <f>全体!M20-機械!M20</f>
        <v>2335.1390000000001</v>
      </c>
      <c r="N20" s="3">
        <f>全体!N20-機械!N20</f>
        <v>2093.8989999999999</v>
      </c>
      <c r="O20" s="3">
        <f>全体!O20-機械!O20</f>
        <v>2546.0050000000001</v>
      </c>
      <c r="P20" s="3">
        <f>全体!P20-機械!P20</f>
        <v>2355.6959999999999</v>
      </c>
      <c r="Q20" s="3">
        <f>全体!Q20-機械!Q20</f>
        <v>2309.4079999999999</v>
      </c>
      <c r="R20" s="56">
        <f>SUM(L20:Q20)</f>
        <v>14268.850999999999</v>
      </c>
      <c r="S20" s="57">
        <f t="shared" si="4"/>
        <v>0.19450127594329869</v>
      </c>
      <c r="T20" s="7">
        <f t="shared" si="4"/>
        <v>0.18852001624324174</v>
      </c>
      <c r="U20" s="7">
        <f t="shared" si="4"/>
        <v>0.19104281654853647</v>
      </c>
      <c r="V20" s="7">
        <f t="shared" si="4"/>
        <v>0.19780386860410487</v>
      </c>
      <c r="W20" s="7">
        <f t="shared" si="4"/>
        <v>0.19887264505794686</v>
      </c>
      <c r="X20" s="7">
        <f t="shared" si="4"/>
        <v>0.20080092284285611</v>
      </c>
      <c r="Y20" s="64">
        <f t="shared" si="4"/>
        <v>0.19525041595997861</v>
      </c>
    </row>
    <row r="21" spans="3:25" x14ac:dyDescent="0.4">
      <c r="C21" s="2" t="s">
        <v>14</v>
      </c>
      <c r="D21" s="15" t="s">
        <v>15</v>
      </c>
      <c r="E21" s="2">
        <f>全体!E21-機械!E21</f>
        <v>0</v>
      </c>
      <c r="F21" s="3">
        <f>全体!F21-機械!F21</f>
        <v>0</v>
      </c>
      <c r="G21" s="3">
        <f>全体!G21-機械!G21</f>
        <v>0</v>
      </c>
      <c r="H21" s="3">
        <f>全体!H21-機械!H21</f>
        <v>0</v>
      </c>
      <c r="I21" s="3">
        <f>全体!I21-機械!I21</f>
        <v>0</v>
      </c>
      <c r="J21" s="3">
        <f>全体!J21-機械!J21</f>
        <v>0</v>
      </c>
      <c r="K21" s="56">
        <f>SUM(E21:J21)</f>
        <v>0</v>
      </c>
      <c r="L21" s="2">
        <f>全体!L21-機械!L21</f>
        <v>0</v>
      </c>
      <c r="M21" s="3">
        <f>全体!M21-機械!M21</f>
        <v>0</v>
      </c>
      <c r="N21" s="3">
        <f>全体!N21-機械!N21</f>
        <v>0</v>
      </c>
      <c r="O21" s="3">
        <f>全体!O21-機械!O21</f>
        <v>0</v>
      </c>
      <c r="P21" s="3">
        <f>全体!P21-機械!P21</f>
        <v>0</v>
      </c>
      <c r="Q21" s="3">
        <f>全体!Q21-機械!Q21</f>
        <v>0</v>
      </c>
      <c r="R21" s="56">
        <f>SUM(L21:Q21)</f>
        <v>0</v>
      </c>
      <c r="S21" s="57" t="str">
        <f t="shared" si="4"/>
        <v>***</v>
      </c>
      <c r="T21" s="7" t="str">
        <f t="shared" si="4"/>
        <v>***</v>
      </c>
      <c r="U21" s="7" t="str">
        <f t="shared" si="4"/>
        <v>***</v>
      </c>
      <c r="V21" s="7" t="str">
        <f t="shared" si="4"/>
        <v>***</v>
      </c>
      <c r="W21" s="7" t="str">
        <f t="shared" si="4"/>
        <v>***</v>
      </c>
      <c r="X21" s="7" t="str">
        <f t="shared" si="4"/>
        <v>***</v>
      </c>
      <c r="Y21" s="64" t="str">
        <f t="shared" si="4"/>
        <v>***</v>
      </c>
    </row>
    <row r="22" spans="3:25" x14ac:dyDescent="0.4">
      <c r="C22" s="70" t="s">
        <v>16</v>
      </c>
      <c r="D22" s="15" t="s">
        <v>17</v>
      </c>
      <c r="E22" s="2"/>
      <c r="F22" s="3"/>
      <c r="G22" s="3"/>
      <c r="H22" s="3"/>
      <c r="I22" s="3"/>
      <c r="J22" s="3"/>
      <c r="K22" s="56"/>
      <c r="L22" s="2"/>
      <c r="M22" s="3"/>
      <c r="N22" s="3"/>
      <c r="O22" s="3"/>
      <c r="P22" s="3"/>
      <c r="Q22" s="3"/>
      <c r="R22" s="56"/>
      <c r="S22" s="57"/>
      <c r="T22" s="7"/>
      <c r="U22" s="7"/>
      <c r="V22" s="7"/>
      <c r="W22" s="7"/>
      <c r="X22" s="7"/>
      <c r="Y22" s="64"/>
    </row>
    <row r="23" spans="3:25" x14ac:dyDescent="0.4">
      <c r="C23" s="2" t="s">
        <v>18</v>
      </c>
      <c r="D23" s="15" t="s">
        <v>19</v>
      </c>
      <c r="E23" s="2">
        <f>全体!E23-機械!E23</f>
        <v>0</v>
      </c>
      <c r="F23" s="3">
        <f>全体!F23-機械!F23</f>
        <v>0</v>
      </c>
      <c r="G23" s="3">
        <f>全体!G23-機械!G23</f>
        <v>125</v>
      </c>
      <c r="H23" s="3">
        <f>全体!H23-機械!H23</f>
        <v>0</v>
      </c>
      <c r="I23" s="3">
        <f>全体!I23-機械!I23</f>
        <v>4.8</v>
      </c>
      <c r="J23" s="3">
        <f>全体!J23-機械!J23</f>
        <v>0</v>
      </c>
      <c r="K23" s="56">
        <f>SUM(E23:J23)</f>
        <v>129.80000000000001</v>
      </c>
      <c r="L23" s="2">
        <f>全体!L23-機械!L23</f>
        <v>0</v>
      </c>
      <c r="M23" s="3">
        <f>全体!M23-機械!M23</f>
        <v>0</v>
      </c>
      <c r="N23" s="3">
        <f>全体!N23-機械!N23</f>
        <v>20.2</v>
      </c>
      <c r="O23" s="3">
        <f>全体!O23-機械!O23</f>
        <v>0</v>
      </c>
      <c r="P23" s="3">
        <f>全体!P23-機械!P23</f>
        <v>1.38</v>
      </c>
      <c r="Q23" s="3">
        <f>全体!Q23-機械!Q23</f>
        <v>0</v>
      </c>
      <c r="R23" s="56">
        <f>SUM(L23:Q23)</f>
        <v>21.58</v>
      </c>
      <c r="S23" s="57" t="str">
        <f t="shared" ref="S23:Y24" si="5">IF(E23=0,"***",L23/E23)</f>
        <v>***</v>
      </c>
      <c r="T23" s="7" t="str">
        <f t="shared" si="5"/>
        <v>***</v>
      </c>
      <c r="U23" s="7">
        <f t="shared" si="5"/>
        <v>0.16159999999999999</v>
      </c>
      <c r="V23" s="7" t="str">
        <f t="shared" si="5"/>
        <v>***</v>
      </c>
      <c r="W23" s="7">
        <f t="shared" si="5"/>
        <v>0.28749999999999998</v>
      </c>
      <c r="X23" s="7" t="str">
        <f t="shared" si="5"/>
        <v>***</v>
      </c>
      <c r="Y23" s="64">
        <f t="shared" si="5"/>
        <v>0.16625577812018488</v>
      </c>
    </row>
    <row r="24" spans="3:25" x14ac:dyDescent="0.4">
      <c r="C24" s="4" t="s">
        <v>5</v>
      </c>
      <c r="D24" s="16"/>
      <c r="E24" s="49">
        <f t="shared" ref="E24:J24" si="6">SUM(E17:E23)</f>
        <v>47763.376000000004</v>
      </c>
      <c r="F24" s="6">
        <f t="shared" si="6"/>
        <v>40718.074000000001</v>
      </c>
      <c r="G24" s="6">
        <f t="shared" si="6"/>
        <v>38116.356</v>
      </c>
      <c r="H24" s="6">
        <f t="shared" si="6"/>
        <v>46017.664000000004</v>
      </c>
      <c r="I24" s="6">
        <f t="shared" si="6"/>
        <v>39101.588000000003</v>
      </c>
      <c r="J24" s="6">
        <f t="shared" si="6"/>
        <v>44908.574000000001</v>
      </c>
      <c r="K24" s="50">
        <f>SUM(E24:J24)</f>
        <v>256625.63200000001</v>
      </c>
      <c r="L24" s="49">
        <f t="shared" ref="L24:Q24" si="7">SUM(L17:L23)</f>
        <v>10009.452000000001</v>
      </c>
      <c r="M24" s="6">
        <f t="shared" si="7"/>
        <v>8468.39</v>
      </c>
      <c r="N24" s="6">
        <f t="shared" si="7"/>
        <v>7873.4229999999998</v>
      </c>
      <c r="O24" s="6">
        <f t="shared" si="7"/>
        <v>9534.4739999999983</v>
      </c>
      <c r="P24" s="6">
        <f t="shared" si="7"/>
        <v>8240.92</v>
      </c>
      <c r="Q24" s="6">
        <f t="shared" si="7"/>
        <v>9171.6649999999991</v>
      </c>
      <c r="R24" s="50">
        <f>SUM(L24:Q24)</f>
        <v>53298.324000000001</v>
      </c>
      <c r="S24" s="58">
        <f t="shared" si="5"/>
        <v>0.20956332734939004</v>
      </c>
      <c r="T24" s="9">
        <f t="shared" si="5"/>
        <v>0.20797619258710515</v>
      </c>
      <c r="U24" s="9">
        <f t="shared" si="5"/>
        <v>0.2065628466687634</v>
      </c>
      <c r="V24" s="9">
        <f t="shared" si="5"/>
        <v>0.2071916123339072</v>
      </c>
      <c r="W24" s="9">
        <f t="shared" si="5"/>
        <v>0.21075665776029351</v>
      </c>
      <c r="X24" s="9">
        <f t="shared" si="5"/>
        <v>0.20422970900835102</v>
      </c>
      <c r="Y24" s="65">
        <f t="shared" si="5"/>
        <v>0.20768901214045524</v>
      </c>
    </row>
    <row r="25" spans="3:25" x14ac:dyDescent="0.4">
      <c r="C25" s="12"/>
      <c r="E25" s="11"/>
      <c r="F25" s="11"/>
      <c r="G25" s="11"/>
      <c r="H25" s="11"/>
      <c r="I25" s="11"/>
      <c r="J25" s="11"/>
      <c r="K25" s="12"/>
      <c r="L25" s="11"/>
      <c r="M25" s="11"/>
      <c r="N25" s="11"/>
      <c r="O25" s="11"/>
      <c r="P25" s="11"/>
      <c r="Q25" s="11"/>
      <c r="R25" s="12"/>
      <c r="S25" s="13"/>
      <c r="T25" s="13"/>
      <c r="U25" s="13"/>
      <c r="V25" s="13"/>
      <c r="W25" s="13"/>
      <c r="X25" s="13"/>
      <c r="Y25" s="13"/>
    </row>
    <row r="26" spans="3:25" x14ac:dyDescent="0.4">
      <c r="C26" s="12" t="s">
        <v>21</v>
      </c>
    </row>
    <row r="27" spans="3:25" x14ac:dyDescent="0.4">
      <c r="C27" s="85"/>
      <c r="D27" s="84"/>
      <c r="E27" s="87" t="s">
        <v>2</v>
      </c>
      <c r="F27" s="83"/>
      <c r="G27" s="83"/>
      <c r="H27" s="83"/>
      <c r="I27" s="83"/>
      <c r="J27" s="83"/>
      <c r="K27" s="83"/>
      <c r="L27" s="86" t="s">
        <v>3</v>
      </c>
      <c r="M27" s="83"/>
      <c r="N27" s="83"/>
      <c r="O27" s="83"/>
      <c r="P27" s="83"/>
      <c r="Q27" s="83"/>
      <c r="R27" s="84"/>
      <c r="S27" s="86" t="s">
        <v>4</v>
      </c>
      <c r="T27" s="83"/>
      <c r="U27" s="83"/>
      <c r="V27" s="83"/>
      <c r="W27" s="83"/>
      <c r="X27" s="83"/>
      <c r="Y27" s="84"/>
    </row>
    <row r="28" spans="3:25" x14ac:dyDescent="0.4">
      <c r="C28" s="1"/>
      <c r="D28" s="14"/>
      <c r="E28" s="51">
        <v>45748</v>
      </c>
      <c r="F28" s="51">
        <v>45778</v>
      </c>
      <c r="G28" s="51">
        <v>45809</v>
      </c>
      <c r="H28" s="51">
        <v>45839</v>
      </c>
      <c r="I28" s="51">
        <v>45870</v>
      </c>
      <c r="J28" s="51">
        <v>45901</v>
      </c>
      <c r="K28" s="52" t="s">
        <v>5</v>
      </c>
      <c r="L28" s="48">
        <v>45748</v>
      </c>
      <c r="M28" s="51">
        <v>45778</v>
      </c>
      <c r="N28" s="51">
        <v>45809</v>
      </c>
      <c r="O28" s="51">
        <v>45839</v>
      </c>
      <c r="P28" s="51">
        <v>45870</v>
      </c>
      <c r="Q28" s="51">
        <v>45901</v>
      </c>
      <c r="R28" s="53" t="s">
        <v>5</v>
      </c>
      <c r="S28" s="51">
        <v>45748</v>
      </c>
      <c r="T28" s="51">
        <v>45778</v>
      </c>
      <c r="U28" s="51">
        <v>45809</v>
      </c>
      <c r="V28" s="51">
        <v>45839</v>
      </c>
      <c r="W28" s="51">
        <v>45870</v>
      </c>
      <c r="X28" s="51">
        <v>45901</v>
      </c>
      <c r="Y28" s="52" t="s">
        <v>5</v>
      </c>
    </row>
    <row r="29" spans="3:25" x14ac:dyDescent="0.4">
      <c r="C29" s="2" t="s">
        <v>6</v>
      </c>
      <c r="D29" s="15" t="s">
        <v>7</v>
      </c>
      <c r="E29" s="3">
        <f t="shared" ref="E29:J33" si="8">(E17+E5)/2</f>
        <v>12082.1955</v>
      </c>
      <c r="F29" s="3">
        <f t="shared" si="8"/>
        <v>9213.0514999999996</v>
      </c>
      <c r="G29" s="3">
        <f t="shared" si="8"/>
        <v>9005.5835000000006</v>
      </c>
      <c r="H29" s="3">
        <f t="shared" si="8"/>
        <v>11098.067500000001</v>
      </c>
      <c r="I29" s="3">
        <f t="shared" si="8"/>
        <v>9572.5040000000008</v>
      </c>
      <c r="J29" s="3">
        <f t="shared" si="8"/>
        <v>9734.3169999999991</v>
      </c>
      <c r="K29" s="56">
        <f>SUM(E29:J29)</f>
        <v>60705.718999999997</v>
      </c>
      <c r="L29" s="62">
        <f t="shared" ref="L29:Q33" si="9">(L17+L5)/2</f>
        <v>2823.5569999999998</v>
      </c>
      <c r="M29" s="3">
        <f t="shared" si="9"/>
        <v>2082.3139999999994</v>
      </c>
      <c r="N29" s="3">
        <f t="shared" si="9"/>
        <v>2072.857</v>
      </c>
      <c r="O29" s="3">
        <f t="shared" si="9"/>
        <v>2535.2295000000004</v>
      </c>
      <c r="P29" s="3">
        <f t="shared" si="9"/>
        <v>2158.7174999999997</v>
      </c>
      <c r="Q29" s="3">
        <f t="shared" si="9"/>
        <v>2258.9920000000002</v>
      </c>
      <c r="R29" s="56">
        <f>SUM(L29:Q29)</f>
        <v>13931.666999999999</v>
      </c>
      <c r="S29" s="57">
        <f t="shared" ref="S29:Y33" si="10">IF(E29=0,"***",L29/E29)</f>
        <v>0.23369568883403682</v>
      </c>
      <c r="T29" s="7">
        <f t="shared" si="10"/>
        <v>0.22601784001750119</v>
      </c>
      <c r="U29" s="7">
        <f t="shared" si="10"/>
        <v>0.23017464665115811</v>
      </c>
      <c r="V29" s="7">
        <f t="shared" si="10"/>
        <v>0.22843882504769414</v>
      </c>
      <c r="W29" s="7">
        <f t="shared" si="10"/>
        <v>0.22551231109435937</v>
      </c>
      <c r="X29" s="7">
        <f t="shared" si="10"/>
        <v>0.23206476633132045</v>
      </c>
      <c r="Y29" s="64">
        <f t="shared" si="10"/>
        <v>0.2294951320813777</v>
      </c>
    </row>
    <row r="30" spans="3:25" x14ac:dyDescent="0.4">
      <c r="C30" s="2" t="s">
        <v>8</v>
      </c>
      <c r="D30" s="15" t="s">
        <v>9</v>
      </c>
      <c r="E30" s="3">
        <f t="shared" si="8"/>
        <v>13609.052</v>
      </c>
      <c r="F30" s="3">
        <f t="shared" si="8"/>
        <v>11312.851000000001</v>
      </c>
      <c r="G30" s="3">
        <f t="shared" si="8"/>
        <v>11779.9935</v>
      </c>
      <c r="H30" s="3">
        <f t="shared" si="8"/>
        <v>13851.630999999999</v>
      </c>
      <c r="I30" s="3">
        <f t="shared" si="8"/>
        <v>11533.426500000001</v>
      </c>
      <c r="J30" s="3">
        <f t="shared" si="8"/>
        <v>13319.427</v>
      </c>
      <c r="K30" s="56">
        <f>SUM(E30:J30)</f>
        <v>75406.381000000008</v>
      </c>
      <c r="L30" s="62">
        <f t="shared" si="9"/>
        <v>2861.6244999999999</v>
      </c>
      <c r="M30" s="3">
        <f t="shared" si="9"/>
        <v>2392.5865000000003</v>
      </c>
      <c r="N30" s="3">
        <f t="shared" si="9"/>
        <v>2451.3204999999998</v>
      </c>
      <c r="O30" s="3">
        <f t="shared" si="9"/>
        <v>2903.2849999999994</v>
      </c>
      <c r="P30" s="3">
        <f t="shared" si="9"/>
        <v>2389.8170000000005</v>
      </c>
      <c r="Q30" s="3">
        <f t="shared" si="9"/>
        <v>2721.2880000000005</v>
      </c>
      <c r="R30" s="56">
        <f>SUM(L30:Q30)</f>
        <v>15719.9215</v>
      </c>
      <c r="S30" s="57">
        <f t="shared" si="10"/>
        <v>0.2102736105351056</v>
      </c>
      <c r="T30" s="7">
        <f t="shared" si="10"/>
        <v>0.21149279699697277</v>
      </c>
      <c r="U30" s="7">
        <f t="shared" si="10"/>
        <v>0.20809183808123491</v>
      </c>
      <c r="V30" s="7">
        <f t="shared" si="10"/>
        <v>0.20959878298808274</v>
      </c>
      <c r="W30" s="7">
        <f t="shared" si="10"/>
        <v>0.20720789264144529</v>
      </c>
      <c r="X30" s="7">
        <f t="shared" si="10"/>
        <v>0.20430968989882226</v>
      </c>
      <c r="Y30" s="64">
        <f t="shared" si="10"/>
        <v>0.20846938006479848</v>
      </c>
    </row>
    <row r="31" spans="3:25" x14ac:dyDescent="0.4">
      <c r="C31" s="2" t="s">
        <v>10</v>
      </c>
      <c r="D31" s="15" t="s">
        <v>11</v>
      </c>
      <c r="E31" s="3">
        <f t="shared" si="8"/>
        <v>8651.6549999999988</v>
      </c>
      <c r="F31" s="3">
        <f t="shared" si="8"/>
        <v>7728.7044999999998</v>
      </c>
      <c r="G31" s="3">
        <f t="shared" si="8"/>
        <v>7005.5689999999995</v>
      </c>
      <c r="H31" s="3">
        <f t="shared" si="8"/>
        <v>7776.6085000000003</v>
      </c>
      <c r="I31" s="3">
        <f t="shared" si="8"/>
        <v>7953.7290000000012</v>
      </c>
      <c r="J31" s="3">
        <f t="shared" si="8"/>
        <v>9903.027</v>
      </c>
      <c r="K31" s="56">
        <f>SUM(E31:J31)</f>
        <v>49019.292999999998</v>
      </c>
      <c r="L31" s="62">
        <f t="shared" si="9"/>
        <v>1608.9124999999999</v>
      </c>
      <c r="M31" s="3">
        <f t="shared" si="9"/>
        <v>1485.1869999999999</v>
      </c>
      <c r="N31" s="3">
        <f t="shared" si="9"/>
        <v>1243.317</v>
      </c>
      <c r="O31" s="3">
        <f t="shared" si="9"/>
        <v>1398.2824999999998</v>
      </c>
      <c r="P31" s="3">
        <f t="shared" si="9"/>
        <v>1508.9195</v>
      </c>
      <c r="Q31" s="3">
        <f t="shared" si="9"/>
        <v>1734.5374999999999</v>
      </c>
      <c r="R31" s="56">
        <f>SUM(L31:Q31)</f>
        <v>8979.155999999999</v>
      </c>
      <c r="S31" s="57">
        <f t="shared" si="10"/>
        <v>0.18596586433462731</v>
      </c>
      <c r="T31" s="7">
        <f t="shared" si="10"/>
        <v>0.19216506466251879</v>
      </c>
      <c r="U31" s="7">
        <f t="shared" si="10"/>
        <v>0.17747551983286441</v>
      </c>
      <c r="V31" s="7">
        <f t="shared" si="10"/>
        <v>0.17980620986642182</v>
      </c>
      <c r="W31" s="7">
        <f t="shared" si="10"/>
        <v>0.1897122092040098</v>
      </c>
      <c r="X31" s="7">
        <f t="shared" si="10"/>
        <v>0.17515225395225115</v>
      </c>
      <c r="Y31" s="64">
        <f t="shared" si="10"/>
        <v>0.18317595890254884</v>
      </c>
    </row>
    <row r="32" spans="3:25" x14ac:dyDescent="0.4">
      <c r="C32" s="2" t="s">
        <v>12</v>
      </c>
      <c r="D32" s="15" t="s">
        <v>13</v>
      </c>
      <c r="E32" s="3">
        <f t="shared" si="8"/>
        <v>13354.8565</v>
      </c>
      <c r="F32" s="3">
        <f t="shared" si="8"/>
        <v>11963.809000000001</v>
      </c>
      <c r="G32" s="3">
        <f t="shared" si="8"/>
        <v>11282.9815</v>
      </c>
      <c r="H32" s="3">
        <f t="shared" si="8"/>
        <v>12719.693500000001</v>
      </c>
      <c r="I32" s="3">
        <f t="shared" si="8"/>
        <v>11528.099</v>
      </c>
      <c r="J32" s="3">
        <f t="shared" si="8"/>
        <v>11439.483</v>
      </c>
      <c r="K32" s="56">
        <f>SUM(E32:J32)</f>
        <v>72288.922500000015</v>
      </c>
      <c r="L32" s="62">
        <f t="shared" si="9"/>
        <v>2568.1570000000002</v>
      </c>
      <c r="M32" s="3">
        <f t="shared" si="9"/>
        <v>2277.1675</v>
      </c>
      <c r="N32" s="3">
        <f t="shared" si="9"/>
        <v>2132.8490000000002</v>
      </c>
      <c r="O32" s="3">
        <f t="shared" si="9"/>
        <v>2463.3564999999999</v>
      </c>
      <c r="P32" s="3">
        <f t="shared" si="9"/>
        <v>2276.8540000000003</v>
      </c>
      <c r="Q32" s="3">
        <f t="shared" si="9"/>
        <v>2270.0815000000002</v>
      </c>
      <c r="R32" s="56">
        <f>SUM(L32:Q32)</f>
        <v>13988.465500000002</v>
      </c>
      <c r="S32" s="57">
        <f t="shared" si="10"/>
        <v>0.19230135494155254</v>
      </c>
      <c r="T32" s="7">
        <f t="shared" si="10"/>
        <v>0.19033800188551989</v>
      </c>
      <c r="U32" s="7">
        <f t="shared" si="10"/>
        <v>0.1890323936097919</v>
      </c>
      <c r="V32" s="7">
        <f t="shared" si="10"/>
        <v>0.19366476873047292</v>
      </c>
      <c r="W32" s="7">
        <f t="shared" si="10"/>
        <v>0.19750472302501915</v>
      </c>
      <c r="X32" s="7">
        <f t="shared" si="10"/>
        <v>0.1984426656344522</v>
      </c>
      <c r="Y32" s="64">
        <f t="shared" si="10"/>
        <v>0.19350773280650294</v>
      </c>
    </row>
    <row r="33" spans="3:25" x14ac:dyDescent="0.4">
      <c r="C33" s="2" t="s">
        <v>14</v>
      </c>
      <c r="D33" s="15" t="s">
        <v>15</v>
      </c>
      <c r="E33" s="3">
        <f t="shared" si="8"/>
        <v>1622.2090000000001</v>
      </c>
      <c r="F33" s="3">
        <f t="shared" si="8"/>
        <v>0</v>
      </c>
      <c r="G33" s="3">
        <f t="shared" si="8"/>
        <v>0</v>
      </c>
      <c r="H33" s="3">
        <f t="shared" si="8"/>
        <v>0</v>
      </c>
      <c r="I33" s="3">
        <f t="shared" si="8"/>
        <v>0</v>
      </c>
      <c r="J33" s="3">
        <f t="shared" si="8"/>
        <v>1119.2375</v>
      </c>
      <c r="K33" s="56">
        <f>SUM(E33:J33)</f>
        <v>2741.4465</v>
      </c>
      <c r="L33" s="62">
        <f t="shared" si="9"/>
        <v>88.521500000000003</v>
      </c>
      <c r="M33" s="3">
        <f t="shared" si="9"/>
        <v>0</v>
      </c>
      <c r="N33" s="3">
        <f t="shared" si="9"/>
        <v>0</v>
      </c>
      <c r="O33" s="3">
        <f t="shared" si="9"/>
        <v>0</v>
      </c>
      <c r="P33" s="3">
        <f t="shared" si="9"/>
        <v>0</v>
      </c>
      <c r="Q33" s="3">
        <f t="shared" si="9"/>
        <v>68.39</v>
      </c>
      <c r="R33" s="56">
        <f>SUM(L33:Q33)</f>
        <v>156.91149999999999</v>
      </c>
      <c r="S33" s="57">
        <f t="shared" si="10"/>
        <v>5.4568492715796793E-2</v>
      </c>
      <c r="T33" s="7" t="str">
        <f t="shared" si="10"/>
        <v>***</v>
      </c>
      <c r="U33" s="7" t="str">
        <f t="shared" si="10"/>
        <v>***</v>
      </c>
      <c r="V33" s="7" t="str">
        <f t="shared" si="10"/>
        <v>***</v>
      </c>
      <c r="W33" s="7" t="str">
        <f t="shared" si="10"/>
        <v>***</v>
      </c>
      <c r="X33" s="7">
        <f t="shared" si="10"/>
        <v>6.1104099889433661E-2</v>
      </c>
      <c r="Y33" s="64">
        <f t="shared" si="10"/>
        <v>5.7236754392252405E-2</v>
      </c>
    </row>
    <row r="34" spans="3:25" x14ac:dyDescent="0.4">
      <c r="C34" s="70" t="s">
        <v>16</v>
      </c>
      <c r="D34" s="15" t="s">
        <v>17</v>
      </c>
      <c r="E34" s="3"/>
      <c r="F34" s="3"/>
      <c r="G34" s="3"/>
      <c r="H34" s="3"/>
      <c r="I34" s="3"/>
      <c r="J34" s="3"/>
      <c r="K34" s="56"/>
      <c r="L34" s="62"/>
      <c r="M34" s="3"/>
      <c r="N34" s="3"/>
      <c r="O34" s="3"/>
      <c r="P34" s="3"/>
      <c r="Q34" s="3"/>
      <c r="R34" s="56"/>
      <c r="S34" s="57"/>
      <c r="T34" s="7"/>
      <c r="U34" s="7"/>
      <c r="V34" s="7"/>
      <c r="W34" s="7"/>
      <c r="X34" s="7"/>
      <c r="Y34" s="64"/>
    </row>
    <row r="35" spans="3:25" x14ac:dyDescent="0.4">
      <c r="C35" s="2" t="s">
        <v>18</v>
      </c>
      <c r="D35" s="15" t="s">
        <v>19</v>
      </c>
      <c r="E35" s="3">
        <f t="shared" ref="E35:J35" si="11">(E23+E11)/2</f>
        <v>37.6</v>
      </c>
      <c r="F35" s="3">
        <f t="shared" si="11"/>
        <v>0.9</v>
      </c>
      <c r="G35" s="3">
        <f t="shared" si="11"/>
        <v>62.5</v>
      </c>
      <c r="H35" s="3">
        <f t="shared" si="11"/>
        <v>0</v>
      </c>
      <c r="I35" s="3">
        <f t="shared" si="11"/>
        <v>2.4</v>
      </c>
      <c r="J35" s="3">
        <f t="shared" si="11"/>
        <v>0</v>
      </c>
      <c r="K35" s="56">
        <f>SUM(E35:J35)</f>
        <v>103.4</v>
      </c>
      <c r="L35" s="62">
        <f t="shared" ref="L35:Q35" si="12">(L23+L11)/2</f>
        <v>8.36</v>
      </c>
      <c r="M35" s="3">
        <f t="shared" si="12"/>
        <v>0.26250000000000001</v>
      </c>
      <c r="N35" s="3">
        <f t="shared" si="12"/>
        <v>10.1</v>
      </c>
      <c r="O35" s="3">
        <f t="shared" si="12"/>
        <v>0</v>
      </c>
      <c r="P35" s="3">
        <f t="shared" si="12"/>
        <v>0.69</v>
      </c>
      <c r="Q35" s="3">
        <f t="shared" si="12"/>
        <v>0</v>
      </c>
      <c r="R35" s="56">
        <f>SUM(L35:Q35)</f>
        <v>19.412499999999998</v>
      </c>
      <c r="S35" s="57">
        <f t="shared" ref="S35:Y36" si="13">IF(E35=0,"***",L35/E35)</f>
        <v>0.22234042553191488</v>
      </c>
      <c r="T35" s="7">
        <f t="shared" si="13"/>
        <v>0.29166666666666669</v>
      </c>
      <c r="U35" s="7">
        <f t="shared" si="13"/>
        <v>0.16159999999999999</v>
      </c>
      <c r="V35" s="7" t="str">
        <f t="shared" si="13"/>
        <v>***</v>
      </c>
      <c r="W35" s="7">
        <f t="shared" si="13"/>
        <v>0.28749999999999998</v>
      </c>
      <c r="X35" s="7" t="str">
        <f t="shared" si="13"/>
        <v>***</v>
      </c>
      <c r="Y35" s="64">
        <f t="shared" si="13"/>
        <v>0.18774177949709861</v>
      </c>
    </row>
    <row r="36" spans="3:25" x14ac:dyDescent="0.4">
      <c r="C36" s="4" t="s">
        <v>5</v>
      </c>
      <c r="D36" s="16"/>
      <c r="E36" s="6">
        <f t="shared" ref="E36:J36" si="14">SUM(E29:E35)</f>
        <v>49357.567999999999</v>
      </c>
      <c r="F36" s="6">
        <f t="shared" si="14"/>
        <v>40219.315999999999</v>
      </c>
      <c r="G36" s="6">
        <f t="shared" si="14"/>
        <v>39136.627500000002</v>
      </c>
      <c r="H36" s="6">
        <f t="shared" si="14"/>
        <v>45446.000500000002</v>
      </c>
      <c r="I36" s="6">
        <f t="shared" si="14"/>
        <v>40590.158500000005</v>
      </c>
      <c r="J36" s="6">
        <f t="shared" si="14"/>
        <v>45515.491500000004</v>
      </c>
      <c r="K36" s="50">
        <f>SUM(E36:J36)</f>
        <v>260265.16200000001</v>
      </c>
      <c r="L36" s="66">
        <f t="shared" ref="L36:Q36" si="15">SUM(L29:L35)</f>
        <v>9959.1325000000015</v>
      </c>
      <c r="M36" s="6">
        <f t="shared" si="15"/>
        <v>8237.5174999999999</v>
      </c>
      <c r="N36" s="6">
        <f t="shared" si="15"/>
        <v>7910.4435000000003</v>
      </c>
      <c r="O36" s="6">
        <f t="shared" si="15"/>
        <v>9300.1534999999985</v>
      </c>
      <c r="P36" s="6">
        <f t="shared" si="15"/>
        <v>8334.9980000000014</v>
      </c>
      <c r="Q36" s="6">
        <f t="shared" si="15"/>
        <v>9053.2890000000007</v>
      </c>
      <c r="R36" s="50">
        <f>SUM(L36:Q36)</f>
        <v>52795.534</v>
      </c>
      <c r="S36" s="58">
        <f t="shared" si="13"/>
        <v>0.2017751867352946</v>
      </c>
      <c r="T36" s="9">
        <f t="shared" si="13"/>
        <v>0.20481495756914414</v>
      </c>
      <c r="U36" s="9">
        <f t="shared" si="13"/>
        <v>0.20212379055911242</v>
      </c>
      <c r="V36" s="9">
        <f t="shared" si="13"/>
        <v>0.20464184741625388</v>
      </c>
      <c r="W36" s="9">
        <f t="shared" si="13"/>
        <v>0.20534529324392758</v>
      </c>
      <c r="X36" s="9">
        <f t="shared" si="13"/>
        <v>0.19890566270167598</v>
      </c>
      <c r="Y36" s="65">
        <f t="shared" si="13"/>
        <v>0.20285286587837675</v>
      </c>
    </row>
    <row r="37" spans="3:25" x14ac:dyDescent="0.4">
      <c r="C37" s="12"/>
      <c r="E37" s="11"/>
      <c r="F37" s="11"/>
      <c r="G37" s="11"/>
      <c r="H37" s="11"/>
      <c r="I37" s="11"/>
      <c r="J37" s="11"/>
      <c r="K37" s="12"/>
      <c r="L37" s="11"/>
      <c r="M37" s="11"/>
      <c r="N37" s="11"/>
      <c r="O37" s="11"/>
      <c r="P37" s="11"/>
      <c r="Q37" s="11"/>
      <c r="R37" s="12"/>
      <c r="S37" s="13"/>
      <c r="T37" s="13"/>
      <c r="U37" s="13"/>
      <c r="V37" s="13"/>
      <c r="W37" s="13"/>
      <c r="X37" s="13"/>
      <c r="Y37" s="13"/>
    </row>
    <row r="38" spans="3:25" x14ac:dyDescent="0.4">
      <c r="C38" s="12" t="s">
        <v>22</v>
      </c>
    </row>
    <row r="39" spans="3:25" x14ac:dyDescent="0.4">
      <c r="C39" s="85"/>
      <c r="D39" s="84"/>
      <c r="E39" s="85" t="s">
        <v>2</v>
      </c>
      <c r="F39" s="83"/>
      <c r="G39" s="83"/>
      <c r="H39" s="83"/>
      <c r="I39" s="83"/>
      <c r="J39" s="83"/>
      <c r="K39" s="84"/>
      <c r="L39" s="82" t="s">
        <v>3</v>
      </c>
      <c r="M39" s="83"/>
      <c r="N39" s="83"/>
      <c r="O39" s="83"/>
      <c r="P39" s="83"/>
      <c r="Q39" s="83"/>
      <c r="R39" s="84"/>
      <c r="S39" s="82" t="s">
        <v>4</v>
      </c>
      <c r="T39" s="83"/>
      <c r="U39" s="83"/>
      <c r="V39" s="83"/>
      <c r="W39" s="83"/>
      <c r="X39" s="83"/>
      <c r="Y39" s="84"/>
    </row>
    <row r="40" spans="3:25" x14ac:dyDescent="0.4">
      <c r="C40" s="1"/>
      <c r="D40" s="14"/>
      <c r="E40" s="54">
        <v>46113</v>
      </c>
      <c r="F40" s="51">
        <v>46143</v>
      </c>
      <c r="G40" s="51">
        <v>46174</v>
      </c>
      <c r="H40" s="51">
        <v>46204</v>
      </c>
      <c r="I40" s="51">
        <v>46235</v>
      </c>
      <c r="J40" s="51">
        <v>46266</v>
      </c>
      <c r="K40" s="52" t="s">
        <v>5</v>
      </c>
      <c r="L40" s="48">
        <v>46113</v>
      </c>
      <c r="M40" s="51">
        <v>46143</v>
      </c>
      <c r="N40" s="51">
        <v>46174</v>
      </c>
      <c r="O40" s="51">
        <v>46204</v>
      </c>
      <c r="P40" s="51">
        <v>46235</v>
      </c>
      <c r="Q40" s="51">
        <v>46266</v>
      </c>
      <c r="R40" s="52" t="s">
        <v>5</v>
      </c>
      <c r="S40" s="48">
        <v>46113</v>
      </c>
      <c r="T40" s="51">
        <v>46143</v>
      </c>
      <c r="U40" s="51">
        <v>46174</v>
      </c>
      <c r="V40" s="51">
        <v>46204</v>
      </c>
      <c r="W40" s="51">
        <v>46235</v>
      </c>
      <c r="X40" s="51">
        <v>46266</v>
      </c>
      <c r="Y40" s="52" t="s">
        <v>5</v>
      </c>
    </row>
    <row r="41" spans="3:25" x14ac:dyDescent="0.4">
      <c r="C41" s="2" t="s">
        <v>6</v>
      </c>
      <c r="D41" s="15" t="s">
        <v>7</v>
      </c>
      <c r="E41" s="2">
        <f>全体!E41-機械!E41</f>
        <v>12350</v>
      </c>
      <c r="F41" s="3">
        <f>全体!F41-機械!F41</f>
        <v>9350</v>
      </c>
      <c r="G41" s="3">
        <f>全体!G41-機械!G41</f>
        <v>9350</v>
      </c>
      <c r="H41" s="3">
        <f>全体!H41-機械!H41</f>
        <v>10850</v>
      </c>
      <c r="I41" s="3">
        <f>全体!I41-機械!I41</f>
        <v>10850</v>
      </c>
      <c r="J41" s="3">
        <f>全体!J41-機械!J41</f>
        <v>11650</v>
      </c>
      <c r="K41" s="56">
        <f t="shared" ref="K41:K48" si="16">SUM(E41:J41)</f>
        <v>64400</v>
      </c>
      <c r="L41" s="2">
        <f>全体!L41-機械!L41</f>
        <v>2875</v>
      </c>
      <c r="M41" s="3">
        <f>全体!M41-機械!M41</f>
        <v>2175</v>
      </c>
      <c r="N41" s="3">
        <f>全体!N41-機械!N41</f>
        <v>2175</v>
      </c>
      <c r="O41" s="3">
        <f>全体!O41-機械!O41</f>
        <v>2525</v>
      </c>
      <c r="P41" s="3">
        <f>全体!P41-機械!P41</f>
        <v>2525</v>
      </c>
      <c r="Q41" s="3">
        <f>全体!Q41-機械!Q41</f>
        <v>2725</v>
      </c>
      <c r="R41" s="56">
        <f t="shared" ref="R41:R48" si="17">SUM(L41:Q41)</f>
        <v>15000</v>
      </c>
      <c r="S41" s="57">
        <f t="shared" ref="S41:Y48" si="18">IF(E41=0,"***",L41/E41)</f>
        <v>0.23279352226720648</v>
      </c>
      <c r="T41" s="7">
        <f t="shared" si="18"/>
        <v>0.23262032085561499</v>
      </c>
      <c r="U41" s="7">
        <f t="shared" si="18"/>
        <v>0.23262032085561499</v>
      </c>
      <c r="V41" s="7">
        <f t="shared" si="18"/>
        <v>0.23271889400921658</v>
      </c>
      <c r="W41" s="7">
        <f t="shared" si="18"/>
        <v>0.23271889400921658</v>
      </c>
      <c r="X41" s="7">
        <f t="shared" si="18"/>
        <v>0.23390557939914164</v>
      </c>
      <c r="Y41" s="64">
        <f t="shared" si="18"/>
        <v>0.23291925465838509</v>
      </c>
    </row>
    <row r="42" spans="3:25" x14ac:dyDescent="0.4">
      <c r="C42" s="2" t="s">
        <v>8</v>
      </c>
      <c r="D42" s="15" t="s">
        <v>9</v>
      </c>
      <c r="E42" s="2">
        <f>全体!E42-機械!E42</f>
        <v>13760</v>
      </c>
      <c r="F42" s="3">
        <f>全体!F42-機械!F42</f>
        <v>13000</v>
      </c>
      <c r="G42" s="3">
        <f>全体!G42-機械!G42</f>
        <v>12200</v>
      </c>
      <c r="H42" s="3">
        <f>全体!H42-機械!H42</f>
        <v>14500</v>
      </c>
      <c r="I42" s="3">
        <f>全体!I42-機械!I42</f>
        <v>12200</v>
      </c>
      <c r="J42" s="3">
        <f>全体!J42-機械!J42</f>
        <v>13200</v>
      </c>
      <c r="K42" s="56">
        <f t="shared" si="16"/>
        <v>78860</v>
      </c>
      <c r="L42" s="2">
        <f>全体!L42-機械!L42</f>
        <v>2970</v>
      </c>
      <c r="M42" s="3">
        <f>全体!M42-機械!M42</f>
        <v>2700</v>
      </c>
      <c r="N42" s="3">
        <f>全体!N42-機械!N42</f>
        <v>2500</v>
      </c>
      <c r="O42" s="3">
        <f>全体!O42-機械!O42</f>
        <v>3000</v>
      </c>
      <c r="P42" s="3">
        <f>全体!P42-機械!P42</f>
        <v>2550</v>
      </c>
      <c r="Q42" s="3">
        <f>全体!Q42-機械!Q42</f>
        <v>2750</v>
      </c>
      <c r="R42" s="56">
        <f t="shared" si="17"/>
        <v>16470</v>
      </c>
      <c r="S42" s="57">
        <f t="shared" si="18"/>
        <v>0.21584302325581395</v>
      </c>
      <c r="T42" s="7">
        <f t="shared" si="18"/>
        <v>0.2076923076923077</v>
      </c>
      <c r="U42" s="7">
        <f t="shared" si="18"/>
        <v>0.20491803278688525</v>
      </c>
      <c r="V42" s="7">
        <f t="shared" si="18"/>
        <v>0.20689655172413793</v>
      </c>
      <c r="W42" s="7">
        <f t="shared" si="18"/>
        <v>0.20901639344262296</v>
      </c>
      <c r="X42" s="7">
        <f t="shared" si="18"/>
        <v>0.20833333333333334</v>
      </c>
      <c r="Y42" s="64">
        <f t="shared" si="18"/>
        <v>0.20885112858229773</v>
      </c>
    </row>
    <row r="43" spans="3:25" x14ac:dyDescent="0.4">
      <c r="C43" s="2" t="s">
        <v>10</v>
      </c>
      <c r="D43" s="15" t="s">
        <v>11</v>
      </c>
      <c r="E43" s="2">
        <f>全体!E43-機械!E43</f>
        <v>9850</v>
      </c>
      <c r="F43" s="3">
        <f>全体!F43-機械!F43</f>
        <v>7650</v>
      </c>
      <c r="G43" s="3">
        <f>全体!G43-機械!G43</f>
        <v>6950</v>
      </c>
      <c r="H43" s="3">
        <f>全体!H43-機械!H43</f>
        <v>7850</v>
      </c>
      <c r="I43" s="3">
        <f>全体!I43-機械!I43</f>
        <v>7850</v>
      </c>
      <c r="J43" s="3">
        <f>全体!J43-機械!J43</f>
        <v>10350</v>
      </c>
      <c r="K43" s="56">
        <f t="shared" si="16"/>
        <v>50500</v>
      </c>
      <c r="L43" s="2">
        <f>全体!L43-機械!L43</f>
        <v>1825</v>
      </c>
      <c r="M43" s="3">
        <f>全体!M43-機械!M43</f>
        <v>1425</v>
      </c>
      <c r="N43" s="3">
        <f>全体!N43-機械!N43</f>
        <v>1325</v>
      </c>
      <c r="O43" s="3">
        <f>全体!O43-機械!O43</f>
        <v>1525</v>
      </c>
      <c r="P43" s="3">
        <f>全体!P43-機械!P43</f>
        <v>1525</v>
      </c>
      <c r="Q43" s="3">
        <f>全体!Q43-機械!Q43</f>
        <v>1975</v>
      </c>
      <c r="R43" s="56">
        <f t="shared" si="17"/>
        <v>9600</v>
      </c>
      <c r="S43" s="57">
        <f t="shared" si="18"/>
        <v>0.18527918781725888</v>
      </c>
      <c r="T43" s="7">
        <f t="shared" si="18"/>
        <v>0.18627450980392157</v>
      </c>
      <c r="U43" s="7">
        <f t="shared" si="18"/>
        <v>0.1906474820143885</v>
      </c>
      <c r="V43" s="7">
        <f t="shared" si="18"/>
        <v>0.19426751592356689</v>
      </c>
      <c r="W43" s="7">
        <f t="shared" si="18"/>
        <v>0.19426751592356689</v>
      </c>
      <c r="X43" s="7">
        <f t="shared" si="18"/>
        <v>0.19082125603864733</v>
      </c>
      <c r="Y43" s="64">
        <f t="shared" si="18"/>
        <v>0.1900990099009901</v>
      </c>
    </row>
    <row r="44" spans="3:25" x14ac:dyDescent="0.4">
      <c r="C44" s="2" t="s">
        <v>12</v>
      </c>
      <c r="D44" s="15" t="s">
        <v>13</v>
      </c>
      <c r="E44" s="2">
        <f>全体!E44-機械!E44</f>
        <v>13800</v>
      </c>
      <c r="F44" s="3">
        <f>全体!F44-機械!F44</f>
        <v>12300</v>
      </c>
      <c r="G44" s="3">
        <f>全体!G44-機械!G44</f>
        <v>11500</v>
      </c>
      <c r="H44" s="3">
        <f>全体!H44-機械!H44</f>
        <v>13500</v>
      </c>
      <c r="I44" s="3">
        <f>全体!I44-機械!I44</f>
        <v>12500</v>
      </c>
      <c r="J44" s="3">
        <f>全体!J44-機械!J44</f>
        <v>11000</v>
      </c>
      <c r="K44" s="56">
        <f t="shared" si="16"/>
        <v>74600</v>
      </c>
      <c r="L44" s="2">
        <f>全体!L44-機械!L44</f>
        <v>2610</v>
      </c>
      <c r="M44" s="3">
        <f>全体!M44-機械!M44</f>
        <v>2360</v>
      </c>
      <c r="N44" s="3">
        <f>全体!N44-機械!N44</f>
        <v>2250</v>
      </c>
      <c r="O44" s="3">
        <f>全体!O44-機械!O44</f>
        <v>2650</v>
      </c>
      <c r="P44" s="3">
        <f>全体!P44-機械!P44</f>
        <v>2450</v>
      </c>
      <c r="Q44" s="3">
        <f>全体!Q44-機械!Q44</f>
        <v>2370</v>
      </c>
      <c r="R44" s="56">
        <f t="shared" si="17"/>
        <v>14690</v>
      </c>
      <c r="S44" s="57">
        <f t="shared" si="18"/>
        <v>0.18913043478260869</v>
      </c>
      <c r="T44" s="7">
        <f t="shared" si="18"/>
        <v>0.19186991869918699</v>
      </c>
      <c r="U44" s="7">
        <f t="shared" si="18"/>
        <v>0.19565217391304349</v>
      </c>
      <c r="V44" s="7">
        <f t="shared" si="18"/>
        <v>0.1962962962962963</v>
      </c>
      <c r="W44" s="7">
        <f t="shared" si="18"/>
        <v>0.19600000000000001</v>
      </c>
      <c r="X44" s="7">
        <f t="shared" si="18"/>
        <v>0.21545454545454545</v>
      </c>
      <c r="Y44" s="64">
        <f t="shared" si="18"/>
        <v>0.19691689008042895</v>
      </c>
    </row>
    <row r="45" spans="3:25" x14ac:dyDescent="0.4">
      <c r="C45" s="2" t="s">
        <v>14</v>
      </c>
      <c r="D45" s="15" t="s">
        <v>15</v>
      </c>
      <c r="E45" s="2">
        <f>全体!E45-機械!E45</f>
        <v>0</v>
      </c>
      <c r="F45" s="3">
        <f>全体!F45-機械!F45</f>
        <v>0</v>
      </c>
      <c r="G45" s="3">
        <f>全体!G45-機械!G45</f>
        <v>0</v>
      </c>
      <c r="H45" s="3">
        <f>全体!H45-機械!H45</f>
        <v>0</v>
      </c>
      <c r="I45" s="3">
        <f>全体!I45-機械!I45</f>
        <v>0</v>
      </c>
      <c r="J45" s="3">
        <f>全体!J45-機械!J45</f>
        <v>0</v>
      </c>
      <c r="K45" s="56">
        <f t="shared" si="16"/>
        <v>0</v>
      </c>
      <c r="L45" s="62">
        <f>全体!L45-機械!L45</f>
        <v>0</v>
      </c>
      <c r="M45" s="62">
        <f>全体!M45-機械!M45</f>
        <v>0</v>
      </c>
      <c r="N45" s="62">
        <f>全体!N45-機械!N45</f>
        <v>0</v>
      </c>
      <c r="O45" s="62">
        <f>全体!O45-機械!O45</f>
        <v>0</v>
      </c>
      <c r="P45" s="62">
        <f>全体!P45-機械!P45</f>
        <v>0</v>
      </c>
      <c r="Q45" s="62">
        <f>全体!Q45-機械!Q45</f>
        <v>0</v>
      </c>
      <c r="R45" s="56">
        <f t="shared" si="17"/>
        <v>0</v>
      </c>
      <c r="S45" s="57" t="str">
        <f t="shared" si="18"/>
        <v>***</v>
      </c>
      <c r="T45" s="7" t="str">
        <f t="shared" si="18"/>
        <v>***</v>
      </c>
      <c r="U45" s="7" t="str">
        <f t="shared" si="18"/>
        <v>***</v>
      </c>
      <c r="V45" s="7" t="str">
        <f t="shared" si="18"/>
        <v>***</v>
      </c>
      <c r="W45" s="7" t="str">
        <f t="shared" si="18"/>
        <v>***</v>
      </c>
      <c r="X45" s="7" t="str">
        <f t="shared" si="18"/>
        <v>***</v>
      </c>
      <c r="Y45" s="64" t="str">
        <f t="shared" si="18"/>
        <v>***</v>
      </c>
    </row>
    <row r="46" spans="3:25" x14ac:dyDescent="0.4">
      <c r="C46" s="70" t="s">
        <v>16</v>
      </c>
      <c r="D46" s="15" t="s">
        <v>17</v>
      </c>
      <c r="E46" s="2">
        <f>全体!E46-機械!E46</f>
        <v>0</v>
      </c>
      <c r="F46" s="3">
        <f>全体!F46-機械!F46</f>
        <v>0</v>
      </c>
      <c r="G46" s="3">
        <f>全体!G46-機械!G46</f>
        <v>0</v>
      </c>
      <c r="H46" s="3">
        <f>全体!H46-機械!H46</f>
        <v>0</v>
      </c>
      <c r="I46" s="3">
        <f>全体!I46-機械!I46</f>
        <v>0</v>
      </c>
      <c r="J46" s="3">
        <f>全体!J46-機械!J46</f>
        <v>0</v>
      </c>
      <c r="K46" s="56">
        <f t="shared" si="16"/>
        <v>0</v>
      </c>
      <c r="L46" s="62">
        <f>全体!L46-機械!L46</f>
        <v>0</v>
      </c>
      <c r="M46" s="62">
        <f>全体!M46-機械!M46</f>
        <v>0</v>
      </c>
      <c r="N46" s="62">
        <f>全体!N46-機械!N46</f>
        <v>0</v>
      </c>
      <c r="O46" s="62">
        <f>全体!O46-機械!O46</f>
        <v>0</v>
      </c>
      <c r="P46" s="62">
        <f>全体!P46-機械!P46</f>
        <v>0</v>
      </c>
      <c r="Q46" s="62">
        <f>全体!Q46-機械!Q46</f>
        <v>0</v>
      </c>
      <c r="R46" s="56">
        <f t="shared" si="17"/>
        <v>0</v>
      </c>
      <c r="S46" s="57" t="str">
        <f t="shared" si="18"/>
        <v>***</v>
      </c>
      <c r="T46" s="7" t="str">
        <f t="shared" si="18"/>
        <v>***</v>
      </c>
      <c r="U46" s="7" t="str">
        <f t="shared" si="18"/>
        <v>***</v>
      </c>
      <c r="V46" s="7" t="str">
        <f t="shared" si="18"/>
        <v>***</v>
      </c>
      <c r="W46" s="7" t="str">
        <f t="shared" si="18"/>
        <v>***</v>
      </c>
      <c r="X46" s="7" t="str">
        <f t="shared" si="18"/>
        <v>***</v>
      </c>
      <c r="Y46" s="64" t="str">
        <f t="shared" si="18"/>
        <v>***</v>
      </c>
    </row>
    <row r="47" spans="3:25" x14ac:dyDescent="0.4">
      <c r="C47" s="2" t="s">
        <v>18</v>
      </c>
      <c r="D47" s="15" t="s">
        <v>19</v>
      </c>
      <c r="E47" s="2">
        <f>全体!E47-機械!E47</f>
        <v>0</v>
      </c>
      <c r="F47" s="3">
        <f>全体!F47-機械!F47</f>
        <v>0</v>
      </c>
      <c r="G47" s="3">
        <f>全体!G47-機械!G47</f>
        <v>0</v>
      </c>
      <c r="H47" s="3">
        <f>全体!H47-機械!H47</f>
        <v>0</v>
      </c>
      <c r="I47" s="3">
        <f>全体!I47-機械!I47</f>
        <v>0</v>
      </c>
      <c r="J47" s="3">
        <f>全体!J47-機械!J47</f>
        <v>0</v>
      </c>
      <c r="K47" s="56">
        <f t="shared" si="16"/>
        <v>0</v>
      </c>
      <c r="L47" s="2">
        <f>全体!L47-機械!L47</f>
        <v>0</v>
      </c>
      <c r="M47" s="3">
        <f>全体!M47-機械!M47</f>
        <v>0</v>
      </c>
      <c r="N47" s="3">
        <f>全体!N47-機械!N47</f>
        <v>0</v>
      </c>
      <c r="O47" s="3">
        <f>全体!O47-機械!O47</f>
        <v>0</v>
      </c>
      <c r="P47" s="3">
        <f>全体!P47-機械!P47</f>
        <v>0</v>
      </c>
      <c r="Q47" s="3">
        <f>全体!Q47-機械!Q47</f>
        <v>0</v>
      </c>
      <c r="R47" s="56">
        <f t="shared" si="17"/>
        <v>0</v>
      </c>
      <c r="S47" s="57" t="str">
        <f t="shared" si="18"/>
        <v>***</v>
      </c>
      <c r="T47" s="7" t="str">
        <f t="shared" si="18"/>
        <v>***</v>
      </c>
      <c r="U47" s="7" t="str">
        <f t="shared" si="18"/>
        <v>***</v>
      </c>
      <c r="V47" s="7" t="str">
        <f t="shared" si="18"/>
        <v>***</v>
      </c>
      <c r="W47" s="7" t="str">
        <f t="shared" si="18"/>
        <v>***</v>
      </c>
      <c r="X47" s="7" t="str">
        <f t="shared" si="18"/>
        <v>***</v>
      </c>
      <c r="Y47" s="64" t="str">
        <f t="shared" si="18"/>
        <v>***</v>
      </c>
    </row>
    <row r="48" spans="3:25" x14ac:dyDescent="0.4">
      <c r="C48" s="4" t="s">
        <v>5</v>
      </c>
      <c r="D48" s="16"/>
      <c r="E48" s="49">
        <f t="shared" ref="E48:J48" si="19">SUM(E41:E47)</f>
        <v>49760</v>
      </c>
      <c r="F48" s="6">
        <f t="shared" si="19"/>
        <v>42300</v>
      </c>
      <c r="G48" s="6">
        <f t="shared" si="19"/>
        <v>40000</v>
      </c>
      <c r="H48" s="6">
        <f t="shared" si="19"/>
        <v>46700</v>
      </c>
      <c r="I48" s="6">
        <f t="shared" si="19"/>
        <v>43400</v>
      </c>
      <c r="J48" s="6">
        <f t="shared" si="19"/>
        <v>46200</v>
      </c>
      <c r="K48" s="50">
        <f t="shared" si="16"/>
        <v>268360</v>
      </c>
      <c r="L48" s="49">
        <f t="shared" ref="L48:Q48" si="20">SUM(L41:L47)</f>
        <v>10280</v>
      </c>
      <c r="M48" s="6">
        <f t="shared" si="20"/>
        <v>8660</v>
      </c>
      <c r="N48" s="6">
        <f t="shared" si="20"/>
        <v>8250</v>
      </c>
      <c r="O48" s="6">
        <f t="shared" si="20"/>
        <v>9700</v>
      </c>
      <c r="P48" s="6">
        <f t="shared" si="20"/>
        <v>9050</v>
      </c>
      <c r="Q48" s="6">
        <f t="shared" si="20"/>
        <v>9820</v>
      </c>
      <c r="R48" s="50">
        <f t="shared" si="17"/>
        <v>55760</v>
      </c>
      <c r="S48" s="58">
        <f t="shared" si="18"/>
        <v>0.20659163987138263</v>
      </c>
      <c r="T48" s="9">
        <f t="shared" si="18"/>
        <v>0.20472813238770685</v>
      </c>
      <c r="U48" s="9">
        <f t="shared" si="18"/>
        <v>0.20624999999999999</v>
      </c>
      <c r="V48" s="9">
        <f t="shared" si="18"/>
        <v>0.20770877944325483</v>
      </c>
      <c r="W48" s="9">
        <f t="shared" si="18"/>
        <v>0.20852534562211983</v>
      </c>
      <c r="X48" s="9">
        <f t="shared" si="18"/>
        <v>0.21255411255411255</v>
      </c>
      <c r="Y48" s="65">
        <f t="shared" si="18"/>
        <v>0.20778059323297063</v>
      </c>
    </row>
    <row r="49" spans="3:25" hidden="1" x14ac:dyDescent="0.4">
      <c r="C49" s="12"/>
      <c r="E49" s="63"/>
      <c r="F49" s="63"/>
      <c r="G49" s="63"/>
      <c r="H49" s="63"/>
      <c r="I49" s="63"/>
      <c r="J49" s="63"/>
      <c r="K49" s="12"/>
      <c r="L49" s="63"/>
      <c r="M49" s="63"/>
      <c r="N49" s="63"/>
      <c r="O49" s="63"/>
      <c r="P49" s="63"/>
      <c r="Q49" s="63"/>
      <c r="R49" s="12"/>
      <c r="S49" s="13"/>
      <c r="T49" s="13"/>
      <c r="U49" s="13"/>
      <c r="V49" s="13"/>
      <c r="W49" s="13"/>
      <c r="X49" s="13"/>
      <c r="Y49" s="13"/>
    </row>
    <row r="50" spans="3:25" hidden="1" x14ac:dyDescent="0.4">
      <c r="C50" s="12" t="s">
        <v>23</v>
      </c>
    </row>
    <row r="51" spans="3:25" hidden="1" x14ac:dyDescent="0.4">
      <c r="C51" s="85"/>
      <c r="D51" s="84"/>
      <c r="E51" s="85" t="s">
        <v>2</v>
      </c>
      <c r="F51" s="83"/>
      <c r="G51" s="83"/>
      <c r="H51" s="83"/>
      <c r="I51" s="83"/>
      <c r="J51" s="83"/>
      <c r="K51" s="84"/>
      <c r="L51" s="82" t="s">
        <v>3</v>
      </c>
      <c r="M51" s="83"/>
      <c r="N51" s="83"/>
      <c r="O51" s="83"/>
      <c r="P51" s="83"/>
      <c r="Q51" s="83"/>
      <c r="R51" s="84"/>
      <c r="S51" s="82" t="s">
        <v>4</v>
      </c>
      <c r="T51" s="83"/>
      <c r="U51" s="83"/>
      <c r="V51" s="83"/>
      <c r="W51" s="83"/>
      <c r="X51" s="83"/>
      <c r="Y51" s="84"/>
    </row>
    <row r="52" spans="3:25" hidden="1" x14ac:dyDescent="0.4">
      <c r="C52" s="1"/>
      <c r="D52" s="14"/>
      <c r="E52" s="54">
        <v>46113</v>
      </c>
      <c r="F52" s="51">
        <v>46143</v>
      </c>
      <c r="G52" s="51">
        <v>46174</v>
      </c>
      <c r="H52" s="51">
        <v>46204</v>
      </c>
      <c r="I52" s="51">
        <v>46235</v>
      </c>
      <c r="J52" s="51">
        <v>46266</v>
      </c>
      <c r="K52" s="52" t="s">
        <v>5</v>
      </c>
      <c r="L52" s="48">
        <v>46113</v>
      </c>
      <c r="M52" s="51">
        <v>46143</v>
      </c>
      <c r="N52" s="51">
        <v>46174</v>
      </c>
      <c r="O52" s="51">
        <v>46204</v>
      </c>
      <c r="P52" s="51">
        <v>46235</v>
      </c>
      <c r="Q52" s="51">
        <v>46266</v>
      </c>
      <c r="R52" s="52" t="s">
        <v>5</v>
      </c>
      <c r="S52" s="48">
        <v>46113</v>
      </c>
      <c r="T52" s="51">
        <v>46143</v>
      </c>
      <c r="U52" s="51">
        <v>46174</v>
      </c>
      <c r="V52" s="51">
        <v>46204</v>
      </c>
      <c r="W52" s="51">
        <v>46235</v>
      </c>
      <c r="X52" s="51">
        <v>46266</v>
      </c>
      <c r="Y52" s="52" t="s">
        <v>5</v>
      </c>
    </row>
    <row r="53" spans="3:25" hidden="1" x14ac:dyDescent="0.4">
      <c r="C53" s="2" t="s">
        <v>6</v>
      </c>
      <c r="D53" s="15" t="s">
        <v>7</v>
      </c>
      <c r="E53" s="2">
        <f t="shared" ref="E53:J59" si="21">E41-E17</f>
        <v>-175.21999999999935</v>
      </c>
      <c r="F53" s="3">
        <f t="shared" si="21"/>
        <v>660.77600000000166</v>
      </c>
      <c r="G53" s="3">
        <f t="shared" si="21"/>
        <v>454.90299999999843</v>
      </c>
      <c r="H53" s="3">
        <f t="shared" si="21"/>
        <v>-857.28000000000065</v>
      </c>
      <c r="I53" s="3">
        <f t="shared" si="21"/>
        <v>2388.3769999999986</v>
      </c>
      <c r="J53" s="3">
        <f t="shared" si="21"/>
        <v>776.02200000000084</v>
      </c>
      <c r="K53" s="56">
        <f t="shared" ref="K53:K60" si="22">SUM(E53:J53)</f>
        <v>3247.5779999999995</v>
      </c>
      <c r="L53" s="2">
        <f t="shared" ref="L53:Q59" si="23">L41-L17</f>
        <v>-164.37300000000005</v>
      </c>
      <c r="M53" s="3">
        <f t="shared" si="23"/>
        <v>180.19299999999998</v>
      </c>
      <c r="N53" s="3">
        <f t="shared" si="23"/>
        <v>28.893999999999778</v>
      </c>
      <c r="O53" s="3">
        <f t="shared" si="23"/>
        <v>-234.0300000000002</v>
      </c>
      <c r="P53" s="3">
        <f t="shared" si="23"/>
        <v>577.60200000000009</v>
      </c>
      <c r="Q53" s="3">
        <f t="shared" si="23"/>
        <v>257.41400000000021</v>
      </c>
      <c r="R53" s="56">
        <f t="shared" ref="R53:R60" si="24">SUM(L53:Q53)</f>
        <v>645.69999999999982</v>
      </c>
      <c r="S53" s="57">
        <f t="shared" ref="S53:Y56" si="25">S41-S17</f>
        <v>-9.8667264150522072E-3</v>
      </c>
      <c r="T53" s="7">
        <f t="shared" si="25"/>
        <v>3.0478066702285256E-3</v>
      </c>
      <c r="U53" s="7">
        <f t="shared" si="25"/>
        <v>-8.6480992639182686E-3</v>
      </c>
      <c r="V53" s="7">
        <f t="shared" si="25"/>
        <v>-2.9489981057751191E-3</v>
      </c>
      <c r="W53" s="7">
        <f t="shared" si="25"/>
        <v>2.5741570007254688E-3</v>
      </c>
      <c r="X53" s="7">
        <f t="shared" si="25"/>
        <v>6.9797938218671696E-3</v>
      </c>
      <c r="Y53" s="64">
        <f t="shared" si="25"/>
        <v>-1.8106142583358409E-3</v>
      </c>
    </row>
    <row r="54" spans="3:25" hidden="1" x14ac:dyDescent="0.4">
      <c r="C54" s="2" t="s">
        <v>8</v>
      </c>
      <c r="D54" s="15" t="s">
        <v>9</v>
      </c>
      <c r="E54" s="2">
        <f t="shared" si="21"/>
        <v>-354.86499999999978</v>
      </c>
      <c r="F54" s="3">
        <f t="shared" si="21"/>
        <v>737.22899999999936</v>
      </c>
      <c r="G54" s="3">
        <f t="shared" si="21"/>
        <v>563.22099999999955</v>
      </c>
      <c r="H54" s="3">
        <f t="shared" si="21"/>
        <v>545.92400000000089</v>
      </c>
      <c r="I54" s="3">
        <f t="shared" si="21"/>
        <v>516.14999999999964</v>
      </c>
      <c r="J54" s="3">
        <f t="shared" si="21"/>
        <v>525.3119999999999</v>
      </c>
      <c r="K54" s="56">
        <f t="shared" si="22"/>
        <v>2532.9709999999995</v>
      </c>
      <c r="L54" s="2">
        <f t="shared" si="23"/>
        <v>37.673999999999978</v>
      </c>
      <c r="M54" s="3">
        <f t="shared" si="23"/>
        <v>60.342999999999847</v>
      </c>
      <c r="N54" s="3">
        <f t="shared" si="23"/>
        <v>112.99699999999984</v>
      </c>
      <c r="O54" s="3">
        <f t="shared" si="23"/>
        <v>141.72800000000097</v>
      </c>
      <c r="P54" s="3">
        <f t="shared" si="23"/>
        <v>66.934999999999036</v>
      </c>
      <c r="Q54" s="3">
        <f t="shared" si="23"/>
        <v>204.2800000000002</v>
      </c>
      <c r="R54" s="56">
        <f t="shared" si="24"/>
        <v>623.95699999999988</v>
      </c>
      <c r="S54" s="57">
        <f t="shared" si="25"/>
        <v>8.0956590408533258E-3</v>
      </c>
      <c r="T54" s="7">
        <f t="shared" si="25"/>
        <v>-7.5654835524280872E-3</v>
      </c>
      <c r="U54" s="7">
        <f t="shared" si="25"/>
        <v>-2.0771549792791832E-4</v>
      </c>
      <c r="V54" s="7">
        <f t="shared" si="25"/>
        <v>2.0623513084314926E-3</v>
      </c>
      <c r="W54" s="7">
        <f t="shared" si="25"/>
        <v>-3.5047361507902497E-3</v>
      </c>
      <c r="X54" s="7">
        <f t="shared" si="25"/>
        <v>7.4826299471829338E-3</v>
      </c>
      <c r="Y54" s="64">
        <f t="shared" si="25"/>
        <v>1.243899431533857E-3</v>
      </c>
    </row>
    <row r="55" spans="3:25" hidden="1" x14ac:dyDescent="0.4">
      <c r="C55" s="2" t="s">
        <v>10</v>
      </c>
      <c r="D55" s="15" t="s">
        <v>11</v>
      </c>
      <c r="E55" s="2">
        <f t="shared" si="21"/>
        <v>2241.8079999999991</v>
      </c>
      <c r="F55" s="3">
        <f t="shared" si="21"/>
        <v>270.61100000000079</v>
      </c>
      <c r="G55" s="3">
        <f t="shared" si="21"/>
        <v>450.88500000000113</v>
      </c>
      <c r="H55" s="3">
        <f t="shared" si="21"/>
        <v>365.05299999999897</v>
      </c>
      <c r="I55" s="3">
        <f t="shared" si="21"/>
        <v>743.9340000000002</v>
      </c>
      <c r="J55" s="3">
        <f t="shared" si="21"/>
        <v>491.07500000000073</v>
      </c>
      <c r="K55" s="56">
        <f t="shared" si="22"/>
        <v>4563.3660000000009</v>
      </c>
      <c r="L55" s="2">
        <f t="shared" si="23"/>
        <v>415.95100000000002</v>
      </c>
      <c r="M55" s="3">
        <f t="shared" si="23"/>
        <v>-73.787000000000035</v>
      </c>
      <c r="N55" s="3">
        <f t="shared" si="23"/>
        <v>98.785000000000082</v>
      </c>
      <c r="O55" s="3">
        <f t="shared" si="23"/>
        <v>153.83300000000008</v>
      </c>
      <c r="P55" s="3">
        <f t="shared" si="23"/>
        <v>71.618999999999915</v>
      </c>
      <c r="Q55" s="3">
        <f t="shared" si="23"/>
        <v>126.04899999999998</v>
      </c>
      <c r="R55" s="56">
        <f t="shared" si="24"/>
        <v>792.45</v>
      </c>
      <c r="S55" s="57">
        <f t="shared" si="25"/>
        <v>7.7631389660853811E-5</v>
      </c>
      <c r="T55" s="7">
        <f t="shared" si="25"/>
        <v>-1.6829974862762914E-2</v>
      </c>
      <c r="U55" s="7">
        <f t="shared" si="25"/>
        <v>1.973331764700631E-3</v>
      </c>
      <c r="V55" s="7">
        <f t="shared" si="25"/>
        <v>1.1077574832467685E-2</v>
      </c>
      <c r="W55" s="7">
        <f t="shared" si="25"/>
        <v>-1.0259292580604068E-2</v>
      </c>
      <c r="X55" s="7">
        <f t="shared" si="25"/>
        <v>3.2804237470942244E-3</v>
      </c>
      <c r="Y55" s="64">
        <f t="shared" si="25"/>
        <v>-1.6335841763208403E-3</v>
      </c>
    </row>
    <row r="56" spans="3:25" hidden="1" x14ac:dyDescent="0.4">
      <c r="C56" s="2" t="s">
        <v>12</v>
      </c>
      <c r="D56" s="15" t="s">
        <v>13</v>
      </c>
      <c r="E56" s="2">
        <f t="shared" si="21"/>
        <v>284.90099999999984</v>
      </c>
      <c r="F56" s="3">
        <f t="shared" si="21"/>
        <v>-86.690000000000509</v>
      </c>
      <c r="G56" s="3">
        <f t="shared" si="21"/>
        <v>539.63500000000022</v>
      </c>
      <c r="H56" s="3">
        <f t="shared" si="21"/>
        <v>628.63899999999921</v>
      </c>
      <c r="I56" s="3">
        <f t="shared" si="21"/>
        <v>654.7510000000002</v>
      </c>
      <c r="J56" s="3">
        <f t="shared" si="21"/>
        <v>-500.98300000000017</v>
      </c>
      <c r="K56" s="56">
        <f t="shared" si="22"/>
        <v>1520.2529999999988</v>
      </c>
      <c r="L56" s="2">
        <f t="shared" si="23"/>
        <v>-18.704000000000178</v>
      </c>
      <c r="M56" s="3">
        <f t="shared" si="23"/>
        <v>24.860999999999876</v>
      </c>
      <c r="N56" s="3">
        <f t="shared" si="23"/>
        <v>156.10100000000011</v>
      </c>
      <c r="O56" s="3">
        <f t="shared" si="23"/>
        <v>103.99499999999989</v>
      </c>
      <c r="P56" s="3">
        <f t="shared" si="23"/>
        <v>94.304000000000087</v>
      </c>
      <c r="Q56" s="3">
        <f t="shared" si="23"/>
        <v>60.592000000000098</v>
      </c>
      <c r="R56" s="56">
        <f t="shared" si="24"/>
        <v>421.14899999999989</v>
      </c>
      <c r="S56" s="57">
        <f t="shared" si="25"/>
        <v>-5.3708411606900042E-3</v>
      </c>
      <c r="T56" s="7">
        <f t="shared" si="25"/>
        <v>3.3499024559452417E-3</v>
      </c>
      <c r="U56" s="7">
        <f t="shared" si="25"/>
        <v>4.6093573645070163E-3</v>
      </c>
      <c r="V56" s="7">
        <f t="shared" si="25"/>
        <v>-1.507572307808569E-3</v>
      </c>
      <c r="W56" s="7">
        <f t="shared" si="25"/>
        <v>-2.8726450579468488E-3</v>
      </c>
      <c r="X56" s="7">
        <f t="shared" si="25"/>
        <v>1.4653622611689343E-2</v>
      </c>
      <c r="Y56" s="64">
        <f t="shared" si="25"/>
        <v>1.6664741204503453E-3</v>
      </c>
    </row>
    <row r="57" spans="3:25" hidden="1" x14ac:dyDescent="0.4">
      <c r="C57" s="2" t="s">
        <v>14</v>
      </c>
      <c r="D57" s="15" t="s">
        <v>15</v>
      </c>
      <c r="E57" s="2">
        <f t="shared" si="21"/>
        <v>0</v>
      </c>
      <c r="F57" s="3">
        <f t="shared" si="21"/>
        <v>0</v>
      </c>
      <c r="G57" s="3">
        <f t="shared" si="21"/>
        <v>0</v>
      </c>
      <c r="H57" s="3">
        <f t="shared" si="21"/>
        <v>0</v>
      </c>
      <c r="I57" s="3">
        <f t="shared" si="21"/>
        <v>0</v>
      </c>
      <c r="J57" s="3">
        <f t="shared" si="21"/>
        <v>0</v>
      </c>
      <c r="K57" s="56">
        <f t="shared" si="22"/>
        <v>0</v>
      </c>
      <c r="L57" s="2">
        <f t="shared" si="23"/>
        <v>0</v>
      </c>
      <c r="M57" s="3">
        <f t="shared" si="23"/>
        <v>0</v>
      </c>
      <c r="N57" s="3">
        <f t="shared" si="23"/>
        <v>0</v>
      </c>
      <c r="O57" s="3">
        <f t="shared" si="23"/>
        <v>0</v>
      </c>
      <c r="P57" s="3">
        <f t="shared" si="23"/>
        <v>0</v>
      </c>
      <c r="Q57" s="3">
        <f t="shared" si="23"/>
        <v>0</v>
      </c>
      <c r="R57" s="56">
        <f t="shared" si="24"/>
        <v>0</v>
      </c>
      <c r="S57" s="57"/>
      <c r="T57" s="7"/>
      <c r="U57" s="7"/>
      <c r="V57" s="7"/>
      <c r="W57" s="7"/>
      <c r="X57" s="7"/>
      <c r="Y57" s="64"/>
    </row>
    <row r="58" spans="3:25" hidden="1" x14ac:dyDescent="0.4">
      <c r="C58" s="70" t="s">
        <v>16</v>
      </c>
      <c r="D58" s="15" t="s">
        <v>17</v>
      </c>
      <c r="E58" s="2">
        <f t="shared" si="21"/>
        <v>0</v>
      </c>
      <c r="F58" s="3">
        <f t="shared" si="21"/>
        <v>0</v>
      </c>
      <c r="G58" s="3">
        <f t="shared" si="21"/>
        <v>0</v>
      </c>
      <c r="H58" s="3">
        <f t="shared" si="21"/>
        <v>0</v>
      </c>
      <c r="I58" s="3">
        <f t="shared" si="21"/>
        <v>0</v>
      </c>
      <c r="J58" s="3">
        <f t="shared" si="21"/>
        <v>0</v>
      </c>
      <c r="K58" s="56">
        <f t="shared" si="22"/>
        <v>0</v>
      </c>
      <c r="L58" s="2">
        <f t="shared" si="23"/>
        <v>0</v>
      </c>
      <c r="M58" s="3">
        <f t="shared" si="23"/>
        <v>0</v>
      </c>
      <c r="N58" s="3">
        <f t="shared" si="23"/>
        <v>0</v>
      </c>
      <c r="O58" s="3">
        <f t="shared" si="23"/>
        <v>0</v>
      </c>
      <c r="P58" s="3">
        <f t="shared" si="23"/>
        <v>0</v>
      </c>
      <c r="Q58" s="3">
        <f t="shared" si="23"/>
        <v>0</v>
      </c>
      <c r="R58" s="56">
        <f t="shared" si="24"/>
        <v>0</v>
      </c>
      <c r="S58" s="57"/>
      <c r="T58" s="7"/>
      <c r="U58" s="7"/>
      <c r="V58" s="7"/>
      <c r="W58" s="7"/>
      <c r="X58" s="7"/>
      <c r="Y58" s="64"/>
    </row>
    <row r="59" spans="3:25" hidden="1" x14ac:dyDescent="0.4">
      <c r="C59" s="2" t="s">
        <v>18</v>
      </c>
      <c r="D59" s="15" t="s">
        <v>19</v>
      </c>
      <c r="E59" s="2">
        <f t="shared" si="21"/>
        <v>0</v>
      </c>
      <c r="F59" s="3">
        <f t="shared" si="21"/>
        <v>0</v>
      </c>
      <c r="G59" s="3">
        <f t="shared" si="21"/>
        <v>-125</v>
      </c>
      <c r="H59" s="3">
        <f t="shared" si="21"/>
        <v>0</v>
      </c>
      <c r="I59" s="3">
        <f t="shared" si="21"/>
        <v>-4.8</v>
      </c>
      <c r="J59" s="3">
        <f t="shared" si="21"/>
        <v>0</v>
      </c>
      <c r="K59" s="56">
        <f t="shared" si="22"/>
        <v>-129.80000000000001</v>
      </c>
      <c r="L59" s="2">
        <f t="shared" si="23"/>
        <v>0</v>
      </c>
      <c r="M59" s="3">
        <f t="shared" si="23"/>
        <v>0</v>
      </c>
      <c r="N59" s="3">
        <f t="shared" si="23"/>
        <v>-20.2</v>
      </c>
      <c r="O59" s="3">
        <f t="shared" si="23"/>
        <v>0</v>
      </c>
      <c r="P59" s="3">
        <f t="shared" si="23"/>
        <v>-1.38</v>
      </c>
      <c r="Q59" s="3">
        <f t="shared" si="23"/>
        <v>0</v>
      </c>
      <c r="R59" s="56">
        <f t="shared" si="24"/>
        <v>-21.58</v>
      </c>
      <c r="S59" s="57"/>
      <c r="T59" s="7"/>
      <c r="U59" s="7"/>
      <c r="V59" s="7"/>
      <c r="W59" s="7"/>
      <c r="X59" s="7"/>
      <c r="Y59" s="64"/>
    </row>
    <row r="60" spans="3:25" hidden="1" x14ac:dyDescent="0.4">
      <c r="C60" s="4" t="s">
        <v>5</v>
      </c>
      <c r="D60" s="16"/>
      <c r="E60" s="49">
        <f t="shared" ref="E60:J60" si="26">SUM(E53:E59)</f>
        <v>1996.6239999999998</v>
      </c>
      <c r="F60" s="6">
        <f t="shared" si="26"/>
        <v>1581.9260000000013</v>
      </c>
      <c r="G60" s="6">
        <f t="shared" si="26"/>
        <v>1883.6439999999993</v>
      </c>
      <c r="H60" s="6">
        <f t="shared" si="26"/>
        <v>682.33599999999842</v>
      </c>
      <c r="I60" s="6">
        <f t="shared" si="26"/>
        <v>4298.4119999999984</v>
      </c>
      <c r="J60" s="6">
        <f t="shared" si="26"/>
        <v>1291.4260000000013</v>
      </c>
      <c r="K60" s="50">
        <f t="shared" si="22"/>
        <v>11734.367999999999</v>
      </c>
      <c r="L60" s="49">
        <f t="shared" ref="L60:Q60" si="27">SUM(L53:L59)</f>
        <v>270.54799999999977</v>
      </c>
      <c r="M60" s="6">
        <f t="shared" si="27"/>
        <v>191.60999999999967</v>
      </c>
      <c r="N60" s="6">
        <f t="shared" si="27"/>
        <v>376.57699999999983</v>
      </c>
      <c r="O60" s="6">
        <f t="shared" si="27"/>
        <v>165.52600000000075</v>
      </c>
      <c r="P60" s="6">
        <f t="shared" si="27"/>
        <v>809.07999999999913</v>
      </c>
      <c r="Q60" s="6">
        <f t="shared" si="27"/>
        <v>648.33500000000049</v>
      </c>
      <c r="R60" s="50">
        <f t="shared" si="24"/>
        <v>2461.6759999999995</v>
      </c>
      <c r="S60" s="58">
        <f t="shared" ref="S60:Y60" si="28">S48-S24</f>
        <v>-2.9716874780074121E-3</v>
      </c>
      <c r="T60" s="9">
        <f t="shared" si="28"/>
        <v>-3.2480601993983005E-3</v>
      </c>
      <c r="U60" s="9">
        <f t="shared" si="28"/>
        <v>-3.1284666876341127E-4</v>
      </c>
      <c r="V60" s="9">
        <f t="shared" si="28"/>
        <v>5.1716710934762711E-4</v>
      </c>
      <c r="W60" s="9">
        <f t="shared" si="28"/>
        <v>-2.23131213817368E-3</v>
      </c>
      <c r="X60" s="9">
        <f t="shared" si="28"/>
        <v>8.3244035457615273E-3</v>
      </c>
      <c r="Y60" s="65">
        <f t="shared" si="28"/>
        <v>9.1581092515391482E-5</v>
      </c>
    </row>
    <row r="61" spans="3:25" hidden="1" x14ac:dyDescent="0.4"/>
    <row r="62" spans="3:25" hidden="1" x14ac:dyDescent="0.4">
      <c r="C62" s="12" t="s">
        <v>24</v>
      </c>
    </row>
    <row r="63" spans="3:25" hidden="1" x14ac:dyDescent="0.4">
      <c r="C63" s="85"/>
      <c r="D63" s="84"/>
      <c r="E63" s="85" t="s">
        <v>2</v>
      </c>
      <c r="F63" s="83"/>
      <c r="G63" s="83"/>
      <c r="H63" s="83"/>
      <c r="I63" s="83"/>
      <c r="J63" s="83"/>
      <c r="K63" s="84"/>
      <c r="L63" s="82" t="s">
        <v>3</v>
      </c>
      <c r="M63" s="83"/>
      <c r="N63" s="83"/>
      <c r="O63" s="83"/>
      <c r="P63" s="83"/>
      <c r="Q63" s="83"/>
      <c r="R63" s="84"/>
      <c r="S63" s="82" t="s">
        <v>4</v>
      </c>
      <c r="T63" s="83"/>
      <c r="U63" s="83"/>
      <c r="V63" s="83"/>
      <c r="W63" s="83"/>
      <c r="X63" s="83"/>
      <c r="Y63" s="84"/>
    </row>
    <row r="64" spans="3:25" hidden="1" x14ac:dyDescent="0.4">
      <c r="C64" s="1"/>
      <c r="D64" s="14"/>
      <c r="E64" s="54">
        <v>46113</v>
      </c>
      <c r="F64" s="51">
        <v>46143</v>
      </c>
      <c r="G64" s="51">
        <v>46174</v>
      </c>
      <c r="H64" s="51">
        <v>46204</v>
      </c>
      <c r="I64" s="51">
        <v>46235</v>
      </c>
      <c r="J64" s="51">
        <v>46266</v>
      </c>
      <c r="K64" s="52" t="s">
        <v>5</v>
      </c>
      <c r="L64" s="48">
        <v>46113</v>
      </c>
      <c r="M64" s="51">
        <v>46143</v>
      </c>
      <c r="N64" s="51">
        <v>46174</v>
      </c>
      <c r="O64" s="51">
        <v>46204</v>
      </c>
      <c r="P64" s="51">
        <v>46235</v>
      </c>
      <c r="Q64" s="51">
        <v>46266</v>
      </c>
      <c r="R64" s="52" t="s">
        <v>5</v>
      </c>
      <c r="S64" s="48">
        <v>46113</v>
      </c>
      <c r="T64" s="51">
        <v>46143</v>
      </c>
      <c r="U64" s="51">
        <v>46174</v>
      </c>
      <c r="V64" s="51">
        <v>46204</v>
      </c>
      <c r="W64" s="51">
        <v>46235</v>
      </c>
      <c r="X64" s="51">
        <v>46266</v>
      </c>
      <c r="Y64" s="52" t="s">
        <v>5</v>
      </c>
    </row>
    <row r="65" spans="3:25" hidden="1" x14ac:dyDescent="0.4">
      <c r="C65" s="2" t="s">
        <v>6</v>
      </c>
      <c r="D65" s="15" t="s">
        <v>7</v>
      </c>
      <c r="E65" s="2">
        <f t="shared" ref="E65:J71" si="29">E41-E29</f>
        <v>267.80450000000019</v>
      </c>
      <c r="F65" s="3">
        <f t="shared" si="29"/>
        <v>136.94850000000042</v>
      </c>
      <c r="G65" s="3">
        <f t="shared" si="29"/>
        <v>344.41649999999936</v>
      </c>
      <c r="H65" s="3">
        <f t="shared" si="29"/>
        <v>-248.06750000000102</v>
      </c>
      <c r="I65" s="3">
        <f t="shared" si="29"/>
        <v>1277.4959999999992</v>
      </c>
      <c r="J65" s="3">
        <f t="shared" si="29"/>
        <v>1915.6830000000009</v>
      </c>
      <c r="K65" s="56">
        <f t="shared" ref="K65:K72" si="30">SUM(E65:J65)</f>
        <v>3694.280999999999</v>
      </c>
      <c r="L65" s="2">
        <f t="shared" ref="L65:Q71" si="31">L41-L29</f>
        <v>51.443000000000211</v>
      </c>
      <c r="M65" s="3">
        <f t="shared" si="31"/>
        <v>92.686000000000604</v>
      </c>
      <c r="N65" s="3">
        <f t="shared" si="31"/>
        <v>102.14300000000003</v>
      </c>
      <c r="O65" s="3">
        <f t="shared" si="31"/>
        <v>-10.229500000000371</v>
      </c>
      <c r="P65" s="3">
        <f t="shared" si="31"/>
        <v>366.28250000000025</v>
      </c>
      <c r="Q65" s="3">
        <f t="shared" si="31"/>
        <v>466.00799999999981</v>
      </c>
      <c r="R65" s="56">
        <f t="shared" ref="R65:R72" si="32">SUM(L65:Q65)</f>
        <v>1068.3330000000005</v>
      </c>
      <c r="S65" s="57">
        <f t="shared" ref="S65:Y69" si="33">S41-S29</f>
        <v>-9.0216656683034246E-4</v>
      </c>
      <c r="T65" s="7">
        <f t="shared" si="33"/>
        <v>6.6024808381137945E-3</v>
      </c>
      <c r="U65" s="7">
        <f t="shared" si="33"/>
        <v>2.4456742044568769E-3</v>
      </c>
      <c r="V65" s="7">
        <f t="shared" si="33"/>
        <v>4.280068961522443E-3</v>
      </c>
      <c r="W65" s="7">
        <f t="shared" si="33"/>
        <v>7.2065829148572069E-3</v>
      </c>
      <c r="X65" s="7">
        <f t="shared" si="33"/>
        <v>1.8408130678211898E-3</v>
      </c>
      <c r="Y65" s="64">
        <f t="shared" si="33"/>
        <v>3.424122577007388E-3</v>
      </c>
    </row>
    <row r="66" spans="3:25" hidden="1" x14ac:dyDescent="0.4">
      <c r="C66" s="2" t="s">
        <v>8</v>
      </c>
      <c r="D66" s="15" t="s">
        <v>9</v>
      </c>
      <c r="E66" s="2">
        <f t="shared" si="29"/>
        <v>150.94800000000032</v>
      </c>
      <c r="F66" s="3">
        <f t="shared" si="29"/>
        <v>1687.1489999999994</v>
      </c>
      <c r="G66" s="3">
        <f t="shared" si="29"/>
        <v>420.00649999999951</v>
      </c>
      <c r="H66" s="3">
        <f t="shared" si="29"/>
        <v>648.3690000000006</v>
      </c>
      <c r="I66" s="3">
        <f t="shared" si="29"/>
        <v>666.5734999999986</v>
      </c>
      <c r="J66" s="3">
        <f t="shared" si="29"/>
        <v>-119.42699999999968</v>
      </c>
      <c r="K66" s="56">
        <f t="shared" si="30"/>
        <v>3453.6189999999988</v>
      </c>
      <c r="L66" s="2">
        <f t="shared" si="31"/>
        <v>108.3755000000001</v>
      </c>
      <c r="M66" s="3">
        <f t="shared" si="31"/>
        <v>307.41349999999966</v>
      </c>
      <c r="N66" s="3">
        <f t="shared" si="31"/>
        <v>48.679500000000189</v>
      </c>
      <c r="O66" s="3">
        <f t="shared" si="31"/>
        <v>96.7150000000006</v>
      </c>
      <c r="P66" s="3">
        <f t="shared" si="31"/>
        <v>160.18299999999954</v>
      </c>
      <c r="Q66" s="3">
        <f t="shared" si="31"/>
        <v>28.711999999999534</v>
      </c>
      <c r="R66" s="56">
        <f t="shared" si="32"/>
        <v>750.07849999999962</v>
      </c>
      <c r="S66" s="57">
        <f t="shared" si="33"/>
        <v>5.5694127207083499E-3</v>
      </c>
      <c r="T66" s="7">
        <f t="shared" si="33"/>
        <v>-3.8004893046650612E-3</v>
      </c>
      <c r="U66" s="7">
        <f t="shared" si="33"/>
        <v>-3.1738052943496575E-3</v>
      </c>
      <c r="V66" s="7">
        <f t="shared" si="33"/>
        <v>-2.7022312639448098E-3</v>
      </c>
      <c r="W66" s="7">
        <f t="shared" si="33"/>
        <v>1.8085008011776704E-3</v>
      </c>
      <c r="X66" s="7">
        <f t="shared" si="33"/>
        <v>4.0236434345110872E-3</v>
      </c>
      <c r="Y66" s="64">
        <f t="shared" si="33"/>
        <v>3.8174851749925298E-4</v>
      </c>
    </row>
    <row r="67" spans="3:25" hidden="1" x14ac:dyDescent="0.4">
      <c r="C67" s="2" t="s">
        <v>10</v>
      </c>
      <c r="D67" s="15" t="s">
        <v>11</v>
      </c>
      <c r="E67" s="2">
        <f t="shared" si="29"/>
        <v>1198.3450000000012</v>
      </c>
      <c r="F67" s="3">
        <f t="shared" si="29"/>
        <v>-78.704499999999825</v>
      </c>
      <c r="G67" s="3">
        <f t="shared" si="29"/>
        <v>-55.568999999999505</v>
      </c>
      <c r="H67" s="3">
        <f t="shared" si="29"/>
        <v>73.391499999999724</v>
      </c>
      <c r="I67" s="3">
        <f t="shared" si="29"/>
        <v>-103.72900000000118</v>
      </c>
      <c r="J67" s="3">
        <f t="shared" si="29"/>
        <v>446.97299999999996</v>
      </c>
      <c r="K67" s="56">
        <f t="shared" si="30"/>
        <v>1480.7070000000003</v>
      </c>
      <c r="L67" s="2">
        <f t="shared" si="31"/>
        <v>216.08750000000009</v>
      </c>
      <c r="M67" s="3">
        <f t="shared" si="31"/>
        <v>-60.186999999999898</v>
      </c>
      <c r="N67" s="3">
        <f t="shared" si="31"/>
        <v>81.682999999999993</v>
      </c>
      <c r="O67" s="3">
        <f t="shared" si="31"/>
        <v>126.7175000000002</v>
      </c>
      <c r="P67" s="3">
        <f t="shared" si="31"/>
        <v>16.080500000000029</v>
      </c>
      <c r="Q67" s="3">
        <f t="shared" si="31"/>
        <v>240.46250000000009</v>
      </c>
      <c r="R67" s="56">
        <f t="shared" si="32"/>
        <v>620.84400000000051</v>
      </c>
      <c r="S67" s="57">
        <f t="shared" si="33"/>
        <v>-6.8667651736842306E-4</v>
      </c>
      <c r="T67" s="7">
        <f t="shared" si="33"/>
        <v>-5.8905548585972134E-3</v>
      </c>
      <c r="U67" s="7">
        <f t="shared" si="33"/>
        <v>1.3171962181524083E-2</v>
      </c>
      <c r="V67" s="7">
        <f t="shared" si="33"/>
        <v>1.4461306057145074E-2</v>
      </c>
      <c r="W67" s="7">
        <f t="shared" si="33"/>
        <v>4.5553067195570895E-3</v>
      </c>
      <c r="X67" s="7">
        <f t="shared" si="33"/>
        <v>1.5669002086396183E-2</v>
      </c>
      <c r="Y67" s="64">
        <f t="shared" si="33"/>
        <v>6.9230509984412603E-3</v>
      </c>
    </row>
    <row r="68" spans="3:25" hidden="1" x14ac:dyDescent="0.4">
      <c r="C68" s="2" t="s">
        <v>12</v>
      </c>
      <c r="D68" s="15" t="s">
        <v>13</v>
      </c>
      <c r="E68" s="2">
        <f t="shared" si="29"/>
        <v>445.14350000000013</v>
      </c>
      <c r="F68" s="3">
        <f t="shared" si="29"/>
        <v>336.19099999999889</v>
      </c>
      <c r="G68" s="3">
        <f t="shared" si="29"/>
        <v>217.01850000000013</v>
      </c>
      <c r="H68" s="3">
        <f t="shared" si="29"/>
        <v>780.30649999999878</v>
      </c>
      <c r="I68" s="3">
        <f t="shared" si="29"/>
        <v>971.90099999999984</v>
      </c>
      <c r="J68" s="3">
        <f t="shared" si="29"/>
        <v>-439.48300000000017</v>
      </c>
      <c r="K68" s="56">
        <f t="shared" si="30"/>
        <v>2311.0774999999976</v>
      </c>
      <c r="L68" s="2">
        <f t="shared" si="31"/>
        <v>41.842999999999847</v>
      </c>
      <c r="M68" s="3">
        <f t="shared" si="31"/>
        <v>82.832499999999982</v>
      </c>
      <c r="N68" s="3">
        <f t="shared" si="31"/>
        <v>117.15099999999984</v>
      </c>
      <c r="O68" s="3">
        <f t="shared" si="31"/>
        <v>186.64350000000013</v>
      </c>
      <c r="P68" s="3">
        <f t="shared" si="31"/>
        <v>173.14599999999973</v>
      </c>
      <c r="Q68" s="3">
        <f t="shared" si="31"/>
        <v>99.918499999999767</v>
      </c>
      <c r="R68" s="56">
        <f t="shared" si="32"/>
        <v>701.5344999999993</v>
      </c>
      <c r="S68" s="57">
        <f t="shared" si="33"/>
        <v>-3.1709201589438518E-3</v>
      </c>
      <c r="T68" s="7">
        <f t="shared" si="33"/>
        <v>1.5319168136671002E-3</v>
      </c>
      <c r="U68" s="7">
        <f t="shared" si="33"/>
        <v>6.6197803032515823E-3</v>
      </c>
      <c r="V68" s="7">
        <f t="shared" si="33"/>
        <v>2.6315275658233828E-3</v>
      </c>
      <c r="W68" s="7">
        <f t="shared" si="33"/>
        <v>-1.504723025019139E-3</v>
      </c>
      <c r="X68" s="7">
        <f t="shared" si="33"/>
        <v>1.7011879820093251E-2</v>
      </c>
      <c r="Y68" s="64">
        <f t="shared" si="33"/>
        <v>3.4091572739260168E-3</v>
      </c>
    </row>
    <row r="69" spans="3:25" hidden="1" x14ac:dyDescent="0.4">
      <c r="C69" s="2" t="s">
        <v>14</v>
      </c>
      <c r="D69" s="15" t="s">
        <v>15</v>
      </c>
      <c r="E69" s="2">
        <f t="shared" si="29"/>
        <v>-1622.2090000000001</v>
      </c>
      <c r="F69" s="3">
        <f t="shared" si="29"/>
        <v>0</v>
      </c>
      <c r="G69" s="3">
        <f t="shared" si="29"/>
        <v>0</v>
      </c>
      <c r="H69" s="3">
        <f t="shared" si="29"/>
        <v>0</v>
      </c>
      <c r="I69" s="3">
        <f t="shared" si="29"/>
        <v>0</v>
      </c>
      <c r="J69" s="3">
        <f t="shared" si="29"/>
        <v>-1119.2375</v>
      </c>
      <c r="K69" s="56">
        <f t="shared" si="30"/>
        <v>-2741.4465</v>
      </c>
      <c r="L69" s="2">
        <f t="shared" si="31"/>
        <v>-88.521500000000003</v>
      </c>
      <c r="M69" s="3">
        <f t="shared" si="31"/>
        <v>0</v>
      </c>
      <c r="N69" s="3">
        <f t="shared" si="31"/>
        <v>0</v>
      </c>
      <c r="O69" s="3">
        <f t="shared" si="31"/>
        <v>0</v>
      </c>
      <c r="P69" s="3">
        <f t="shared" si="31"/>
        <v>0</v>
      </c>
      <c r="Q69" s="3">
        <f t="shared" si="31"/>
        <v>-68.39</v>
      </c>
      <c r="R69" s="56">
        <f t="shared" si="32"/>
        <v>-156.91149999999999</v>
      </c>
      <c r="S69" s="57" t="e">
        <f t="shared" si="33"/>
        <v>#VALUE!</v>
      </c>
      <c r="T69" s="7" t="e">
        <f t="shared" si="33"/>
        <v>#VALUE!</v>
      </c>
      <c r="U69" s="7" t="e">
        <f t="shared" si="33"/>
        <v>#VALUE!</v>
      </c>
      <c r="V69" s="7" t="e">
        <f t="shared" si="33"/>
        <v>#VALUE!</v>
      </c>
      <c r="W69" s="7" t="e">
        <f t="shared" si="33"/>
        <v>#VALUE!</v>
      </c>
      <c r="X69" s="7" t="e">
        <f t="shared" si="33"/>
        <v>#VALUE!</v>
      </c>
      <c r="Y69" s="64" t="e">
        <f t="shared" si="33"/>
        <v>#VALUE!</v>
      </c>
    </row>
    <row r="70" spans="3:25" hidden="1" x14ac:dyDescent="0.4">
      <c r="C70" s="70" t="s">
        <v>16</v>
      </c>
      <c r="D70" s="15" t="s">
        <v>17</v>
      </c>
      <c r="E70" s="2">
        <f t="shared" si="29"/>
        <v>0</v>
      </c>
      <c r="F70" s="3">
        <f t="shared" si="29"/>
        <v>0</v>
      </c>
      <c r="G70" s="3">
        <f t="shared" si="29"/>
        <v>0</v>
      </c>
      <c r="H70" s="3">
        <f t="shared" si="29"/>
        <v>0</v>
      </c>
      <c r="I70" s="3">
        <f t="shared" si="29"/>
        <v>0</v>
      </c>
      <c r="J70" s="3">
        <f t="shared" si="29"/>
        <v>0</v>
      </c>
      <c r="K70" s="56">
        <f t="shared" si="30"/>
        <v>0</v>
      </c>
      <c r="L70" s="2">
        <f t="shared" si="31"/>
        <v>0</v>
      </c>
      <c r="M70" s="3">
        <f t="shared" si="31"/>
        <v>0</v>
      </c>
      <c r="N70" s="3">
        <f t="shared" si="31"/>
        <v>0</v>
      </c>
      <c r="O70" s="3">
        <f t="shared" si="31"/>
        <v>0</v>
      </c>
      <c r="P70" s="3">
        <f t="shared" si="31"/>
        <v>0</v>
      </c>
      <c r="Q70" s="3">
        <f t="shared" si="31"/>
        <v>0</v>
      </c>
      <c r="R70" s="56">
        <f t="shared" si="32"/>
        <v>0</v>
      </c>
      <c r="S70" s="57"/>
      <c r="T70" s="7"/>
      <c r="U70" s="7"/>
      <c r="V70" s="7"/>
      <c r="W70" s="7"/>
      <c r="X70" s="7"/>
      <c r="Y70" s="64"/>
    </row>
    <row r="71" spans="3:25" hidden="1" x14ac:dyDescent="0.4">
      <c r="C71" s="2" t="s">
        <v>18</v>
      </c>
      <c r="D71" s="15" t="s">
        <v>19</v>
      </c>
      <c r="E71" s="2">
        <f t="shared" si="29"/>
        <v>-37.6</v>
      </c>
      <c r="F71" s="3">
        <f t="shared" si="29"/>
        <v>-0.9</v>
      </c>
      <c r="G71" s="3">
        <f t="shared" si="29"/>
        <v>-62.5</v>
      </c>
      <c r="H71" s="3">
        <f t="shared" si="29"/>
        <v>0</v>
      </c>
      <c r="I71" s="3">
        <f t="shared" si="29"/>
        <v>-2.4</v>
      </c>
      <c r="J71" s="3">
        <f t="shared" si="29"/>
        <v>0</v>
      </c>
      <c r="K71" s="56">
        <f t="shared" si="30"/>
        <v>-103.4</v>
      </c>
      <c r="L71" s="2">
        <f t="shared" si="31"/>
        <v>-8.36</v>
      </c>
      <c r="M71" s="3">
        <f t="shared" si="31"/>
        <v>-0.26250000000000001</v>
      </c>
      <c r="N71" s="3">
        <f t="shared" si="31"/>
        <v>-10.1</v>
      </c>
      <c r="O71" s="3">
        <f t="shared" si="31"/>
        <v>0</v>
      </c>
      <c r="P71" s="3">
        <f t="shared" si="31"/>
        <v>-0.69</v>
      </c>
      <c r="Q71" s="3">
        <f t="shared" si="31"/>
        <v>0</v>
      </c>
      <c r="R71" s="56">
        <f t="shared" si="32"/>
        <v>-19.412499999999998</v>
      </c>
      <c r="S71" s="57" t="e">
        <f t="shared" ref="S71:Y72" si="34">S47-S35</f>
        <v>#VALUE!</v>
      </c>
      <c r="T71" s="7" t="e">
        <f t="shared" si="34"/>
        <v>#VALUE!</v>
      </c>
      <c r="U71" s="7" t="e">
        <f t="shared" si="34"/>
        <v>#VALUE!</v>
      </c>
      <c r="V71" s="7" t="e">
        <f t="shared" si="34"/>
        <v>#VALUE!</v>
      </c>
      <c r="W71" s="7" t="e">
        <f t="shared" si="34"/>
        <v>#VALUE!</v>
      </c>
      <c r="X71" s="7" t="e">
        <f t="shared" si="34"/>
        <v>#VALUE!</v>
      </c>
      <c r="Y71" s="64" t="e">
        <f t="shared" si="34"/>
        <v>#VALUE!</v>
      </c>
    </row>
    <row r="72" spans="3:25" hidden="1" x14ac:dyDescent="0.4">
      <c r="C72" s="4" t="s">
        <v>5</v>
      </c>
      <c r="D72" s="16"/>
      <c r="E72" s="49">
        <f t="shared" ref="E72:J72" si="35">SUM(E65:E71)</f>
        <v>402.43200000000172</v>
      </c>
      <c r="F72" s="6">
        <f t="shared" si="35"/>
        <v>2080.6839999999988</v>
      </c>
      <c r="G72" s="6">
        <f t="shared" si="35"/>
        <v>863.37249999999949</v>
      </c>
      <c r="H72" s="6">
        <f t="shared" si="35"/>
        <v>1253.9994999999981</v>
      </c>
      <c r="I72" s="6">
        <f t="shared" si="35"/>
        <v>2809.8414999999964</v>
      </c>
      <c r="J72" s="6">
        <f t="shared" si="35"/>
        <v>684.50850000000105</v>
      </c>
      <c r="K72" s="50">
        <f t="shared" si="30"/>
        <v>8094.8379999999952</v>
      </c>
      <c r="L72" s="49">
        <f t="shared" ref="L72:Q72" si="36">SUM(L65:L71)</f>
        <v>320.86750000000023</v>
      </c>
      <c r="M72" s="6">
        <f t="shared" si="36"/>
        <v>422.48250000000036</v>
      </c>
      <c r="N72" s="6">
        <f t="shared" si="36"/>
        <v>339.55650000000003</v>
      </c>
      <c r="O72" s="6">
        <f t="shared" si="36"/>
        <v>399.84650000000056</v>
      </c>
      <c r="P72" s="6">
        <f t="shared" si="36"/>
        <v>715.0019999999995</v>
      </c>
      <c r="Q72" s="6">
        <f t="shared" si="36"/>
        <v>766.71099999999922</v>
      </c>
      <c r="R72" s="50">
        <f t="shared" si="32"/>
        <v>2964.4659999999999</v>
      </c>
      <c r="S72" s="58">
        <f t="shared" si="34"/>
        <v>4.8164531360880281E-3</v>
      </c>
      <c r="T72" s="9">
        <f t="shared" si="34"/>
        <v>-8.6825181437294452E-5</v>
      </c>
      <c r="U72" s="9">
        <f t="shared" si="34"/>
        <v>4.1262094408875682E-3</v>
      </c>
      <c r="V72" s="9">
        <f t="shared" si="34"/>
        <v>3.0669320270009515E-3</v>
      </c>
      <c r="W72" s="9">
        <f t="shared" si="34"/>
        <v>3.1800523781922441E-3</v>
      </c>
      <c r="X72" s="9">
        <f t="shared" si="34"/>
        <v>1.3648449852436573E-2</v>
      </c>
      <c r="Y72" s="65">
        <f t="shared" si="34"/>
        <v>4.9277273545938749E-3</v>
      </c>
    </row>
    <row r="73" spans="3:25" x14ac:dyDescent="0.4">
      <c r="C73" s="12"/>
      <c r="E73" s="11"/>
      <c r="F73" s="11"/>
      <c r="G73" s="11"/>
      <c r="H73" s="11"/>
      <c r="I73" s="11"/>
      <c r="J73" s="11"/>
      <c r="K73" s="12"/>
      <c r="L73" s="11"/>
      <c r="M73" s="11"/>
      <c r="N73" s="11"/>
      <c r="O73" s="11"/>
      <c r="P73" s="11"/>
      <c r="Q73" s="11"/>
      <c r="R73" s="12"/>
      <c r="S73" s="13"/>
      <c r="T73" s="13"/>
      <c r="U73" s="13"/>
      <c r="V73" s="13"/>
      <c r="W73" s="13"/>
      <c r="X73" s="13"/>
      <c r="Y73" s="13"/>
    </row>
    <row r="74" spans="3:25" x14ac:dyDescent="0.4">
      <c r="C74" s="12" t="s">
        <v>25</v>
      </c>
    </row>
    <row r="75" spans="3:25" x14ac:dyDescent="0.4">
      <c r="C75" s="85"/>
      <c r="D75" s="84"/>
      <c r="E75" s="85" t="s">
        <v>2</v>
      </c>
      <c r="F75" s="83"/>
      <c r="G75" s="83"/>
      <c r="H75" s="83"/>
      <c r="I75" s="83"/>
      <c r="J75" s="83"/>
      <c r="K75" s="84"/>
      <c r="L75" s="82" t="s">
        <v>3</v>
      </c>
      <c r="M75" s="83"/>
      <c r="N75" s="83"/>
      <c r="O75" s="83"/>
      <c r="P75" s="83"/>
      <c r="Q75" s="83"/>
      <c r="R75" s="84"/>
      <c r="S75" s="82" t="s">
        <v>4</v>
      </c>
      <c r="T75" s="83"/>
      <c r="U75" s="83"/>
      <c r="V75" s="83"/>
      <c r="W75" s="83"/>
      <c r="X75" s="83"/>
      <c r="Y75" s="84"/>
    </row>
    <row r="76" spans="3:25" x14ac:dyDescent="0.4">
      <c r="C76" s="1"/>
      <c r="D76" s="14"/>
      <c r="E76" s="54">
        <v>46113</v>
      </c>
      <c r="F76" s="51">
        <v>46143</v>
      </c>
      <c r="G76" s="51">
        <v>46174</v>
      </c>
      <c r="H76" s="51">
        <v>46204</v>
      </c>
      <c r="I76" s="51">
        <v>46235</v>
      </c>
      <c r="J76" s="51">
        <v>46266</v>
      </c>
      <c r="K76" s="52" t="s">
        <v>5</v>
      </c>
      <c r="L76" s="48">
        <v>46113</v>
      </c>
      <c r="M76" s="51">
        <v>46143</v>
      </c>
      <c r="N76" s="51">
        <v>46174</v>
      </c>
      <c r="O76" s="51">
        <v>46204</v>
      </c>
      <c r="P76" s="51">
        <v>46235</v>
      </c>
      <c r="Q76" s="51">
        <v>46266</v>
      </c>
      <c r="R76" s="52" t="s">
        <v>5</v>
      </c>
      <c r="S76" s="48">
        <v>46113</v>
      </c>
      <c r="T76" s="51">
        <v>46143</v>
      </c>
      <c r="U76" s="51">
        <v>46174</v>
      </c>
      <c r="V76" s="51">
        <v>46204</v>
      </c>
      <c r="W76" s="51">
        <v>46235</v>
      </c>
      <c r="X76" s="51">
        <v>46266</v>
      </c>
      <c r="Y76" s="52" t="s">
        <v>5</v>
      </c>
    </row>
    <row r="77" spans="3:25" x14ac:dyDescent="0.4">
      <c r="C77" s="2" t="s">
        <v>6</v>
      </c>
      <c r="D77" s="15" t="s">
        <v>7</v>
      </c>
      <c r="E77" s="2">
        <f>全体!E77-機械!E77</f>
        <v>15657.001</v>
      </c>
      <c r="F77" s="3">
        <f>全体!F77-機械!F77</f>
        <v>10949.27</v>
      </c>
      <c r="G77" s="79">
        <f>全体!G77-機械!G77</f>
        <v>9382.3870000000006</v>
      </c>
      <c r="H77" s="3">
        <f>全体!H77-機械!H77</f>
        <v>9535.8060000000005</v>
      </c>
      <c r="I77" s="3">
        <f>全体!I77-機械!I77</f>
        <v>7853.7020000000002</v>
      </c>
      <c r="J77" s="3">
        <f>全体!J77-機械!J77</f>
        <v>9088.4869999999992</v>
      </c>
      <c r="K77" s="56">
        <f t="shared" ref="K77:K84" si="37">SUM(E77:J77)</f>
        <v>62466.653000000006</v>
      </c>
      <c r="L77" s="2">
        <f>全体!L77-機械!L77</f>
        <v>3912.6529999999998</v>
      </c>
      <c r="M77" s="79">
        <f>全体!M77-機械!M77</f>
        <v>2262.826</v>
      </c>
      <c r="N77" s="79">
        <f>全体!N77-機械!N77</f>
        <v>1914.7160000000001</v>
      </c>
      <c r="O77" s="3">
        <f>全体!O77-機械!O77</f>
        <v>2103.0989999999997</v>
      </c>
      <c r="P77" s="3">
        <f>全体!P77-機械!P77</f>
        <v>1740.4359999999999</v>
      </c>
      <c r="Q77" s="3">
        <f>全体!Q77-機械!Q77</f>
        <v>2210.123</v>
      </c>
      <c r="R77" s="56">
        <f t="shared" ref="R77:R84" si="38">SUM(L77:Q77)</f>
        <v>14143.852999999999</v>
      </c>
      <c r="S77" s="57">
        <f>IF(E77=0,"***",L77/E77)</f>
        <v>0.24989798493338539</v>
      </c>
      <c r="T77" s="7">
        <f>IF(F77=0,"***",全体!M77/F77)</f>
        <v>0.20703444156551076</v>
      </c>
      <c r="U77" s="7">
        <f t="shared" ref="U77:Y81" si="39">IF(G77=0,"***",N77/G77)</f>
        <v>0.20407557266610299</v>
      </c>
      <c r="V77" s="7">
        <f t="shared" si="39"/>
        <v>0.22054758664343629</v>
      </c>
      <c r="W77" s="7">
        <f t="shared" si="39"/>
        <v>0.22160708414961502</v>
      </c>
      <c r="X77" s="7">
        <f t="shared" si="39"/>
        <v>0.24317831999979758</v>
      </c>
      <c r="Y77" s="64">
        <f t="shared" si="39"/>
        <v>0.22642245615432602</v>
      </c>
    </row>
    <row r="78" spans="3:25" x14ac:dyDescent="0.4">
      <c r="C78" s="2" t="s">
        <v>8</v>
      </c>
      <c r="D78" s="15" t="s">
        <v>9</v>
      </c>
      <c r="E78" s="2">
        <f>全体!E78-機械!E78</f>
        <v>12659.375</v>
      </c>
      <c r="F78" s="3">
        <f>全体!F78-機械!F78</f>
        <v>14885.403000000002</v>
      </c>
      <c r="G78" s="79">
        <f>全体!G78-機械!G78</f>
        <v>19078.994000000002</v>
      </c>
      <c r="H78" s="3">
        <f>全体!H78-機械!H78</f>
        <v>15794.701000000001</v>
      </c>
      <c r="I78" s="3">
        <f>全体!I78-機械!I78</f>
        <v>13165.138999999999</v>
      </c>
      <c r="J78" s="3">
        <f>全体!J78-機械!J78</f>
        <v>15844.478999999999</v>
      </c>
      <c r="K78" s="56">
        <f t="shared" si="37"/>
        <v>91428.091000000015</v>
      </c>
      <c r="L78" s="2">
        <f>全体!L78-機械!L78</f>
        <v>2482.0610000000001</v>
      </c>
      <c r="M78" s="79">
        <f>全体!M78-機械!M78</f>
        <v>2667.9610000000002</v>
      </c>
      <c r="N78" s="79">
        <f>全体!N78-機械!N78</f>
        <v>3816.5419999999999</v>
      </c>
      <c r="O78" s="3">
        <f>全体!O78-機械!O78</f>
        <v>3136.4569999999999</v>
      </c>
      <c r="P78" s="3">
        <f>全体!P78-機械!P78</f>
        <v>2653.8510000000001</v>
      </c>
      <c r="Q78" s="3">
        <f>全体!Q78-機械!Q78</f>
        <v>3192.6370000000002</v>
      </c>
      <c r="R78" s="56">
        <f t="shared" si="38"/>
        <v>17949.509000000002</v>
      </c>
      <c r="S78" s="57">
        <f>IF(E78=0,"***",L78/E78)</f>
        <v>0.19606505060478896</v>
      </c>
      <c r="T78" s="7">
        <f>IF(F78=0,"***",全体!M78/F78)</f>
        <v>0.20911291417504785</v>
      </c>
      <c r="U78" s="7">
        <f t="shared" si="39"/>
        <v>0.2000389538358259</v>
      </c>
      <c r="V78" s="7">
        <f t="shared" si="39"/>
        <v>0.19857653525698268</v>
      </c>
      <c r="W78" s="7">
        <f t="shared" si="39"/>
        <v>0.20158169237711809</v>
      </c>
      <c r="X78" s="7">
        <f t="shared" si="39"/>
        <v>0.20149838943899639</v>
      </c>
      <c r="Y78" s="64">
        <f t="shared" si="39"/>
        <v>0.19632378630764585</v>
      </c>
    </row>
    <row r="79" spans="3:25" x14ac:dyDescent="0.4">
      <c r="C79" s="2" t="s">
        <v>10</v>
      </c>
      <c r="D79" s="15" t="s">
        <v>11</v>
      </c>
      <c r="E79" s="2">
        <f>全体!E79-機械!E79</f>
        <v>9403.6110000000008</v>
      </c>
      <c r="F79" s="3">
        <f>全体!F79-機械!F79</f>
        <v>8998.7150000000001</v>
      </c>
      <c r="G79" s="79">
        <f>全体!G79-機械!G79</f>
        <v>8615.4830000000002</v>
      </c>
      <c r="H79" s="3">
        <f>全体!H79-機械!H79</f>
        <v>9804.7990000000009</v>
      </c>
      <c r="I79" s="3">
        <f>全体!I79-機械!I79</f>
        <v>9650.8819999999996</v>
      </c>
      <c r="J79" s="3">
        <f>全体!J79-機械!J79</f>
        <v>11442.324999999999</v>
      </c>
      <c r="K79" s="56">
        <f t="shared" si="37"/>
        <v>57915.814999999995</v>
      </c>
      <c r="L79" s="2">
        <f>全体!L79-機械!L79</f>
        <v>1990.2329999999999</v>
      </c>
      <c r="M79" s="79">
        <f>全体!M79-機械!M79</f>
        <v>1994.723</v>
      </c>
      <c r="N79" s="79">
        <f>全体!N79-機械!N79</f>
        <v>1874.1079999999999</v>
      </c>
      <c r="O79" s="3">
        <f>全体!O79-機械!O79</f>
        <v>2146.6419999999998</v>
      </c>
      <c r="P79" s="3">
        <f>全体!P79-機械!P79</f>
        <v>1952.6489999999999</v>
      </c>
      <c r="Q79" s="3">
        <f>全体!Q79-機械!Q79</f>
        <v>2411.7400000000002</v>
      </c>
      <c r="R79" s="56">
        <f t="shared" si="38"/>
        <v>12370.094999999999</v>
      </c>
      <c r="S79" s="57">
        <f>IF(E79=0,"***",L79/E79)</f>
        <v>0.21164561145713065</v>
      </c>
      <c r="T79" s="7">
        <f>IF(F79=0,"***",全体!M79/F79)</f>
        <v>0.22310774371674177</v>
      </c>
      <c r="U79" s="7">
        <f t="shared" si="39"/>
        <v>0.21752790876611328</v>
      </c>
      <c r="V79" s="7">
        <f t="shared" si="39"/>
        <v>0.21893788949676579</v>
      </c>
      <c r="W79" s="7">
        <f t="shared" si="39"/>
        <v>0.20232855401195454</v>
      </c>
      <c r="X79" s="7">
        <f t="shared" si="39"/>
        <v>0.21077359714918081</v>
      </c>
      <c r="Y79" s="64">
        <f t="shared" si="39"/>
        <v>0.21358751491280922</v>
      </c>
    </row>
    <row r="80" spans="3:25" x14ac:dyDescent="0.4">
      <c r="C80" s="2" t="s">
        <v>12</v>
      </c>
      <c r="D80" s="15" t="s">
        <v>13</v>
      </c>
      <c r="E80" s="2">
        <f>全体!E80-機械!E80</f>
        <v>13483.543</v>
      </c>
      <c r="F80" s="3">
        <f>全体!F80-機械!F80</f>
        <v>11461.832999999999</v>
      </c>
      <c r="G80" s="79">
        <f>全体!G80-機械!G80</f>
        <v>11512.419</v>
      </c>
      <c r="H80" s="3">
        <f>全体!H80-機械!H80</f>
        <v>14244.915000000001</v>
      </c>
      <c r="I80" s="3">
        <f>全体!I80-機械!I80</f>
        <v>12933.886</v>
      </c>
      <c r="J80" s="3">
        <f>全体!J80-機械!J80</f>
        <v>13358.289000000001</v>
      </c>
      <c r="K80" s="56">
        <f t="shared" si="37"/>
        <v>76994.884999999995</v>
      </c>
      <c r="L80" s="2">
        <f>全体!L80-機械!L80</f>
        <v>2699.712</v>
      </c>
      <c r="M80" s="79">
        <f>全体!M80-機械!M80</f>
        <v>2321.7599999999998</v>
      </c>
      <c r="N80" s="79">
        <f>全体!N80-機械!N80</f>
        <v>2594.1889999999999</v>
      </c>
      <c r="O80" s="3">
        <f>全体!O80-機械!O80</f>
        <v>3066.0709999999999</v>
      </c>
      <c r="P80" s="3">
        <f>全体!P80-機械!P80</f>
        <v>2729.5930000000003</v>
      </c>
      <c r="Q80" s="3">
        <f>全体!Q80-機械!Q80</f>
        <v>2899.6839999999997</v>
      </c>
      <c r="R80" s="56">
        <f t="shared" si="38"/>
        <v>16311.009</v>
      </c>
      <c r="S80" s="57">
        <f>IF(E80=0,"***",L80/E80)</f>
        <v>0.20022274560922157</v>
      </c>
      <c r="T80" s="7">
        <f>IF(F80=0,"***",全体!M80/F80)</f>
        <v>0.20393334992753778</v>
      </c>
      <c r="U80" s="7">
        <f t="shared" si="39"/>
        <v>0.22533830639763891</v>
      </c>
      <c r="V80" s="7">
        <f t="shared" si="39"/>
        <v>0.21523968377487684</v>
      </c>
      <c r="W80" s="7">
        <f t="shared" si="39"/>
        <v>0.211041986917157</v>
      </c>
      <c r="X80" s="7">
        <f t="shared" si="39"/>
        <v>0.21707001547877872</v>
      </c>
      <c r="Y80" s="64">
        <f t="shared" si="39"/>
        <v>0.2118453582988013</v>
      </c>
    </row>
    <row r="81" spans="3:25" x14ac:dyDescent="0.4">
      <c r="C81" s="2" t="s">
        <v>14</v>
      </c>
      <c r="D81" s="15" t="s">
        <v>15</v>
      </c>
      <c r="E81" s="81">
        <f>全体!E81-機械!E81</f>
        <v>0</v>
      </c>
      <c r="F81" s="79">
        <f>全体!F81-機械!F81</f>
        <v>0</v>
      </c>
      <c r="G81" s="79">
        <f>全体!G81-機械!G81</f>
        <v>0</v>
      </c>
      <c r="H81" s="3">
        <f>全体!H81-機械!H81</f>
        <v>0</v>
      </c>
      <c r="I81" s="3">
        <f>全体!I81-機械!I81</f>
        <v>0</v>
      </c>
      <c r="J81" s="3">
        <f>全体!J81-機械!J81</f>
        <v>0</v>
      </c>
      <c r="K81" s="56">
        <f t="shared" si="37"/>
        <v>0</v>
      </c>
      <c r="L81" s="81">
        <f>全体!L81-機械!L81</f>
        <v>0</v>
      </c>
      <c r="M81" s="79">
        <f>全体!M81-機械!M81</f>
        <v>0</v>
      </c>
      <c r="N81" s="79">
        <f>全体!N81-機械!N81</f>
        <v>0</v>
      </c>
      <c r="O81" s="3">
        <f>全体!O81-機械!O81</f>
        <v>0</v>
      </c>
      <c r="P81" s="3">
        <f>全体!P81-機械!P81</f>
        <v>0</v>
      </c>
      <c r="Q81" s="3">
        <f>全体!Q81-機械!Q81</f>
        <v>0</v>
      </c>
      <c r="R81" s="56">
        <f t="shared" si="38"/>
        <v>0</v>
      </c>
      <c r="S81" s="57" t="str">
        <f>IF(E81=0,"***",L81/E81)</f>
        <v>***</v>
      </c>
      <c r="T81" s="7" t="str">
        <f>IF(F81=0,"***",M81/F81)</f>
        <v>***</v>
      </c>
      <c r="U81" s="7" t="str">
        <f t="shared" si="39"/>
        <v>***</v>
      </c>
      <c r="V81" s="7" t="str">
        <f t="shared" si="39"/>
        <v>***</v>
      </c>
      <c r="W81" s="7" t="str">
        <f t="shared" si="39"/>
        <v>***</v>
      </c>
      <c r="X81" s="7" t="str">
        <f t="shared" si="39"/>
        <v>***</v>
      </c>
      <c r="Y81" s="64" t="str">
        <f t="shared" si="39"/>
        <v>***</v>
      </c>
    </row>
    <row r="82" spans="3:25" x14ac:dyDescent="0.4">
      <c r="C82" s="70" t="s">
        <v>16</v>
      </c>
      <c r="D82" s="15" t="s">
        <v>17</v>
      </c>
      <c r="E82" s="81">
        <f>全体!E82-機械!E82</f>
        <v>0</v>
      </c>
      <c r="F82" s="79">
        <f>全体!F82-機械!F82</f>
        <v>0</v>
      </c>
      <c r="G82" s="79">
        <f>全体!G82-機械!G82</f>
        <v>94.2</v>
      </c>
      <c r="H82" s="3">
        <f>全体!H82-機械!H82</f>
        <v>0</v>
      </c>
      <c r="I82" s="3">
        <f>全体!I82-機械!I82</f>
        <v>69.099999999999994</v>
      </c>
      <c r="J82" s="3">
        <f>全体!J82-機械!J82</f>
        <v>0</v>
      </c>
      <c r="K82" s="56">
        <f t="shared" si="37"/>
        <v>163.30000000000001</v>
      </c>
      <c r="L82" s="81">
        <f>全体!L82-機械!L82</f>
        <v>0</v>
      </c>
      <c r="M82" s="79">
        <f>全体!M82-機械!M82</f>
        <v>0</v>
      </c>
      <c r="N82" s="79">
        <f>全体!N82-機械!N82</f>
        <v>3.15</v>
      </c>
      <c r="O82" s="3">
        <f>全体!O82-機械!O82</f>
        <v>0</v>
      </c>
      <c r="P82" s="3">
        <f>全体!P82-機械!P82</f>
        <v>2.2000000000000002</v>
      </c>
      <c r="Q82" s="3">
        <f>全体!Q82-機械!Q82</f>
        <v>0</v>
      </c>
      <c r="R82" s="56">
        <f t="shared" si="38"/>
        <v>5.35</v>
      </c>
      <c r="S82" s="57"/>
      <c r="T82" s="7"/>
      <c r="U82" s="7"/>
      <c r="V82" s="7"/>
      <c r="W82" s="7"/>
      <c r="X82" s="7"/>
      <c r="Y82" s="64"/>
    </row>
    <row r="83" spans="3:25" x14ac:dyDescent="0.4">
      <c r="C83" s="2" t="s">
        <v>18</v>
      </c>
      <c r="D83" s="15" t="s">
        <v>19</v>
      </c>
      <c r="E83" s="81">
        <f>全体!E83-機械!E83</f>
        <v>0</v>
      </c>
      <c r="F83" s="79">
        <f>全体!F83-機械!F83</f>
        <v>0</v>
      </c>
      <c r="G83" s="79">
        <f>全体!G83-機械!G83</f>
        <v>0</v>
      </c>
      <c r="H83" s="3">
        <f>全体!H83-機械!H83</f>
        <v>0</v>
      </c>
      <c r="I83" s="3">
        <f>全体!I83-機械!I83</f>
        <v>0</v>
      </c>
      <c r="J83" s="3">
        <f>全体!J83-機械!J83</f>
        <v>0</v>
      </c>
      <c r="K83" s="56">
        <f t="shared" si="37"/>
        <v>0</v>
      </c>
      <c r="L83" s="81">
        <f>全体!L83-機械!L83</f>
        <v>0</v>
      </c>
      <c r="M83" s="79">
        <f>全体!M83-機械!M83</f>
        <v>0</v>
      </c>
      <c r="N83" s="79">
        <f>全体!N83-機械!N83</f>
        <v>0</v>
      </c>
      <c r="O83" s="3">
        <f>全体!O83-機械!O83</f>
        <v>0</v>
      </c>
      <c r="P83" s="3">
        <f>全体!P83-機械!P83</f>
        <v>0</v>
      </c>
      <c r="Q83" s="3">
        <f>全体!Q83-機械!Q83</f>
        <v>0</v>
      </c>
      <c r="R83" s="56">
        <f t="shared" si="38"/>
        <v>0</v>
      </c>
      <c r="S83" s="57" t="str">
        <f t="shared" ref="S83:Y84" si="40">IF(E83=0,"***",L83/E83)</f>
        <v>***</v>
      </c>
      <c r="T83" s="7" t="str">
        <f t="shared" si="40"/>
        <v>***</v>
      </c>
      <c r="U83" s="7" t="str">
        <f t="shared" si="40"/>
        <v>***</v>
      </c>
      <c r="V83" s="7" t="str">
        <f t="shared" si="40"/>
        <v>***</v>
      </c>
      <c r="W83" s="7" t="str">
        <f t="shared" si="40"/>
        <v>***</v>
      </c>
      <c r="X83" s="7" t="str">
        <f t="shared" si="40"/>
        <v>***</v>
      </c>
      <c r="Y83" s="64" t="str">
        <f t="shared" si="40"/>
        <v>***</v>
      </c>
    </row>
    <row r="84" spans="3:25" x14ac:dyDescent="0.4">
      <c r="C84" s="4" t="s">
        <v>5</v>
      </c>
      <c r="D84" s="16"/>
      <c r="E84" s="49">
        <f t="shared" ref="E84:J84" si="41">SUM(E77:E83)</f>
        <v>51203.53</v>
      </c>
      <c r="F84" s="6">
        <f t="shared" si="41"/>
        <v>46295.221000000005</v>
      </c>
      <c r="G84" s="6">
        <f t="shared" si="41"/>
        <v>48683.483</v>
      </c>
      <c r="H84" s="6">
        <f t="shared" si="41"/>
        <v>49380.221000000005</v>
      </c>
      <c r="I84" s="6">
        <f t="shared" si="41"/>
        <v>43672.708999999995</v>
      </c>
      <c r="J84" s="6">
        <f t="shared" si="41"/>
        <v>49733.58</v>
      </c>
      <c r="K84" s="50">
        <f t="shared" si="37"/>
        <v>288968.74400000001</v>
      </c>
      <c r="L84" s="49">
        <f t="shared" ref="L84:Q84" si="42">SUM(L77:L83)</f>
        <v>11084.659</v>
      </c>
      <c r="M84" s="6">
        <f t="shared" si="42"/>
        <v>9247.27</v>
      </c>
      <c r="N84" s="6">
        <f t="shared" si="42"/>
        <v>10202.705</v>
      </c>
      <c r="O84" s="6">
        <f t="shared" si="42"/>
        <v>10452.269</v>
      </c>
      <c r="P84" s="6">
        <f t="shared" si="42"/>
        <v>9078.7290000000012</v>
      </c>
      <c r="Q84" s="6">
        <f t="shared" si="42"/>
        <v>10714.183999999999</v>
      </c>
      <c r="R84" s="50">
        <f t="shared" si="38"/>
        <v>60779.815999999999</v>
      </c>
      <c r="S84" s="58">
        <f t="shared" si="40"/>
        <v>0.21648232065250189</v>
      </c>
      <c r="T84" s="9">
        <f t="shared" si="40"/>
        <v>0.19974567137286156</v>
      </c>
      <c r="U84" s="9">
        <f t="shared" si="40"/>
        <v>0.2095722074774313</v>
      </c>
      <c r="V84" s="9">
        <f t="shared" si="40"/>
        <v>0.21166914178047117</v>
      </c>
      <c r="W84" s="9">
        <f t="shared" si="40"/>
        <v>0.20788105908428997</v>
      </c>
      <c r="X84" s="9">
        <f t="shared" si="40"/>
        <v>0.21543158566103623</v>
      </c>
      <c r="Y84" s="65">
        <f t="shared" si="40"/>
        <v>0.21033353005126396</v>
      </c>
    </row>
    <row r="85" spans="3:25" x14ac:dyDescent="0.4">
      <c r="C85" s="12"/>
      <c r="E85" s="11"/>
      <c r="F85" s="11"/>
      <c r="G85" s="11"/>
      <c r="H85" s="11"/>
      <c r="I85" s="11"/>
      <c r="J85" s="11"/>
      <c r="K85" s="12"/>
      <c r="L85" s="11"/>
      <c r="M85" s="11"/>
      <c r="N85" s="11"/>
      <c r="O85" s="11"/>
      <c r="P85" s="11"/>
      <c r="Q85" s="11"/>
      <c r="R85" s="12"/>
      <c r="S85" s="13"/>
      <c r="T85" s="13"/>
      <c r="U85" s="13"/>
      <c r="V85" s="13"/>
      <c r="W85" s="13"/>
      <c r="X85" s="13"/>
      <c r="Y85" s="13"/>
    </row>
    <row r="86" spans="3:25" x14ac:dyDescent="0.4">
      <c r="C86" s="12" t="s">
        <v>26</v>
      </c>
    </row>
    <row r="87" spans="3:25" x14ac:dyDescent="0.4">
      <c r="C87" s="85"/>
      <c r="D87" s="84"/>
      <c r="E87" s="85" t="s">
        <v>2</v>
      </c>
      <c r="F87" s="83"/>
      <c r="G87" s="83"/>
      <c r="H87" s="83"/>
      <c r="I87" s="83"/>
      <c r="J87" s="83"/>
      <c r="K87" s="84"/>
      <c r="L87" s="82" t="s">
        <v>3</v>
      </c>
      <c r="M87" s="83"/>
      <c r="N87" s="83"/>
      <c r="O87" s="83"/>
      <c r="P87" s="83"/>
      <c r="Q87" s="83"/>
      <c r="R87" s="84"/>
      <c r="S87" s="82" t="s">
        <v>4</v>
      </c>
      <c r="T87" s="83"/>
      <c r="U87" s="83"/>
      <c r="V87" s="83"/>
      <c r="W87" s="83"/>
      <c r="X87" s="83"/>
      <c r="Y87" s="84"/>
    </row>
    <row r="88" spans="3:25" x14ac:dyDescent="0.4">
      <c r="C88" s="1"/>
      <c r="D88" s="14"/>
      <c r="E88" s="54">
        <v>46113</v>
      </c>
      <c r="F88" s="51">
        <v>46143</v>
      </c>
      <c r="G88" s="51">
        <v>46174</v>
      </c>
      <c r="H88" s="51">
        <v>46204</v>
      </c>
      <c r="I88" s="51">
        <v>46235</v>
      </c>
      <c r="J88" s="51">
        <v>46266</v>
      </c>
      <c r="K88" s="52" t="s">
        <v>5</v>
      </c>
      <c r="L88" s="48">
        <v>46113</v>
      </c>
      <c r="M88" s="51">
        <v>46143</v>
      </c>
      <c r="N88" s="51">
        <v>46174</v>
      </c>
      <c r="O88" s="51">
        <v>46204</v>
      </c>
      <c r="P88" s="51">
        <v>46235</v>
      </c>
      <c r="Q88" s="51">
        <v>46266</v>
      </c>
      <c r="R88" s="52" t="s">
        <v>5</v>
      </c>
      <c r="S88" s="48">
        <v>46113</v>
      </c>
      <c r="T88" s="51">
        <v>46143</v>
      </c>
      <c r="U88" s="51">
        <v>46174</v>
      </c>
      <c r="V88" s="51">
        <v>46204</v>
      </c>
      <c r="W88" s="51">
        <v>46235</v>
      </c>
      <c r="X88" s="51">
        <v>46266</v>
      </c>
      <c r="Y88" s="52" t="s">
        <v>5</v>
      </c>
    </row>
    <row r="89" spans="3:25" x14ac:dyDescent="0.4">
      <c r="C89" s="2" t="s">
        <v>6</v>
      </c>
      <c r="D89" s="15" t="s">
        <v>7</v>
      </c>
      <c r="E89" s="2">
        <f t="shared" ref="E89:J95" si="43">E77-E41</f>
        <v>3307.0010000000002</v>
      </c>
      <c r="F89" s="3">
        <f t="shared" si="43"/>
        <v>1599.2700000000004</v>
      </c>
      <c r="G89" s="79">
        <f t="shared" si="43"/>
        <v>32.387000000000626</v>
      </c>
      <c r="H89" s="3">
        <f t="shared" si="43"/>
        <v>-1314.1939999999995</v>
      </c>
      <c r="I89" s="3">
        <f t="shared" si="43"/>
        <v>-2996.2979999999998</v>
      </c>
      <c r="J89" s="3">
        <f t="shared" si="43"/>
        <v>-2561.5130000000008</v>
      </c>
      <c r="K89" s="56">
        <f t="shared" ref="K89:K96" si="44">SUM(E89:J89)</f>
        <v>-1933.3469999999988</v>
      </c>
      <c r="L89" s="62">
        <f t="shared" ref="L89:Q95" si="45">L77-L41</f>
        <v>1037.6529999999998</v>
      </c>
      <c r="M89" s="62">
        <f t="shared" si="45"/>
        <v>87.826000000000022</v>
      </c>
      <c r="N89" s="80">
        <f t="shared" si="45"/>
        <v>-260.28399999999988</v>
      </c>
      <c r="O89" s="62">
        <f t="shared" si="45"/>
        <v>-421.90100000000029</v>
      </c>
      <c r="P89" s="62">
        <f t="shared" si="45"/>
        <v>-784.56400000000008</v>
      </c>
      <c r="Q89" s="62">
        <f t="shared" si="45"/>
        <v>-514.87699999999995</v>
      </c>
      <c r="R89" s="56">
        <f t="shared" ref="R89:R96" si="46">SUM(L89:Q89)</f>
        <v>-856.14700000000039</v>
      </c>
      <c r="S89" s="57">
        <f t="shared" ref="S89:Y93" si="47">S77-S41</f>
        <v>1.7104462666178905E-2</v>
      </c>
      <c r="T89" s="7">
        <f t="shared" si="47"/>
        <v>-2.5585879290104224E-2</v>
      </c>
      <c r="U89" s="7">
        <f t="shared" si="47"/>
        <v>-2.8544748189511998E-2</v>
      </c>
      <c r="V89" s="7">
        <f t="shared" si="47"/>
        <v>-1.2171307365780287E-2</v>
      </c>
      <c r="W89" s="7">
        <f t="shared" si="47"/>
        <v>-1.1111809859601557E-2</v>
      </c>
      <c r="X89" s="7">
        <f t="shared" si="47"/>
        <v>9.2727406006559432E-3</v>
      </c>
      <c r="Y89" s="64">
        <f t="shared" si="47"/>
        <v>-6.4967985040590703E-3</v>
      </c>
    </row>
    <row r="90" spans="3:25" x14ac:dyDescent="0.4">
      <c r="C90" s="2" t="s">
        <v>8</v>
      </c>
      <c r="D90" s="15" t="s">
        <v>9</v>
      </c>
      <c r="E90" s="2">
        <f t="shared" si="43"/>
        <v>-1100.625</v>
      </c>
      <c r="F90" s="3">
        <f t="shared" si="43"/>
        <v>1885.4030000000021</v>
      </c>
      <c r="G90" s="79">
        <f t="shared" si="43"/>
        <v>6878.9940000000024</v>
      </c>
      <c r="H90" s="3">
        <f t="shared" si="43"/>
        <v>1294.7010000000009</v>
      </c>
      <c r="I90" s="3">
        <f t="shared" si="43"/>
        <v>965.13899999999921</v>
      </c>
      <c r="J90" s="3">
        <f t="shared" si="43"/>
        <v>2644.4789999999994</v>
      </c>
      <c r="K90" s="56">
        <f t="shared" si="44"/>
        <v>12568.091000000004</v>
      </c>
      <c r="L90" s="62">
        <f t="shared" si="45"/>
        <v>-487.93899999999985</v>
      </c>
      <c r="M90" s="62">
        <f t="shared" si="45"/>
        <v>-32.03899999999976</v>
      </c>
      <c r="N90" s="80">
        <f t="shared" si="45"/>
        <v>1316.5419999999999</v>
      </c>
      <c r="O90" s="62">
        <f t="shared" si="45"/>
        <v>136.45699999999988</v>
      </c>
      <c r="P90" s="62">
        <f t="shared" si="45"/>
        <v>103.85100000000011</v>
      </c>
      <c r="Q90" s="62">
        <f t="shared" si="45"/>
        <v>442.63700000000017</v>
      </c>
      <c r="R90" s="56">
        <f t="shared" si="46"/>
        <v>1479.5090000000005</v>
      </c>
      <c r="S90" s="57">
        <f t="shared" si="47"/>
        <v>-1.9777972651024989E-2</v>
      </c>
      <c r="T90" s="7">
        <f t="shared" si="47"/>
        <v>1.4206064827401443E-3</v>
      </c>
      <c r="U90" s="7">
        <f t="shared" si="47"/>
        <v>-4.8790789510593513E-3</v>
      </c>
      <c r="V90" s="7">
        <f t="shared" si="47"/>
        <v>-8.3200164671552446E-3</v>
      </c>
      <c r="W90" s="7">
        <f t="shared" si="47"/>
        <v>-7.4347010655048673E-3</v>
      </c>
      <c r="X90" s="7">
        <f t="shared" si="47"/>
        <v>-6.8349438943369478E-3</v>
      </c>
      <c r="Y90" s="64">
        <f t="shared" si="47"/>
        <v>-1.2527342274651881E-2</v>
      </c>
    </row>
    <row r="91" spans="3:25" x14ac:dyDescent="0.4">
      <c r="C91" s="2" t="s">
        <v>10</v>
      </c>
      <c r="D91" s="15" t="s">
        <v>11</v>
      </c>
      <c r="E91" s="2">
        <f t="shared" si="43"/>
        <v>-446.38899999999921</v>
      </c>
      <c r="F91" s="3">
        <f t="shared" si="43"/>
        <v>1348.7150000000001</v>
      </c>
      <c r="G91" s="79">
        <f t="shared" si="43"/>
        <v>1665.4830000000002</v>
      </c>
      <c r="H91" s="3">
        <f t="shared" si="43"/>
        <v>1954.7990000000009</v>
      </c>
      <c r="I91" s="3">
        <f t="shared" si="43"/>
        <v>1800.8819999999996</v>
      </c>
      <c r="J91" s="3">
        <f t="shared" si="43"/>
        <v>1092.3249999999989</v>
      </c>
      <c r="K91" s="56">
        <f t="shared" si="44"/>
        <v>7415.8150000000005</v>
      </c>
      <c r="L91" s="62">
        <f t="shared" si="45"/>
        <v>165.23299999999995</v>
      </c>
      <c r="M91" s="62">
        <f t="shared" si="45"/>
        <v>569.72299999999996</v>
      </c>
      <c r="N91" s="80">
        <f t="shared" si="45"/>
        <v>549.10799999999995</v>
      </c>
      <c r="O91" s="62">
        <f t="shared" si="45"/>
        <v>621.64199999999983</v>
      </c>
      <c r="P91" s="62">
        <f t="shared" si="45"/>
        <v>427.64899999999989</v>
      </c>
      <c r="Q91" s="62">
        <f t="shared" si="45"/>
        <v>436.74000000000024</v>
      </c>
      <c r="R91" s="56">
        <f t="shared" si="46"/>
        <v>2770.0949999999998</v>
      </c>
      <c r="S91" s="57">
        <f t="shared" si="47"/>
        <v>2.6366423639871767E-2</v>
      </c>
      <c r="T91" s="7">
        <f t="shared" si="47"/>
        <v>3.6833233912820201E-2</v>
      </c>
      <c r="U91" s="7">
        <f t="shared" si="47"/>
        <v>2.6880426751724779E-2</v>
      </c>
      <c r="V91" s="7">
        <f t="shared" si="47"/>
        <v>2.46703735731989E-2</v>
      </c>
      <c r="W91" s="7">
        <f t="shared" si="47"/>
        <v>8.0610380883876509E-3</v>
      </c>
      <c r="X91" s="7">
        <f t="shared" si="47"/>
        <v>1.9952341110533484E-2</v>
      </c>
      <c r="Y91" s="64">
        <f t="shared" si="47"/>
        <v>2.3488505011819122E-2</v>
      </c>
    </row>
    <row r="92" spans="3:25" x14ac:dyDescent="0.4">
      <c r="C92" s="2" t="s">
        <v>12</v>
      </c>
      <c r="D92" s="15" t="s">
        <v>13</v>
      </c>
      <c r="E92" s="2">
        <f t="shared" si="43"/>
        <v>-316.45700000000033</v>
      </c>
      <c r="F92" s="3">
        <f t="shared" si="43"/>
        <v>-838.16700000000128</v>
      </c>
      <c r="G92" s="79">
        <f t="shared" si="43"/>
        <v>12.418999999999869</v>
      </c>
      <c r="H92" s="3">
        <f t="shared" si="43"/>
        <v>744.91500000000087</v>
      </c>
      <c r="I92" s="3">
        <f t="shared" si="43"/>
        <v>433.88600000000042</v>
      </c>
      <c r="J92" s="3">
        <f t="shared" si="43"/>
        <v>2358.2890000000007</v>
      </c>
      <c r="K92" s="56">
        <f t="shared" si="44"/>
        <v>2394.8850000000002</v>
      </c>
      <c r="L92" s="62">
        <f t="shared" si="45"/>
        <v>89.711999999999989</v>
      </c>
      <c r="M92" s="62">
        <f t="shared" si="45"/>
        <v>-38.240000000000236</v>
      </c>
      <c r="N92" s="80">
        <f t="shared" si="45"/>
        <v>344.18899999999985</v>
      </c>
      <c r="O92" s="62">
        <f t="shared" si="45"/>
        <v>416.07099999999991</v>
      </c>
      <c r="P92" s="62">
        <f t="shared" si="45"/>
        <v>279.5930000000003</v>
      </c>
      <c r="Q92" s="62">
        <f t="shared" si="45"/>
        <v>529.68399999999974</v>
      </c>
      <c r="R92" s="56">
        <f t="shared" si="46"/>
        <v>1621.0089999999996</v>
      </c>
      <c r="S92" s="57">
        <f t="shared" si="47"/>
        <v>1.1092310826612883E-2</v>
      </c>
      <c r="T92" s="7">
        <f t="shared" si="47"/>
        <v>1.2063431228350796E-2</v>
      </c>
      <c r="U92" s="7">
        <f t="shared" si="47"/>
        <v>2.9686132484595423E-2</v>
      </c>
      <c r="V92" s="7">
        <f t="shared" si="47"/>
        <v>1.8943387478580542E-2</v>
      </c>
      <c r="W92" s="7">
        <f t="shared" si="47"/>
        <v>1.5041986917156996E-2</v>
      </c>
      <c r="X92" s="7">
        <f t="shared" si="47"/>
        <v>1.615470024233262E-3</v>
      </c>
      <c r="Y92" s="64">
        <f t="shared" si="47"/>
        <v>1.4928468218372348E-2</v>
      </c>
    </row>
    <row r="93" spans="3:25" x14ac:dyDescent="0.4">
      <c r="C93" s="2" t="s">
        <v>14</v>
      </c>
      <c r="D93" s="15" t="s">
        <v>15</v>
      </c>
      <c r="E93" s="68">
        <f t="shared" si="43"/>
        <v>0</v>
      </c>
      <c r="F93" s="3">
        <f t="shared" si="43"/>
        <v>0</v>
      </c>
      <c r="G93" s="79">
        <f t="shared" si="43"/>
        <v>0</v>
      </c>
      <c r="H93" s="3">
        <f t="shared" si="43"/>
        <v>0</v>
      </c>
      <c r="I93" s="3">
        <f t="shared" si="43"/>
        <v>0</v>
      </c>
      <c r="J93" s="3">
        <f t="shared" si="43"/>
        <v>0</v>
      </c>
      <c r="K93" s="56">
        <f t="shared" si="44"/>
        <v>0</v>
      </c>
      <c r="L93" s="62">
        <f t="shared" si="45"/>
        <v>0</v>
      </c>
      <c r="M93" s="62">
        <f t="shared" si="45"/>
        <v>0</v>
      </c>
      <c r="N93" s="80">
        <f t="shared" si="45"/>
        <v>0</v>
      </c>
      <c r="O93" s="62">
        <f t="shared" si="45"/>
        <v>0</v>
      </c>
      <c r="P93" s="62">
        <f t="shared" si="45"/>
        <v>0</v>
      </c>
      <c r="Q93" s="62">
        <f t="shared" si="45"/>
        <v>0</v>
      </c>
      <c r="R93" s="56">
        <f t="shared" si="46"/>
        <v>0</v>
      </c>
      <c r="S93" s="57" t="e">
        <f t="shared" si="47"/>
        <v>#VALUE!</v>
      </c>
      <c r="T93" s="7" t="e">
        <f t="shared" si="47"/>
        <v>#VALUE!</v>
      </c>
      <c r="U93" s="7" t="e">
        <f t="shared" si="47"/>
        <v>#VALUE!</v>
      </c>
      <c r="V93" s="7" t="e">
        <f t="shared" si="47"/>
        <v>#VALUE!</v>
      </c>
      <c r="W93" s="7" t="e">
        <f t="shared" si="47"/>
        <v>#VALUE!</v>
      </c>
      <c r="X93" s="7" t="e">
        <f t="shared" si="47"/>
        <v>#VALUE!</v>
      </c>
      <c r="Y93" s="64" t="e">
        <f t="shared" si="47"/>
        <v>#VALUE!</v>
      </c>
    </row>
    <row r="94" spans="3:25" x14ac:dyDescent="0.4">
      <c r="C94" s="70" t="s">
        <v>16</v>
      </c>
      <c r="D94" s="15" t="s">
        <v>17</v>
      </c>
      <c r="E94" s="68">
        <f t="shared" si="43"/>
        <v>0</v>
      </c>
      <c r="F94" s="3">
        <f t="shared" si="43"/>
        <v>0</v>
      </c>
      <c r="G94" s="79">
        <f t="shared" si="43"/>
        <v>94.2</v>
      </c>
      <c r="H94" s="3">
        <f t="shared" si="43"/>
        <v>0</v>
      </c>
      <c r="I94" s="3">
        <f t="shared" si="43"/>
        <v>69.099999999999994</v>
      </c>
      <c r="J94" s="3">
        <f t="shared" si="43"/>
        <v>0</v>
      </c>
      <c r="K94" s="56">
        <f t="shared" si="44"/>
        <v>163.30000000000001</v>
      </c>
      <c r="L94" s="62">
        <f t="shared" si="45"/>
        <v>0</v>
      </c>
      <c r="M94" s="62">
        <f t="shared" si="45"/>
        <v>0</v>
      </c>
      <c r="N94" s="80">
        <f t="shared" si="45"/>
        <v>3.15</v>
      </c>
      <c r="O94" s="62">
        <f t="shared" si="45"/>
        <v>0</v>
      </c>
      <c r="P94" s="62">
        <f t="shared" si="45"/>
        <v>2.2000000000000002</v>
      </c>
      <c r="Q94" s="62">
        <f t="shared" si="45"/>
        <v>0</v>
      </c>
      <c r="R94" s="56">
        <f t="shared" si="46"/>
        <v>5.35</v>
      </c>
      <c r="S94" s="57"/>
      <c r="T94" s="7"/>
      <c r="U94" s="7"/>
      <c r="V94" s="7"/>
      <c r="W94" s="7"/>
      <c r="X94" s="7"/>
      <c r="Y94" s="64"/>
    </row>
    <row r="95" spans="3:25" x14ac:dyDescent="0.4">
      <c r="C95" s="2" t="s">
        <v>18</v>
      </c>
      <c r="D95" s="15" t="s">
        <v>19</v>
      </c>
      <c r="E95" s="2">
        <f t="shared" si="43"/>
        <v>0</v>
      </c>
      <c r="F95" s="3">
        <f t="shared" si="43"/>
        <v>0</v>
      </c>
      <c r="G95" s="79">
        <f t="shared" si="43"/>
        <v>0</v>
      </c>
      <c r="H95" s="3">
        <f t="shared" si="43"/>
        <v>0</v>
      </c>
      <c r="I95" s="3">
        <f t="shared" si="43"/>
        <v>0</v>
      </c>
      <c r="J95" s="3">
        <f t="shared" si="43"/>
        <v>0</v>
      </c>
      <c r="K95" s="56">
        <f t="shared" si="44"/>
        <v>0</v>
      </c>
      <c r="L95" s="2">
        <f t="shared" si="45"/>
        <v>0</v>
      </c>
      <c r="M95" s="3">
        <f t="shared" si="45"/>
        <v>0</v>
      </c>
      <c r="N95" s="3">
        <f t="shared" si="45"/>
        <v>0</v>
      </c>
      <c r="O95" s="3">
        <f t="shared" si="45"/>
        <v>0</v>
      </c>
      <c r="P95" s="3">
        <f t="shared" si="45"/>
        <v>0</v>
      </c>
      <c r="Q95" s="3">
        <f t="shared" si="45"/>
        <v>0</v>
      </c>
      <c r="R95" s="56">
        <f t="shared" si="46"/>
        <v>0</v>
      </c>
      <c r="S95" s="57" t="e">
        <f t="shared" ref="S95:Y96" si="48">S83-S47</f>
        <v>#VALUE!</v>
      </c>
      <c r="T95" s="7" t="e">
        <f t="shared" si="48"/>
        <v>#VALUE!</v>
      </c>
      <c r="U95" s="7" t="e">
        <f t="shared" si="48"/>
        <v>#VALUE!</v>
      </c>
      <c r="V95" s="7" t="e">
        <f t="shared" si="48"/>
        <v>#VALUE!</v>
      </c>
      <c r="W95" s="7" t="e">
        <f t="shared" si="48"/>
        <v>#VALUE!</v>
      </c>
      <c r="X95" s="7" t="e">
        <f t="shared" si="48"/>
        <v>#VALUE!</v>
      </c>
      <c r="Y95" s="64" t="e">
        <f t="shared" si="48"/>
        <v>#VALUE!</v>
      </c>
    </row>
    <row r="96" spans="3:25" x14ac:dyDescent="0.4">
      <c r="C96" s="4" t="s">
        <v>5</v>
      </c>
      <c r="D96" s="16"/>
      <c r="E96" s="49">
        <f t="shared" ref="E96:J96" si="49">SUM(E89:E95)</f>
        <v>1443.5300000000007</v>
      </c>
      <c r="F96" s="6">
        <f t="shared" si="49"/>
        <v>3995.2210000000014</v>
      </c>
      <c r="G96" s="6">
        <f t="shared" si="49"/>
        <v>8683.4830000000038</v>
      </c>
      <c r="H96" s="6">
        <f t="shared" si="49"/>
        <v>2680.2210000000032</v>
      </c>
      <c r="I96" s="6">
        <f t="shared" si="49"/>
        <v>272.70899999999949</v>
      </c>
      <c r="J96" s="6">
        <f t="shared" si="49"/>
        <v>3533.5799999999981</v>
      </c>
      <c r="K96" s="50">
        <f t="shared" si="44"/>
        <v>20608.744000000006</v>
      </c>
      <c r="L96" s="49">
        <f t="shared" ref="L96:Q96" si="50">SUM(L89:L95)</f>
        <v>804.65899999999988</v>
      </c>
      <c r="M96" s="6">
        <f t="shared" si="50"/>
        <v>587.27</v>
      </c>
      <c r="N96" s="6">
        <f t="shared" si="50"/>
        <v>1952.7049999999999</v>
      </c>
      <c r="O96" s="6">
        <f t="shared" si="50"/>
        <v>752.26899999999932</v>
      </c>
      <c r="P96" s="6">
        <f t="shared" si="50"/>
        <v>28.729000000000223</v>
      </c>
      <c r="Q96" s="6">
        <f t="shared" si="50"/>
        <v>894.1840000000002</v>
      </c>
      <c r="R96" s="50">
        <f t="shared" si="46"/>
        <v>5019.8159999999998</v>
      </c>
      <c r="S96" s="58">
        <f t="shared" si="48"/>
        <v>9.8906807811192654E-3</v>
      </c>
      <c r="T96" s="9">
        <f t="shared" si="48"/>
        <v>-4.9824610148452853E-3</v>
      </c>
      <c r="U96" s="9">
        <f t="shared" si="48"/>
        <v>3.3222074774313104E-3</v>
      </c>
      <c r="V96" s="9">
        <f t="shared" si="48"/>
        <v>3.9603623372163332E-3</v>
      </c>
      <c r="W96" s="9">
        <f t="shared" si="48"/>
        <v>-6.442865378298579E-4</v>
      </c>
      <c r="X96" s="9">
        <f t="shared" si="48"/>
        <v>2.8774731069236836E-3</v>
      </c>
      <c r="Y96" s="65">
        <f t="shared" si="48"/>
        <v>2.5529368182933276E-3</v>
      </c>
    </row>
    <row r="97" spans="3:25" x14ac:dyDescent="0.4">
      <c r="C97" s="12"/>
      <c r="E97" s="11"/>
      <c r="F97" s="11"/>
      <c r="G97" s="11"/>
      <c r="H97" s="11"/>
      <c r="I97" s="11"/>
      <c r="J97" s="11"/>
      <c r="K97" s="12"/>
      <c r="L97" s="11"/>
      <c r="M97" s="11"/>
      <c r="N97" s="11"/>
      <c r="O97" s="11"/>
      <c r="P97" s="11"/>
      <c r="Q97" s="11"/>
      <c r="R97" s="12"/>
      <c r="S97" s="13"/>
      <c r="T97" s="13"/>
      <c r="U97" s="13"/>
      <c r="V97" s="13"/>
      <c r="W97" s="13"/>
      <c r="X97" s="13"/>
      <c r="Y97" s="13"/>
    </row>
    <row r="98" spans="3:25" x14ac:dyDescent="0.4">
      <c r="C98" s="12" t="s">
        <v>27</v>
      </c>
    </row>
    <row r="99" spans="3:25" x14ac:dyDescent="0.4">
      <c r="C99" s="85"/>
      <c r="D99" s="84"/>
      <c r="E99" s="85" t="s">
        <v>2</v>
      </c>
      <c r="F99" s="83"/>
      <c r="G99" s="83"/>
      <c r="H99" s="83"/>
      <c r="I99" s="83"/>
      <c r="J99" s="83"/>
      <c r="K99" s="84"/>
      <c r="L99" s="82" t="s">
        <v>3</v>
      </c>
      <c r="M99" s="83"/>
      <c r="N99" s="83"/>
      <c r="O99" s="83"/>
      <c r="P99" s="83"/>
      <c r="Q99" s="83"/>
      <c r="R99" s="84"/>
      <c r="S99" s="82" t="s">
        <v>4</v>
      </c>
      <c r="T99" s="83"/>
      <c r="U99" s="83"/>
      <c r="V99" s="83"/>
      <c r="W99" s="83"/>
      <c r="X99" s="83"/>
      <c r="Y99" s="84"/>
    </row>
    <row r="100" spans="3:25" x14ac:dyDescent="0.4">
      <c r="C100" s="1"/>
      <c r="D100" s="14"/>
      <c r="E100" s="54">
        <v>46113</v>
      </c>
      <c r="F100" s="51">
        <v>46143</v>
      </c>
      <c r="G100" s="51">
        <v>46174</v>
      </c>
      <c r="H100" s="51">
        <v>46204</v>
      </c>
      <c r="I100" s="51">
        <v>46235</v>
      </c>
      <c r="J100" s="51">
        <v>46266</v>
      </c>
      <c r="K100" s="52" t="s">
        <v>5</v>
      </c>
      <c r="L100" s="48">
        <v>46113</v>
      </c>
      <c r="M100" s="51">
        <v>46143</v>
      </c>
      <c r="N100" s="51">
        <v>46174</v>
      </c>
      <c r="O100" s="51">
        <v>46204</v>
      </c>
      <c r="P100" s="51">
        <v>46235</v>
      </c>
      <c r="Q100" s="51">
        <v>46266</v>
      </c>
      <c r="R100" s="52" t="s">
        <v>5</v>
      </c>
      <c r="S100" s="48">
        <v>46113</v>
      </c>
      <c r="T100" s="51">
        <v>46143</v>
      </c>
      <c r="U100" s="51">
        <v>46174</v>
      </c>
      <c r="V100" s="51">
        <v>46204</v>
      </c>
      <c r="W100" s="51">
        <v>46235</v>
      </c>
      <c r="X100" s="51">
        <v>46266</v>
      </c>
      <c r="Y100" s="52" t="s">
        <v>5</v>
      </c>
    </row>
    <row r="101" spans="3:25" x14ac:dyDescent="0.4">
      <c r="C101" s="2" t="s">
        <v>6</v>
      </c>
      <c r="D101" s="15" t="s">
        <v>7</v>
      </c>
      <c r="E101" s="2">
        <f t="shared" ref="E101:J107" si="51">E77-E17</f>
        <v>3131.7810000000009</v>
      </c>
      <c r="F101" s="3">
        <f t="shared" si="51"/>
        <v>2260.0460000000021</v>
      </c>
      <c r="G101" s="79">
        <f t="shared" si="51"/>
        <v>487.28999999999905</v>
      </c>
      <c r="H101" s="3">
        <f t="shared" si="51"/>
        <v>-2171.4740000000002</v>
      </c>
      <c r="I101" s="3">
        <f t="shared" si="51"/>
        <v>-607.92100000000119</v>
      </c>
      <c r="J101" s="3">
        <f t="shared" si="51"/>
        <v>-1785.491</v>
      </c>
      <c r="K101" s="56">
        <f t="shared" ref="K101:K108" si="52">SUM(E101:J101)</f>
        <v>1314.2310000000007</v>
      </c>
      <c r="L101" s="62">
        <f t="shared" ref="L101:Q107" si="53">L77-L17</f>
        <v>873.27999999999975</v>
      </c>
      <c r="M101" s="62">
        <f t="shared" si="53"/>
        <v>268.01900000000001</v>
      </c>
      <c r="N101" s="80">
        <f t="shared" si="53"/>
        <v>-231.3900000000001</v>
      </c>
      <c r="O101" s="62">
        <f t="shared" si="53"/>
        <v>-655.93100000000049</v>
      </c>
      <c r="P101" s="62">
        <f t="shared" si="53"/>
        <v>-206.96199999999999</v>
      </c>
      <c r="Q101" s="62">
        <f t="shared" si="53"/>
        <v>-257.46299999999974</v>
      </c>
      <c r="R101" s="56">
        <f t="shared" ref="R101:R108" si="54">SUM(L101:Q101)</f>
        <v>-210.44700000000057</v>
      </c>
      <c r="S101" s="57">
        <f t="shared" ref="S101:Y105" si="55">S77-S17</f>
        <v>7.2377362511266974E-3</v>
      </c>
      <c r="T101" s="7">
        <f t="shared" si="55"/>
        <v>-2.2538072619875699E-2</v>
      </c>
      <c r="U101" s="7">
        <f t="shared" si="55"/>
        <v>-3.7192847453430267E-2</v>
      </c>
      <c r="V101" s="7">
        <f t="shared" si="55"/>
        <v>-1.5120305471555406E-2</v>
      </c>
      <c r="W101" s="7">
        <f t="shared" si="55"/>
        <v>-8.537652858876088E-3</v>
      </c>
      <c r="X101" s="7">
        <f t="shared" si="55"/>
        <v>1.6252534422523113E-2</v>
      </c>
      <c r="Y101" s="8">
        <f t="shared" si="55"/>
        <v>-8.3074127623949112E-3</v>
      </c>
    </row>
    <row r="102" spans="3:25" x14ac:dyDescent="0.4">
      <c r="C102" s="2" t="s">
        <v>8</v>
      </c>
      <c r="D102" s="15" t="s">
        <v>9</v>
      </c>
      <c r="E102" s="2">
        <f t="shared" si="51"/>
        <v>-1455.4899999999998</v>
      </c>
      <c r="F102" s="3">
        <f t="shared" si="51"/>
        <v>2622.6320000000014</v>
      </c>
      <c r="G102" s="79">
        <f t="shared" si="51"/>
        <v>7442.215000000002</v>
      </c>
      <c r="H102" s="3">
        <f t="shared" si="51"/>
        <v>1840.6250000000018</v>
      </c>
      <c r="I102" s="3">
        <f t="shared" si="51"/>
        <v>1481.2889999999989</v>
      </c>
      <c r="J102" s="3">
        <f t="shared" si="51"/>
        <v>3169.7909999999993</v>
      </c>
      <c r="K102" s="56">
        <f t="shared" si="52"/>
        <v>15101.062000000004</v>
      </c>
      <c r="L102" s="62">
        <f t="shared" si="53"/>
        <v>-450.26499999999987</v>
      </c>
      <c r="M102" s="62">
        <f t="shared" si="53"/>
        <v>28.304000000000087</v>
      </c>
      <c r="N102" s="80">
        <f t="shared" si="53"/>
        <v>1429.5389999999998</v>
      </c>
      <c r="O102" s="62">
        <f t="shared" si="53"/>
        <v>278.18500000000085</v>
      </c>
      <c r="P102" s="62">
        <f t="shared" si="53"/>
        <v>170.78599999999915</v>
      </c>
      <c r="Q102" s="62">
        <f t="shared" si="53"/>
        <v>646.91700000000037</v>
      </c>
      <c r="R102" s="56">
        <f t="shared" si="54"/>
        <v>2103.4660000000003</v>
      </c>
      <c r="S102" s="57">
        <f t="shared" si="55"/>
        <v>-1.1682313610171663E-2</v>
      </c>
      <c r="T102" s="7">
        <f t="shared" si="55"/>
        <v>-6.1448770696879429E-3</v>
      </c>
      <c r="U102" s="7">
        <f t="shared" si="55"/>
        <v>-5.0867944489872696E-3</v>
      </c>
      <c r="V102" s="7">
        <f t="shared" si="55"/>
        <v>-6.257665158723752E-3</v>
      </c>
      <c r="W102" s="7">
        <f t="shared" si="55"/>
        <v>-1.0939437216295117E-2</v>
      </c>
      <c r="X102" s="7">
        <f t="shared" si="55"/>
        <v>6.4768605284598602E-4</v>
      </c>
      <c r="Y102" s="8">
        <f t="shared" si="55"/>
        <v>-1.1283442843118024E-2</v>
      </c>
    </row>
    <row r="103" spans="3:25" x14ac:dyDescent="0.4">
      <c r="C103" s="2" t="s">
        <v>10</v>
      </c>
      <c r="D103" s="15" t="s">
        <v>11</v>
      </c>
      <c r="E103" s="2">
        <f t="shared" si="51"/>
        <v>1795.4189999999999</v>
      </c>
      <c r="F103" s="3">
        <f t="shared" si="51"/>
        <v>1619.3260000000009</v>
      </c>
      <c r="G103" s="79">
        <f t="shared" si="51"/>
        <v>2116.3680000000013</v>
      </c>
      <c r="H103" s="3">
        <f t="shared" si="51"/>
        <v>2319.8519999999999</v>
      </c>
      <c r="I103" s="3">
        <f t="shared" si="51"/>
        <v>2544.8159999999998</v>
      </c>
      <c r="J103" s="3">
        <f t="shared" si="51"/>
        <v>1583.3999999999996</v>
      </c>
      <c r="K103" s="56">
        <f t="shared" si="52"/>
        <v>11979.181000000002</v>
      </c>
      <c r="L103" s="62">
        <f t="shared" si="53"/>
        <v>581.18399999999997</v>
      </c>
      <c r="M103" s="62">
        <f t="shared" si="53"/>
        <v>495.93599999999992</v>
      </c>
      <c r="N103" s="80">
        <f t="shared" si="53"/>
        <v>647.89300000000003</v>
      </c>
      <c r="O103" s="62">
        <f t="shared" si="53"/>
        <v>775.47499999999991</v>
      </c>
      <c r="P103" s="62">
        <f t="shared" si="53"/>
        <v>499.2679999999998</v>
      </c>
      <c r="Q103" s="62">
        <f t="shared" si="53"/>
        <v>562.78900000000021</v>
      </c>
      <c r="R103" s="56">
        <f t="shared" si="54"/>
        <v>3562.5449999999996</v>
      </c>
      <c r="S103" s="57">
        <f t="shared" si="55"/>
        <v>2.644405502953262E-2</v>
      </c>
      <c r="T103" s="7">
        <f t="shared" si="55"/>
        <v>2.0003259050057287E-2</v>
      </c>
      <c r="U103" s="7">
        <f t="shared" si="55"/>
        <v>2.885375851642541E-2</v>
      </c>
      <c r="V103" s="7">
        <f t="shared" si="55"/>
        <v>3.5747948405666585E-2</v>
      </c>
      <c r="W103" s="7">
        <f t="shared" si="55"/>
        <v>-2.1982544922164171E-3</v>
      </c>
      <c r="X103" s="7">
        <f t="shared" si="55"/>
        <v>2.3232764857627708E-2</v>
      </c>
      <c r="Y103" s="8">
        <f t="shared" si="55"/>
        <v>2.1854920835498282E-2</v>
      </c>
    </row>
    <row r="104" spans="3:25" x14ac:dyDescent="0.4">
      <c r="C104" s="2" t="s">
        <v>12</v>
      </c>
      <c r="D104" s="15" t="s">
        <v>13</v>
      </c>
      <c r="E104" s="2">
        <f t="shared" si="51"/>
        <v>-31.556000000000495</v>
      </c>
      <c r="F104" s="3">
        <f t="shared" si="51"/>
        <v>-924.85700000000179</v>
      </c>
      <c r="G104" s="79">
        <f t="shared" si="51"/>
        <v>552.05400000000009</v>
      </c>
      <c r="H104" s="3">
        <f t="shared" si="51"/>
        <v>1373.5540000000001</v>
      </c>
      <c r="I104" s="3">
        <f t="shared" si="51"/>
        <v>1088.6370000000006</v>
      </c>
      <c r="J104" s="3">
        <f t="shared" si="51"/>
        <v>1857.3060000000005</v>
      </c>
      <c r="K104" s="56">
        <f t="shared" si="52"/>
        <v>3915.137999999999</v>
      </c>
      <c r="L104" s="62">
        <f t="shared" si="53"/>
        <v>71.007999999999811</v>
      </c>
      <c r="M104" s="62">
        <f t="shared" si="53"/>
        <v>-13.37900000000036</v>
      </c>
      <c r="N104" s="80">
        <f t="shared" si="53"/>
        <v>500.28999999999996</v>
      </c>
      <c r="O104" s="62">
        <f t="shared" si="53"/>
        <v>520.0659999999998</v>
      </c>
      <c r="P104" s="62">
        <f t="shared" si="53"/>
        <v>373.89700000000039</v>
      </c>
      <c r="Q104" s="62">
        <f t="shared" si="53"/>
        <v>590.27599999999984</v>
      </c>
      <c r="R104" s="56">
        <f t="shared" si="54"/>
        <v>2042.1579999999994</v>
      </c>
      <c r="S104" s="57">
        <f t="shared" si="55"/>
        <v>5.7214696659228792E-3</v>
      </c>
      <c r="T104" s="7">
        <f t="shared" si="55"/>
        <v>1.5413333684296038E-2</v>
      </c>
      <c r="U104" s="7">
        <f t="shared" si="55"/>
        <v>3.429548984910244E-2</v>
      </c>
      <c r="V104" s="7">
        <f t="shared" si="55"/>
        <v>1.7435815170771973E-2</v>
      </c>
      <c r="W104" s="7">
        <f t="shared" si="55"/>
        <v>1.2169341859210148E-2</v>
      </c>
      <c r="X104" s="7">
        <f t="shared" si="55"/>
        <v>1.6269092635922605E-2</v>
      </c>
      <c r="Y104" s="8">
        <f t="shared" si="55"/>
        <v>1.6594942338822694E-2</v>
      </c>
    </row>
    <row r="105" spans="3:25" x14ac:dyDescent="0.4">
      <c r="C105" s="2" t="s">
        <v>14</v>
      </c>
      <c r="D105" s="15" t="s">
        <v>15</v>
      </c>
      <c r="E105" s="2">
        <f t="shared" si="51"/>
        <v>0</v>
      </c>
      <c r="F105" s="69">
        <f t="shared" si="51"/>
        <v>0</v>
      </c>
      <c r="G105" s="79">
        <f t="shared" si="51"/>
        <v>0</v>
      </c>
      <c r="H105" s="3">
        <f t="shared" si="51"/>
        <v>0</v>
      </c>
      <c r="I105" s="3">
        <f t="shared" si="51"/>
        <v>0</v>
      </c>
      <c r="J105" s="3">
        <f t="shared" si="51"/>
        <v>0</v>
      </c>
      <c r="K105" s="56">
        <f t="shared" si="52"/>
        <v>0</v>
      </c>
      <c r="L105" s="62">
        <f t="shared" si="53"/>
        <v>0</v>
      </c>
      <c r="M105" s="62">
        <f t="shared" si="53"/>
        <v>0</v>
      </c>
      <c r="N105" s="80">
        <f t="shared" si="53"/>
        <v>0</v>
      </c>
      <c r="O105" s="62">
        <f t="shared" si="53"/>
        <v>0</v>
      </c>
      <c r="P105" s="62">
        <f t="shared" si="53"/>
        <v>0</v>
      </c>
      <c r="Q105" s="62">
        <f t="shared" si="53"/>
        <v>0</v>
      </c>
      <c r="R105" s="56">
        <f t="shared" si="54"/>
        <v>0</v>
      </c>
      <c r="S105" s="57" t="e">
        <f t="shared" si="55"/>
        <v>#VALUE!</v>
      </c>
      <c r="T105" s="7" t="e">
        <f t="shared" si="55"/>
        <v>#VALUE!</v>
      </c>
      <c r="U105" s="7" t="e">
        <f t="shared" si="55"/>
        <v>#VALUE!</v>
      </c>
      <c r="V105" s="7" t="e">
        <f t="shared" si="55"/>
        <v>#VALUE!</v>
      </c>
      <c r="W105" s="7" t="e">
        <f t="shared" si="55"/>
        <v>#VALUE!</v>
      </c>
      <c r="X105" s="7" t="e">
        <f t="shared" si="55"/>
        <v>#VALUE!</v>
      </c>
      <c r="Y105" s="8" t="e">
        <f t="shared" si="55"/>
        <v>#VALUE!</v>
      </c>
    </row>
    <row r="106" spans="3:25" x14ac:dyDescent="0.4">
      <c r="C106" s="70" t="s">
        <v>16</v>
      </c>
      <c r="D106" s="15" t="s">
        <v>17</v>
      </c>
      <c r="E106" s="2">
        <f t="shared" si="51"/>
        <v>0</v>
      </c>
      <c r="F106" s="69">
        <f t="shared" si="51"/>
        <v>0</v>
      </c>
      <c r="G106" s="79">
        <f t="shared" si="51"/>
        <v>94.2</v>
      </c>
      <c r="H106" s="3">
        <f t="shared" si="51"/>
        <v>0</v>
      </c>
      <c r="I106" s="3">
        <f t="shared" si="51"/>
        <v>69.099999999999994</v>
      </c>
      <c r="J106" s="3">
        <f t="shared" si="51"/>
        <v>0</v>
      </c>
      <c r="K106" s="56">
        <f t="shared" si="52"/>
        <v>163.30000000000001</v>
      </c>
      <c r="L106" s="62">
        <f t="shared" si="53"/>
        <v>0</v>
      </c>
      <c r="M106" s="62">
        <f t="shared" si="53"/>
        <v>0</v>
      </c>
      <c r="N106" s="80">
        <f t="shared" si="53"/>
        <v>3.15</v>
      </c>
      <c r="O106" s="62">
        <f t="shared" si="53"/>
        <v>0</v>
      </c>
      <c r="P106" s="62">
        <f t="shared" si="53"/>
        <v>2.2000000000000002</v>
      </c>
      <c r="Q106" s="62">
        <f t="shared" si="53"/>
        <v>0</v>
      </c>
      <c r="R106" s="56">
        <f t="shared" si="54"/>
        <v>5.35</v>
      </c>
      <c r="S106" s="57"/>
      <c r="T106" s="7"/>
      <c r="U106" s="7"/>
      <c r="V106" s="7"/>
      <c r="W106" s="7"/>
      <c r="X106" s="7"/>
      <c r="Y106" s="8"/>
    </row>
    <row r="107" spans="3:25" x14ac:dyDescent="0.4">
      <c r="C107" s="2" t="s">
        <v>18</v>
      </c>
      <c r="D107" s="15" t="s">
        <v>19</v>
      </c>
      <c r="E107" s="2">
        <f t="shared" si="51"/>
        <v>0</v>
      </c>
      <c r="F107" s="3">
        <f t="shared" si="51"/>
        <v>0</v>
      </c>
      <c r="G107" s="79">
        <f t="shared" si="51"/>
        <v>-125</v>
      </c>
      <c r="H107" s="3">
        <f t="shared" si="51"/>
        <v>0</v>
      </c>
      <c r="I107" s="3">
        <f t="shared" si="51"/>
        <v>-4.8</v>
      </c>
      <c r="J107" s="3">
        <f t="shared" si="51"/>
        <v>0</v>
      </c>
      <c r="K107" s="56">
        <f t="shared" si="52"/>
        <v>-129.80000000000001</v>
      </c>
      <c r="L107" s="2">
        <f t="shared" si="53"/>
        <v>0</v>
      </c>
      <c r="M107" s="3">
        <f t="shared" si="53"/>
        <v>0</v>
      </c>
      <c r="N107" s="79">
        <f t="shared" si="53"/>
        <v>-20.2</v>
      </c>
      <c r="O107" s="3">
        <f t="shared" si="53"/>
        <v>0</v>
      </c>
      <c r="P107" s="3">
        <f t="shared" si="53"/>
        <v>-1.38</v>
      </c>
      <c r="Q107" s="3">
        <f t="shared" si="53"/>
        <v>0</v>
      </c>
      <c r="R107" s="56">
        <f t="shared" si="54"/>
        <v>-21.58</v>
      </c>
      <c r="S107" s="57" t="e">
        <f t="shared" ref="S107:Y108" si="56">S83-S23</f>
        <v>#VALUE!</v>
      </c>
      <c r="T107" s="7" t="e">
        <f t="shared" si="56"/>
        <v>#VALUE!</v>
      </c>
      <c r="U107" s="7" t="e">
        <f t="shared" si="56"/>
        <v>#VALUE!</v>
      </c>
      <c r="V107" s="7" t="e">
        <f t="shared" si="56"/>
        <v>#VALUE!</v>
      </c>
      <c r="W107" s="7" t="e">
        <f t="shared" si="56"/>
        <v>#VALUE!</v>
      </c>
      <c r="X107" s="7" t="e">
        <f t="shared" si="56"/>
        <v>#VALUE!</v>
      </c>
      <c r="Y107" s="8" t="e">
        <f t="shared" si="56"/>
        <v>#VALUE!</v>
      </c>
    </row>
    <row r="108" spans="3:25" x14ac:dyDescent="0.4">
      <c r="C108" s="4" t="s">
        <v>5</v>
      </c>
      <c r="D108" s="16"/>
      <c r="E108" s="49">
        <f t="shared" ref="E108:J108" si="57">SUM(E101:E107)</f>
        <v>3440.1540000000005</v>
      </c>
      <c r="F108" s="6">
        <f t="shared" si="57"/>
        <v>5577.1470000000027</v>
      </c>
      <c r="G108" s="6">
        <f t="shared" si="57"/>
        <v>10567.127000000004</v>
      </c>
      <c r="H108" s="6">
        <f t="shared" si="57"/>
        <v>3362.5570000000016</v>
      </c>
      <c r="I108" s="6">
        <f t="shared" si="57"/>
        <v>4571.1209999999983</v>
      </c>
      <c r="J108" s="6">
        <f t="shared" si="57"/>
        <v>4825.0059999999994</v>
      </c>
      <c r="K108" s="50">
        <f t="shared" si="52"/>
        <v>32343.112000000008</v>
      </c>
      <c r="L108" s="49">
        <f t="shared" ref="L108:Q108" si="58">SUM(L101:L107)</f>
        <v>1075.2069999999997</v>
      </c>
      <c r="M108" s="6">
        <f t="shared" si="58"/>
        <v>778.87999999999965</v>
      </c>
      <c r="N108" s="6">
        <f t="shared" si="58"/>
        <v>2329.2819999999997</v>
      </c>
      <c r="O108" s="6">
        <f t="shared" si="58"/>
        <v>917.79500000000007</v>
      </c>
      <c r="P108" s="6">
        <f t="shared" si="58"/>
        <v>837.8089999999994</v>
      </c>
      <c r="Q108" s="6">
        <f t="shared" si="58"/>
        <v>1542.5190000000007</v>
      </c>
      <c r="R108" s="50">
        <f t="shared" si="54"/>
        <v>7481.4919999999984</v>
      </c>
      <c r="S108" s="58">
        <f t="shared" si="56"/>
        <v>6.9189933031118533E-3</v>
      </c>
      <c r="T108" s="9">
        <f t="shared" si="56"/>
        <v>-8.2305212142435857E-3</v>
      </c>
      <c r="U108" s="9">
        <f t="shared" si="56"/>
        <v>3.0093608086678991E-3</v>
      </c>
      <c r="V108" s="9">
        <f t="shared" si="56"/>
        <v>4.4775294465639603E-3</v>
      </c>
      <c r="W108" s="9">
        <f t="shared" si="56"/>
        <v>-2.8755986760035379E-3</v>
      </c>
      <c r="X108" s="9">
        <f t="shared" si="56"/>
        <v>1.1201876652685211E-2</v>
      </c>
      <c r="Y108" s="10">
        <f t="shared" si="56"/>
        <v>2.6445179108087191E-3</v>
      </c>
    </row>
  </sheetData>
  <mergeCells count="36">
    <mergeCell ref="C3:D3"/>
    <mergeCell ref="S15:Y15"/>
    <mergeCell ref="C87:D87"/>
    <mergeCell ref="E27:K27"/>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S99:Y99"/>
    <mergeCell ref="L63:R63"/>
    <mergeCell ref="C15:D15"/>
    <mergeCell ref="L99:R99"/>
    <mergeCell ref="S63:Y63"/>
    <mergeCell ref="E75:K75"/>
    <mergeCell ref="L27:R27"/>
    <mergeCell ref="C63:D63"/>
    <mergeCell ref="L15:R15"/>
    <mergeCell ref="C39:D39"/>
    <mergeCell ref="E63:K63"/>
    <mergeCell ref="L39:R39"/>
    <mergeCell ref="S87:Y87"/>
    <mergeCell ref="E99:K99"/>
    <mergeCell ref="L51:R51"/>
    <mergeCell ref="E15:K15"/>
  </mergeCells>
  <phoneticPr fontId="2"/>
  <printOptions horizontalCentered="1" verticalCentered="1"/>
  <pageMargins left="0.70866141732283472" right="0.70866141732283472" top="0.74803149606299213" bottom="0.74803149606299213" header="0.31496062992125978" footer="0.31496062992125978"/>
  <pageSetup paperSize="8" scale="6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249977111117893"/>
    <pageSetUpPr fitToPage="1"/>
  </sheetPr>
  <dimension ref="C1:Y108"/>
  <sheetViews>
    <sheetView zoomScaleNormal="100" workbookViewId="0">
      <pane xSplit="4" ySplit="1" topLeftCell="E41" activePane="bottomRight" state="frozen"/>
      <selection activeCell="E89" sqref="E89"/>
      <selection pane="topRight" activeCell="E89" sqref="E89"/>
      <selection pane="bottomLeft" activeCell="E89" sqref="E89"/>
      <selection pane="bottomRight" activeCell="O80" sqref="O80"/>
    </sheetView>
  </sheetViews>
  <sheetFormatPr defaultRowHeight="18.75" x14ac:dyDescent="0.4"/>
  <cols>
    <col min="3" max="3" width="9.75" style="78" bestFit="1" customWidth="1"/>
    <col min="5" max="25" width="10.125" style="78" customWidth="1"/>
  </cols>
  <sheetData>
    <row r="1" spans="3:25" x14ac:dyDescent="0.4">
      <c r="C1" s="17" t="s">
        <v>0</v>
      </c>
    </row>
    <row r="2" spans="3:25" x14ac:dyDescent="0.4">
      <c r="C2" t="s">
        <v>1</v>
      </c>
    </row>
    <row r="3" spans="3:25" x14ac:dyDescent="0.4">
      <c r="C3" s="85"/>
      <c r="D3" s="84"/>
      <c r="E3" s="87" t="s">
        <v>2</v>
      </c>
      <c r="F3" s="83"/>
      <c r="G3" s="83"/>
      <c r="H3" s="83"/>
      <c r="I3" s="83"/>
      <c r="J3" s="83"/>
      <c r="K3" s="83"/>
      <c r="L3" s="86" t="s">
        <v>3</v>
      </c>
      <c r="M3" s="83"/>
      <c r="N3" s="83"/>
      <c r="O3" s="83"/>
      <c r="P3" s="83"/>
      <c r="Q3" s="83"/>
      <c r="R3" s="84"/>
      <c r="S3" s="82" t="s">
        <v>4</v>
      </c>
      <c r="T3" s="83"/>
      <c r="U3" s="83"/>
      <c r="V3" s="83"/>
      <c r="W3" s="83"/>
      <c r="X3" s="83"/>
      <c r="Y3" s="84"/>
    </row>
    <row r="4" spans="3:25" x14ac:dyDescent="0.4">
      <c r="C4" s="1"/>
      <c r="D4" s="14"/>
      <c r="E4" s="51">
        <v>45383</v>
      </c>
      <c r="F4" s="51">
        <v>45413</v>
      </c>
      <c r="G4" s="51">
        <v>45444</v>
      </c>
      <c r="H4" s="51">
        <v>45474</v>
      </c>
      <c r="I4" s="51">
        <v>45505</v>
      </c>
      <c r="J4" s="51">
        <v>45536</v>
      </c>
      <c r="K4" s="55" t="s">
        <v>5</v>
      </c>
      <c r="L4" s="54">
        <v>45383</v>
      </c>
      <c r="M4" s="51">
        <v>45413</v>
      </c>
      <c r="N4" s="51">
        <v>45444</v>
      </c>
      <c r="O4" s="51">
        <v>45474</v>
      </c>
      <c r="P4" s="51">
        <v>45505</v>
      </c>
      <c r="Q4" s="51">
        <v>45536</v>
      </c>
      <c r="R4" s="52" t="s">
        <v>5</v>
      </c>
      <c r="S4" s="48">
        <v>45017</v>
      </c>
      <c r="T4" s="51">
        <v>45047</v>
      </c>
      <c r="U4" s="51">
        <v>45078</v>
      </c>
      <c r="V4" s="51">
        <v>45108</v>
      </c>
      <c r="W4" s="51">
        <v>45139</v>
      </c>
      <c r="X4" s="51">
        <v>45170</v>
      </c>
      <c r="Y4" s="52" t="s">
        <v>5</v>
      </c>
    </row>
    <row r="5" spans="3:25" x14ac:dyDescent="0.4">
      <c r="C5" s="2" t="s">
        <v>6</v>
      </c>
      <c r="D5" s="15" t="s">
        <v>7</v>
      </c>
      <c r="E5" s="3">
        <v>114</v>
      </c>
      <c r="F5" s="3">
        <v>827</v>
      </c>
      <c r="G5" s="3">
        <v>107</v>
      </c>
      <c r="H5" s="3">
        <v>107</v>
      </c>
      <c r="I5" s="3">
        <v>93</v>
      </c>
      <c r="J5" s="3">
        <v>44</v>
      </c>
      <c r="K5" s="59">
        <f>SUM(E5:J5)</f>
        <v>1292</v>
      </c>
      <c r="L5" s="2">
        <v>17</v>
      </c>
      <c r="M5" s="3">
        <v>195</v>
      </c>
      <c r="N5" s="3">
        <v>15</v>
      </c>
      <c r="O5" s="3">
        <v>15</v>
      </c>
      <c r="P5" s="3">
        <v>17</v>
      </c>
      <c r="Q5" s="3">
        <v>22</v>
      </c>
      <c r="R5" s="56">
        <f>SUM(L5:Q5)</f>
        <v>281</v>
      </c>
      <c r="S5" s="57">
        <f t="shared" ref="S5:Y9" si="0">IF(E5=0,"***",L5/E5)</f>
        <v>0.14912280701754385</v>
      </c>
      <c r="T5" s="7">
        <f t="shared" si="0"/>
        <v>0.23579201934703747</v>
      </c>
      <c r="U5" s="7">
        <f t="shared" si="0"/>
        <v>0.14018691588785046</v>
      </c>
      <c r="V5" s="7">
        <f t="shared" si="0"/>
        <v>0.14018691588785046</v>
      </c>
      <c r="W5" s="7">
        <f t="shared" si="0"/>
        <v>0.18279569892473119</v>
      </c>
      <c r="X5" s="7">
        <f t="shared" si="0"/>
        <v>0.5</v>
      </c>
      <c r="Y5" s="64">
        <f t="shared" si="0"/>
        <v>0.21749226006191952</v>
      </c>
    </row>
    <row r="6" spans="3:25" x14ac:dyDescent="0.4">
      <c r="C6" s="2" t="s">
        <v>8</v>
      </c>
      <c r="D6" s="15" t="s">
        <v>9</v>
      </c>
      <c r="E6" s="3">
        <v>225</v>
      </c>
      <c r="F6" s="3">
        <v>66</v>
      </c>
      <c r="G6" s="3">
        <v>68</v>
      </c>
      <c r="H6" s="3">
        <v>94</v>
      </c>
      <c r="I6" s="3">
        <v>0</v>
      </c>
      <c r="J6" s="3">
        <v>60</v>
      </c>
      <c r="K6" s="59">
        <f>SUM(E6:J6)</f>
        <v>513</v>
      </c>
      <c r="L6" s="2">
        <v>42</v>
      </c>
      <c r="M6" s="3">
        <v>10</v>
      </c>
      <c r="N6" s="3">
        <v>-56</v>
      </c>
      <c r="O6" s="3">
        <v>6</v>
      </c>
      <c r="P6" s="3">
        <v>0</v>
      </c>
      <c r="Q6" s="3">
        <v>12</v>
      </c>
      <c r="R6" s="56">
        <f>SUM(L6:Q6)</f>
        <v>14</v>
      </c>
      <c r="S6" s="57">
        <f t="shared" si="0"/>
        <v>0.18666666666666668</v>
      </c>
      <c r="T6" s="7">
        <f t="shared" si="0"/>
        <v>0.15151515151515152</v>
      </c>
      <c r="U6" s="7">
        <f t="shared" si="0"/>
        <v>-0.82352941176470584</v>
      </c>
      <c r="V6" s="7">
        <f t="shared" si="0"/>
        <v>6.3829787234042548E-2</v>
      </c>
      <c r="W6" s="7" t="str">
        <f t="shared" si="0"/>
        <v>***</v>
      </c>
      <c r="X6" s="7">
        <f t="shared" si="0"/>
        <v>0.2</v>
      </c>
      <c r="Y6" s="64">
        <f t="shared" si="0"/>
        <v>2.7290448343079921E-2</v>
      </c>
    </row>
    <row r="7" spans="3:25" x14ac:dyDescent="0.4">
      <c r="C7" s="2" t="s">
        <v>10</v>
      </c>
      <c r="D7" s="15" t="s">
        <v>11</v>
      </c>
      <c r="E7" s="3">
        <v>60</v>
      </c>
      <c r="F7" s="3">
        <v>844</v>
      </c>
      <c r="G7" s="3">
        <v>0</v>
      </c>
      <c r="H7" s="3">
        <v>0</v>
      </c>
      <c r="I7" s="3">
        <v>38</v>
      </c>
      <c r="J7" s="3">
        <v>4</v>
      </c>
      <c r="K7" s="59">
        <f>SUM(E7:J7)</f>
        <v>946</v>
      </c>
      <c r="L7" s="2">
        <v>12</v>
      </c>
      <c r="M7" s="3">
        <v>113</v>
      </c>
      <c r="N7" s="3">
        <v>0</v>
      </c>
      <c r="O7" s="3">
        <v>0</v>
      </c>
      <c r="P7" s="3">
        <v>5</v>
      </c>
      <c r="Q7" s="3">
        <v>1</v>
      </c>
      <c r="R7" s="56">
        <f>SUM(L7:Q7)</f>
        <v>131</v>
      </c>
      <c r="S7" s="57">
        <f t="shared" si="0"/>
        <v>0.2</v>
      </c>
      <c r="T7" s="7">
        <f t="shared" si="0"/>
        <v>0.13388625592417061</v>
      </c>
      <c r="U7" s="7" t="str">
        <f t="shared" si="0"/>
        <v>***</v>
      </c>
      <c r="V7" s="7" t="str">
        <f t="shared" si="0"/>
        <v>***</v>
      </c>
      <c r="W7" s="7">
        <f t="shared" si="0"/>
        <v>0.13157894736842105</v>
      </c>
      <c r="X7" s="7">
        <f t="shared" si="0"/>
        <v>0.25</v>
      </c>
      <c r="Y7" s="64">
        <f t="shared" si="0"/>
        <v>0.13847780126849896</v>
      </c>
    </row>
    <row r="8" spans="3:25" x14ac:dyDescent="0.4">
      <c r="C8" s="2" t="s">
        <v>12</v>
      </c>
      <c r="D8" s="15" t="s">
        <v>13</v>
      </c>
      <c r="E8" s="3">
        <v>66</v>
      </c>
      <c r="F8" s="3">
        <v>67</v>
      </c>
      <c r="G8" s="3">
        <v>50</v>
      </c>
      <c r="H8" s="3">
        <v>241</v>
      </c>
      <c r="I8" s="3">
        <v>42</v>
      </c>
      <c r="J8" s="3">
        <v>259</v>
      </c>
      <c r="K8" s="59">
        <f>SUM(E8:J8)</f>
        <v>725</v>
      </c>
      <c r="L8" s="2">
        <v>10</v>
      </c>
      <c r="M8" s="3">
        <v>16</v>
      </c>
      <c r="N8" s="3">
        <v>8</v>
      </c>
      <c r="O8" s="3">
        <v>51</v>
      </c>
      <c r="P8" s="3">
        <v>6</v>
      </c>
      <c r="Q8" s="3">
        <v>38</v>
      </c>
      <c r="R8" s="56">
        <f>SUM(L8:Q8)</f>
        <v>129</v>
      </c>
      <c r="S8" s="57">
        <f t="shared" si="0"/>
        <v>0.15151515151515152</v>
      </c>
      <c r="T8" s="7">
        <f t="shared" si="0"/>
        <v>0.23880597014925373</v>
      </c>
      <c r="U8" s="7">
        <f t="shared" si="0"/>
        <v>0.16</v>
      </c>
      <c r="V8" s="7">
        <f t="shared" si="0"/>
        <v>0.21161825726141079</v>
      </c>
      <c r="W8" s="7">
        <f t="shared" si="0"/>
        <v>0.14285714285714285</v>
      </c>
      <c r="X8" s="7">
        <f t="shared" si="0"/>
        <v>0.14671814671814673</v>
      </c>
      <c r="Y8" s="64">
        <f t="shared" si="0"/>
        <v>0.17793103448275863</v>
      </c>
    </row>
    <row r="9" spans="3:25" x14ac:dyDescent="0.4">
      <c r="C9" s="2" t="s">
        <v>14</v>
      </c>
      <c r="D9" s="15" t="s">
        <v>15</v>
      </c>
      <c r="E9" s="3"/>
      <c r="F9" s="3"/>
      <c r="G9" s="3"/>
      <c r="H9" s="3"/>
      <c r="I9" s="3"/>
      <c r="J9" s="3"/>
      <c r="K9" s="59">
        <f>SUM(E9:J9)</f>
        <v>0</v>
      </c>
      <c r="L9" s="2"/>
      <c r="M9" s="3"/>
      <c r="N9" s="3"/>
      <c r="O9" s="3"/>
      <c r="P9" s="3"/>
      <c r="Q9" s="3"/>
      <c r="R9" s="56">
        <f>SUM(L9:Q9)</f>
        <v>0</v>
      </c>
      <c r="S9" s="57" t="str">
        <f t="shared" si="0"/>
        <v>***</v>
      </c>
      <c r="T9" s="7" t="str">
        <f t="shared" si="0"/>
        <v>***</v>
      </c>
      <c r="U9" s="7" t="str">
        <f t="shared" si="0"/>
        <v>***</v>
      </c>
      <c r="V9" s="7" t="str">
        <f t="shared" si="0"/>
        <v>***</v>
      </c>
      <c r="W9" s="7" t="str">
        <f t="shared" si="0"/>
        <v>***</v>
      </c>
      <c r="X9" s="7" t="str">
        <f t="shared" si="0"/>
        <v>***</v>
      </c>
      <c r="Y9" s="64" t="str">
        <f t="shared" si="0"/>
        <v>***</v>
      </c>
    </row>
    <row r="10" spans="3:25" x14ac:dyDescent="0.4">
      <c r="C10" s="70" t="s">
        <v>16</v>
      </c>
      <c r="D10" s="15" t="s">
        <v>17</v>
      </c>
      <c r="E10" s="3"/>
      <c r="F10" s="3"/>
      <c r="G10" s="3"/>
      <c r="H10" s="3"/>
      <c r="I10" s="3"/>
      <c r="J10" s="3"/>
      <c r="K10" s="59"/>
      <c r="L10" s="2"/>
      <c r="M10" s="3"/>
      <c r="N10" s="3"/>
      <c r="O10" s="3"/>
      <c r="P10" s="3"/>
      <c r="Q10" s="3"/>
      <c r="R10" s="56"/>
      <c r="S10" s="57"/>
      <c r="T10" s="7"/>
      <c r="U10" s="7"/>
      <c r="V10" s="7"/>
      <c r="W10" s="7"/>
      <c r="X10" s="7"/>
      <c r="Y10" s="64"/>
    </row>
    <row r="11" spans="3:25" x14ac:dyDescent="0.4">
      <c r="C11" s="2" t="s">
        <v>18</v>
      </c>
      <c r="D11" s="15" t="s">
        <v>19</v>
      </c>
      <c r="E11" s="3"/>
      <c r="F11" s="3"/>
      <c r="G11" s="3"/>
      <c r="H11" s="3"/>
      <c r="I11" s="3"/>
      <c r="J11" s="3"/>
      <c r="K11" s="59">
        <f>SUM(E11:J11)</f>
        <v>0</v>
      </c>
      <c r="L11" s="2"/>
      <c r="M11" s="3"/>
      <c r="N11" s="3"/>
      <c r="O11" s="3"/>
      <c r="P11" s="3"/>
      <c r="Q11" s="3"/>
      <c r="R11" s="56">
        <f>SUM(L11:Q11)</f>
        <v>0</v>
      </c>
      <c r="S11" s="57" t="str">
        <f t="shared" ref="S11:Y12" si="1">IF(E11=0,"***",L11/E11)</f>
        <v>***</v>
      </c>
      <c r="T11" s="7" t="str">
        <f t="shared" si="1"/>
        <v>***</v>
      </c>
      <c r="U11" s="7" t="str">
        <f t="shared" si="1"/>
        <v>***</v>
      </c>
      <c r="V11" s="7" t="str">
        <f t="shared" si="1"/>
        <v>***</v>
      </c>
      <c r="W11" s="7" t="str">
        <f t="shared" si="1"/>
        <v>***</v>
      </c>
      <c r="X11" s="7" t="str">
        <f t="shared" si="1"/>
        <v>***</v>
      </c>
      <c r="Y11" s="64" t="str">
        <f t="shared" si="1"/>
        <v>***</v>
      </c>
    </row>
    <row r="12" spans="3:25" x14ac:dyDescent="0.4">
      <c r="C12" s="4" t="s">
        <v>5</v>
      </c>
      <c r="D12" s="16"/>
      <c r="E12" s="6">
        <f t="shared" ref="E12:J12" si="2">SUM(E5:E11)</f>
        <v>465</v>
      </c>
      <c r="F12" s="6">
        <f t="shared" si="2"/>
        <v>1804</v>
      </c>
      <c r="G12" s="6">
        <f t="shared" si="2"/>
        <v>225</v>
      </c>
      <c r="H12" s="6">
        <f t="shared" si="2"/>
        <v>442</v>
      </c>
      <c r="I12" s="6">
        <f t="shared" si="2"/>
        <v>173</v>
      </c>
      <c r="J12" s="6">
        <f t="shared" si="2"/>
        <v>367</v>
      </c>
      <c r="K12" s="60">
        <f>SUM(E12:J12)</f>
        <v>3476</v>
      </c>
      <c r="L12" s="49">
        <f t="shared" ref="L12:Q12" si="3">SUM(L5:L11)</f>
        <v>81</v>
      </c>
      <c r="M12" s="6">
        <f t="shared" si="3"/>
        <v>334</v>
      </c>
      <c r="N12" s="6">
        <f t="shared" si="3"/>
        <v>-33</v>
      </c>
      <c r="O12" s="6">
        <f t="shared" si="3"/>
        <v>72</v>
      </c>
      <c r="P12" s="6">
        <f t="shared" si="3"/>
        <v>28</v>
      </c>
      <c r="Q12" s="6">
        <f t="shared" si="3"/>
        <v>73</v>
      </c>
      <c r="R12" s="50">
        <f>SUM(L12:Q12)</f>
        <v>555</v>
      </c>
      <c r="S12" s="58">
        <f t="shared" si="1"/>
        <v>0.17419354838709677</v>
      </c>
      <c r="T12" s="9">
        <f t="shared" si="1"/>
        <v>0.18514412416851442</v>
      </c>
      <c r="U12" s="9">
        <f t="shared" si="1"/>
        <v>-0.14666666666666667</v>
      </c>
      <c r="V12" s="9">
        <f t="shared" si="1"/>
        <v>0.16289592760180996</v>
      </c>
      <c r="W12" s="9">
        <f t="shared" si="1"/>
        <v>0.16184971098265896</v>
      </c>
      <c r="X12" s="9">
        <f t="shared" si="1"/>
        <v>0.1989100817438692</v>
      </c>
      <c r="Y12" s="65">
        <f t="shared" si="1"/>
        <v>0.1596662830840046</v>
      </c>
    </row>
    <row r="13" spans="3:25" x14ac:dyDescent="0.4">
      <c r="C13" s="12"/>
      <c r="E13" s="11"/>
      <c r="F13" s="11"/>
      <c r="G13" s="11"/>
      <c r="H13" s="11"/>
      <c r="I13" s="11"/>
      <c r="J13" s="11"/>
      <c r="K13" s="12"/>
      <c r="L13" s="11"/>
      <c r="M13" s="11"/>
      <c r="N13" s="11"/>
      <c r="O13" s="11"/>
      <c r="P13" s="11"/>
      <c r="Q13" s="11"/>
      <c r="R13" s="12"/>
      <c r="S13" s="13"/>
      <c r="T13" s="13"/>
      <c r="U13" s="13"/>
      <c r="V13" s="13"/>
      <c r="W13" s="13"/>
      <c r="X13" s="13"/>
      <c r="Y13" s="13"/>
    </row>
    <row r="14" spans="3:25" x14ac:dyDescent="0.4">
      <c r="C14" s="12" t="s">
        <v>20</v>
      </c>
    </row>
    <row r="15" spans="3:25" x14ac:dyDescent="0.4">
      <c r="C15" s="85"/>
      <c r="D15" s="84"/>
      <c r="E15" s="87" t="s">
        <v>2</v>
      </c>
      <c r="F15" s="83"/>
      <c r="G15" s="83"/>
      <c r="H15" s="83"/>
      <c r="I15" s="83"/>
      <c r="J15" s="83"/>
      <c r="K15" s="83"/>
      <c r="L15" s="86" t="s">
        <v>3</v>
      </c>
      <c r="M15" s="83"/>
      <c r="N15" s="83"/>
      <c r="O15" s="83"/>
      <c r="P15" s="83"/>
      <c r="Q15" s="83"/>
      <c r="R15" s="84"/>
      <c r="S15" s="82" t="s">
        <v>4</v>
      </c>
      <c r="T15" s="83"/>
      <c r="U15" s="83"/>
      <c r="V15" s="83"/>
      <c r="W15" s="83"/>
      <c r="X15" s="83"/>
      <c r="Y15" s="84"/>
    </row>
    <row r="16" spans="3:25" x14ac:dyDescent="0.4">
      <c r="C16" s="1"/>
      <c r="D16" s="14"/>
      <c r="E16" s="51">
        <v>45748</v>
      </c>
      <c r="F16" s="51">
        <v>45778</v>
      </c>
      <c r="G16" s="51">
        <v>45809</v>
      </c>
      <c r="H16" s="51">
        <v>45839</v>
      </c>
      <c r="I16" s="51">
        <v>45870</v>
      </c>
      <c r="J16" s="51">
        <v>45901</v>
      </c>
      <c r="K16" s="55" t="s">
        <v>5</v>
      </c>
      <c r="L16" s="54">
        <v>45748</v>
      </c>
      <c r="M16" s="51">
        <v>45778</v>
      </c>
      <c r="N16" s="51">
        <v>45809</v>
      </c>
      <c r="O16" s="51">
        <v>45839</v>
      </c>
      <c r="P16" s="51">
        <v>45870</v>
      </c>
      <c r="Q16" s="51">
        <v>45901</v>
      </c>
      <c r="R16" s="52" t="s">
        <v>5</v>
      </c>
      <c r="S16" s="48">
        <v>45748</v>
      </c>
      <c r="T16" s="51">
        <v>45778</v>
      </c>
      <c r="U16" s="51">
        <v>45809</v>
      </c>
      <c r="V16" s="51">
        <v>45839</v>
      </c>
      <c r="W16" s="51">
        <v>45870</v>
      </c>
      <c r="X16" s="51">
        <v>45901</v>
      </c>
      <c r="Y16" s="52" t="s">
        <v>5</v>
      </c>
    </row>
    <row r="17" spans="3:25" x14ac:dyDescent="0.4">
      <c r="C17" s="2" t="s">
        <v>6</v>
      </c>
      <c r="D17" s="15" t="s">
        <v>7</v>
      </c>
      <c r="E17" s="71">
        <v>88</v>
      </c>
      <c r="F17" s="67">
        <v>12</v>
      </c>
      <c r="G17" s="67">
        <v>12</v>
      </c>
      <c r="H17" s="67">
        <v>284</v>
      </c>
      <c r="I17" s="67">
        <v>12</v>
      </c>
      <c r="J17" s="67">
        <v>0</v>
      </c>
      <c r="K17" s="59">
        <f t="shared" ref="K17:K24" si="4">SUM(E17:J17)</f>
        <v>408</v>
      </c>
      <c r="L17" s="71">
        <v>16</v>
      </c>
      <c r="M17" s="67">
        <v>1</v>
      </c>
      <c r="N17" s="67">
        <v>1</v>
      </c>
      <c r="O17" s="67">
        <v>49</v>
      </c>
      <c r="P17" s="67">
        <v>1</v>
      </c>
      <c r="Q17" s="67">
        <v>0</v>
      </c>
      <c r="R17" s="56">
        <f t="shared" ref="R17:R24" si="5">SUM(L17:Q17)</f>
        <v>68</v>
      </c>
      <c r="S17" s="57">
        <f t="shared" ref="S17:Y21" si="6">IF(E17=0,"***",L17/E17)</f>
        <v>0.18181818181818182</v>
      </c>
      <c r="T17" s="7">
        <f t="shared" si="6"/>
        <v>8.3333333333333329E-2</v>
      </c>
      <c r="U17" s="7">
        <f t="shared" si="6"/>
        <v>8.3333333333333329E-2</v>
      </c>
      <c r="V17" s="7">
        <f t="shared" si="6"/>
        <v>0.17253521126760563</v>
      </c>
      <c r="W17" s="7">
        <f t="shared" si="6"/>
        <v>8.3333333333333329E-2</v>
      </c>
      <c r="X17" s="7" t="str">
        <f t="shared" si="6"/>
        <v>***</v>
      </c>
      <c r="Y17" s="64">
        <f t="shared" si="6"/>
        <v>0.16666666666666666</v>
      </c>
    </row>
    <row r="18" spans="3:25" x14ac:dyDescent="0.4">
      <c r="C18" s="2" t="s">
        <v>8</v>
      </c>
      <c r="D18" s="15" t="s">
        <v>9</v>
      </c>
      <c r="E18" s="71">
        <v>103</v>
      </c>
      <c r="F18" s="67">
        <v>182</v>
      </c>
      <c r="G18" s="67">
        <v>53</v>
      </c>
      <c r="H18" s="67">
        <v>119</v>
      </c>
      <c r="I18" s="67">
        <v>78</v>
      </c>
      <c r="J18" s="67">
        <v>36</v>
      </c>
      <c r="K18" s="59">
        <f t="shared" si="4"/>
        <v>571</v>
      </c>
      <c r="L18" s="71">
        <v>23</v>
      </c>
      <c r="M18" s="67">
        <v>37</v>
      </c>
      <c r="N18" s="67">
        <v>7</v>
      </c>
      <c r="O18" s="67">
        <v>108</v>
      </c>
      <c r="P18" s="67">
        <v>17</v>
      </c>
      <c r="Q18" s="67">
        <v>4</v>
      </c>
      <c r="R18" s="56">
        <f t="shared" si="5"/>
        <v>196</v>
      </c>
      <c r="S18" s="57">
        <f t="shared" si="6"/>
        <v>0.22330097087378642</v>
      </c>
      <c r="T18" s="7">
        <f t="shared" si="6"/>
        <v>0.2032967032967033</v>
      </c>
      <c r="U18" s="7">
        <f t="shared" si="6"/>
        <v>0.13207547169811321</v>
      </c>
      <c r="V18" s="7">
        <f t="shared" si="6"/>
        <v>0.90756302521008403</v>
      </c>
      <c r="W18" s="7">
        <f t="shared" si="6"/>
        <v>0.21794871794871795</v>
      </c>
      <c r="X18" s="7">
        <f t="shared" si="6"/>
        <v>0.1111111111111111</v>
      </c>
      <c r="Y18" s="64">
        <f t="shared" si="6"/>
        <v>0.34325744308231171</v>
      </c>
    </row>
    <row r="19" spans="3:25" x14ac:dyDescent="0.4">
      <c r="C19" s="2" t="s">
        <v>10</v>
      </c>
      <c r="D19" s="15" t="s">
        <v>11</v>
      </c>
      <c r="E19" s="71">
        <v>1916</v>
      </c>
      <c r="F19" s="67">
        <v>18</v>
      </c>
      <c r="G19" s="67">
        <v>54</v>
      </c>
      <c r="H19" s="67">
        <v>0</v>
      </c>
      <c r="I19" s="67">
        <v>0</v>
      </c>
      <c r="J19" s="67">
        <v>108</v>
      </c>
      <c r="K19" s="59">
        <f t="shared" si="4"/>
        <v>2096</v>
      </c>
      <c r="L19" s="71">
        <v>196</v>
      </c>
      <c r="M19" s="67">
        <v>3</v>
      </c>
      <c r="N19" s="67">
        <v>5</v>
      </c>
      <c r="O19" s="67">
        <v>0</v>
      </c>
      <c r="P19" s="67">
        <v>0</v>
      </c>
      <c r="Q19" s="67">
        <v>22</v>
      </c>
      <c r="R19" s="56">
        <f t="shared" si="5"/>
        <v>226</v>
      </c>
      <c r="S19" s="57">
        <f t="shared" si="6"/>
        <v>0.1022964509394572</v>
      </c>
      <c r="T19" s="7">
        <f t="shared" si="6"/>
        <v>0.16666666666666666</v>
      </c>
      <c r="U19" s="7">
        <f t="shared" si="6"/>
        <v>9.2592592592592587E-2</v>
      </c>
      <c r="V19" s="7" t="str">
        <f t="shared" si="6"/>
        <v>***</v>
      </c>
      <c r="W19" s="7" t="str">
        <f t="shared" si="6"/>
        <v>***</v>
      </c>
      <c r="X19" s="7">
        <f t="shared" si="6"/>
        <v>0.20370370370370369</v>
      </c>
      <c r="Y19" s="64">
        <f t="shared" si="6"/>
        <v>0.10782442748091603</v>
      </c>
    </row>
    <row r="20" spans="3:25" x14ac:dyDescent="0.4">
      <c r="C20" s="2" t="s">
        <v>12</v>
      </c>
      <c r="D20" s="15" t="s">
        <v>13</v>
      </c>
      <c r="E20" s="71">
        <v>538</v>
      </c>
      <c r="F20" s="67">
        <v>86</v>
      </c>
      <c r="G20" s="67">
        <v>147</v>
      </c>
      <c r="H20" s="67">
        <v>116</v>
      </c>
      <c r="I20" s="67">
        <v>94</v>
      </c>
      <c r="J20" s="67">
        <v>311</v>
      </c>
      <c r="K20" s="59">
        <f t="shared" si="4"/>
        <v>1292</v>
      </c>
      <c r="L20" s="71">
        <v>55</v>
      </c>
      <c r="M20" s="67">
        <v>10</v>
      </c>
      <c r="N20" s="67">
        <v>27</v>
      </c>
      <c r="O20" s="67">
        <v>15</v>
      </c>
      <c r="P20" s="67">
        <v>9</v>
      </c>
      <c r="Q20" s="67">
        <v>17</v>
      </c>
      <c r="R20" s="56">
        <f t="shared" si="5"/>
        <v>133</v>
      </c>
      <c r="S20" s="57">
        <f t="shared" si="6"/>
        <v>0.10223048327137546</v>
      </c>
      <c r="T20" s="7">
        <f t="shared" si="6"/>
        <v>0.11627906976744186</v>
      </c>
      <c r="U20" s="7">
        <f t="shared" si="6"/>
        <v>0.18367346938775511</v>
      </c>
      <c r="V20" s="7">
        <f t="shared" si="6"/>
        <v>0.12931034482758622</v>
      </c>
      <c r="W20" s="7">
        <f t="shared" si="6"/>
        <v>9.5744680851063829E-2</v>
      </c>
      <c r="X20" s="7">
        <f t="shared" si="6"/>
        <v>5.4662379421221867E-2</v>
      </c>
      <c r="Y20" s="64">
        <f t="shared" si="6"/>
        <v>0.10294117647058823</v>
      </c>
    </row>
    <row r="21" spans="3:25" x14ac:dyDescent="0.4">
      <c r="C21" s="2" t="s">
        <v>14</v>
      </c>
      <c r="D21" s="15" t="s">
        <v>15</v>
      </c>
      <c r="E21" s="3"/>
      <c r="F21" s="3"/>
      <c r="G21" s="3"/>
      <c r="H21" s="3"/>
      <c r="I21" s="3"/>
      <c r="J21" s="3"/>
      <c r="K21" s="59">
        <f t="shared" si="4"/>
        <v>0</v>
      </c>
      <c r="L21" s="2"/>
      <c r="M21" s="3"/>
      <c r="N21" s="3"/>
      <c r="O21" s="3"/>
      <c r="P21" s="3"/>
      <c r="Q21" s="3"/>
      <c r="R21" s="56">
        <f t="shared" si="5"/>
        <v>0</v>
      </c>
      <c r="S21" s="57" t="str">
        <f t="shared" si="6"/>
        <v>***</v>
      </c>
      <c r="T21" s="7" t="str">
        <f t="shared" si="6"/>
        <v>***</v>
      </c>
      <c r="U21" s="7" t="str">
        <f t="shared" si="6"/>
        <v>***</v>
      </c>
      <c r="V21" s="7" t="str">
        <f t="shared" si="6"/>
        <v>***</v>
      </c>
      <c r="W21" s="7" t="str">
        <f t="shared" si="6"/>
        <v>***</v>
      </c>
      <c r="X21" s="7" t="str">
        <f t="shared" si="6"/>
        <v>***</v>
      </c>
      <c r="Y21" s="64" t="str">
        <f t="shared" si="6"/>
        <v>***</v>
      </c>
    </row>
    <row r="22" spans="3:25" x14ac:dyDescent="0.4">
      <c r="C22" s="70" t="s">
        <v>16</v>
      </c>
      <c r="D22" s="15" t="s">
        <v>17</v>
      </c>
      <c r="E22" s="3"/>
      <c r="F22" s="3"/>
      <c r="G22" s="3"/>
      <c r="H22" s="3"/>
      <c r="I22" s="3"/>
      <c r="J22" s="3"/>
      <c r="K22" s="59">
        <f t="shared" si="4"/>
        <v>0</v>
      </c>
      <c r="L22" s="2"/>
      <c r="M22" s="3"/>
      <c r="N22" s="3"/>
      <c r="O22" s="3"/>
      <c r="P22" s="3"/>
      <c r="Q22" s="3"/>
      <c r="R22" s="56">
        <f t="shared" si="5"/>
        <v>0</v>
      </c>
      <c r="S22" s="57"/>
      <c r="T22" s="7"/>
      <c r="U22" s="7"/>
      <c r="V22" s="7"/>
      <c r="W22" s="7"/>
      <c r="X22" s="7"/>
      <c r="Y22" s="64"/>
    </row>
    <row r="23" spans="3:25" x14ac:dyDescent="0.4">
      <c r="C23" s="2" t="s">
        <v>18</v>
      </c>
      <c r="D23" s="15" t="s">
        <v>19</v>
      </c>
      <c r="E23" s="3"/>
      <c r="F23" s="3"/>
      <c r="G23" s="3"/>
      <c r="H23" s="3"/>
      <c r="I23" s="3"/>
      <c r="J23" s="3"/>
      <c r="K23" s="59">
        <f t="shared" si="4"/>
        <v>0</v>
      </c>
      <c r="L23" s="2"/>
      <c r="M23" s="3"/>
      <c r="N23" s="3"/>
      <c r="O23" s="3"/>
      <c r="P23" s="3"/>
      <c r="Q23" s="3"/>
      <c r="R23" s="56">
        <f t="shared" si="5"/>
        <v>0</v>
      </c>
      <c r="S23" s="57" t="str">
        <f t="shared" ref="S23:Y24" si="7">IF(E23=0,"***",L23/E23)</f>
        <v>***</v>
      </c>
      <c r="T23" s="7" t="str">
        <f t="shared" si="7"/>
        <v>***</v>
      </c>
      <c r="U23" s="7" t="str">
        <f t="shared" si="7"/>
        <v>***</v>
      </c>
      <c r="V23" s="7" t="str">
        <f t="shared" si="7"/>
        <v>***</v>
      </c>
      <c r="W23" s="7" t="str">
        <f t="shared" si="7"/>
        <v>***</v>
      </c>
      <c r="X23" s="7" t="str">
        <f t="shared" si="7"/>
        <v>***</v>
      </c>
      <c r="Y23" s="64" t="str">
        <f t="shared" si="7"/>
        <v>***</v>
      </c>
    </row>
    <row r="24" spans="3:25" x14ac:dyDescent="0.4">
      <c r="C24" s="4" t="s">
        <v>5</v>
      </c>
      <c r="D24" s="16"/>
      <c r="E24" s="6">
        <f t="shared" ref="E24:J24" si="8">SUM(E17:E23)</f>
        <v>2645</v>
      </c>
      <c r="F24" s="6">
        <f t="shared" si="8"/>
        <v>298</v>
      </c>
      <c r="G24" s="6">
        <f t="shared" si="8"/>
        <v>266</v>
      </c>
      <c r="H24" s="6">
        <f t="shared" si="8"/>
        <v>519</v>
      </c>
      <c r="I24" s="6">
        <f t="shared" si="8"/>
        <v>184</v>
      </c>
      <c r="J24" s="6">
        <f t="shared" si="8"/>
        <v>455</v>
      </c>
      <c r="K24" s="60">
        <f t="shared" si="4"/>
        <v>4367</v>
      </c>
      <c r="L24" s="49">
        <f t="shared" ref="L24:Q24" si="9">SUM(L17:L23)</f>
        <v>290</v>
      </c>
      <c r="M24" s="6">
        <f t="shared" si="9"/>
        <v>51</v>
      </c>
      <c r="N24" s="6">
        <f t="shared" si="9"/>
        <v>40</v>
      </c>
      <c r="O24" s="6">
        <f t="shared" si="9"/>
        <v>172</v>
      </c>
      <c r="P24" s="6">
        <f t="shared" si="9"/>
        <v>27</v>
      </c>
      <c r="Q24" s="6">
        <f t="shared" si="9"/>
        <v>43</v>
      </c>
      <c r="R24" s="50">
        <f t="shared" si="5"/>
        <v>623</v>
      </c>
      <c r="S24" s="58">
        <f t="shared" si="7"/>
        <v>0.10964083175803403</v>
      </c>
      <c r="T24" s="9">
        <f t="shared" si="7"/>
        <v>0.17114093959731544</v>
      </c>
      <c r="U24" s="9">
        <f t="shared" si="7"/>
        <v>0.15037593984962405</v>
      </c>
      <c r="V24" s="9">
        <f t="shared" si="7"/>
        <v>0.33140655105973027</v>
      </c>
      <c r="W24" s="9">
        <f t="shared" si="7"/>
        <v>0.14673913043478262</v>
      </c>
      <c r="X24" s="9">
        <f t="shared" si="7"/>
        <v>9.4505494505494503E-2</v>
      </c>
      <c r="Y24" s="65">
        <f t="shared" si="7"/>
        <v>0.14266086558277993</v>
      </c>
    </row>
    <row r="25" spans="3:25" x14ac:dyDescent="0.4">
      <c r="C25" s="12"/>
      <c r="E25" s="11"/>
      <c r="F25" s="11"/>
      <c r="G25" s="11"/>
      <c r="H25" s="11"/>
      <c r="I25" s="11"/>
      <c r="J25" s="11"/>
      <c r="K25" s="12"/>
      <c r="L25" s="11"/>
      <c r="M25" s="11"/>
      <c r="N25" s="11"/>
      <c r="O25" s="11"/>
      <c r="P25" s="11"/>
      <c r="Q25" s="11"/>
      <c r="R25" s="12"/>
      <c r="S25" s="13"/>
      <c r="T25" s="13"/>
      <c r="U25" s="13"/>
      <c r="V25" s="13"/>
      <c r="W25" s="13"/>
      <c r="X25" s="13"/>
      <c r="Y25" s="13"/>
    </row>
    <row r="26" spans="3:25" x14ac:dyDescent="0.4">
      <c r="C26" s="12" t="s">
        <v>21</v>
      </c>
    </row>
    <row r="27" spans="3:25" x14ac:dyDescent="0.4">
      <c r="C27" s="85"/>
      <c r="D27" s="84"/>
      <c r="E27" s="87" t="s">
        <v>2</v>
      </c>
      <c r="F27" s="83"/>
      <c r="G27" s="83"/>
      <c r="H27" s="83"/>
      <c r="I27" s="83"/>
      <c r="J27" s="83"/>
      <c r="K27" s="83"/>
      <c r="L27" s="86" t="s">
        <v>3</v>
      </c>
      <c r="M27" s="83"/>
      <c r="N27" s="83"/>
      <c r="O27" s="83"/>
      <c r="P27" s="83"/>
      <c r="Q27" s="83"/>
      <c r="R27" s="84"/>
      <c r="S27" s="82" t="s">
        <v>4</v>
      </c>
      <c r="T27" s="83"/>
      <c r="U27" s="83"/>
      <c r="V27" s="83"/>
      <c r="W27" s="83"/>
      <c r="X27" s="83"/>
      <c r="Y27" s="84"/>
    </row>
    <row r="28" spans="3:25" x14ac:dyDescent="0.4">
      <c r="C28" s="1"/>
      <c r="D28" s="14"/>
      <c r="E28" s="51">
        <v>45748</v>
      </c>
      <c r="F28" s="51">
        <v>45778</v>
      </c>
      <c r="G28" s="51">
        <v>45809</v>
      </c>
      <c r="H28" s="51">
        <v>45839</v>
      </c>
      <c r="I28" s="51">
        <v>45870</v>
      </c>
      <c r="J28" s="51">
        <v>45901</v>
      </c>
      <c r="K28" s="55" t="s">
        <v>5</v>
      </c>
      <c r="L28" s="54">
        <v>45748</v>
      </c>
      <c r="M28" s="51">
        <v>45778</v>
      </c>
      <c r="N28" s="51">
        <v>45809</v>
      </c>
      <c r="O28" s="51">
        <v>45839</v>
      </c>
      <c r="P28" s="51">
        <v>45870</v>
      </c>
      <c r="Q28" s="51">
        <v>45901</v>
      </c>
      <c r="R28" s="52" t="s">
        <v>5</v>
      </c>
      <c r="S28" s="48">
        <v>45748</v>
      </c>
      <c r="T28" s="51">
        <v>45778</v>
      </c>
      <c r="U28" s="51">
        <v>45809</v>
      </c>
      <c r="V28" s="51">
        <v>45839</v>
      </c>
      <c r="W28" s="51">
        <v>45870</v>
      </c>
      <c r="X28" s="51">
        <v>45901</v>
      </c>
      <c r="Y28" s="52" t="s">
        <v>5</v>
      </c>
    </row>
    <row r="29" spans="3:25" x14ac:dyDescent="0.4">
      <c r="C29" s="2" t="s">
        <v>6</v>
      </c>
      <c r="D29" s="15" t="s">
        <v>7</v>
      </c>
      <c r="E29" s="3">
        <f t="shared" ref="E29:J33" si="10">(E17+E5)/2</f>
        <v>101</v>
      </c>
      <c r="F29" s="3">
        <f t="shared" si="10"/>
        <v>419.5</v>
      </c>
      <c r="G29" s="3">
        <f t="shared" si="10"/>
        <v>59.5</v>
      </c>
      <c r="H29" s="3">
        <f t="shared" si="10"/>
        <v>195.5</v>
      </c>
      <c r="I29" s="3">
        <f t="shared" si="10"/>
        <v>52.5</v>
      </c>
      <c r="J29" s="3">
        <f t="shared" si="10"/>
        <v>22</v>
      </c>
      <c r="K29" s="59">
        <f>SUM(E29:J29)</f>
        <v>850</v>
      </c>
      <c r="L29" s="2">
        <f t="shared" ref="L29:Q33" si="11">(L17+L5)/2</f>
        <v>16.5</v>
      </c>
      <c r="M29" s="3">
        <f t="shared" si="11"/>
        <v>98</v>
      </c>
      <c r="N29" s="3">
        <f t="shared" si="11"/>
        <v>8</v>
      </c>
      <c r="O29" s="3">
        <f t="shared" si="11"/>
        <v>32</v>
      </c>
      <c r="P29" s="3">
        <f t="shared" si="11"/>
        <v>9</v>
      </c>
      <c r="Q29" s="3">
        <f t="shared" si="11"/>
        <v>11</v>
      </c>
      <c r="R29" s="56">
        <f>SUM(L29:Q29)</f>
        <v>174.5</v>
      </c>
      <c r="S29" s="57">
        <f t="shared" ref="S29:Y33" si="12">IF(E29=0,"***",L29/E29)</f>
        <v>0.16336633663366337</v>
      </c>
      <c r="T29" s="7">
        <f t="shared" si="12"/>
        <v>0.23361144219308702</v>
      </c>
      <c r="U29" s="7">
        <f t="shared" si="12"/>
        <v>0.13445378151260504</v>
      </c>
      <c r="V29" s="7">
        <f t="shared" si="12"/>
        <v>0.16368286445012789</v>
      </c>
      <c r="W29" s="7">
        <f t="shared" si="12"/>
        <v>0.17142857142857143</v>
      </c>
      <c r="X29" s="7">
        <f t="shared" si="12"/>
        <v>0.5</v>
      </c>
      <c r="Y29" s="64">
        <f t="shared" si="12"/>
        <v>0.20529411764705882</v>
      </c>
    </row>
    <row r="30" spans="3:25" x14ac:dyDescent="0.4">
      <c r="C30" s="2" t="s">
        <v>8</v>
      </c>
      <c r="D30" s="15" t="s">
        <v>9</v>
      </c>
      <c r="E30" s="3">
        <f t="shared" si="10"/>
        <v>164</v>
      </c>
      <c r="F30" s="3">
        <f t="shared" si="10"/>
        <v>124</v>
      </c>
      <c r="G30" s="3">
        <f t="shared" si="10"/>
        <v>60.5</v>
      </c>
      <c r="H30" s="3">
        <f t="shared" si="10"/>
        <v>106.5</v>
      </c>
      <c r="I30" s="3">
        <f t="shared" si="10"/>
        <v>39</v>
      </c>
      <c r="J30" s="3">
        <f t="shared" si="10"/>
        <v>48</v>
      </c>
      <c r="K30" s="59">
        <f>SUM(E30:J30)</f>
        <v>542</v>
      </c>
      <c r="L30" s="2">
        <f t="shared" si="11"/>
        <v>32.5</v>
      </c>
      <c r="M30" s="3">
        <f t="shared" si="11"/>
        <v>23.5</v>
      </c>
      <c r="N30" s="3">
        <f t="shared" si="11"/>
        <v>-24.5</v>
      </c>
      <c r="O30" s="3">
        <f t="shared" si="11"/>
        <v>57</v>
      </c>
      <c r="P30" s="3">
        <f t="shared" si="11"/>
        <v>8.5</v>
      </c>
      <c r="Q30" s="3">
        <f t="shared" si="11"/>
        <v>8</v>
      </c>
      <c r="R30" s="56">
        <f>SUM(L30:Q30)</f>
        <v>105</v>
      </c>
      <c r="S30" s="57">
        <f t="shared" si="12"/>
        <v>0.19817073170731708</v>
      </c>
      <c r="T30" s="7">
        <f t="shared" si="12"/>
        <v>0.18951612903225806</v>
      </c>
      <c r="U30" s="7">
        <f t="shared" si="12"/>
        <v>-0.4049586776859504</v>
      </c>
      <c r="V30" s="7">
        <f t="shared" si="12"/>
        <v>0.53521126760563376</v>
      </c>
      <c r="W30" s="7">
        <f t="shared" si="12"/>
        <v>0.21794871794871795</v>
      </c>
      <c r="X30" s="7">
        <f t="shared" si="12"/>
        <v>0.16666666666666666</v>
      </c>
      <c r="Y30" s="64">
        <f t="shared" si="12"/>
        <v>0.19372693726937271</v>
      </c>
    </row>
    <row r="31" spans="3:25" x14ac:dyDescent="0.4">
      <c r="C31" s="2" t="s">
        <v>10</v>
      </c>
      <c r="D31" s="15" t="s">
        <v>11</v>
      </c>
      <c r="E31" s="3">
        <f t="shared" si="10"/>
        <v>988</v>
      </c>
      <c r="F31" s="3">
        <f t="shared" si="10"/>
        <v>431</v>
      </c>
      <c r="G31" s="3">
        <f t="shared" si="10"/>
        <v>27</v>
      </c>
      <c r="H31" s="3">
        <f t="shared" si="10"/>
        <v>0</v>
      </c>
      <c r="I31" s="3">
        <f t="shared" si="10"/>
        <v>19</v>
      </c>
      <c r="J31" s="3">
        <f t="shared" si="10"/>
        <v>56</v>
      </c>
      <c r="K31" s="59">
        <f>SUM(E31:J31)</f>
        <v>1521</v>
      </c>
      <c r="L31" s="2">
        <f t="shared" si="11"/>
        <v>104</v>
      </c>
      <c r="M31" s="3">
        <f t="shared" si="11"/>
        <v>58</v>
      </c>
      <c r="N31" s="3">
        <f t="shared" si="11"/>
        <v>2.5</v>
      </c>
      <c r="O31" s="3">
        <f t="shared" si="11"/>
        <v>0</v>
      </c>
      <c r="P31" s="3">
        <f t="shared" si="11"/>
        <v>2.5</v>
      </c>
      <c r="Q31" s="3">
        <f t="shared" si="11"/>
        <v>11.5</v>
      </c>
      <c r="R31" s="56">
        <f>SUM(L31:Q31)</f>
        <v>178.5</v>
      </c>
      <c r="S31" s="57">
        <f t="shared" si="12"/>
        <v>0.10526315789473684</v>
      </c>
      <c r="T31" s="7">
        <f t="shared" si="12"/>
        <v>0.13457076566125289</v>
      </c>
      <c r="U31" s="7">
        <f t="shared" si="12"/>
        <v>9.2592592592592587E-2</v>
      </c>
      <c r="V31" s="7" t="str">
        <f t="shared" si="12"/>
        <v>***</v>
      </c>
      <c r="W31" s="7">
        <f t="shared" si="12"/>
        <v>0.13157894736842105</v>
      </c>
      <c r="X31" s="7">
        <f t="shared" si="12"/>
        <v>0.20535714285714285</v>
      </c>
      <c r="Y31" s="64">
        <f t="shared" si="12"/>
        <v>0.11735700197238659</v>
      </c>
    </row>
    <row r="32" spans="3:25" x14ac:dyDescent="0.4">
      <c r="C32" s="2" t="s">
        <v>12</v>
      </c>
      <c r="D32" s="15" t="s">
        <v>13</v>
      </c>
      <c r="E32" s="3">
        <f t="shared" si="10"/>
        <v>302</v>
      </c>
      <c r="F32" s="3">
        <f t="shared" si="10"/>
        <v>76.5</v>
      </c>
      <c r="G32" s="3">
        <f t="shared" si="10"/>
        <v>98.5</v>
      </c>
      <c r="H32" s="3">
        <f t="shared" si="10"/>
        <v>178.5</v>
      </c>
      <c r="I32" s="3">
        <f t="shared" si="10"/>
        <v>68</v>
      </c>
      <c r="J32" s="3">
        <f t="shared" si="10"/>
        <v>285</v>
      </c>
      <c r="K32" s="59">
        <f>SUM(E32:J32)</f>
        <v>1008.5</v>
      </c>
      <c r="L32" s="2">
        <f t="shared" si="11"/>
        <v>32.5</v>
      </c>
      <c r="M32" s="3">
        <f t="shared" si="11"/>
        <v>13</v>
      </c>
      <c r="N32" s="3">
        <f t="shared" si="11"/>
        <v>17.5</v>
      </c>
      <c r="O32" s="3">
        <f t="shared" si="11"/>
        <v>33</v>
      </c>
      <c r="P32" s="3">
        <f t="shared" si="11"/>
        <v>7.5</v>
      </c>
      <c r="Q32" s="3">
        <f t="shared" si="11"/>
        <v>27.5</v>
      </c>
      <c r="R32" s="56">
        <f>SUM(L32:Q32)</f>
        <v>131</v>
      </c>
      <c r="S32" s="57">
        <f t="shared" si="12"/>
        <v>0.10761589403973509</v>
      </c>
      <c r="T32" s="7">
        <f t="shared" si="12"/>
        <v>0.16993464052287582</v>
      </c>
      <c r="U32" s="7">
        <f t="shared" si="12"/>
        <v>0.17766497461928935</v>
      </c>
      <c r="V32" s="7">
        <f t="shared" si="12"/>
        <v>0.18487394957983194</v>
      </c>
      <c r="W32" s="7">
        <f t="shared" si="12"/>
        <v>0.11029411764705882</v>
      </c>
      <c r="X32" s="7">
        <f t="shared" si="12"/>
        <v>9.6491228070175433E-2</v>
      </c>
      <c r="Y32" s="64">
        <f t="shared" si="12"/>
        <v>0.12989588497768964</v>
      </c>
    </row>
    <row r="33" spans="3:25" x14ac:dyDescent="0.4">
      <c r="C33" s="2" t="s">
        <v>14</v>
      </c>
      <c r="D33" s="15" t="s">
        <v>15</v>
      </c>
      <c r="E33" s="3">
        <f t="shared" si="10"/>
        <v>0</v>
      </c>
      <c r="F33" s="3">
        <f t="shared" si="10"/>
        <v>0</v>
      </c>
      <c r="G33" s="3">
        <f t="shared" si="10"/>
        <v>0</v>
      </c>
      <c r="H33" s="3">
        <f t="shared" si="10"/>
        <v>0</v>
      </c>
      <c r="I33" s="3">
        <f t="shared" si="10"/>
        <v>0</v>
      </c>
      <c r="J33" s="3">
        <f t="shared" si="10"/>
        <v>0</v>
      </c>
      <c r="K33" s="59">
        <f>SUM(E33:J33)</f>
        <v>0</v>
      </c>
      <c r="L33" s="2">
        <f t="shared" si="11"/>
        <v>0</v>
      </c>
      <c r="M33" s="3">
        <f t="shared" si="11"/>
        <v>0</v>
      </c>
      <c r="N33" s="3">
        <f t="shared" si="11"/>
        <v>0</v>
      </c>
      <c r="O33" s="3">
        <f t="shared" si="11"/>
        <v>0</v>
      </c>
      <c r="P33" s="3">
        <f t="shared" si="11"/>
        <v>0</v>
      </c>
      <c r="Q33" s="3">
        <f t="shared" si="11"/>
        <v>0</v>
      </c>
      <c r="R33" s="56">
        <f>SUM(L33:Q33)</f>
        <v>0</v>
      </c>
      <c r="S33" s="57" t="str">
        <f t="shared" si="12"/>
        <v>***</v>
      </c>
      <c r="T33" s="7" t="str">
        <f t="shared" si="12"/>
        <v>***</v>
      </c>
      <c r="U33" s="7" t="str">
        <f t="shared" si="12"/>
        <v>***</v>
      </c>
      <c r="V33" s="7" t="str">
        <f t="shared" si="12"/>
        <v>***</v>
      </c>
      <c r="W33" s="7" t="str">
        <f t="shared" si="12"/>
        <v>***</v>
      </c>
      <c r="X33" s="7" t="str">
        <f t="shared" si="12"/>
        <v>***</v>
      </c>
      <c r="Y33" s="64" t="str">
        <f t="shared" si="12"/>
        <v>***</v>
      </c>
    </row>
    <row r="34" spans="3:25" x14ac:dyDescent="0.4">
      <c r="C34" s="70" t="s">
        <v>16</v>
      </c>
      <c r="D34" s="15" t="s">
        <v>17</v>
      </c>
      <c r="E34" s="3"/>
      <c r="F34" s="3"/>
      <c r="G34" s="3"/>
      <c r="H34" s="3"/>
      <c r="I34" s="3"/>
      <c r="J34" s="3"/>
      <c r="K34" s="59"/>
      <c r="L34" s="2"/>
      <c r="M34" s="3"/>
      <c r="N34" s="3"/>
      <c r="O34" s="3"/>
      <c r="P34" s="3"/>
      <c r="Q34" s="3"/>
      <c r="R34" s="56"/>
      <c r="S34" s="57"/>
      <c r="T34" s="7"/>
      <c r="U34" s="7"/>
      <c r="V34" s="7"/>
      <c r="W34" s="7"/>
      <c r="X34" s="7"/>
      <c r="Y34" s="64"/>
    </row>
    <row r="35" spans="3:25" x14ac:dyDescent="0.4">
      <c r="C35" s="2" t="s">
        <v>18</v>
      </c>
      <c r="D35" s="15" t="s">
        <v>19</v>
      </c>
      <c r="E35" s="3">
        <f t="shared" ref="E35:J35" si="13">(E23+E11)/2</f>
        <v>0</v>
      </c>
      <c r="F35" s="3">
        <f t="shared" si="13"/>
        <v>0</v>
      </c>
      <c r="G35" s="3">
        <f t="shared" si="13"/>
        <v>0</v>
      </c>
      <c r="H35" s="3">
        <f t="shared" si="13"/>
        <v>0</v>
      </c>
      <c r="I35" s="3">
        <f t="shared" si="13"/>
        <v>0</v>
      </c>
      <c r="J35" s="3">
        <f t="shared" si="13"/>
        <v>0</v>
      </c>
      <c r="K35" s="59">
        <f>SUM(E35:J35)</f>
        <v>0</v>
      </c>
      <c r="L35" s="2">
        <f t="shared" ref="L35:Q35" si="14">(L23+L11)/2</f>
        <v>0</v>
      </c>
      <c r="M35" s="3">
        <f t="shared" si="14"/>
        <v>0</v>
      </c>
      <c r="N35" s="3">
        <f t="shared" si="14"/>
        <v>0</v>
      </c>
      <c r="O35" s="3">
        <f t="shared" si="14"/>
        <v>0</v>
      </c>
      <c r="P35" s="3">
        <f t="shared" si="14"/>
        <v>0</v>
      </c>
      <c r="Q35" s="3">
        <f t="shared" si="14"/>
        <v>0</v>
      </c>
      <c r="R35" s="56">
        <f>SUM(L35:Q35)</f>
        <v>0</v>
      </c>
      <c r="S35" s="57" t="str">
        <f t="shared" ref="S35:Y36" si="15">IF(E35=0,"***",L35/E35)</f>
        <v>***</v>
      </c>
      <c r="T35" s="7" t="str">
        <f t="shared" si="15"/>
        <v>***</v>
      </c>
      <c r="U35" s="7" t="str">
        <f t="shared" si="15"/>
        <v>***</v>
      </c>
      <c r="V35" s="7" t="str">
        <f t="shared" si="15"/>
        <v>***</v>
      </c>
      <c r="W35" s="7" t="str">
        <f t="shared" si="15"/>
        <v>***</v>
      </c>
      <c r="X35" s="7" t="str">
        <f t="shared" si="15"/>
        <v>***</v>
      </c>
      <c r="Y35" s="64" t="str">
        <f t="shared" si="15"/>
        <v>***</v>
      </c>
    </row>
    <row r="36" spans="3:25" x14ac:dyDescent="0.4">
      <c r="C36" s="4" t="s">
        <v>5</v>
      </c>
      <c r="D36" s="16"/>
      <c r="E36" s="6">
        <f t="shared" ref="E36:J36" si="16">SUM(E29:E35)</f>
        <v>1555</v>
      </c>
      <c r="F36" s="6">
        <f t="shared" si="16"/>
        <v>1051</v>
      </c>
      <c r="G36" s="6">
        <f t="shared" si="16"/>
        <v>245.5</v>
      </c>
      <c r="H36" s="6">
        <f t="shared" si="16"/>
        <v>480.5</v>
      </c>
      <c r="I36" s="6">
        <f t="shared" si="16"/>
        <v>178.5</v>
      </c>
      <c r="J36" s="6">
        <f t="shared" si="16"/>
        <v>411</v>
      </c>
      <c r="K36" s="60">
        <f>SUM(E36:J36)</f>
        <v>3921.5</v>
      </c>
      <c r="L36" s="49">
        <f t="shared" ref="L36:Q36" si="17">SUM(L29:L35)</f>
        <v>185.5</v>
      </c>
      <c r="M36" s="6">
        <f t="shared" si="17"/>
        <v>192.5</v>
      </c>
      <c r="N36" s="6">
        <f t="shared" si="17"/>
        <v>3.5</v>
      </c>
      <c r="O36" s="6">
        <f t="shared" si="17"/>
        <v>122</v>
      </c>
      <c r="P36" s="6">
        <f t="shared" si="17"/>
        <v>27.5</v>
      </c>
      <c r="Q36" s="6">
        <f t="shared" si="17"/>
        <v>58</v>
      </c>
      <c r="R36" s="50">
        <f>SUM(L36:Q36)</f>
        <v>589</v>
      </c>
      <c r="S36" s="58">
        <f t="shared" si="15"/>
        <v>0.11929260450160771</v>
      </c>
      <c r="T36" s="9">
        <f t="shared" si="15"/>
        <v>0.18315889628924834</v>
      </c>
      <c r="U36" s="9">
        <f t="shared" si="15"/>
        <v>1.4256619144602852E-2</v>
      </c>
      <c r="V36" s="9">
        <f t="shared" si="15"/>
        <v>0.25390218522372526</v>
      </c>
      <c r="W36" s="9">
        <f t="shared" si="15"/>
        <v>0.15406162464985995</v>
      </c>
      <c r="X36" s="9">
        <f t="shared" si="15"/>
        <v>0.14111922141119221</v>
      </c>
      <c r="Y36" s="65">
        <f t="shared" si="15"/>
        <v>0.15019762845849802</v>
      </c>
    </row>
    <row r="37" spans="3:25" x14ac:dyDescent="0.4">
      <c r="C37" s="12"/>
      <c r="E37" s="11"/>
      <c r="F37" s="11"/>
      <c r="G37" s="11"/>
      <c r="H37" s="11"/>
      <c r="I37" s="11"/>
      <c r="J37" s="11"/>
      <c r="K37" s="12"/>
      <c r="L37" s="11"/>
      <c r="M37" s="11"/>
      <c r="N37" s="11"/>
      <c r="O37" s="11"/>
      <c r="P37" s="11"/>
      <c r="Q37" s="11"/>
      <c r="R37" s="12"/>
      <c r="S37" s="13"/>
      <c r="T37" s="13"/>
      <c r="U37" s="13"/>
      <c r="V37" s="13"/>
      <c r="W37" s="13"/>
      <c r="X37" s="13"/>
      <c r="Y37" s="13"/>
    </row>
    <row r="38" spans="3:25" x14ac:dyDescent="0.4">
      <c r="C38" s="12" t="s">
        <v>22</v>
      </c>
    </row>
    <row r="39" spans="3:25" x14ac:dyDescent="0.4">
      <c r="C39" s="85"/>
      <c r="D39" s="84"/>
      <c r="E39" s="85" t="s">
        <v>2</v>
      </c>
      <c r="F39" s="83"/>
      <c r="G39" s="83"/>
      <c r="H39" s="83"/>
      <c r="I39" s="83"/>
      <c r="J39" s="83"/>
      <c r="K39" s="84"/>
      <c r="L39" s="82" t="s">
        <v>3</v>
      </c>
      <c r="M39" s="83"/>
      <c r="N39" s="83"/>
      <c r="O39" s="83"/>
      <c r="P39" s="83"/>
      <c r="Q39" s="83"/>
      <c r="R39" s="84"/>
      <c r="S39" s="82" t="s">
        <v>4</v>
      </c>
      <c r="T39" s="83"/>
      <c r="U39" s="83"/>
      <c r="V39" s="83"/>
      <c r="W39" s="83"/>
      <c r="X39" s="83"/>
      <c r="Y39" s="84"/>
    </row>
    <row r="40" spans="3:25" x14ac:dyDescent="0.4">
      <c r="C40" s="1"/>
      <c r="D40" s="14"/>
      <c r="E40" s="54">
        <v>46113</v>
      </c>
      <c r="F40" s="51">
        <v>46143</v>
      </c>
      <c r="G40" s="51">
        <v>46174</v>
      </c>
      <c r="H40" s="51">
        <v>46204</v>
      </c>
      <c r="I40" s="51">
        <v>46235</v>
      </c>
      <c r="J40" s="51">
        <v>46266</v>
      </c>
      <c r="K40" s="52" t="s">
        <v>5</v>
      </c>
      <c r="L40" s="48">
        <v>46113</v>
      </c>
      <c r="M40" s="51">
        <v>46143</v>
      </c>
      <c r="N40" s="51">
        <v>46174</v>
      </c>
      <c r="O40" s="51">
        <v>46204</v>
      </c>
      <c r="P40" s="51">
        <v>46235</v>
      </c>
      <c r="Q40" s="51">
        <v>46266</v>
      </c>
      <c r="R40" s="52" t="s">
        <v>5</v>
      </c>
      <c r="S40" s="48">
        <v>46113</v>
      </c>
      <c r="T40" s="51">
        <v>46143</v>
      </c>
      <c r="U40" s="51">
        <v>46174</v>
      </c>
      <c r="V40" s="51">
        <v>46204</v>
      </c>
      <c r="W40" s="51">
        <v>46235</v>
      </c>
      <c r="X40" s="51">
        <v>46266</v>
      </c>
      <c r="Y40" s="52" t="s">
        <v>5</v>
      </c>
    </row>
    <row r="41" spans="3:25" x14ac:dyDescent="0.4">
      <c r="C41" s="2" t="s">
        <v>6</v>
      </c>
      <c r="D41" s="15" t="s">
        <v>7</v>
      </c>
      <c r="E41" s="3">
        <v>150</v>
      </c>
      <c r="F41" s="3">
        <v>150</v>
      </c>
      <c r="G41" s="3">
        <v>150</v>
      </c>
      <c r="H41" s="3">
        <v>150</v>
      </c>
      <c r="I41" s="3">
        <v>150</v>
      </c>
      <c r="J41" s="3">
        <v>150</v>
      </c>
      <c r="K41" s="59">
        <f t="shared" ref="K41:K48" si="18">SUM(E41:J41)</f>
        <v>900</v>
      </c>
      <c r="L41" s="2">
        <v>25</v>
      </c>
      <c r="M41" s="3">
        <v>25</v>
      </c>
      <c r="N41" s="3">
        <v>25</v>
      </c>
      <c r="O41" s="3">
        <v>25</v>
      </c>
      <c r="P41" s="3">
        <v>25</v>
      </c>
      <c r="Q41" s="3">
        <v>25</v>
      </c>
      <c r="R41" s="56">
        <f t="shared" ref="R41:R48" si="19">SUM(L41:Q41)</f>
        <v>150</v>
      </c>
      <c r="S41" s="57">
        <f t="shared" ref="S41:Y48" si="20">IF(E41=0,"***",L41/E41)</f>
        <v>0.16666666666666666</v>
      </c>
      <c r="T41" s="7">
        <f t="shared" si="20"/>
        <v>0.16666666666666666</v>
      </c>
      <c r="U41" s="7">
        <f t="shared" si="20"/>
        <v>0.16666666666666666</v>
      </c>
      <c r="V41" s="7">
        <f t="shared" si="20"/>
        <v>0.16666666666666666</v>
      </c>
      <c r="W41" s="7">
        <f t="shared" si="20"/>
        <v>0.16666666666666666</v>
      </c>
      <c r="X41" s="7">
        <f t="shared" si="20"/>
        <v>0.16666666666666666</v>
      </c>
      <c r="Y41" s="64">
        <f t="shared" si="20"/>
        <v>0.16666666666666666</v>
      </c>
    </row>
    <row r="42" spans="3:25" x14ac:dyDescent="0.4">
      <c r="C42" s="2" t="s">
        <v>8</v>
      </c>
      <c r="D42" s="15" t="s">
        <v>9</v>
      </c>
      <c r="E42" s="3">
        <v>3240</v>
      </c>
      <c r="F42" s="3"/>
      <c r="G42" s="3"/>
      <c r="H42" s="3"/>
      <c r="I42" s="3"/>
      <c r="J42" s="3"/>
      <c r="K42" s="59">
        <f t="shared" si="18"/>
        <v>3240</v>
      </c>
      <c r="L42" s="2">
        <v>430</v>
      </c>
      <c r="M42" s="3"/>
      <c r="N42" s="3"/>
      <c r="O42" s="3"/>
      <c r="P42" s="3"/>
      <c r="Q42" s="3"/>
      <c r="R42" s="56">
        <f t="shared" si="19"/>
        <v>430</v>
      </c>
      <c r="S42" s="57">
        <f t="shared" si="20"/>
        <v>0.13271604938271606</v>
      </c>
      <c r="T42" s="7" t="str">
        <f t="shared" si="20"/>
        <v>***</v>
      </c>
      <c r="U42" s="7" t="str">
        <f t="shared" si="20"/>
        <v>***</v>
      </c>
      <c r="V42" s="7" t="str">
        <f t="shared" si="20"/>
        <v>***</v>
      </c>
      <c r="W42" s="7" t="str">
        <f t="shared" si="20"/>
        <v>***</v>
      </c>
      <c r="X42" s="7" t="str">
        <f t="shared" si="20"/>
        <v>***</v>
      </c>
      <c r="Y42" s="64">
        <f t="shared" si="20"/>
        <v>0.13271604938271606</v>
      </c>
    </row>
    <row r="43" spans="3:25" x14ac:dyDescent="0.4">
      <c r="C43" s="2" t="s">
        <v>10</v>
      </c>
      <c r="D43" s="15" t="s">
        <v>11</v>
      </c>
      <c r="E43" s="3">
        <v>150</v>
      </c>
      <c r="F43" s="3">
        <v>150</v>
      </c>
      <c r="G43" s="3">
        <v>150</v>
      </c>
      <c r="H43" s="3">
        <v>150</v>
      </c>
      <c r="I43" s="3">
        <v>150</v>
      </c>
      <c r="J43" s="3">
        <v>150</v>
      </c>
      <c r="K43" s="59">
        <f t="shared" si="18"/>
        <v>900</v>
      </c>
      <c r="L43" s="2">
        <v>25</v>
      </c>
      <c r="M43" s="3">
        <v>25</v>
      </c>
      <c r="N43" s="3">
        <v>25</v>
      </c>
      <c r="O43" s="3">
        <v>25</v>
      </c>
      <c r="P43" s="3">
        <v>25</v>
      </c>
      <c r="Q43" s="3">
        <v>25</v>
      </c>
      <c r="R43" s="56">
        <f t="shared" si="19"/>
        <v>150</v>
      </c>
      <c r="S43" s="57">
        <f t="shared" si="20"/>
        <v>0.16666666666666666</v>
      </c>
      <c r="T43" s="7">
        <f t="shared" si="20"/>
        <v>0.16666666666666666</v>
      </c>
      <c r="U43" s="7">
        <f t="shared" si="20"/>
        <v>0.16666666666666666</v>
      </c>
      <c r="V43" s="7">
        <f t="shared" si="20"/>
        <v>0.16666666666666666</v>
      </c>
      <c r="W43" s="7">
        <f t="shared" si="20"/>
        <v>0.16666666666666666</v>
      </c>
      <c r="X43" s="7">
        <f t="shared" si="20"/>
        <v>0.16666666666666666</v>
      </c>
      <c r="Y43" s="64">
        <f t="shared" si="20"/>
        <v>0.16666666666666666</v>
      </c>
    </row>
    <row r="44" spans="3:25" x14ac:dyDescent="0.4">
      <c r="C44" s="2" t="s">
        <v>12</v>
      </c>
      <c r="D44" s="15" t="s">
        <v>13</v>
      </c>
      <c r="E44" s="3">
        <v>200</v>
      </c>
      <c r="F44" s="3">
        <v>200</v>
      </c>
      <c r="G44" s="3"/>
      <c r="H44" s="3"/>
      <c r="I44" s="3"/>
      <c r="J44" s="3">
        <v>10000</v>
      </c>
      <c r="K44" s="59">
        <f t="shared" si="18"/>
        <v>10400</v>
      </c>
      <c r="L44" s="2">
        <v>40</v>
      </c>
      <c r="M44" s="3">
        <v>40</v>
      </c>
      <c r="N44" s="3"/>
      <c r="O44" s="3"/>
      <c r="P44" s="3"/>
      <c r="Q44" s="3">
        <v>1430</v>
      </c>
      <c r="R44" s="56">
        <f t="shared" si="19"/>
        <v>1510</v>
      </c>
      <c r="S44" s="57">
        <f t="shared" si="20"/>
        <v>0.2</v>
      </c>
      <c r="T44" s="7">
        <f t="shared" si="20"/>
        <v>0.2</v>
      </c>
      <c r="U44" s="7" t="str">
        <f t="shared" si="20"/>
        <v>***</v>
      </c>
      <c r="V44" s="7" t="str">
        <f t="shared" si="20"/>
        <v>***</v>
      </c>
      <c r="W44" s="7" t="str">
        <f t="shared" si="20"/>
        <v>***</v>
      </c>
      <c r="X44" s="7">
        <f t="shared" si="20"/>
        <v>0.14299999999999999</v>
      </c>
      <c r="Y44" s="64">
        <f t="shared" si="20"/>
        <v>0.1451923076923077</v>
      </c>
    </row>
    <row r="45" spans="3:25" x14ac:dyDescent="0.4">
      <c r="C45" s="2" t="s">
        <v>14</v>
      </c>
      <c r="D45" s="15" t="s">
        <v>15</v>
      </c>
      <c r="E45" s="3"/>
      <c r="F45" s="3"/>
      <c r="G45" s="3"/>
      <c r="H45" s="3"/>
      <c r="I45" s="3"/>
      <c r="J45" s="3"/>
      <c r="K45" s="59">
        <f t="shared" si="18"/>
        <v>0</v>
      </c>
      <c r="L45" s="2"/>
      <c r="M45" s="3"/>
      <c r="N45" s="3"/>
      <c r="O45" s="3"/>
      <c r="P45" s="3"/>
      <c r="Q45" s="3"/>
      <c r="R45" s="56">
        <f t="shared" si="19"/>
        <v>0</v>
      </c>
      <c r="S45" s="57" t="str">
        <f t="shared" si="20"/>
        <v>***</v>
      </c>
      <c r="T45" s="7" t="str">
        <f t="shared" si="20"/>
        <v>***</v>
      </c>
      <c r="U45" s="7" t="str">
        <f t="shared" si="20"/>
        <v>***</v>
      </c>
      <c r="V45" s="7" t="str">
        <f t="shared" si="20"/>
        <v>***</v>
      </c>
      <c r="W45" s="7" t="str">
        <f t="shared" si="20"/>
        <v>***</v>
      </c>
      <c r="X45" s="7" t="str">
        <f t="shared" si="20"/>
        <v>***</v>
      </c>
      <c r="Y45" s="64" t="str">
        <f t="shared" si="20"/>
        <v>***</v>
      </c>
    </row>
    <row r="46" spans="3:25" x14ac:dyDescent="0.4">
      <c r="C46" s="70" t="s">
        <v>16</v>
      </c>
      <c r="D46" s="15" t="s">
        <v>17</v>
      </c>
      <c r="E46" s="3"/>
      <c r="F46" s="3"/>
      <c r="G46" s="3">
        <v>100</v>
      </c>
      <c r="H46" s="3"/>
      <c r="I46" s="3"/>
      <c r="J46" s="3">
        <v>100</v>
      </c>
      <c r="K46" s="59">
        <f t="shared" si="18"/>
        <v>200</v>
      </c>
      <c r="L46" s="2"/>
      <c r="M46" s="3"/>
      <c r="N46" s="3">
        <v>10</v>
      </c>
      <c r="O46" s="3"/>
      <c r="P46" s="3"/>
      <c r="Q46" s="3">
        <v>10</v>
      </c>
      <c r="R46" s="56">
        <f t="shared" si="19"/>
        <v>20</v>
      </c>
      <c r="S46" s="57" t="str">
        <f t="shared" si="20"/>
        <v>***</v>
      </c>
      <c r="T46" s="7" t="str">
        <f t="shared" si="20"/>
        <v>***</v>
      </c>
      <c r="U46" s="7">
        <f t="shared" si="20"/>
        <v>0.1</v>
      </c>
      <c r="V46" s="7" t="str">
        <f t="shared" si="20"/>
        <v>***</v>
      </c>
      <c r="W46" s="7" t="str">
        <f t="shared" si="20"/>
        <v>***</v>
      </c>
      <c r="X46" s="7">
        <f t="shared" si="20"/>
        <v>0.1</v>
      </c>
      <c r="Y46" s="64">
        <f t="shared" si="20"/>
        <v>0.1</v>
      </c>
    </row>
    <row r="47" spans="3:25" x14ac:dyDescent="0.4">
      <c r="C47" s="2" t="s">
        <v>18</v>
      </c>
      <c r="D47" s="15" t="s">
        <v>19</v>
      </c>
      <c r="E47" s="3"/>
      <c r="F47" s="3"/>
      <c r="G47" s="3"/>
      <c r="H47" s="3"/>
      <c r="I47" s="3"/>
      <c r="J47" s="3"/>
      <c r="K47" s="59">
        <f t="shared" si="18"/>
        <v>0</v>
      </c>
      <c r="L47" s="2"/>
      <c r="M47" s="3"/>
      <c r="N47" s="3"/>
      <c r="O47" s="3"/>
      <c r="P47" s="3"/>
      <c r="Q47" s="3"/>
      <c r="R47" s="56">
        <f t="shared" si="19"/>
        <v>0</v>
      </c>
      <c r="S47" s="57" t="str">
        <f t="shared" si="20"/>
        <v>***</v>
      </c>
      <c r="T47" s="7" t="str">
        <f t="shared" si="20"/>
        <v>***</v>
      </c>
      <c r="U47" s="7" t="str">
        <f t="shared" si="20"/>
        <v>***</v>
      </c>
      <c r="V47" s="7" t="str">
        <f t="shared" si="20"/>
        <v>***</v>
      </c>
      <c r="W47" s="7" t="str">
        <f t="shared" si="20"/>
        <v>***</v>
      </c>
      <c r="X47" s="7" t="str">
        <f t="shared" si="20"/>
        <v>***</v>
      </c>
      <c r="Y47" s="64" t="str">
        <f t="shared" si="20"/>
        <v>***</v>
      </c>
    </row>
    <row r="48" spans="3:25" x14ac:dyDescent="0.4">
      <c r="C48" s="4" t="s">
        <v>5</v>
      </c>
      <c r="D48" s="16"/>
      <c r="E48" s="6">
        <f t="shared" ref="E48:J48" si="21">SUM(E41:E47)</f>
        <v>3740</v>
      </c>
      <c r="F48" s="6">
        <f t="shared" si="21"/>
        <v>500</v>
      </c>
      <c r="G48" s="6">
        <f t="shared" si="21"/>
        <v>400</v>
      </c>
      <c r="H48" s="6">
        <f t="shared" si="21"/>
        <v>300</v>
      </c>
      <c r="I48" s="6">
        <f t="shared" si="21"/>
        <v>300</v>
      </c>
      <c r="J48" s="6">
        <f t="shared" si="21"/>
        <v>10400</v>
      </c>
      <c r="K48" s="60">
        <f t="shared" si="18"/>
        <v>15640</v>
      </c>
      <c r="L48" s="49">
        <f t="shared" ref="L48:Q48" si="22">SUM(L41:L47)</f>
        <v>520</v>
      </c>
      <c r="M48" s="6">
        <f t="shared" si="22"/>
        <v>90</v>
      </c>
      <c r="N48" s="6">
        <f t="shared" si="22"/>
        <v>60</v>
      </c>
      <c r="O48" s="6">
        <f t="shared" si="22"/>
        <v>50</v>
      </c>
      <c r="P48" s="6">
        <f t="shared" si="22"/>
        <v>50</v>
      </c>
      <c r="Q48" s="6">
        <f t="shared" si="22"/>
        <v>1490</v>
      </c>
      <c r="R48" s="50">
        <f t="shared" si="19"/>
        <v>2260</v>
      </c>
      <c r="S48" s="58">
        <f t="shared" si="20"/>
        <v>0.13903743315508021</v>
      </c>
      <c r="T48" s="9">
        <f t="shared" si="20"/>
        <v>0.18</v>
      </c>
      <c r="U48" s="9">
        <f t="shared" si="20"/>
        <v>0.15</v>
      </c>
      <c r="V48" s="9">
        <f t="shared" si="20"/>
        <v>0.16666666666666666</v>
      </c>
      <c r="W48" s="9">
        <f t="shared" si="20"/>
        <v>0.16666666666666666</v>
      </c>
      <c r="X48" s="9">
        <f t="shared" si="20"/>
        <v>0.14326923076923076</v>
      </c>
      <c r="Y48" s="65">
        <f t="shared" si="20"/>
        <v>0.14450127877237851</v>
      </c>
    </row>
    <row r="49" spans="3:25" hidden="1" x14ac:dyDescent="0.4">
      <c r="C49" s="12"/>
      <c r="E49" s="11"/>
      <c r="F49" s="11"/>
      <c r="G49" s="11"/>
      <c r="H49" s="11"/>
      <c r="I49" s="11"/>
      <c r="J49" s="11"/>
      <c r="K49" s="12"/>
      <c r="L49" s="11"/>
      <c r="M49" s="11"/>
      <c r="N49" s="11"/>
      <c r="O49" s="11"/>
      <c r="P49" s="11"/>
      <c r="Q49" s="11"/>
      <c r="R49" s="12"/>
      <c r="S49" s="13"/>
      <c r="T49" s="13"/>
      <c r="U49" s="13"/>
      <c r="V49" s="13"/>
      <c r="W49" s="13"/>
      <c r="X49" s="13"/>
      <c r="Y49" s="13"/>
    </row>
    <row r="50" spans="3:25" hidden="1" x14ac:dyDescent="0.4">
      <c r="C50" s="12" t="s">
        <v>23</v>
      </c>
    </row>
    <row r="51" spans="3:25" hidden="1" x14ac:dyDescent="0.4">
      <c r="C51" s="85"/>
      <c r="D51" s="84"/>
      <c r="E51" s="85" t="s">
        <v>2</v>
      </c>
      <c r="F51" s="83"/>
      <c r="G51" s="83"/>
      <c r="H51" s="83"/>
      <c r="I51" s="83"/>
      <c r="J51" s="83"/>
      <c r="K51" s="84"/>
      <c r="L51" s="82" t="s">
        <v>3</v>
      </c>
      <c r="M51" s="83"/>
      <c r="N51" s="83"/>
      <c r="O51" s="83"/>
      <c r="P51" s="83"/>
      <c r="Q51" s="83"/>
      <c r="R51" s="84"/>
      <c r="S51" s="82" t="s">
        <v>4</v>
      </c>
      <c r="T51" s="83"/>
      <c r="U51" s="83"/>
      <c r="V51" s="83"/>
      <c r="W51" s="83"/>
      <c r="X51" s="83"/>
      <c r="Y51" s="84"/>
    </row>
    <row r="52" spans="3:25" hidden="1" x14ac:dyDescent="0.4">
      <c r="C52" s="1"/>
      <c r="D52" s="14"/>
      <c r="E52" s="54">
        <v>46113</v>
      </c>
      <c r="F52" s="51">
        <v>46143</v>
      </c>
      <c r="G52" s="51">
        <v>46174</v>
      </c>
      <c r="H52" s="51">
        <v>46204</v>
      </c>
      <c r="I52" s="51">
        <v>46235</v>
      </c>
      <c r="J52" s="51">
        <v>46266</v>
      </c>
      <c r="K52" s="52" t="s">
        <v>5</v>
      </c>
      <c r="L52" s="48">
        <v>46113</v>
      </c>
      <c r="M52" s="51">
        <v>46143</v>
      </c>
      <c r="N52" s="51">
        <v>46174</v>
      </c>
      <c r="O52" s="51">
        <v>46204</v>
      </c>
      <c r="P52" s="51">
        <v>46235</v>
      </c>
      <c r="Q52" s="51">
        <v>46266</v>
      </c>
      <c r="R52" s="52" t="s">
        <v>5</v>
      </c>
      <c r="S52" s="48">
        <v>46113</v>
      </c>
      <c r="T52" s="51">
        <v>46143</v>
      </c>
      <c r="U52" s="51">
        <v>46174</v>
      </c>
      <c r="V52" s="51">
        <v>46204</v>
      </c>
      <c r="W52" s="51">
        <v>46235</v>
      </c>
      <c r="X52" s="51">
        <v>46266</v>
      </c>
      <c r="Y52" s="52" t="s">
        <v>5</v>
      </c>
    </row>
    <row r="53" spans="3:25" hidden="1" x14ac:dyDescent="0.4">
      <c r="C53" s="2" t="s">
        <v>6</v>
      </c>
      <c r="D53" s="15" t="s">
        <v>7</v>
      </c>
      <c r="E53" s="3">
        <f t="shared" ref="E53:J57" si="23">E41-E17</f>
        <v>62</v>
      </c>
      <c r="F53" s="3">
        <f t="shared" si="23"/>
        <v>138</v>
      </c>
      <c r="G53" s="3">
        <f t="shared" si="23"/>
        <v>138</v>
      </c>
      <c r="H53" s="3">
        <f t="shared" si="23"/>
        <v>-134</v>
      </c>
      <c r="I53" s="3">
        <f t="shared" si="23"/>
        <v>138</v>
      </c>
      <c r="J53" s="3">
        <f t="shared" si="23"/>
        <v>150</v>
      </c>
      <c r="K53" s="59">
        <f>SUM(E53:J53)</f>
        <v>492</v>
      </c>
      <c r="L53" s="2">
        <f t="shared" ref="L53:Q57" si="24">L41-L17</f>
        <v>9</v>
      </c>
      <c r="M53" s="3">
        <f t="shared" si="24"/>
        <v>24</v>
      </c>
      <c r="N53" s="3">
        <f t="shared" si="24"/>
        <v>24</v>
      </c>
      <c r="O53" s="3">
        <f t="shared" si="24"/>
        <v>-24</v>
      </c>
      <c r="P53" s="3">
        <f t="shared" si="24"/>
        <v>24</v>
      </c>
      <c r="Q53" s="3">
        <f t="shared" si="24"/>
        <v>25</v>
      </c>
      <c r="R53" s="56">
        <f>SUM(L53:Q53)</f>
        <v>82</v>
      </c>
      <c r="S53" s="57">
        <f t="shared" ref="S53:Y57" si="25">S41-S17</f>
        <v>-1.5151515151515166E-2</v>
      </c>
      <c r="T53" s="7">
        <f t="shared" si="25"/>
        <v>8.3333333333333329E-2</v>
      </c>
      <c r="U53" s="7">
        <f t="shared" si="25"/>
        <v>8.3333333333333329E-2</v>
      </c>
      <c r="V53" s="7">
        <f t="shared" si="25"/>
        <v>-5.8685446009389686E-3</v>
      </c>
      <c r="W53" s="7">
        <f t="shared" si="25"/>
        <v>8.3333333333333329E-2</v>
      </c>
      <c r="X53" s="7" t="e">
        <f t="shared" si="25"/>
        <v>#VALUE!</v>
      </c>
      <c r="Y53" s="64">
        <f t="shared" si="25"/>
        <v>0</v>
      </c>
    </row>
    <row r="54" spans="3:25" hidden="1" x14ac:dyDescent="0.4">
      <c r="C54" s="2" t="s">
        <v>8</v>
      </c>
      <c r="D54" s="15" t="s">
        <v>9</v>
      </c>
      <c r="E54" s="3">
        <f t="shared" si="23"/>
        <v>3137</v>
      </c>
      <c r="F54" s="3">
        <f t="shared" si="23"/>
        <v>-182</v>
      </c>
      <c r="G54" s="3">
        <f t="shared" si="23"/>
        <v>-53</v>
      </c>
      <c r="H54" s="3">
        <f t="shared" si="23"/>
        <v>-119</v>
      </c>
      <c r="I54" s="3">
        <f t="shared" si="23"/>
        <v>-78</v>
      </c>
      <c r="J54" s="3">
        <f t="shared" si="23"/>
        <v>-36</v>
      </c>
      <c r="K54" s="59">
        <f>SUM(E54:J54)</f>
        <v>2669</v>
      </c>
      <c r="L54" s="2">
        <f t="shared" si="24"/>
        <v>407</v>
      </c>
      <c r="M54" s="3">
        <f t="shared" si="24"/>
        <v>-37</v>
      </c>
      <c r="N54" s="3">
        <f t="shared" si="24"/>
        <v>-7</v>
      </c>
      <c r="O54" s="3">
        <f t="shared" si="24"/>
        <v>-108</v>
      </c>
      <c r="P54" s="3">
        <f t="shared" si="24"/>
        <v>-17</v>
      </c>
      <c r="Q54" s="3">
        <f t="shared" si="24"/>
        <v>-4</v>
      </c>
      <c r="R54" s="56">
        <f>SUM(L54:Q54)</f>
        <v>234</v>
      </c>
      <c r="S54" s="57">
        <f t="shared" si="25"/>
        <v>-9.0584921491070364E-2</v>
      </c>
      <c r="T54" s="7" t="e">
        <f t="shared" si="25"/>
        <v>#VALUE!</v>
      </c>
      <c r="U54" s="7" t="e">
        <f t="shared" si="25"/>
        <v>#VALUE!</v>
      </c>
      <c r="V54" s="7" t="e">
        <f t="shared" si="25"/>
        <v>#VALUE!</v>
      </c>
      <c r="W54" s="7" t="e">
        <f t="shared" si="25"/>
        <v>#VALUE!</v>
      </c>
      <c r="X54" s="7" t="e">
        <f t="shared" si="25"/>
        <v>#VALUE!</v>
      </c>
      <c r="Y54" s="64">
        <f t="shared" si="25"/>
        <v>-0.21054139369959565</v>
      </c>
    </row>
    <row r="55" spans="3:25" hidden="1" x14ac:dyDescent="0.4">
      <c r="C55" s="2" t="s">
        <v>10</v>
      </c>
      <c r="D55" s="15" t="s">
        <v>11</v>
      </c>
      <c r="E55" s="3">
        <f t="shared" si="23"/>
        <v>-1766</v>
      </c>
      <c r="F55" s="3">
        <f t="shared" si="23"/>
        <v>132</v>
      </c>
      <c r="G55" s="3">
        <f t="shared" si="23"/>
        <v>96</v>
      </c>
      <c r="H55" s="3">
        <f t="shared" si="23"/>
        <v>150</v>
      </c>
      <c r="I55" s="3">
        <f t="shared" si="23"/>
        <v>150</v>
      </c>
      <c r="J55" s="3">
        <f t="shared" si="23"/>
        <v>42</v>
      </c>
      <c r="K55" s="59">
        <f>SUM(E55:J55)</f>
        <v>-1196</v>
      </c>
      <c r="L55" s="2">
        <f t="shared" si="24"/>
        <v>-171</v>
      </c>
      <c r="M55" s="3">
        <f t="shared" si="24"/>
        <v>22</v>
      </c>
      <c r="N55" s="3">
        <f t="shared" si="24"/>
        <v>20</v>
      </c>
      <c r="O55" s="3">
        <f t="shared" si="24"/>
        <v>25</v>
      </c>
      <c r="P55" s="3">
        <f t="shared" si="24"/>
        <v>25</v>
      </c>
      <c r="Q55" s="3">
        <f t="shared" si="24"/>
        <v>3</v>
      </c>
      <c r="R55" s="56">
        <f>SUM(L55:Q55)</f>
        <v>-76</v>
      </c>
      <c r="S55" s="57">
        <f t="shared" si="25"/>
        <v>6.4370215727209454E-2</v>
      </c>
      <c r="T55" s="7">
        <f t="shared" si="25"/>
        <v>0</v>
      </c>
      <c r="U55" s="7">
        <f t="shared" si="25"/>
        <v>7.407407407407407E-2</v>
      </c>
      <c r="V55" s="7" t="e">
        <f t="shared" si="25"/>
        <v>#VALUE!</v>
      </c>
      <c r="W55" s="7" t="e">
        <f t="shared" si="25"/>
        <v>#VALUE!</v>
      </c>
      <c r="X55" s="7">
        <f t="shared" si="25"/>
        <v>-3.7037037037037035E-2</v>
      </c>
      <c r="Y55" s="64">
        <f t="shared" si="25"/>
        <v>5.8842239185750628E-2</v>
      </c>
    </row>
    <row r="56" spans="3:25" hidden="1" x14ac:dyDescent="0.4">
      <c r="C56" s="2" t="s">
        <v>12</v>
      </c>
      <c r="D56" s="15" t="s">
        <v>13</v>
      </c>
      <c r="E56" s="3">
        <f t="shared" si="23"/>
        <v>-338</v>
      </c>
      <c r="F56" s="3">
        <f t="shared" si="23"/>
        <v>114</v>
      </c>
      <c r="G56" s="3">
        <f t="shared" si="23"/>
        <v>-147</v>
      </c>
      <c r="H56" s="3">
        <f t="shared" si="23"/>
        <v>-116</v>
      </c>
      <c r="I56" s="3">
        <f t="shared" si="23"/>
        <v>-94</v>
      </c>
      <c r="J56" s="3">
        <f t="shared" si="23"/>
        <v>9689</v>
      </c>
      <c r="K56" s="59">
        <f>SUM(E56:J56)</f>
        <v>9108</v>
      </c>
      <c r="L56" s="2">
        <f t="shared" si="24"/>
        <v>-15</v>
      </c>
      <c r="M56" s="3">
        <f t="shared" si="24"/>
        <v>30</v>
      </c>
      <c r="N56" s="3">
        <f t="shared" si="24"/>
        <v>-27</v>
      </c>
      <c r="O56" s="3">
        <f t="shared" si="24"/>
        <v>-15</v>
      </c>
      <c r="P56" s="3">
        <f t="shared" si="24"/>
        <v>-9</v>
      </c>
      <c r="Q56" s="3">
        <f t="shared" si="24"/>
        <v>1413</v>
      </c>
      <c r="R56" s="56">
        <f>SUM(L56:Q56)</f>
        <v>1377</v>
      </c>
      <c r="S56" s="57">
        <f t="shared" si="25"/>
        <v>9.776951672862455E-2</v>
      </c>
      <c r="T56" s="7">
        <f t="shared" si="25"/>
        <v>8.3720930232558152E-2</v>
      </c>
      <c r="U56" s="7" t="e">
        <f t="shared" si="25"/>
        <v>#VALUE!</v>
      </c>
      <c r="V56" s="7" t="e">
        <f t="shared" si="25"/>
        <v>#VALUE!</v>
      </c>
      <c r="W56" s="7" t="e">
        <f t="shared" si="25"/>
        <v>#VALUE!</v>
      </c>
      <c r="X56" s="7">
        <f t="shared" si="25"/>
        <v>8.8337620578778114E-2</v>
      </c>
      <c r="Y56" s="64">
        <f t="shared" si="25"/>
        <v>4.2251131221719473E-2</v>
      </c>
    </row>
    <row r="57" spans="3:25" hidden="1" x14ac:dyDescent="0.4">
      <c r="C57" s="2" t="s">
        <v>14</v>
      </c>
      <c r="D57" s="15" t="s">
        <v>15</v>
      </c>
      <c r="E57" s="3">
        <f t="shared" si="23"/>
        <v>0</v>
      </c>
      <c r="F57" s="3">
        <f t="shared" si="23"/>
        <v>0</v>
      </c>
      <c r="G57" s="3">
        <f t="shared" si="23"/>
        <v>0</v>
      </c>
      <c r="H57" s="3">
        <f t="shared" si="23"/>
        <v>0</v>
      </c>
      <c r="I57" s="3">
        <f t="shared" si="23"/>
        <v>0</v>
      </c>
      <c r="J57" s="3">
        <f t="shared" si="23"/>
        <v>0</v>
      </c>
      <c r="K57" s="59">
        <f>SUM(E57:J57)</f>
        <v>0</v>
      </c>
      <c r="L57" s="2">
        <f t="shared" si="24"/>
        <v>0</v>
      </c>
      <c r="M57" s="3">
        <f t="shared" si="24"/>
        <v>0</v>
      </c>
      <c r="N57" s="3">
        <f t="shared" si="24"/>
        <v>0</v>
      </c>
      <c r="O57" s="3">
        <f t="shared" si="24"/>
        <v>0</v>
      </c>
      <c r="P57" s="3">
        <f t="shared" si="24"/>
        <v>0</v>
      </c>
      <c r="Q57" s="3">
        <f t="shared" si="24"/>
        <v>0</v>
      </c>
      <c r="R57" s="56">
        <f>SUM(L57:Q57)</f>
        <v>0</v>
      </c>
      <c r="S57" s="57" t="e">
        <f t="shared" si="25"/>
        <v>#VALUE!</v>
      </c>
      <c r="T57" s="7" t="e">
        <f t="shared" si="25"/>
        <v>#VALUE!</v>
      </c>
      <c r="U57" s="7" t="e">
        <f t="shared" si="25"/>
        <v>#VALUE!</v>
      </c>
      <c r="V57" s="7" t="e">
        <f t="shared" si="25"/>
        <v>#VALUE!</v>
      </c>
      <c r="W57" s="7" t="e">
        <f t="shared" si="25"/>
        <v>#VALUE!</v>
      </c>
      <c r="X57" s="7" t="e">
        <f t="shared" si="25"/>
        <v>#VALUE!</v>
      </c>
      <c r="Y57" s="64" t="e">
        <f t="shared" si="25"/>
        <v>#VALUE!</v>
      </c>
    </row>
    <row r="58" spans="3:25" hidden="1" x14ac:dyDescent="0.4">
      <c r="C58" s="70" t="s">
        <v>16</v>
      </c>
      <c r="D58" s="15" t="s">
        <v>17</v>
      </c>
      <c r="E58" s="3"/>
      <c r="F58" s="3"/>
      <c r="G58" s="3"/>
      <c r="H58" s="3"/>
      <c r="I58" s="3"/>
      <c r="J58" s="3"/>
      <c r="K58" s="59"/>
      <c r="L58" s="2"/>
      <c r="M58" s="3"/>
      <c r="N58" s="3"/>
      <c r="O58" s="3"/>
      <c r="P58" s="3"/>
      <c r="Q58" s="3"/>
      <c r="R58" s="56"/>
      <c r="S58" s="57"/>
      <c r="T58" s="7"/>
      <c r="U58" s="7"/>
      <c r="V58" s="7"/>
      <c r="W58" s="7"/>
      <c r="X58" s="7"/>
      <c r="Y58" s="64"/>
    </row>
    <row r="59" spans="3:25" hidden="1" x14ac:dyDescent="0.4">
      <c r="C59" s="2" t="s">
        <v>18</v>
      </c>
      <c r="D59" s="15" t="s">
        <v>19</v>
      </c>
      <c r="E59" s="3">
        <f t="shared" ref="E59:J59" si="26">E47-E23</f>
        <v>0</v>
      </c>
      <c r="F59" s="3">
        <f t="shared" si="26"/>
        <v>0</v>
      </c>
      <c r="G59" s="3">
        <f t="shared" si="26"/>
        <v>0</v>
      </c>
      <c r="H59" s="3">
        <f t="shared" si="26"/>
        <v>0</v>
      </c>
      <c r="I59" s="3">
        <f t="shared" si="26"/>
        <v>0</v>
      </c>
      <c r="J59" s="3">
        <f t="shared" si="26"/>
        <v>0</v>
      </c>
      <c r="K59" s="59">
        <f>SUM(E59:J59)</f>
        <v>0</v>
      </c>
      <c r="L59" s="2">
        <f t="shared" ref="L59:Q59" si="27">L47-L23</f>
        <v>0</v>
      </c>
      <c r="M59" s="3">
        <f t="shared" si="27"/>
        <v>0</v>
      </c>
      <c r="N59" s="3">
        <f t="shared" si="27"/>
        <v>0</v>
      </c>
      <c r="O59" s="3">
        <f t="shared" si="27"/>
        <v>0</v>
      </c>
      <c r="P59" s="3">
        <f t="shared" si="27"/>
        <v>0</v>
      </c>
      <c r="Q59" s="3">
        <f t="shared" si="27"/>
        <v>0</v>
      </c>
      <c r="R59" s="56">
        <f>SUM(L59:Q59)</f>
        <v>0</v>
      </c>
      <c r="S59" s="57" t="e">
        <f t="shared" ref="S59:Y60" si="28">S47-S23</f>
        <v>#VALUE!</v>
      </c>
      <c r="T59" s="7" t="e">
        <f t="shared" si="28"/>
        <v>#VALUE!</v>
      </c>
      <c r="U59" s="7" t="e">
        <f t="shared" si="28"/>
        <v>#VALUE!</v>
      </c>
      <c r="V59" s="7" t="e">
        <f t="shared" si="28"/>
        <v>#VALUE!</v>
      </c>
      <c r="W59" s="7" t="e">
        <f t="shared" si="28"/>
        <v>#VALUE!</v>
      </c>
      <c r="X59" s="7" t="e">
        <f t="shared" si="28"/>
        <v>#VALUE!</v>
      </c>
      <c r="Y59" s="64" t="e">
        <f t="shared" si="28"/>
        <v>#VALUE!</v>
      </c>
    </row>
    <row r="60" spans="3:25" hidden="1" x14ac:dyDescent="0.4">
      <c r="C60" s="4" t="s">
        <v>5</v>
      </c>
      <c r="D60" s="16"/>
      <c r="E60" s="6">
        <f t="shared" ref="E60:J60" si="29">SUM(E53:E59)</f>
        <v>1095</v>
      </c>
      <c r="F60" s="6">
        <f t="shared" si="29"/>
        <v>202</v>
      </c>
      <c r="G60" s="6">
        <f t="shared" si="29"/>
        <v>34</v>
      </c>
      <c r="H60" s="6">
        <f t="shared" si="29"/>
        <v>-219</v>
      </c>
      <c r="I60" s="6">
        <f t="shared" si="29"/>
        <v>116</v>
      </c>
      <c r="J60" s="6">
        <f t="shared" si="29"/>
        <v>9845</v>
      </c>
      <c r="K60" s="60">
        <f>SUM(E60:J60)</f>
        <v>11073</v>
      </c>
      <c r="L60" s="49">
        <f t="shared" ref="L60:Q60" si="30">SUM(L53:L59)</f>
        <v>230</v>
      </c>
      <c r="M60" s="6">
        <f t="shared" si="30"/>
        <v>39</v>
      </c>
      <c r="N60" s="6">
        <f t="shared" si="30"/>
        <v>10</v>
      </c>
      <c r="O60" s="6">
        <f t="shared" si="30"/>
        <v>-122</v>
      </c>
      <c r="P60" s="6">
        <f t="shared" si="30"/>
        <v>23</v>
      </c>
      <c r="Q60" s="6">
        <f t="shared" si="30"/>
        <v>1437</v>
      </c>
      <c r="R60" s="50">
        <f>SUM(L60:Q60)</f>
        <v>1617</v>
      </c>
      <c r="S60" s="58">
        <f t="shared" si="28"/>
        <v>2.9396601397046182E-2</v>
      </c>
      <c r="T60" s="9">
        <f t="shared" si="28"/>
        <v>8.8590604026845543E-3</v>
      </c>
      <c r="U60" s="9">
        <f t="shared" si="28"/>
        <v>-3.7593984962405735E-4</v>
      </c>
      <c r="V60" s="9">
        <f t="shared" si="28"/>
        <v>-0.16473988439306361</v>
      </c>
      <c r="W60" s="9">
        <f t="shared" si="28"/>
        <v>1.9927536231884035E-2</v>
      </c>
      <c r="X60" s="9">
        <f t="shared" si="28"/>
        <v>4.8763736263736257E-2</v>
      </c>
      <c r="Y60" s="65">
        <f t="shared" si="28"/>
        <v>1.840413189598572E-3</v>
      </c>
    </row>
    <row r="61" spans="3:25" hidden="1" x14ac:dyDescent="0.4"/>
    <row r="62" spans="3:25" hidden="1" x14ac:dyDescent="0.4">
      <c r="C62" s="12" t="s">
        <v>24</v>
      </c>
    </row>
    <row r="63" spans="3:25" hidden="1" x14ac:dyDescent="0.4">
      <c r="C63" s="85"/>
      <c r="D63" s="84"/>
      <c r="E63" s="85" t="s">
        <v>2</v>
      </c>
      <c r="F63" s="83"/>
      <c r="G63" s="83"/>
      <c r="H63" s="83"/>
      <c r="I63" s="83"/>
      <c r="J63" s="83"/>
      <c r="K63" s="84"/>
      <c r="L63" s="82" t="s">
        <v>3</v>
      </c>
      <c r="M63" s="83"/>
      <c r="N63" s="83"/>
      <c r="O63" s="83"/>
      <c r="P63" s="83"/>
      <c r="Q63" s="83"/>
      <c r="R63" s="84"/>
      <c r="S63" s="82" t="s">
        <v>4</v>
      </c>
      <c r="T63" s="83"/>
      <c r="U63" s="83"/>
      <c r="V63" s="83"/>
      <c r="W63" s="83"/>
      <c r="X63" s="83"/>
      <c r="Y63" s="84"/>
    </row>
    <row r="64" spans="3:25" hidden="1" x14ac:dyDescent="0.4">
      <c r="C64" s="1"/>
      <c r="D64" s="14"/>
      <c r="E64" s="54">
        <v>46113</v>
      </c>
      <c r="F64" s="51">
        <v>46143</v>
      </c>
      <c r="G64" s="51">
        <v>46174</v>
      </c>
      <c r="H64" s="51">
        <v>46204</v>
      </c>
      <c r="I64" s="51">
        <v>46235</v>
      </c>
      <c r="J64" s="51">
        <v>46266</v>
      </c>
      <c r="K64" s="52" t="s">
        <v>5</v>
      </c>
      <c r="L64" s="48">
        <v>46113</v>
      </c>
      <c r="M64" s="51">
        <v>46143</v>
      </c>
      <c r="N64" s="51">
        <v>46174</v>
      </c>
      <c r="O64" s="51">
        <v>46204</v>
      </c>
      <c r="P64" s="51">
        <v>46235</v>
      </c>
      <c r="Q64" s="51">
        <v>46266</v>
      </c>
      <c r="R64" s="52" t="s">
        <v>5</v>
      </c>
      <c r="S64" s="48">
        <v>46113</v>
      </c>
      <c r="T64" s="51">
        <v>46143</v>
      </c>
      <c r="U64" s="51">
        <v>46174</v>
      </c>
      <c r="V64" s="51">
        <v>46204</v>
      </c>
      <c r="W64" s="51">
        <v>46235</v>
      </c>
      <c r="X64" s="51">
        <v>46266</v>
      </c>
      <c r="Y64" s="52" t="s">
        <v>5</v>
      </c>
    </row>
    <row r="65" spans="3:25" hidden="1" x14ac:dyDescent="0.4">
      <c r="C65" s="2" t="s">
        <v>6</v>
      </c>
      <c r="D65" s="15" t="s">
        <v>7</v>
      </c>
      <c r="E65" s="3">
        <f t="shared" ref="E65:J69" si="31">E41-E29</f>
        <v>49</v>
      </c>
      <c r="F65" s="3">
        <f t="shared" si="31"/>
        <v>-269.5</v>
      </c>
      <c r="G65" s="3">
        <f t="shared" si="31"/>
        <v>90.5</v>
      </c>
      <c r="H65" s="3">
        <f t="shared" si="31"/>
        <v>-45.5</v>
      </c>
      <c r="I65" s="3">
        <f t="shared" si="31"/>
        <v>97.5</v>
      </c>
      <c r="J65" s="3">
        <f t="shared" si="31"/>
        <v>128</v>
      </c>
      <c r="K65" s="59">
        <f>SUM(E65:J65)</f>
        <v>50</v>
      </c>
      <c r="L65" s="2">
        <f t="shared" ref="L65:Q69" si="32">L41-L29</f>
        <v>8.5</v>
      </c>
      <c r="M65" s="3">
        <f t="shared" si="32"/>
        <v>-73</v>
      </c>
      <c r="N65" s="3">
        <f t="shared" si="32"/>
        <v>17</v>
      </c>
      <c r="O65" s="3">
        <f t="shared" si="32"/>
        <v>-7</v>
      </c>
      <c r="P65" s="3">
        <f t="shared" si="32"/>
        <v>16</v>
      </c>
      <c r="Q65" s="3">
        <f t="shared" si="32"/>
        <v>14</v>
      </c>
      <c r="R65" s="56">
        <f>SUM(L65:Q65)</f>
        <v>-24.5</v>
      </c>
      <c r="S65" s="57">
        <f t="shared" ref="S65:Y69" si="33">S41-S29</f>
        <v>3.3003300330032848E-3</v>
      </c>
      <c r="T65" s="7">
        <f t="shared" si="33"/>
        <v>-6.6944775526420364E-2</v>
      </c>
      <c r="U65" s="7">
        <f t="shared" si="33"/>
        <v>3.2212885154061621E-2</v>
      </c>
      <c r="V65" s="7">
        <f t="shared" si="33"/>
        <v>2.9838022165387668E-3</v>
      </c>
      <c r="W65" s="7">
        <f t="shared" si="33"/>
        <v>-4.7619047619047727E-3</v>
      </c>
      <c r="X65" s="7">
        <f t="shared" si="33"/>
        <v>-0.33333333333333337</v>
      </c>
      <c r="Y65" s="64">
        <f t="shared" si="33"/>
        <v>-3.8627450980392164E-2</v>
      </c>
    </row>
    <row r="66" spans="3:25" hidden="1" x14ac:dyDescent="0.4">
      <c r="C66" s="2" t="s">
        <v>8</v>
      </c>
      <c r="D66" s="15" t="s">
        <v>9</v>
      </c>
      <c r="E66" s="3">
        <f t="shared" si="31"/>
        <v>3076</v>
      </c>
      <c r="F66" s="3">
        <f t="shared" si="31"/>
        <v>-124</v>
      </c>
      <c r="G66" s="3">
        <f t="shared" si="31"/>
        <v>-60.5</v>
      </c>
      <c r="H66" s="3">
        <f t="shared" si="31"/>
        <v>-106.5</v>
      </c>
      <c r="I66" s="3">
        <f t="shared" si="31"/>
        <v>-39</v>
      </c>
      <c r="J66" s="3">
        <f t="shared" si="31"/>
        <v>-48</v>
      </c>
      <c r="K66" s="59">
        <f>SUM(E66:J66)</f>
        <v>2698</v>
      </c>
      <c r="L66" s="2">
        <f t="shared" si="32"/>
        <v>397.5</v>
      </c>
      <c r="M66" s="3">
        <f t="shared" si="32"/>
        <v>-23.5</v>
      </c>
      <c r="N66" s="3">
        <f t="shared" si="32"/>
        <v>24.5</v>
      </c>
      <c r="O66" s="3">
        <f t="shared" si="32"/>
        <v>-57</v>
      </c>
      <c r="P66" s="3">
        <f t="shared" si="32"/>
        <v>-8.5</v>
      </c>
      <c r="Q66" s="3">
        <f t="shared" si="32"/>
        <v>-8</v>
      </c>
      <c r="R66" s="56">
        <f>SUM(L66:Q66)</f>
        <v>325</v>
      </c>
      <c r="S66" s="57">
        <f t="shared" si="33"/>
        <v>-6.5454682324601027E-2</v>
      </c>
      <c r="T66" s="7" t="e">
        <f t="shared" si="33"/>
        <v>#VALUE!</v>
      </c>
      <c r="U66" s="7" t="e">
        <f t="shared" si="33"/>
        <v>#VALUE!</v>
      </c>
      <c r="V66" s="7" t="e">
        <f t="shared" si="33"/>
        <v>#VALUE!</v>
      </c>
      <c r="W66" s="7" t="e">
        <f t="shared" si="33"/>
        <v>#VALUE!</v>
      </c>
      <c r="X66" s="7" t="e">
        <f t="shared" si="33"/>
        <v>#VALUE!</v>
      </c>
      <c r="Y66" s="64">
        <f t="shared" si="33"/>
        <v>-6.1010887886656651E-2</v>
      </c>
    </row>
    <row r="67" spans="3:25" hidden="1" x14ac:dyDescent="0.4">
      <c r="C67" s="2" t="s">
        <v>10</v>
      </c>
      <c r="D67" s="15" t="s">
        <v>11</v>
      </c>
      <c r="E67" s="3">
        <f t="shared" si="31"/>
        <v>-838</v>
      </c>
      <c r="F67" s="3">
        <f t="shared" si="31"/>
        <v>-281</v>
      </c>
      <c r="G67" s="3">
        <f t="shared" si="31"/>
        <v>123</v>
      </c>
      <c r="H67" s="3">
        <f t="shared" si="31"/>
        <v>150</v>
      </c>
      <c r="I67" s="3">
        <f t="shared" si="31"/>
        <v>131</v>
      </c>
      <c r="J67" s="3">
        <f t="shared" si="31"/>
        <v>94</v>
      </c>
      <c r="K67" s="59">
        <f>SUM(E67:J67)</f>
        <v>-621</v>
      </c>
      <c r="L67" s="2">
        <f t="shared" si="32"/>
        <v>-79</v>
      </c>
      <c r="M67" s="3">
        <f t="shared" si="32"/>
        <v>-33</v>
      </c>
      <c r="N67" s="3">
        <f t="shared" si="32"/>
        <v>22.5</v>
      </c>
      <c r="O67" s="3">
        <f t="shared" si="32"/>
        <v>25</v>
      </c>
      <c r="P67" s="3">
        <f t="shared" si="32"/>
        <v>22.5</v>
      </c>
      <c r="Q67" s="3">
        <f t="shared" si="32"/>
        <v>13.5</v>
      </c>
      <c r="R67" s="56">
        <f>SUM(L67:Q67)</f>
        <v>-28.5</v>
      </c>
      <c r="S67" s="57">
        <f t="shared" si="33"/>
        <v>6.1403508771929821E-2</v>
      </c>
      <c r="T67" s="7">
        <f t="shared" si="33"/>
        <v>3.2095901005413763E-2</v>
      </c>
      <c r="U67" s="7">
        <f t="shared" si="33"/>
        <v>7.407407407407407E-2</v>
      </c>
      <c r="V67" s="7" t="e">
        <f t="shared" si="33"/>
        <v>#VALUE!</v>
      </c>
      <c r="W67" s="7">
        <f t="shared" si="33"/>
        <v>3.5087719298245612E-2</v>
      </c>
      <c r="X67" s="7">
        <f t="shared" si="33"/>
        <v>-3.8690476190476192E-2</v>
      </c>
      <c r="Y67" s="64">
        <f t="shared" si="33"/>
        <v>4.9309664694280067E-2</v>
      </c>
    </row>
    <row r="68" spans="3:25" hidden="1" x14ac:dyDescent="0.4">
      <c r="C68" s="2" t="s">
        <v>12</v>
      </c>
      <c r="D68" s="15" t="s">
        <v>13</v>
      </c>
      <c r="E68" s="3">
        <f t="shared" si="31"/>
        <v>-102</v>
      </c>
      <c r="F68" s="3">
        <f t="shared" si="31"/>
        <v>123.5</v>
      </c>
      <c r="G68" s="3">
        <f t="shared" si="31"/>
        <v>-98.5</v>
      </c>
      <c r="H68" s="3">
        <f t="shared" si="31"/>
        <v>-178.5</v>
      </c>
      <c r="I68" s="3">
        <f t="shared" si="31"/>
        <v>-68</v>
      </c>
      <c r="J68" s="3">
        <f t="shared" si="31"/>
        <v>9715</v>
      </c>
      <c r="K68" s="59">
        <f>SUM(E68:J68)</f>
        <v>9391.5</v>
      </c>
      <c r="L68" s="2">
        <f t="shared" si="32"/>
        <v>7.5</v>
      </c>
      <c r="M68" s="3">
        <f t="shared" si="32"/>
        <v>27</v>
      </c>
      <c r="N68" s="3">
        <f t="shared" si="32"/>
        <v>-17.5</v>
      </c>
      <c r="O68" s="3">
        <f t="shared" si="32"/>
        <v>-33</v>
      </c>
      <c r="P68" s="3">
        <f t="shared" si="32"/>
        <v>-7.5</v>
      </c>
      <c r="Q68" s="3">
        <f t="shared" si="32"/>
        <v>1402.5</v>
      </c>
      <c r="R68" s="56">
        <f>SUM(L68:Q68)</f>
        <v>1379</v>
      </c>
      <c r="S68" s="57">
        <f t="shared" si="33"/>
        <v>9.2384105960264917E-2</v>
      </c>
      <c r="T68" s="7">
        <f t="shared" si="33"/>
        <v>3.0065359477124187E-2</v>
      </c>
      <c r="U68" s="7" t="e">
        <f t="shared" si="33"/>
        <v>#VALUE!</v>
      </c>
      <c r="V68" s="7" t="e">
        <f t="shared" si="33"/>
        <v>#VALUE!</v>
      </c>
      <c r="W68" s="7" t="e">
        <f t="shared" si="33"/>
        <v>#VALUE!</v>
      </c>
      <c r="X68" s="7">
        <f t="shared" si="33"/>
        <v>4.6508771929824555E-2</v>
      </c>
      <c r="Y68" s="64">
        <f t="shared" si="33"/>
        <v>1.5296422714618063E-2</v>
      </c>
    </row>
    <row r="69" spans="3:25" hidden="1" x14ac:dyDescent="0.4">
      <c r="C69" s="2" t="s">
        <v>14</v>
      </c>
      <c r="D69" s="15" t="s">
        <v>15</v>
      </c>
      <c r="E69" s="3">
        <f t="shared" si="31"/>
        <v>0</v>
      </c>
      <c r="F69" s="3">
        <f t="shared" si="31"/>
        <v>0</v>
      </c>
      <c r="G69" s="3">
        <f t="shared" si="31"/>
        <v>0</v>
      </c>
      <c r="H69" s="3">
        <f t="shared" si="31"/>
        <v>0</v>
      </c>
      <c r="I69" s="3">
        <f t="shared" si="31"/>
        <v>0</v>
      </c>
      <c r="J69" s="3">
        <f t="shared" si="31"/>
        <v>0</v>
      </c>
      <c r="K69" s="59">
        <f>SUM(E69:J69)</f>
        <v>0</v>
      </c>
      <c r="L69" s="2">
        <f t="shared" si="32"/>
        <v>0</v>
      </c>
      <c r="M69" s="3">
        <f t="shared" si="32"/>
        <v>0</v>
      </c>
      <c r="N69" s="3">
        <f t="shared" si="32"/>
        <v>0</v>
      </c>
      <c r="O69" s="3">
        <f t="shared" si="32"/>
        <v>0</v>
      </c>
      <c r="P69" s="3">
        <f t="shared" si="32"/>
        <v>0</v>
      </c>
      <c r="Q69" s="3">
        <f t="shared" si="32"/>
        <v>0</v>
      </c>
      <c r="R69" s="56">
        <f>SUM(L69:Q69)</f>
        <v>0</v>
      </c>
      <c r="S69" s="57" t="e">
        <f t="shared" si="33"/>
        <v>#VALUE!</v>
      </c>
      <c r="T69" s="7" t="e">
        <f t="shared" si="33"/>
        <v>#VALUE!</v>
      </c>
      <c r="U69" s="7" t="e">
        <f t="shared" si="33"/>
        <v>#VALUE!</v>
      </c>
      <c r="V69" s="7" t="e">
        <f t="shared" si="33"/>
        <v>#VALUE!</v>
      </c>
      <c r="W69" s="7" t="e">
        <f t="shared" si="33"/>
        <v>#VALUE!</v>
      </c>
      <c r="X69" s="7" t="e">
        <f t="shared" si="33"/>
        <v>#VALUE!</v>
      </c>
      <c r="Y69" s="64" t="e">
        <f t="shared" si="33"/>
        <v>#VALUE!</v>
      </c>
    </row>
    <row r="70" spans="3:25" hidden="1" x14ac:dyDescent="0.4">
      <c r="C70" s="70" t="s">
        <v>16</v>
      </c>
      <c r="D70" s="15" t="s">
        <v>17</v>
      </c>
      <c r="E70" s="3"/>
      <c r="F70" s="3"/>
      <c r="G70" s="3"/>
      <c r="H70" s="3"/>
      <c r="I70" s="3"/>
      <c r="J70" s="3"/>
      <c r="K70" s="59"/>
      <c r="L70" s="2"/>
      <c r="M70" s="3"/>
      <c r="N70" s="3"/>
      <c r="O70" s="3"/>
      <c r="P70" s="3"/>
      <c r="Q70" s="3"/>
      <c r="R70" s="56"/>
      <c r="S70" s="57"/>
      <c r="T70" s="7"/>
      <c r="U70" s="7"/>
      <c r="V70" s="7"/>
      <c r="W70" s="7"/>
      <c r="X70" s="7"/>
      <c r="Y70" s="64"/>
    </row>
    <row r="71" spans="3:25" hidden="1" x14ac:dyDescent="0.4">
      <c r="C71" s="2" t="s">
        <v>18</v>
      </c>
      <c r="D71" s="15" t="s">
        <v>19</v>
      </c>
      <c r="E71" s="3">
        <f t="shared" ref="E71:J71" si="34">E47-E35</f>
        <v>0</v>
      </c>
      <c r="F71" s="3">
        <f t="shared" si="34"/>
        <v>0</v>
      </c>
      <c r="G71" s="3">
        <f t="shared" si="34"/>
        <v>0</v>
      </c>
      <c r="H71" s="3">
        <f t="shared" si="34"/>
        <v>0</v>
      </c>
      <c r="I71" s="3">
        <f t="shared" si="34"/>
        <v>0</v>
      </c>
      <c r="J71" s="3">
        <f t="shared" si="34"/>
        <v>0</v>
      </c>
      <c r="K71" s="59">
        <f>SUM(E71:J71)</f>
        <v>0</v>
      </c>
      <c r="L71" s="2">
        <f t="shared" ref="L71:Q71" si="35">L47-L35</f>
        <v>0</v>
      </c>
      <c r="M71" s="3">
        <f t="shared" si="35"/>
        <v>0</v>
      </c>
      <c r="N71" s="3">
        <f t="shared" si="35"/>
        <v>0</v>
      </c>
      <c r="O71" s="3">
        <f t="shared" si="35"/>
        <v>0</v>
      </c>
      <c r="P71" s="3">
        <f t="shared" si="35"/>
        <v>0</v>
      </c>
      <c r="Q71" s="3">
        <f t="shared" si="35"/>
        <v>0</v>
      </c>
      <c r="R71" s="56">
        <f>SUM(L71:Q71)</f>
        <v>0</v>
      </c>
      <c r="S71" s="57" t="e">
        <f t="shared" ref="S71:Y72" si="36">S47-S35</f>
        <v>#VALUE!</v>
      </c>
      <c r="T71" s="7" t="e">
        <f t="shared" si="36"/>
        <v>#VALUE!</v>
      </c>
      <c r="U71" s="7" t="e">
        <f t="shared" si="36"/>
        <v>#VALUE!</v>
      </c>
      <c r="V71" s="7" t="e">
        <f t="shared" si="36"/>
        <v>#VALUE!</v>
      </c>
      <c r="W71" s="7" t="e">
        <f t="shared" si="36"/>
        <v>#VALUE!</v>
      </c>
      <c r="X71" s="7" t="e">
        <f t="shared" si="36"/>
        <v>#VALUE!</v>
      </c>
      <c r="Y71" s="64" t="e">
        <f t="shared" si="36"/>
        <v>#VALUE!</v>
      </c>
    </row>
    <row r="72" spans="3:25" hidden="1" x14ac:dyDescent="0.4">
      <c r="C72" s="4" t="s">
        <v>5</v>
      </c>
      <c r="D72" s="16"/>
      <c r="E72" s="6">
        <f t="shared" ref="E72:J72" si="37">SUM(E65:E71)</f>
        <v>2185</v>
      </c>
      <c r="F72" s="6">
        <f t="shared" si="37"/>
        <v>-551</v>
      </c>
      <c r="G72" s="6">
        <f t="shared" si="37"/>
        <v>54.5</v>
      </c>
      <c r="H72" s="6">
        <f t="shared" si="37"/>
        <v>-180.5</v>
      </c>
      <c r="I72" s="6">
        <f t="shared" si="37"/>
        <v>121.5</v>
      </c>
      <c r="J72" s="6">
        <f t="shared" si="37"/>
        <v>9889</v>
      </c>
      <c r="K72" s="60">
        <f>SUM(E72:J72)</f>
        <v>11518.5</v>
      </c>
      <c r="L72" s="49">
        <f t="shared" ref="L72:Q72" si="38">SUM(L65:L71)</f>
        <v>334.5</v>
      </c>
      <c r="M72" s="6">
        <f t="shared" si="38"/>
        <v>-102.5</v>
      </c>
      <c r="N72" s="6">
        <f t="shared" si="38"/>
        <v>46.5</v>
      </c>
      <c r="O72" s="6">
        <f t="shared" si="38"/>
        <v>-72</v>
      </c>
      <c r="P72" s="6">
        <f t="shared" si="38"/>
        <v>22.5</v>
      </c>
      <c r="Q72" s="6">
        <f t="shared" si="38"/>
        <v>1422</v>
      </c>
      <c r="R72" s="50">
        <f>SUM(L72:Q72)</f>
        <v>1651</v>
      </c>
      <c r="S72" s="58">
        <f t="shared" si="36"/>
        <v>1.9744828653472504E-2</v>
      </c>
      <c r="T72" s="9">
        <f t="shared" si="36"/>
        <v>-3.1588962892483419E-3</v>
      </c>
      <c r="U72" s="9">
        <f t="shared" si="36"/>
        <v>0.13574338085539714</v>
      </c>
      <c r="V72" s="9">
        <f t="shared" si="36"/>
        <v>-8.7235518557058606E-2</v>
      </c>
      <c r="W72" s="9">
        <f t="shared" si="36"/>
        <v>1.2605042016806706E-2</v>
      </c>
      <c r="X72" s="9">
        <f t="shared" si="36"/>
        <v>2.1500093580385515E-3</v>
      </c>
      <c r="Y72" s="65">
        <f t="shared" si="36"/>
        <v>-5.6963496861195118E-3</v>
      </c>
    </row>
    <row r="73" spans="3:25" x14ac:dyDescent="0.4">
      <c r="C73" s="12"/>
      <c r="E73" s="11"/>
      <c r="F73" s="11"/>
      <c r="G73" s="11"/>
      <c r="H73" s="11"/>
      <c r="I73" s="11"/>
      <c r="J73" s="11"/>
      <c r="K73" s="12"/>
      <c r="L73" s="11"/>
      <c r="M73" s="11"/>
      <c r="N73" s="11"/>
      <c r="O73" s="11"/>
      <c r="P73" s="11"/>
      <c r="Q73" s="11"/>
      <c r="R73" s="12"/>
      <c r="S73" s="13"/>
      <c r="T73" s="13"/>
      <c r="U73" s="13"/>
      <c r="V73" s="13"/>
      <c r="W73" s="13"/>
      <c r="X73" s="13"/>
      <c r="Y73" s="13"/>
    </row>
    <row r="74" spans="3:25" x14ac:dyDescent="0.4">
      <c r="C74" s="12" t="s">
        <v>25</v>
      </c>
    </row>
    <row r="75" spans="3:25" x14ac:dyDescent="0.4">
      <c r="C75" s="85"/>
      <c r="D75" s="84"/>
      <c r="E75" s="85" t="s">
        <v>2</v>
      </c>
      <c r="F75" s="83"/>
      <c r="G75" s="83"/>
      <c r="H75" s="83"/>
      <c r="I75" s="83"/>
      <c r="J75" s="83"/>
      <c r="K75" s="84"/>
      <c r="L75" s="82" t="s">
        <v>3</v>
      </c>
      <c r="M75" s="83"/>
      <c r="N75" s="83"/>
      <c r="O75" s="83"/>
      <c r="P75" s="83"/>
      <c r="Q75" s="83"/>
      <c r="R75" s="84"/>
      <c r="S75" s="82" t="s">
        <v>4</v>
      </c>
      <c r="T75" s="83"/>
      <c r="U75" s="83"/>
      <c r="V75" s="83"/>
      <c r="W75" s="83"/>
      <c r="X75" s="83"/>
      <c r="Y75" s="84"/>
    </row>
    <row r="76" spans="3:25" x14ac:dyDescent="0.4">
      <c r="C76" s="1"/>
      <c r="D76" s="14"/>
      <c r="E76" s="54">
        <v>46113</v>
      </c>
      <c r="F76" s="51">
        <v>46143</v>
      </c>
      <c r="G76" s="51">
        <v>46174</v>
      </c>
      <c r="H76" s="51">
        <v>46204</v>
      </c>
      <c r="I76" s="51">
        <v>46235</v>
      </c>
      <c r="J76" s="51">
        <v>46266</v>
      </c>
      <c r="K76" s="52" t="s">
        <v>5</v>
      </c>
      <c r="L76" s="48">
        <v>46113</v>
      </c>
      <c r="M76" s="51">
        <v>46143</v>
      </c>
      <c r="N76" s="51">
        <v>46174</v>
      </c>
      <c r="O76" s="51">
        <v>46204</v>
      </c>
      <c r="P76" s="51">
        <v>46235</v>
      </c>
      <c r="Q76" s="51">
        <v>46266</v>
      </c>
      <c r="R76" s="52" t="s">
        <v>5</v>
      </c>
      <c r="S76" s="48">
        <v>46113</v>
      </c>
      <c r="T76" s="51">
        <v>46143</v>
      </c>
      <c r="U76" s="51">
        <v>46174</v>
      </c>
      <c r="V76" s="51">
        <v>46204</v>
      </c>
      <c r="W76" s="51">
        <v>46235</v>
      </c>
      <c r="X76" s="51">
        <v>46266</v>
      </c>
      <c r="Y76" s="52" t="s">
        <v>5</v>
      </c>
    </row>
    <row r="77" spans="3:25" x14ac:dyDescent="0.4">
      <c r="C77" s="2" t="s">
        <v>6</v>
      </c>
      <c r="D77" s="15" t="s">
        <v>7</v>
      </c>
      <c r="E77" s="3">
        <v>87.5</v>
      </c>
      <c r="F77" s="3">
        <v>27</v>
      </c>
      <c r="G77" s="79">
        <v>68.3</v>
      </c>
      <c r="H77" s="3">
        <v>93.3</v>
      </c>
      <c r="I77" s="3">
        <v>39.5</v>
      </c>
      <c r="J77" s="3">
        <v>53.546999999999997</v>
      </c>
      <c r="K77" s="59">
        <f t="shared" ref="K77:K84" si="39">SUM(E77:J77)</f>
        <v>369.14700000000005</v>
      </c>
      <c r="L77" s="2">
        <v>13</v>
      </c>
      <c r="M77" s="3">
        <v>4.05</v>
      </c>
      <c r="N77" s="79">
        <v>11.37</v>
      </c>
      <c r="O77" s="3">
        <v>17.734999999999999</v>
      </c>
      <c r="P77" s="3">
        <v>8.25</v>
      </c>
      <c r="Q77" s="3">
        <v>11.196999999999999</v>
      </c>
      <c r="R77" s="56">
        <f t="shared" ref="R77:R84" si="40">SUM(L77:Q77)</f>
        <v>65.602000000000004</v>
      </c>
      <c r="S77" s="57">
        <f t="shared" ref="S77:Y81" si="41">IF(E77=0,"***",L77/E77)</f>
        <v>0.14857142857142858</v>
      </c>
      <c r="T77" s="7">
        <f t="shared" si="41"/>
        <v>0.15</v>
      </c>
      <c r="U77" s="7">
        <f t="shared" si="41"/>
        <v>0.16647144948755491</v>
      </c>
      <c r="V77" s="7">
        <f t="shared" si="41"/>
        <v>0.19008574490889604</v>
      </c>
      <c r="W77" s="7">
        <f t="shared" si="41"/>
        <v>0.20886075949367089</v>
      </c>
      <c r="X77" s="7">
        <f t="shared" si="41"/>
        <v>0.20910601901133583</v>
      </c>
      <c r="Y77" s="64">
        <f t="shared" si="41"/>
        <v>0.17771240183449952</v>
      </c>
    </row>
    <row r="78" spans="3:25" x14ac:dyDescent="0.4">
      <c r="C78" s="2" t="s">
        <v>8</v>
      </c>
      <c r="D78" s="15" t="s">
        <v>9</v>
      </c>
      <c r="E78" s="3">
        <v>29.8</v>
      </c>
      <c r="F78" s="3">
        <v>3381.3</v>
      </c>
      <c r="G78" s="79">
        <v>49.6</v>
      </c>
      <c r="H78" s="3">
        <v>583.32000000000005</v>
      </c>
      <c r="I78" s="3">
        <v>313</v>
      </c>
      <c r="J78" s="3">
        <v>106.2</v>
      </c>
      <c r="K78" s="59">
        <f t="shared" si="39"/>
        <v>4463.22</v>
      </c>
      <c r="L78" s="2">
        <v>1.49</v>
      </c>
      <c r="M78" s="3">
        <v>444.76900000000001</v>
      </c>
      <c r="N78" s="79">
        <v>7.94</v>
      </c>
      <c r="O78" s="3">
        <v>64.078000000000003</v>
      </c>
      <c r="P78" s="3">
        <v>61.68</v>
      </c>
      <c r="Q78" s="3">
        <v>13.29</v>
      </c>
      <c r="R78" s="56">
        <f t="shared" si="40"/>
        <v>593.24699999999996</v>
      </c>
      <c r="S78" s="57">
        <f t="shared" si="41"/>
        <v>4.9999999999999996E-2</v>
      </c>
      <c r="T78" s="7">
        <f t="shared" si="41"/>
        <v>0.13153787004998077</v>
      </c>
      <c r="U78" s="7">
        <f t="shared" si="41"/>
        <v>0.16008064516129034</v>
      </c>
      <c r="V78" s="7">
        <f t="shared" si="41"/>
        <v>0.10985051086881985</v>
      </c>
      <c r="W78" s="7">
        <f t="shared" si="41"/>
        <v>0.19706070287539937</v>
      </c>
      <c r="X78" s="7">
        <f t="shared" si="41"/>
        <v>0.12514124293785309</v>
      </c>
      <c r="Y78" s="64">
        <f t="shared" si="41"/>
        <v>0.13291905843763022</v>
      </c>
    </row>
    <row r="79" spans="3:25" x14ac:dyDescent="0.4">
      <c r="C79" s="2" t="s">
        <v>10</v>
      </c>
      <c r="D79" s="15" t="s">
        <v>11</v>
      </c>
      <c r="E79" s="3"/>
      <c r="F79" s="3">
        <v>81</v>
      </c>
      <c r="G79" s="3"/>
      <c r="H79" s="3">
        <v>54</v>
      </c>
      <c r="I79" s="3">
        <v>0</v>
      </c>
      <c r="J79" s="3">
        <v>148.69999999999999</v>
      </c>
      <c r="K79" s="59">
        <f t="shared" si="39"/>
        <v>283.7</v>
      </c>
      <c r="L79" s="2"/>
      <c r="M79" s="3">
        <v>12.96</v>
      </c>
      <c r="N79" s="3"/>
      <c r="O79" s="3">
        <v>5</v>
      </c>
      <c r="P79" s="3">
        <v>0</v>
      </c>
      <c r="Q79" s="3">
        <v>18.43</v>
      </c>
      <c r="R79" s="56">
        <f t="shared" si="40"/>
        <v>36.39</v>
      </c>
      <c r="S79" s="57" t="str">
        <f t="shared" si="41"/>
        <v>***</v>
      </c>
      <c r="T79" s="7">
        <f t="shared" si="41"/>
        <v>0.16</v>
      </c>
      <c r="U79" s="7" t="str">
        <f t="shared" si="41"/>
        <v>***</v>
      </c>
      <c r="V79" s="7">
        <f t="shared" si="41"/>
        <v>9.2592592592592587E-2</v>
      </c>
      <c r="W79" s="7" t="str">
        <f t="shared" si="41"/>
        <v>***</v>
      </c>
      <c r="X79" s="7">
        <f t="shared" si="41"/>
        <v>0.12394082044384667</v>
      </c>
      <c r="Y79" s="64">
        <f t="shared" si="41"/>
        <v>0.12826929855481142</v>
      </c>
    </row>
    <row r="80" spans="3:25" x14ac:dyDescent="0.4">
      <c r="C80" s="2" t="s">
        <v>12</v>
      </c>
      <c r="D80" s="15" t="s">
        <v>13</v>
      </c>
      <c r="E80" s="3">
        <v>568.65</v>
      </c>
      <c r="F80" s="3">
        <v>195.37</v>
      </c>
      <c r="G80" s="79">
        <v>52.05</v>
      </c>
      <c r="H80" s="3">
        <v>450.75</v>
      </c>
      <c r="I80" s="3">
        <v>249.91</v>
      </c>
      <c r="J80" s="3">
        <v>669.73</v>
      </c>
      <c r="K80" s="59">
        <f t="shared" si="39"/>
        <v>2186.46</v>
      </c>
      <c r="L80" s="2">
        <v>90</v>
      </c>
      <c r="M80" s="3">
        <v>15.69</v>
      </c>
      <c r="N80" s="79">
        <v>9.51</v>
      </c>
      <c r="O80" s="3">
        <v>84.63</v>
      </c>
      <c r="P80" s="3">
        <v>40.47</v>
      </c>
      <c r="Q80" s="3">
        <v>120.8</v>
      </c>
      <c r="R80" s="56">
        <f t="shared" si="40"/>
        <v>361.09999999999997</v>
      </c>
      <c r="S80" s="57">
        <f t="shared" si="41"/>
        <v>0.15826958586125034</v>
      </c>
      <c r="T80" s="7">
        <f t="shared" si="41"/>
        <v>8.0309156984183852E-2</v>
      </c>
      <c r="U80" s="7">
        <f t="shared" si="41"/>
        <v>0.18270893371757926</v>
      </c>
      <c r="V80" s="7">
        <f t="shared" si="41"/>
        <v>0.18775374376039933</v>
      </c>
      <c r="W80" s="7">
        <f t="shared" si="41"/>
        <v>0.16193829778720339</v>
      </c>
      <c r="X80" s="7">
        <f t="shared" si="41"/>
        <v>0.18037119436190702</v>
      </c>
      <c r="Y80" s="64">
        <f t="shared" si="41"/>
        <v>0.16515280407599497</v>
      </c>
    </row>
    <row r="81" spans="3:25" x14ac:dyDescent="0.4">
      <c r="C81" s="2" t="s">
        <v>14</v>
      </c>
      <c r="D81" s="15" t="s">
        <v>15</v>
      </c>
      <c r="E81" s="3"/>
      <c r="F81" s="3"/>
      <c r="G81" s="3"/>
      <c r="H81" s="3"/>
      <c r="I81" s="3">
        <v>0</v>
      </c>
      <c r="J81" s="3">
        <v>0</v>
      </c>
      <c r="K81" s="59">
        <f t="shared" si="39"/>
        <v>0</v>
      </c>
      <c r="L81" s="2"/>
      <c r="M81" s="3"/>
      <c r="N81" s="3"/>
      <c r="O81" s="3"/>
      <c r="P81" s="3">
        <v>0</v>
      </c>
      <c r="Q81" s="3">
        <v>0</v>
      </c>
      <c r="R81" s="56">
        <f t="shared" si="40"/>
        <v>0</v>
      </c>
      <c r="S81" s="57" t="str">
        <f t="shared" si="41"/>
        <v>***</v>
      </c>
      <c r="T81" s="7" t="str">
        <f t="shared" si="41"/>
        <v>***</v>
      </c>
      <c r="U81" s="7" t="str">
        <f t="shared" si="41"/>
        <v>***</v>
      </c>
      <c r="V81" s="7" t="str">
        <f t="shared" si="41"/>
        <v>***</v>
      </c>
      <c r="W81" s="7" t="str">
        <f t="shared" si="41"/>
        <v>***</v>
      </c>
      <c r="X81" s="7" t="str">
        <f t="shared" si="41"/>
        <v>***</v>
      </c>
      <c r="Y81" s="64" t="str">
        <f t="shared" si="41"/>
        <v>***</v>
      </c>
    </row>
    <row r="82" spans="3:25" x14ac:dyDescent="0.4">
      <c r="C82" s="70" t="s">
        <v>16</v>
      </c>
      <c r="D82" s="15" t="s">
        <v>17</v>
      </c>
      <c r="E82" s="3"/>
      <c r="F82" s="3"/>
      <c r="G82" s="3"/>
      <c r="H82" s="3"/>
      <c r="I82" s="3">
        <v>0</v>
      </c>
      <c r="J82" s="3">
        <v>0</v>
      </c>
      <c r="K82" s="59">
        <f t="shared" si="39"/>
        <v>0</v>
      </c>
      <c r="L82" s="2"/>
      <c r="M82" s="3"/>
      <c r="N82" s="3"/>
      <c r="O82" s="3"/>
      <c r="P82" s="3">
        <v>0</v>
      </c>
      <c r="Q82" s="3">
        <v>0</v>
      </c>
      <c r="R82" s="59">
        <f t="shared" si="40"/>
        <v>0</v>
      </c>
      <c r="S82" s="57"/>
      <c r="T82" s="7"/>
      <c r="U82" s="7"/>
      <c r="V82" s="7"/>
      <c r="W82" s="7"/>
      <c r="X82" s="7"/>
      <c r="Y82" s="64"/>
    </row>
    <row r="83" spans="3:25" x14ac:dyDescent="0.4">
      <c r="C83" s="2" t="s">
        <v>18</v>
      </c>
      <c r="D83" s="15" t="s">
        <v>19</v>
      </c>
      <c r="E83" s="3"/>
      <c r="F83" s="3"/>
      <c r="G83" s="3"/>
      <c r="H83" s="3"/>
      <c r="I83" s="3">
        <v>0</v>
      </c>
      <c r="J83" s="3">
        <v>0</v>
      </c>
      <c r="K83" s="59">
        <f t="shared" si="39"/>
        <v>0</v>
      </c>
      <c r="L83" s="2"/>
      <c r="M83" s="3"/>
      <c r="N83" s="3"/>
      <c r="O83" s="3"/>
      <c r="P83" s="3">
        <v>0</v>
      </c>
      <c r="Q83" s="3">
        <v>0</v>
      </c>
      <c r="R83" s="56">
        <f t="shared" si="40"/>
        <v>0</v>
      </c>
      <c r="S83" s="57" t="str">
        <f t="shared" ref="S83:Y84" si="42">IF(E83=0,"***",L83/E83)</f>
        <v>***</v>
      </c>
      <c r="T83" s="7" t="str">
        <f t="shared" si="42"/>
        <v>***</v>
      </c>
      <c r="U83" s="7" t="str">
        <f t="shared" si="42"/>
        <v>***</v>
      </c>
      <c r="V83" s="7" t="str">
        <f t="shared" si="42"/>
        <v>***</v>
      </c>
      <c r="W83" s="7" t="str">
        <f t="shared" si="42"/>
        <v>***</v>
      </c>
      <c r="X83" s="7" t="str">
        <f t="shared" si="42"/>
        <v>***</v>
      </c>
      <c r="Y83" s="64" t="str">
        <f t="shared" si="42"/>
        <v>***</v>
      </c>
    </row>
    <row r="84" spans="3:25" x14ac:dyDescent="0.4">
      <c r="C84" s="4" t="s">
        <v>5</v>
      </c>
      <c r="D84" s="16"/>
      <c r="E84" s="6">
        <f t="shared" ref="E84:J84" si="43">SUM(E77:E83)</f>
        <v>685.94999999999993</v>
      </c>
      <c r="F84" s="6">
        <f t="shared" si="43"/>
        <v>3684.67</v>
      </c>
      <c r="G84" s="6">
        <f t="shared" si="43"/>
        <v>169.95</v>
      </c>
      <c r="H84" s="6">
        <f t="shared" si="43"/>
        <v>1181.3699999999999</v>
      </c>
      <c r="I84" s="6">
        <f t="shared" si="43"/>
        <v>602.41</v>
      </c>
      <c r="J84" s="6">
        <f t="shared" si="43"/>
        <v>978.17700000000002</v>
      </c>
      <c r="K84" s="60">
        <f t="shared" si="39"/>
        <v>7302.5269999999991</v>
      </c>
      <c r="L84" s="49">
        <f t="shared" ref="L84:Q84" si="44">SUM(L77:L83)</f>
        <v>104.49</v>
      </c>
      <c r="M84" s="6">
        <f t="shared" si="44"/>
        <v>477.46899999999999</v>
      </c>
      <c r="N84" s="6">
        <f t="shared" si="44"/>
        <v>28.82</v>
      </c>
      <c r="O84" s="6">
        <f t="shared" si="44"/>
        <v>171.44299999999998</v>
      </c>
      <c r="P84" s="6">
        <f t="shared" si="44"/>
        <v>110.4</v>
      </c>
      <c r="Q84" s="6">
        <f t="shared" si="44"/>
        <v>163.71699999999998</v>
      </c>
      <c r="R84" s="50">
        <f t="shared" si="40"/>
        <v>1056.3389999999999</v>
      </c>
      <c r="S84" s="58">
        <f t="shared" si="42"/>
        <v>0.15232888694511262</v>
      </c>
      <c r="T84" s="9">
        <f t="shared" si="42"/>
        <v>0.12958256777404761</v>
      </c>
      <c r="U84" s="9">
        <f t="shared" si="42"/>
        <v>0.16957928802588998</v>
      </c>
      <c r="V84" s="9">
        <f t="shared" si="42"/>
        <v>0.14512218864538629</v>
      </c>
      <c r="W84" s="9">
        <f t="shared" si="42"/>
        <v>0.18326389004166599</v>
      </c>
      <c r="X84" s="9">
        <f t="shared" si="42"/>
        <v>0.16736950470109191</v>
      </c>
      <c r="Y84" s="65">
        <f t="shared" si="42"/>
        <v>0.14465389857510969</v>
      </c>
    </row>
    <row r="85" spans="3:25" x14ac:dyDescent="0.4">
      <c r="C85" s="12"/>
      <c r="E85" s="11"/>
      <c r="F85" s="11"/>
      <c r="G85" s="11"/>
      <c r="H85" s="11"/>
      <c r="I85" s="11"/>
      <c r="J85" s="11"/>
      <c r="K85" s="12"/>
      <c r="L85" s="11"/>
      <c r="M85" s="11"/>
      <c r="N85" s="11"/>
      <c r="O85" s="11"/>
      <c r="P85" s="11"/>
      <c r="Q85" s="11"/>
      <c r="R85" s="12"/>
      <c r="S85" s="13"/>
      <c r="T85" s="13"/>
      <c r="U85" s="13"/>
      <c r="V85" s="13"/>
      <c r="W85" s="13"/>
      <c r="X85" s="13"/>
      <c r="Y85" s="13"/>
    </row>
    <row r="86" spans="3:25" x14ac:dyDescent="0.4">
      <c r="C86" s="12" t="s">
        <v>26</v>
      </c>
    </row>
    <row r="87" spans="3:25" x14ac:dyDescent="0.4">
      <c r="C87" s="85"/>
      <c r="D87" s="84"/>
      <c r="E87" s="85" t="s">
        <v>2</v>
      </c>
      <c r="F87" s="83"/>
      <c r="G87" s="83"/>
      <c r="H87" s="83"/>
      <c r="I87" s="83"/>
      <c r="J87" s="83"/>
      <c r="K87" s="84"/>
      <c r="L87" s="82" t="s">
        <v>3</v>
      </c>
      <c r="M87" s="83"/>
      <c r="N87" s="83"/>
      <c r="O87" s="83"/>
      <c r="P87" s="83"/>
      <c r="Q87" s="83"/>
      <c r="R87" s="84"/>
      <c r="S87" s="82" t="s">
        <v>4</v>
      </c>
      <c r="T87" s="83"/>
      <c r="U87" s="83"/>
      <c r="V87" s="83"/>
      <c r="W87" s="83"/>
      <c r="X87" s="83"/>
      <c r="Y87" s="84"/>
    </row>
    <row r="88" spans="3:25" x14ac:dyDescent="0.4">
      <c r="C88" s="1"/>
      <c r="D88" s="14"/>
      <c r="E88" s="54">
        <v>46113</v>
      </c>
      <c r="F88" s="51">
        <v>46143</v>
      </c>
      <c r="G88" s="51">
        <v>46174</v>
      </c>
      <c r="H88" s="51">
        <v>46204</v>
      </c>
      <c r="I88" s="51">
        <v>46235</v>
      </c>
      <c r="J88" s="51">
        <v>46266</v>
      </c>
      <c r="K88" s="52" t="s">
        <v>5</v>
      </c>
      <c r="L88" s="48">
        <v>46113</v>
      </c>
      <c r="M88" s="51">
        <v>46143</v>
      </c>
      <c r="N88" s="51">
        <v>46174</v>
      </c>
      <c r="O88" s="51">
        <v>46204</v>
      </c>
      <c r="P88" s="51">
        <v>46235</v>
      </c>
      <c r="Q88" s="51">
        <v>46266</v>
      </c>
      <c r="R88" s="52" t="s">
        <v>5</v>
      </c>
      <c r="S88" s="48">
        <v>46113</v>
      </c>
      <c r="T88" s="51">
        <v>46143</v>
      </c>
      <c r="U88" s="51">
        <v>46174</v>
      </c>
      <c r="V88" s="51">
        <v>46204</v>
      </c>
      <c r="W88" s="51">
        <v>46235</v>
      </c>
      <c r="X88" s="51">
        <v>46266</v>
      </c>
      <c r="Y88" s="52" t="s">
        <v>5</v>
      </c>
    </row>
    <row r="89" spans="3:25" x14ac:dyDescent="0.4">
      <c r="C89" s="2" t="s">
        <v>6</v>
      </c>
      <c r="D89" s="15" t="s">
        <v>7</v>
      </c>
      <c r="E89" s="3">
        <f t="shared" ref="E89:J95" si="45">E77-E41</f>
        <v>-62.5</v>
      </c>
      <c r="F89" s="3">
        <f t="shared" si="45"/>
        <v>-123</v>
      </c>
      <c r="G89" s="79">
        <f t="shared" si="45"/>
        <v>-81.7</v>
      </c>
      <c r="H89" s="3">
        <f t="shared" si="45"/>
        <v>-56.7</v>
      </c>
      <c r="I89" s="3">
        <f t="shared" si="45"/>
        <v>-110.5</v>
      </c>
      <c r="J89" s="3">
        <f t="shared" si="45"/>
        <v>-96.453000000000003</v>
      </c>
      <c r="K89" s="59">
        <f t="shared" ref="K89:K96" si="46">SUM(E89:J89)</f>
        <v>-530.85299999999995</v>
      </c>
      <c r="L89" s="2">
        <f t="shared" ref="L89:Q95" si="47">L77-L41</f>
        <v>-12</v>
      </c>
      <c r="M89" s="3">
        <f t="shared" si="47"/>
        <v>-20.95</v>
      </c>
      <c r="N89" s="79">
        <f t="shared" si="47"/>
        <v>-13.63</v>
      </c>
      <c r="O89" s="3">
        <f t="shared" si="47"/>
        <v>-7.2650000000000006</v>
      </c>
      <c r="P89" s="3">
        <f t="shared" si="47"/>
        <v>-16.75</v>
      </c>
      <c r="Q89" s="3">
        <f t="shared" si="47"/>
        <v>-13.803000000000001</v>
      </c>
      <c r="R89" s="56">
        <f t="shared" ref="R89:R96" si="48">SUM(L89:Q89)</f>
        <v>-84.397999999999996</v>
      </c>
      <c r="S89" s="57">
        <f t="shared" ref="S89:Y93" si="49">S77-S41</f>
        <v>-1.8095238095238081E-2</v>
      </c>
      <c r="T89" s="7">
        <f t="shared" si="49"/>
        <v>-1.6666666666666663E-2</v>
      </c>
      <c r="U89" s="7">
        <f t="shared" si="49"/>
        <v>-1.9521717911175074E-4</v>
      </c>
      <c r="V89" s="7">
        <f t="shared" si="49"/>
        <v>2.3419078242229385E-2</v>
      </c>
      <c r="W89" s="7">
        <f t="shared" si="49"/>
        <v>4.2194092827004231E-2</v>
      </c>
      <c r="X89" s="7">
        <f t="shared" si="49"/>
        <v>4.2439352344669168E-2</v>
      </c>
      <c r="Y89" s="64">
        <f t="shared" si="49"/>
        <v>1.104573516783286E-2</v>
      </c>
    </row>
    <row r="90" spans="3:25" x14ac:dyDescent="0.4">
      <c r="C90" s="2" t="s">
        <v>8</v>
      </c>
      <c r="D90" s="15" t="s">
        <v>9</v>
      </c>
      <c r="E90" s="3">
        <f t="shared" si="45"/>
        <v>-3210.2</v>
      </c>
      <c r="F90" s="3">
        <f t="shared" si="45"/>
        <v>3381.3</v>
      </c>
      <c r="G90" s="79">
        <f t="shared" si="45"/>
        <v>49.6</v>
      </c>
      <c r="H90" s="3">
        <f t="shared" si="45"/>
        <v>583.32000000000005</v>
      </c>
      <c r="I90" s="3">
        <f t="shared" si="45"/>
        <v>313</v>
      </c>
      <c r="J90" s="3">
        <f t="shared" si="45"/>
        <v>106.2</v>
      </c>
      <c r="K90" s="59">
        <f t="shared" si="46"/>
        <v>1223.2200000000005</v>
      </c>
      <c r="L90" s="2">
        <f t="shared" si="47"/>
        <v>-428.51</v>
      </c>
      <c r="M90" s="3">
        <f t="shared" si="47"/>
        <v>444.76900000000001</v>
      </c>
      <c r="N90" s="79">
        <f t="shared" si="47"/>
        <v>7.94</v>
      </c>
      <c r="O90" s="3">
        <f t="shared" si="47"/>
        <v>64.078000000000003</v>
      </c>
      <c r="P90" s="3">
        <f t="shared" si="47"/>
        <v>61.68</v>
      </c>
      <c r="Q90" s="3">
        <f t="shared" si="47"/>
        <v>13.29</v>
      </c>
      <c r="R90" s="56">
        <f t="shared" si="48"/>
        <v>163.24700000000001</v>
      </c>
      <c r="S90" s="57">
        <f t="shared" si="49"/>
        <v>-8.2716049382716067E-2</v>
      </c>
      <c r="T90" s="7" t="e">
        <f t="shared" si="49"/>
        <v>#VALUE!</v>
      </c>
      <c r="U90" s="7" t="e">
        <f t="shared" si="49"/>
        <v>#VALUE!</v>
      </c>
      <c r="V90" s="7" t="e">
        <f t="shared" si="49"/>
        <v>#VALUE!</v>
      </c>
      <c r="W90" s="7" t="e">
        <f t="shared" si="49"/>
        <v>#VALUE!</v>
      </c>
      <c r="X90" s="7" t="e">
        <f t="shared" si="49"/>
        <v>#VALUE!</v>
      </c>
      <c r="Y90" s="64">
        <f t="shared" si="49"/>
        <v>2.0300905491416055E-4</v>
      </c>
    </row>
    <row r="91" spans="3:25" x14ac:dyDescent="0.4">
      <c r="C91" s="2" t="s">
        <v>10</v>
      </c>
      <c r="D91" s="15" t="s">
        <v>11</v>
      </c>
      <c r="E91" s="3">
        <f t="shared" si="45"/>
        <v>-150</v>
      </c>
      <c r="F91" s="3">
        <f t="shared" si="45"/>
        <v>-69</v>
      </c>
      <c r="G91" s="79">
        <f t="shared" si="45"/>
        <v>-150</v>
      </c>
      <c r="H91" s="3">
        <f t="shared" si="45"/>
        <v>-96</v>
      </c>
      <c r="I91" s="3">
        <f t="shared" si="45"/>
        <v>-150</v>
      </c>
      <c r="J91" s="3">
        <f t="shared" si="45"/>
        <v>-1.3000000000000114</v>
      </c>
      <c r="K91" s="59">
        <f t="shared" si="46"/>
        <v>-616.29999999999995</v>
      </c>
      <c r="L91" s="2">
        <f t="shared" si="47"/>
        <v>-25</v>
      </c>
      <c r="M91" s="3">
        <f t="shared" si="47"/>
        <v>-12.04</v>
      </c>
      <c r="N91" s="79">
        <f t="shared" si="47"/>
        <v>-25</v>
      </c>
      <c r="O91" s="3">
        <f t="shared" si="47"/>
        <v>-20</v>
      </c>
      <c r="P91" s="3">
        <f t="shared" si="47"/>
        <v>-25</v>
      </c>
      <c r="Q91" s="3">
        <f t="shared" si="47"/>
        <v>-6.57</v>
      </c>
      <c r="R91" s="56">
        <f t="shared" si="48"/>
        <v>-113.60999999999999</v>
      </c>
      <c r="S91" s="57" t="e">
        <f t="shared" si="49"/>
        <v>#VALUE!</v>
      </c>
      <c r="T91" s="7">
        <f t="shared" si="49"/>
        <v>-6.6666666666666541E-3</v>
      </c>
      <c r="U91" s="7" t="e">
        <f t="shared" si="49"/>
        <v>#VALUE!</v>
      </c>
      <c r="V91" s="7">
        <f t="shared" si="49"/>
        <v>-7.407407407407407E-2</v>
      </c>
      <c r="W91" s="7" t="e">
        <f t="shared" si="49"/>
        <v>#VALUE!</v>
      </c>
      <c r="X91" s="7">
        <f t="shared" si="49"/>
        <v>-4.2725846222819983E-2</v>
      </c>
      <c r="Y91" s="64">
        <f t="shared" si="49"/>
        <v>-3.8397368111855235E-2</v>
      </c>
    </row>
    <row r="92" spans="3:25" x14ac:dyDescent="0.4">
      <c r="C92" s="2" t="s">
        <v>12</v>
      </c>
      <c r="D92" s="15" t="s">
        <v>13</v>
      </c>
      <c r="E92" s="3">
        <f t="shared" si="45"/>
        <v>368.65</v>
      </c>
      <c r="F92" s="3">
        <f t="shared" si="45"/>
        <v>-4.6299999999999955</v>
      </c>
      <c r="G92" s="79">
        <f t="shared" si="45"/>
        <v>52.05</v>
      </c>
      <c r="H92" s="3">
        <f t="shared" si="45"/>
        <v>450.75</v>
      </c>
      <c r="I92" s="3">
        <f t="shared" si="45"/>
        <v>249.91</v>
      </c>
      <c r="J92" s="3">
        <f t="shared" si="45"/>
        <v>-9330.27</v>
      </c>
      <c r="K92" s="59">
        <f t="shared" si="46"/>
        <v>-8213.5400000000009</v>
      </c>
      <c r="L92" s="2">
        <f t="shared" si="47"/>
        <v>50</v>
      </c>
      <c r="M92" s="3">
        <f t="shared" si="47"/>
        <v>-24.310000000000002</v>
      </c>
      <c r="N92" s="79">
        <f t="shared" si="47"/>
        <v>9.51</v>
      </c>
      <c r="O92" s="3">
        <f t="shared" si="47"/>
        <v>84.63</v>
      </c>
      <c r="P92" s="3">
        <f t="shared" si="47"/>
        <v>40.47</v>
      </c>
      <c r="Q92" s="3">
        <f t="shared" si="47"/>
        <v>-1309.2</v>
      </c>
      <c r="R92" s="56">
        <f t="shared" si="48"/>
        <v>-1148.9000000000001</v>
      </c>
      <c r="S92" s="57">
        <f t="shared" si="49"/>
        <v>-4.1730414138749672E-2</v>
      </c>
      <c r="T92" s="7">
        <f t="shared" si="49"/>
        <v>-0.11969084301581616</v>
      </c>
      <c r="U92" s="7" t="e">
        <f t="shared" si="49"/>
        <v>#VALUE!</v>
      </c>
      <c r="V92" s="7" t="e">
        <f t="shared" si="49"/>
        <v>#VALUE!</v>
      </c>
      <c r="W92" s="7" t="e">
        <f t="shared" si="49"/>
        <v>#VALUE!</v>
      </c>
      <c r="X92" s="7">
        <f t="shared" si="49"/>
        <v>3.7371194361907029E-2</v>
      </c>
      <c r="Y92" s="64">
        <f t="shared" si="49"/>
        <v>1.9960496383687271E-2</v>
      </c>
    </row>
    <row r="93" spans="3:25" x14ac:dyDescent="0.4">
      <c r="C93" s="2" t="s">
        <v>14</v>
      </c>
      <c r="D93" s="15" t="s">
        <v>15</v>
      </c>
      <c r="E93" s="3">
        <f t="shared" si="45"/>
        <v>0</v>
      </c>
      <c r="F93" s="3">
        <f t="shared" si="45"/>
        <v>0</v>
      </c>
      <c r="G93" s="79">
        <f t="shared" si="45"/>
        <v>0</v>
      </c>
      <c r="H93" s="3">
        <f t="shared" si="45"/>
        <v>0</v>
      </c>
      <c r="I93" s="3">
        <f t="shared" si="45"/>
        <v>0</v>
      </c>
      <c r="J93" s="3">
        <f t="shared" si="45"/>
        <v>0</v>
      </c>
      <c r="K93" s="59">
        <f t="shared" si="46"/>
        <v>0</v>
      </c>
      <c r="L93" s="2">
        <f t="shared" si="47"/>
        <v>0</v>
      </c>
      <c r="M93" s="3">
        <f t="shared" si="47"/>
        <v>0</v>
      </c>
      <c r="N93" s="79">
        <f t="shared" si="47"/>
        <v>0</v>
      </c>
      <c r="O93" s="3">
        <f t="shared" si="47"/>
        <v>0</v>
      </c>
      <c r="P93" s="3">
        <f t="shared" si="47"/>
        <v>0</v>
      </c>
      <c r="Q93" s="3">
        <f t="shared" si="47"/>
        <v>0</v>
      </c>
      <c r="R93" s="56">
        <f t="shared" si="48"/>
        <v>0</v>
      </c>
      <c r="S93" s="57" t="e">
        <f t="shared" si="49"/>
        <v>#VALUE!</v>
      </c>
      <c r="T93" s="7" t="e">
        <f t="shared" si="49"/>
        <v>#VALUE!</v>
      </c>
      <c r="U93" s="7" t="e">
        <f t="shared" si="49"/>
        <v>#VALUE!</v>
      </c>
      <c r="V93" s="7" t="e">
        <f t="shared" si="49"/>
        <v>#VALUE!</v>
      </c>
      <c r="W93" s="7" t="e">
        <f t="shared" si="49"/>
        <v>#VALUE!</v>
      </c>
      <c r="X93" s="7" t="e">
        <f t="shared" si="49"/>
        <v>#VALUE!</v>
      </c>
      <c r="Y93" s="64" t="e">
        <f t="shared" si="49"/>
        <v>#VALUE!</v>
      </c>
    </row>
    <row r="94" spans="3:25" x14ac:dyDescent="0.4">
      <c r="C94" s="70" t="s">
        <v>16</v>
      </c>
      <c r="D94" s="15" t="s">
        <v>17</v>
      </c>
      <c r="E94" s="3">
        <f t="shared" si="45"/>
        <v>0</v>
      </c>
      <c r="F94" s="3">
        <f t="shared" si="45"/>
        <v>0</v>
      </c>
      <c r="G94" s="79">
        <f t="shared" si="45"/>
        <v>-100</v>
      </c>
      <c r="H94" s="3">
        <f t="shared" si="45"/>
        <v>0</v>
      </c>
      <c r="I94" s="3">
        <f t="shared" si="45"/>
        <v>0</v>
      </c>
      <c r="J94" s="3">
        <f t="shared" si="45"/>
        <v>-100</v>
      </c>
      <c r="K94" s="59">
        <f t="shared" si="46"/>
        <v>-200</v>
      </c>
      <c r="L94" s="2">
        <f t="shared" si="47"/>
        <v>0</v>
      </c>
      <c r="M94" s="3">
        <f t="shared" si="47"/>
        <v>0</v>
      </c>
      <c r="N94" s="79">
        <f t="shared" si="47"/>
        <v>-10</v>
      </c>
      <c r="O94" s="3">
        <f t="shared" si="47"/>
        <v>0</v>
      </c>
      <c r="P94" s="3">
        <f t="shared" si="47"/>
        <v>0</v>
      </c>
      <c r="Q94" s="3">
        <f t="shared" si="47"/>
        <v>-10</v>
      </c>
      <c r="R94" s="56">
        <f t="shared" si="48"/>
        <v>-20</v>
      </c>
      <c r="S94" s="57"/>
      <c r="T94" s="7"/>
      <c r="U94" s="7"/>
      <c r="V94" s="7"/>
      <c r="W94" s="7"/>
      <c r="X94" s="7"/>
      <c r="Y94" s="64"/>
    </row>
    <row r="95" spans="3:25" x14ac:dyDescent="0.4">
      <c r="C95" s="2" t="s">
        <v>18</v>
      </c>
      <c r="D95" s="15" t="s">
        <v>19</v>
      </c>
      <c r="E95" s="3">
        <f t="shared" si="45"/>
        <v>0</v>
      </c>
      <c r="F95" s="3">
        <f t="shared" si="45"/>
        <v>0</v>
      </c>
      <c r="G95" s="79">
        <f t="shared" si="45"/>
        <v>0</v>
      </c>
      <c r="H95" s="3">
        <f t="shared" si="45"/>
        <v>0</v>
      </c>
      <c r="I95" s="3">
        <f t="shared" si="45"/>
        <v>0</v>
      </c>
      <c r="J95" s="3">
        <f t="shared" si="45"/>
        <v>0</v>
      </c>
      <c r="K95" s="59">
        <f t="shared" si="46"/>
        <v>0</v>
      </c>
      <c r="L95" s="2">
        <f t="shared" si="47"/>
        <v>0</v>
      </c>
      <c r="M95" s="3">
        <f t="shared" si="47"/>
        <v>0</v>
      </c>
      <c r="N95" s="3">
        <f t="shared" si="47"/>
        <v>0</v>
      </c>
      <c r="O95" s="3">
        <f t="shared" si="47"/>
        <v>0</v>
      </c>
      <c r="P95" s="3">
        <f t="shared" si="47"/>
        <v>0</v>
      </c>
      <c r="Q95" s="3">
        <f t="shared" si="47"/>
        <v>0</v>
      </c>
      <c r="R95" s="56">
        <f t="shared" si="48"/>
        <v>0</v>
      </c>
      <c r="S95" s="57" t="e">
        <f t="shared" ref="S95:Y96" si="50">S83-S47</f>
        <v>#VALUE!</v>
      </c>
      <c r="T95" s="7" t="e">
        <f t="shared" si="50"/>
        <v>#VALUE!</v>
      </c>
      <c r="U95" s="7" t="e">
        <f t="shared" si="50"/>
        <v>#VALUE!</v>
      </c>
      <c r="V95" s="7" t="e">
        <f t="shared" si="50"/>
        <v>#VALUE!</v>
      </c>
      <c r="W95" s="7" t="e">
        <f t="shared" si="50"/>
        <v>#VALUE!</v>
      </c>
      <c r="X95" s="7" t="e">
        <f t="shared" si="50"/>
        <v>#VALUE!</v>
      </c>
      <c r="Y95" s="64" t="e">
        <f t="shared" si="50"/>
        <v>#VALUE!</v>
      </c>
    </row>
    <row r="96" spans="3:25" x14ac:dyDescent="0.4">
      <c r="C96" s="4" t="s">
        <v>5</v>
      </c>
      <c r="D96" s="16"/>
      <c r="E96" s="6">
        <f t="shared" ref="E96:J96" si="51">SUM(E89:E95)</f>
        <v>-3054.0499999999997</v>
      </c>
      <c r="F96" s="6">
        <f t="shared" si="51"/>
        <v>3184.67</v>
      </c>
      <c r="G96" s="6">
        <f t="shared" si="51"/>
        <v>-230.05</v>
      </c>
      <c r="H96" s="6">
        <f t="shared" si="51"/>
        <v>881.37</v>
      </c>
      <c r="I96" s="6">
        <f t="shared" si="51"/>
        <v>302.40999999999997</v>
      </c>
      <c r="J96" s="6">
        <f t="shared" si="51"/>
        <v>-9421.8230000000003</v>
      </c>
      <c r="K96" s="60">
        <f t="shared" si="46"/>
        <v>-8337.473</v>
      </c>
      <c r="L96" s="49">
        <f t="shared" ref="L96:Q96" si="52">SUM(L89:L95)</f>
        <v>-415.51</v>
      </c>
      <c r="M96" s="6">
        <f t="shared" si="52"/>
        <v>387.46899999999999</v>
      </c>
      <c r="N96" s="6">
        <f t="shared" si="52"/>
        <v>-31.18</v>
      </c>
      <c r="O96" s="6">
        <f t="shared" si="52"/>
        <v>121.443</v>
      </c>
      <c r="P96" s="6">
        <f t="shared" si="52"/>
        <v>60.4</v>
      </c>
      <c r="Q96" s="6">
        <f t="shared" si="52"/>
        <v>-1326.2830000000001</v>
      </c>
      <c r="R96" s="50">
        <f t="shared" si="48"/>
        <v>-1203.6610000000001</v>
      </c>
      <c r="S96" s="58">
        <f t="shared" si="50"/>
        <v>1.3291453790032409E-2</v>
      </c>
      <c r="T96" s="9">
        <f t="shared" si="50"/>
        <v>-5.041743222595238E-2</v>
      </c>
      <c r="U96" s="9">
        <f t="shared" si="50"/>
        <v>1.9579288025889985E-2</v>
      </c>
      <c r="V96" s="9">
        <f t="shared" si="50"/>
        <v>-2.1544478021280372E-2</v>
      </c>
      <c r="W96" s="9">
        <f t="shared" si="50"/>
        <v>1.6597223374999331E-2</v>
      </c>
      <c r="X96" s="9">
        <f t="shared" si="50"/>
        <v>2.4100273931861149E-2</v>
      </c>
      <c r="Y96" s="65">
        <f t="shared" si="50"/>
        <v>1.5261980273117981E-4</v>
      </c>
    </row>
    <row r="97" spans="3:25" x14ac:dyDescent="0.4">
      <c r="C97" s="12"/>
      <c r="E97" s="11"/>
      <c r="F97" s="11"/>
      <c r="G97" s="11"/>
      <c r="H97" s="11"/>
      <c r="I97" s="11"/>
      <c r="J97" s="11"/>
      <c r="K97" s="12"/>
      <c r="L97" s="11"/>
      <c r="M97" s="11"/>
      <c r="N97" s="11"/>
      <c r="O97" s="11"/>
      <c r="P97" s="11"/>
      <c r="Q97" s="11"/>
      <c r="R97" s="12"/>
      <c r="S97" s="13"/>
      <c r="T97" s="13"/>
      <c r="U97" s="13"/>
      <c r="V97" s="13"/>
      <c r="W97" s="13"/>
      <c r="X97" s="13"/>
      <c r="Y97" s="13"/>
    </row>
    <row r="98" spans="3:25" x14ac:dyDescent="0.4">
      <c r="C98" s="12" t="s">
        <v>27</v>
      </c>
    </row>
    <row r="99" spans="3:25" x14ac:dyDescent="0.4">
      <c r="C99" s="85"/>
      <c r="D99" s="84"/>
      <c r="E99" s="85" t="s">
        <v>2</v>
      </c>
      <c r="F99" s="83"/>
      <c r="G99" s="83"/>
      <c r="H99" s="83"/>
      <c r="I99" s="83"/>
      <c r="J99" s="83"/>
      <c r="K99" s="84"/>
      <c r="L99" s="82" t="s">
        <v>3</v>
      </c>
      <c r="M99" s="83"/>
      <c r="N99" s="83"/>
      <c r="O99" s="83"/>
      <c r="P99" s="83"/>
      <c r="Q99" s="83"/>
      <c r="R99" s="84"/>
      <c r="S99" s="82" t="s">
        <v>4</v>
      </c>
      <c r="T99" s="83"/>
      <c r="U99" s="83"/>
      <c r="V99" s="83"/>
      <c r="W99" s="83"/>
      <c r="X99" s="83"/>
      <c r="Y99" s="84"/>
    </row>
    <row r="100" spans="3:25" x14ac:dyDescent="0.4">
      <c r="C100" s="1"/>
      <c r="D100" s="14"/>
      <c r="E100" s="54">
        <v>46113</v>
      </c>
      <c r="F100" s="51">
        <v>46143</v>
      </c>
      <c r="G100" s="51">
        <v>46174</v>
      </c>
      <c r="H100" s="51">
        <v>46204</v>
      </c>
      <c r="I100" s="51">
        <v>46235</v>
      </c>
      <c r="J100" s="51">
        <v>46266</v>
      </c>
      <c r="K100" s="52" t="s">
        <v>5</v>
      </c>
      <c r="L100" s="48">
        <v>46113</v>
      </c>
      <c r="M100" s="51">
        <v>46143</v>
      </c>
      <c r="N100" s="51">
        <v>46174</v>
      </c>
      <c r="O100" s="51">
        <v>46204</v>
      </c>
      <c r="P100" s="51">
        <v>46235</v>
      </c>
      <c r="Q100" s="51">
        <v>46266</v>
      </c>
      <c r="R100" s="52" t="s">
        <v>5</v>
      </c>
      <c r="S100" s="48">
        <v>46113</v>
      </c>
      <c r="T100" s="51">
        <v>46143</v>
      </c>
      <c r="U100" s="51">
        <v>46174</v>
      </c>
      <c r="V100" s="51">
        <v>46204</v>
      </c>
      <c r="W100" s="51">
        <v>46235</v>
      </c>
      <c r="X100" s="51">
        <v>46266</v>
      </c>
      <c r="Y100" s="52" t="s">
        <v>5</v>
      </c>
    </row>
    <row r="101" spans="3:25" x14ac:dyDescent="0.4">
      <c r="C101" s="2" t="s">
        <v>6</v>
      </c>
      <c r="D101" s="15" t="s">
        <v>7</v>
      </c>
      <c r="E101" s="3">
        <f t="shared" ref="E101:J107" si="53">E77-E17</f>
        <v>-0.5</v>
      </c>
      <c r="F101" s="3">
        <f t="shared" si="53"/>
        <v>15</v>
      </c>
      <c r="G101" s="79">
        <f t="shared" si="53"/>
        <v>56.3</v>
      </c>
      <c r="H101" s="3">
        <f t="shared" si="53"/>
        <v>-190.7</v>
      </c>
      <c r="I101" s="3">
        <f t="shared" si="53"/>
        <v>27.5</v>
      </c>
      <c r="J101" s="3">
        <f t="shared" si="53"/>
        <v>53.546999999999997</v>
      </c>
      <c r="K101" s="59">
        <f t="shared" ref="K101:K108" si="54">SUM(E101:J101)</f>
        <v>-38.852999999999994</v>
      </c>
      <c r="L101" s="2">
        <f t="shared" ref="L101:Q107" si="55">L77-L17</f>
        <v>-3</v>
      </c>
      <c r="M101" s="3">
        <f t="shared" si="55"/>
        <v>3.05</v>
      </c>
      <c r="N101" s="79">
        <f t="shared" si="55"/>
        <v>10.37</v>
      </c>
      <c r="O101" s="3">
        <f t="shared" si="55"/>
        <v>-31.265000000000001</v>
      </c>
      <c r="P101" s="3">
        <f t="shared" si="55"/>
        <v>7.25</v>
      </c>
      <c r="Q101" s="3">
        <f t="shared" si="55"/>
        <v>11.196999999999999</v>
      </c>
      <c r="R101" s="56">
        <f t="shared" ref="R101:R108" si="56">SUM(L101:Q101)</f>
        <v>-2.3980000000000032</v>
      </c>
      <c r="S101" s="57">
        <f t="shared" ref="S101:Y105" si="57">S77-S17</f>
        <v>-3.3246753246753247E-2</v>
      </c>
      <c r="T101" s="7">
        <f t="shared" si="57"/>
        <v>6.6666666666666666E-2</v>
      </c>
      <c r="U101" s="7">
        <f t="shared" si="57"/>
        <v>8.3138116154221578E-2</v>
      </c>
      <c r="V101" s="7">
        <f t="shared" si="57"/>
        <v>1.7550533641290417E-2</v>
      </c>
      <c r="W101" s="7">
        <f t="shared" si="57"/>
        <v>0.12552742616033757</v>
      </c>
      <c r="X101" s="7" t="e">
        <f t="shared" si="57"/>
        <v>#VALUE!</v>
      </c>
      <c r="Y101" s="8">
        <f t="shared" si="57"/>
        <v>1.104573516783286E-2</v>
      </c>
    </row>
    <row r="102" spans="3:25" x14ac:dyDescent="0.4">
      <c r="C102" s="2" t="s">
        <v>8</v>
      </c>
      <c r="D102" s="15" t="s">
        <v>9</v>
      </c>
      <c r="E102" s="3">
        <f t="shared" si="53"/>
        <v>-73.2</v>
      </c>
      <c r="F102" s="3">
        <f t="shared" si="53"/>
        <v>3199.3</v>
      </c>
      <c r="G102" s="79">
        <f t="shared" si="53"/>
        <v>-3.3999999999999986</v>
      </c>
      <c r="H102" s="3">
        <f t="shared" si="53"/>
        <v>464.32000000000005</v>
      </c>
      <c r="I102" s="3">
        <f t="shared" si="53"/>
        <v>235</v>
      </c>
      <c r="J102" s="3">
        <f t="shared" si="53"/>
        <v>70.2</v>
      </c>
      <c r="K102" s="59">
        <f t="shared" si="54"/>
        <v>3892.2200000000003</v>
      </c>
      <c r="L102" s="2">
        <f t="shared" si="55"/>
        <v>-21.51</v>
      </c>
      <c r="M102" s="3">
        <f t="shared" si="55"/>
        <v>407.76900000000001</v>
      </c>
      <c r="N102" s="79">
        <f t="shared" si="55"/>
        <v>0.94000000000000039</v>
      </c>
      <c r="O102" s="3">
        <f t="shared" si="55"/>
        <v>-43.921999999999997</v>
      </c>
      <c r="P102" s="3">
        <f t="shared" si="55"/>
        <v>44.68</v>
      </c>
      <c r="Q102" s="3">
        <f t="shared" si="55"/>
        <v>9.2899999999999991</v>
      </c>
      <c r="R102" s="56">
        <f t="shared" si="56"/>
        <v>397.24700000000007</v>
      </c>
      <c r="S102" s="57">
        <f t="shared" si="57"/>
        <v>-0.17330097087378643</v>
      </c>
      <c r="T102" s="7">
        <f t="shared" si="57"/>
        <v>-7.1758833246722525E-2</v>
      </c>
      <c r="U102" s="7">
        <f t="shared" si="57"/>
        <v>2.800517346317713E-2</v>
      </c>
      <c r="V102" s="7">
        <f t="shared" si="57"/>
        <v>-0.79771251434126422</v>
      </c>
      <c r="W102" s="7">
        <f t="shared" si="57"/>
        <v>-2.0888015073318583E-2</v>
      </c>
      <c r="X102" s="7">
        <f t="shared" si="57"/>
        <v>1.4030131826741982E-2</v>
      </c>
      <c r="Y102" s="8">
        <f t="shared" si="57"/>
        <v>-0.21033838464468149</v>
      </c>
    </row>
    <row r="103" spans="3:25" x14ac:dyDescent="0.4">
      <c r="C103" s="2" t="s">
        <v>10</v>
      </c>
      <c r="D103" s="15" t="s">
        <v>11</v>
      </c>
      <c r="E103" s="3">
        <f t="shared" si="53"/>
        <v>-1916</v>
      </c>
      <c r="F103" s="3">
        <f t="shared" si="53"/>
        <v>63</v>
      </c>
      <c r="G103" s="79">
        <f t="shared" si="53"/>
        <v>-54</v>
      </c>
      <c r="H103" s="3">
        <f t="shared" si="53"/>
        <v>54</v>
      </c>
      <c r="I103" s="3">
        <f t="shared" si="53"/>
        <v>0</v>
      </c>
      <c r="J103" s="3">
        <f t="shared" si="53"/>
        <v>40.699999999999989</v>
      </c>
      <c r="K103" s="59">
        <f t="shared" si="54"/>
        <v>-1812.3</v>
      </c>
      <c r="L103" s="2">
        <f t="shared" si="55"/>
        <v>-196</v>
      </c>
      <c r="M103" s="3">
        <f t="shared" si="55"/>
        <v>9.9600000000000009</v>
      </c>
      <c r="N103" s="79">
        <f t="shared" si="55"/>
        <v>-5</v>
      </c>
      <c r="O103" s="3">
        <f t="shared" si="55"/>
        <v>5</v>
      </c>
      <c r="P103" s="3">
        <f t="shared" si="55"/>
        <v>0</v>
      </c>
      <c r="Q103" s="3">
        <f t="shared" si="55"/>
        <v>-3.5700000000000003</v>
      </c>
      <c r="R103" s="56">
        <f t="shared" si="56"/>
        <v>-189.60999999999999</v>
      </c>
      <c r="S103" s="57" t="e">
        <f t="shared" si="57"/>
        <v>#VALUE!</v>
      </c>
      <c r="T103" s="7">
        <f t="shared" si="57"/>
        <v>-6.6666666666666541E-3</v>
      </c>
      <c r="U103" s="7" t="e">
        <f t="shared" si="57"/>
        <v>#VALUE!</v>
      </c>
      <c r="V103" s="7" t="e">
        <f t="shared" si="57"/>
        <v>#VALUE!</v>
      </c>
      <c r="W103" s="7" t="e">
        <f t="shared" si="57"/>
        <v>#VALUE!</v>
      </c>
      <c r="X103" s="7">
        <f t="shared" si="57"/>
        <v>-7.9762883259857018E-2</v>
      </c>
      <c r="Y103" s="8">
        <f t="shared" si="57"/>
        <v>2.0444871073895393E-2</v>
      </c>
    </row>
    <row r="104" spans="3:25" x14ac:dyDescent="0.4">
      <c r="C104" s="2" t="s">
        <v>12</v>
      </c>
      <c r="D104" s="15" t="s">
        <v>13</v>
      </c>
      <c r="E104" s="3">
        <f t="shared" si="53"/>
        <v>30.649999999999977</v>
      </c>
      <c r="F104" s="3">
        <f t="shared" si="53"/>
        <v>109.37</v>
      </c>
      <c r="G104" s="79">
        <f t="shared" si="53"/>
        <v>-94.95</v>
      </c>
      <c r="H104" s="3">
        <f t="shared" si="53"/>
        <v>334.75</v>
      </c>
      <c r="I104" s="3">
        <f t="shared" si="53"/>
        <v>155.91</v>
      </c>
      <c r="J104" s="3">
        <f t="shared" si="53"/>
        <v>358.73</v>
      </c>
      <c r="K104" s="59">
        <f t="shared" si="54"/>
        <v>894.46</v>
      </c>
      <c r="L104" s="2">
        <f t="shared" si="55"/>
        <v>35</v>
      </c>
      <c r="M104" s="3">
        <f t="shared" si="55"/>
        <v>5.6899999999999995</v>
      </c>
      <c r="N104" s="79">
        <f t="shared" si="55"/>
        <v>-17.490000000000002</v>
      </c>
      <c r="O104" s="3">
        <f t="shared" si="55"/>
        <v>69.63</v>
      </c>
      <c r="P104" s="3">
        <f t="shared" si="55"/>
        <v>31.47</v>
      </c>
      <c r="Q104" s="3">
        <f t="shared" si="55"/>
        <v>103.8</v>
      </c>
      <c r="R104" s="56">
        <f t="shared" si="56"/>
        <v>228.09999999999997</v>
      </c>
      <c r="S104" s="57">
        <f t="shared" si="57"/>
        <v>5.6039102589874878E-2</v>
      </c>
      <c r="T104" s="7">
        <f t="shared" si="57"/>
        <v>-3.5969912783258007E-2</v>
      </c>
      <c r="U104" s="7">
        <f t="shared" si="57"/>
        <v>-9.6453567017584785E-4</v>
      </c>
      <c r="V104" s="7">
        <f t="shared" si="57"/>
        <v>5.8443398932813112E-2</v>
      </c>
      <c r="W104" s="7">
        <f t="shared" si="57"/>
        <v>6.6193616936139565E-2</v>
      </c>
      <c r="X104" s="7">
        <f t="shared" si="57"/>
        <v>0.12570881494068514</v>
      </c>
      <c r="Y104" s="8">
        <f t="shared" si="57"/>
        <v>6.2211627605406744E-2</v>
      </c>
    </row>
    <row r="105" spans="3:25" x14ac:dyDescent="0.4">
      <c r="C105" s="2" t="s">
        <v>14</v>
      </c>
      <c r="D105" s="15" t="s">
        <v>15</v>
      </c>
      <c r="E105" s="3">
        <f t="shared" si="53"/>
        <v>0</v>
      </c>
      <c r="F105" s="3">
        <f t="shared" si="53"/>
        <v>0</v>
      </c>
      <c r="G105" s="79">
        <f t="shared" si="53"/>
        <v>0</v>
      </c>
      <c r="H105" s="3">
        <f t="shared" si="53"/>
        <v>0</v>
      </c>
      <c r="I105" s="3">
        <f t="shared" si="53"/>
        <v>0</v>
      </c>
      <c r="J105" s="3">
        <f t="shared" si="53"/>
        <v>0</v>
      </c>
      <c r="K105" s="59">
        <f t="shared" si="54"/>
        <v>0</v>
      </c>
      <c r="L105" s="2">
        <f t="shared" si="55"/>
        <v>0</v>
      </c>
      <c r="M105" s="3">
        <f t="shared" si="55"/>
        <v>0</v>
      </c>
      <c r="N105" s="79">
        <f t="shared" si="55"/>
        <v>0</v>
      </c>
      <c r="O105" s="3">
        <f t="shared" si="55"/>
        <v>0</v>
      </c>
      <c r="P105" s="3">
        <f t="shared" si="55"/>
        <v>0</v>
      </c>
      <c r="Q105" s="3">
        <f t="shared" si="55"/>
        <v>0</v>
      </c>
      <c r="R105" s="56">
        <f t="shared" si="56"/>
        <v>0</v>
      </c>
      <c r="S105" s="57" t="e">
        <f t="shared" si="57"/>
        <v>#VALUE!</v>
      </c>
      <c r="T105" s="7" t="e">
        <f t="shared" si="57"/>
        <v>#VALUE!</v>
      </c>
      <c r="U105" s="7" t="e">
        <f t="shared" si="57"/>
        <v>#VALUE!</v>
      </c>
      <c r="V105" s="7" t="e">
        <f t="shared" si="57"/>
        <v>#VALUE!</v>
      </c>
      <c r="W105" s="7" t="e">
        <f t="shared" si="57"/>
        <v>#VALUE!</v>
      </c>
      <c r="X105" s="7" t="e">
        <f t="shared" si="57"/>
        <v>#VALUE!</v>
      </c>
      <c r="Y105" s="8" t="e">
        <f t="shared" si="57"/>
        <v>#VALUE!</v>
      </c>
    </row>
    <row r="106" spans="3:25" x14ac:dyDescent="0.4">
      <c r="C106" s="70" t="s">
        <v>16</v>
      </c>
      <c r="D106" s="15" t="s">
        <v>17</v>
      </c>
      <c r="E106" s="3">
        <f t="shared" si="53"/>
        <v>0</v>
      </c>
      <c r="F106" s="3">
        <f t="shared" si="53"/>
        <v>0</v>
      </c>
      <c r="G106" s="79">
        <f t="shared" si="53"/>
        <v>0</v>
      </c>
      <c r="H106" s="3">
        <f t="shared" si="53"/>
        <v>0</v>
      </c>
      <c r="I106" s="3">
        <f t="shared" si="53"/>
        <v>0</v>
      </c>
      <c r="J106" s="3">
        <f t="shared" si="53"/>
        <v>0</v>
      </c>
      <c r="K106" s="59">
        <f t="shared" si="54"/>
        <v>0</v>
      </c>
      <c r="L106" s="2">
        <f t="shared" si="55"/>
        <v>0</v>
      </c>
      <c r="M106" s="3">
        <f t="shared" si="55"/>
        <v>0</v>
      </c>
      <c r="N106" s="79">
        <f t="shared" si="55"/>
        <v>0</v>
      </c>
      <c r="O106" s="3">
        <f t="shared" si="55"/>
        <v>0</v>
      </c>
      <c r="P106" s="3">
        <f t="shared" si="55"/>
        <v>0</v>
      </c>
      <c r="Q106" s="3">
        <f t="shared" si="55"/>
        <v>0</v>
      </c>
      <c r="R106" s="56">
        <f t="shared" si="56"/>
        <v>0</v>
      </c>
      <c r="S106" s="57"/>
      <c r="T106" s="7"/>
      <c r="U106" s="7"/>
      <c r="V106" s="7"/>
      <c r="W106" s="7"/>
      <c r="X106" s="7"/>
      <c r="Y106" s="8"/>
    </row>
    <row r="107" spans="3:25" x14ac:dyDescent="0.4">
      <c r="C107" s="2" t="s">
        <v>18</v>
      </c>
      <c r="D107" s="15" t="s">
        <v>19</v>
      </c>
      <c r="E107" s="3">
        <f t="shared" si="53"/>
        <v>0</v>
      </c>
      <c r="F107" s="3">
        <f t="shared" si="53"/>
        <v>0</v>
      </c>
      <c r="G107" s="79">
        <f t="shared" si="53"/>
        <v>0</v>
      </c>
      <c r="H107" s="3">
        <f t="shared" si="53"/>
        <v>0</v>
      </c>
      <c r="I107" s="3">
        <f t="shared" si="53"/>
        <v>0</v>
      </c>
      <c r="J107" s="3">
        <f t="shared" si="53"/>
        <v>0</v>
      </c>
      <c r="K107" s="59">
        <f t="shared" si="54"/>
        <v>0</v>
      </c>
      <c r="L107" s="2">
        <f t="shared" si="55"/>
        <v>0</v>
      </c>
      <c r="M107" s="3">
        <f t="shared" si="55"/>
        <v>0</v>
      </c>
      <c r="N107" s="79">
        <f t="shared" si="55"/>
        <v>0</v>
      </c>
      <c r="O107" s="3">
        <f t="shared" si="55"/>
        <v>0</v>
      </c>
      <c r="P107" s="3">
        <f t="shared" si="55"/>
        <v>0</v>
      </c>
      <c r="Q107" s="3">
        <f t="shared" si="55"/>
        <v>0</v>
      </c>
      <c r="R107" s="56">
        <f t="shared" si="56"/>
        <v>0</v>
      </c>
      <c r="S107" s="57" t="e">
        <f t="shared" ref="S107:Y108" si="58">S83-S23</f>
        <v>#VALUE!</v>
      </c>
      <c r="T107" s="7" t="e">
        <f t="shared" si="58"/>
        <v>#VALUE!</v>
      </c>
      <c r="U107" s="7" t="e">
        <f t="shared" si="58"/>
        <v>#VALUE!</v>
      </c>
      <c r="V107" s="7" t="e">
        <f t="shared" si="58"/>
        <v>#VALUE!</v>
      </c>
      <c r="W107" s="7" t="e">
        <f t="shared" si="58"/>
        <v>#VALUE!</v>
      </c>
      <c r="X107" s="7" t="e">
        <f t="shared" si="58"/>
        <v>#VALUE!</v>
      </c>
      <c r="Y107" s="8" t="e">
        <f t="shared" si="58"/>
        <v>#VALUE!</v>
      </c>
    </row>
    <row r="108" spans="3:25" x14ac:dyDescent="0.4">
      <c r="C108" s="4" t="s">
        <v>5</v>
      </c>
      <c r="D108" s="16"/>
      <c r="E108" s="6">
        <f t="shared" ref="E108:J108" si="59">SUM(E101:E107)</f>
        <v>-1959.0500000000002</v>
      </c>
      <c r="F108" s="6">
        <f t="shared" si="59"/>
        <v>3386.67</v>
      </c>
      <c r="G108" s="6">
        <f t="shared" si="59"/>
        <v>-96.050000000000011</v>
      </c>
      <c r="H108" s="6">
        <f t="shared" si="59"/>
        <v>662.37000000000012</v>
      </c>
      <c r="I108" s="6">
        <f t="shared" si="59"/>
        <v>418.40999999999997</v>
      </c>
      <c r="J108" s="6">
        <f t="shared" si="59"/>
        <v>523.17700000000002</v>
      </c>
      <c r="K108" s="60">
        <f t="shared" si="54"/>
        <v>2935.527</v>
      </c>
      <c r="L108" s="49">
        <f t="shared" ref="L108:Q108" si="60">SUM(L101:L107)</f>
        <v>-185.51</v>
      </c>
      <c r="M108" s="6">
        <f t="shared" si="60"/>
        <v>426.46899999999999</v>
      </c>
      <c r="N108" s="6">
        <f t="shared" si="60"/>
        <v>-11.180000000000003</v>
      </c>
      <c r="O108" s="6">
        <f t="shared" si="60"/>
        <v>-0.55700000000000216</v>
      </c>
      <c r="P108" s="6">
        <f t="shared" si="60"/>
        <v>83.4</v>
      </c>
      <c r="Q108" s="6">
        <f t="shared" si="60"/>
        <v>120.717</v>
      </c>
      <c r="R108" s="50">
        <f t="shared" si="56"/>
        <v>433.33899999999994</v>
      </c>
      <c r="S108" s="58">
        <f t="shared" si="58"/>
        <v>4.2688055187078591E-2</v>
      </c>
      <c r="T108" s="9">
        <f t="shared" si="58"/>
        <v>-4.1558371823267826E-2</v>
      </c>
      <c r="U108" s="9">
        <f t="shared" si="58"/>
        <v>1.9203348176265927E-2</v>
      </c>
      <c r="V108" s="9">
        <f t="shared" si="58"/>
        <v>-0.18628436241434398</v>
      </c>
      <c r="W108" s="9">
        <f t="shared" si="58"/>
        <v>3.6524759606883367E-2</v>
      </c>
      <c r="X108" s="9">
        <f t="shared" si="58"/>
        <v>7.2864010195597406E-2</v>
      </c>
      <c r="Y108" s="10">
        <f t="shared" si="58"/>
        <v>1.9930329923297518E-3</v>
      </c>
    </row>
  </sheetData>
  <mergeCells count="36">
    <mergeCell ref="C3:D3"/>
    <mergeCell ref="S15:Y15"/>
    <mergeCell ref="C87:D87"/>
    <mergeCell ref="E27:K27"/>
    <mergeCell ref="E3:K3"/>
    <mergeCell ref="S75:Y75"/>
    <mergeCell ref="C63:D63"/>
    <mergeCell ref="C99:D99"/>
    <mergeCell ref="C75:D75"/>
    <mergeCell ref="E39:K39"/>
    <mergeCell ref="L75:R75"/>
    <mergeCell ref="S27:Y27"/>
    <mergeCell ref="S3:Y3"/>
    <mergeCell ref="C51:D51"/>
    <mergeCell ref="C27:D27"/>
    <mergeCell ref="L87:R87"/>
    <mergeCell ref="S39:Y39"/>
    <mergeCell ref="L3:R3"/>
    <mergeCell ref="E51:K51"/>
    <mergeCell ref="E87:K87"/>
    <mergeCell ref="S99:Y99"/>
    <mergeCell ref="L63:R63"/>
    <mergeCell ref="C15:D15"/>
    <mergeCell ref="L99:R99"/>
    <mergeCell ref="S63:Y63"/>
    <mergeCell ref="E75:K75"/>
    <mergeCell ref="L27:R27"/>
    <mergeCell ref="S51:Y51"/>
    <mergeCell ref="L15:R15"/>
    <mergeCell ref="C39:D39"/>
    <mergeCell ref="E63:K63"/>
    <mergeCell ref="L39:R39"/>
    <mergeCell ref="S87:Y87"/>
    <mergeCell ref="E99:K99"/>
    <mergeCell ref="L51:R51"/>
    <mergeCell ref="E15:K15"/>
  </mergeCells>
  <phoneticPr fontId="2"/>
  <printOptions horizontalCentered="1" verticalCentered="1"/>
  <pageMargins left="0.70866141732283472" right="0.70866141732283472" top="0.74803149606299213" bottom="0.74803149606299213" header="0.31496062992125978" footer="0.31496062992125978"/>
  <pageSetup paperSize="8" scale="72"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C1:Y108"/>
  <sheetViews>
    <sheetView tabSelected="1" topLeftCell="A88" zoomScaleNormal="100" workbookViewId="0">
      <pane xSplit="4" topLeftCell="E1" activePane="topRight" state="frozen"/>
      <selection activeCell="E89" sqref="E89"/>
      <selection pane="topRight" activeCell="L75" sqref="L75:R84"/>
    </sheetView>
  </sheetViews>
  <sheetFormatPr defaultRowHeight="18.75" x14ac:dyDescent="0.4"/>
  <cols>
    <col min="3" max="3" width="9.75" style="78" bestFit="1" customWidth="1"/>
    <col min="5" max="25" width="10.125" style="78" customWidth="1"/>
  </cols>
  <sheetData>
    <row r="1" spans="3:25" ht="24" customHeight="1" x14ac:dyDescent="0.4">
      <c r="C1" s="17" t="s">
        <v>29</v>
      </c>
    </row>
    <row r="2" spans="3:25" x14ac:dyDescent="0.4">
      <c r="C2" t="s">
        <v>1</v>
      </c>
    </row>
    <row r="3" spans="3:25" x14ac:dyDescent="0.4">
      <c r="C3" s="85"/>
      <c r="D3" s="84"/>
      <c r="E3" s="87" t="s">
        <v>2</v>
      </c>
      <c r="F3" s="83"/>
      <c r="G3" s="83"/>
      <c r="H3" s="83"/>
      <c r="I3" s="83"/>
      <c r="J3" s="83"/>
      <c r="K3" s="83"/>
      <c r="L3" s="86" t="s">
        <v>3</v>
      </c>
      <c r="M3" s="83"/>
      <c r="N3" s="83"/>
      <c r="O3" s="83"/>
      <c r="P3" s="83"/>
      <c r="Q3" s="83"/>
      <c r="R3" s="84"/>
      <c r="S3" s="82" t="s">
        <v>4</v>
      </c>
      <c r="T3" s="83"/>
      <c r="U3" s="83"/>
      <c r="V3" s="83"/>
      <c r="W3" s="83"/>
      <c r="X3" s="83"/>
      <c r="Y3" s="84"/>
    </row>
    <row r="4" spans="3:25" x14ac:dyDescent="0.4">
      <c r="C4" s="1"/>
      <c r="D4" s="14"/>
      <c r="E4" s="51">
        <v>45383</v>
      </c>
      <c r="F4" s="51">
        <v>45413</v>
      </c>
      <c r="G4" s="51">
        <v>45444</v>
      </c>
      <c r="H4" s="51">
        <v>45474</v>
      </c>
      <c r="I4" s="51">
        <v>45505</v>
      </c>
      <c r="J4" s="51">
        <v>45536</v>
      </c>
      <c r="K4" s="55" t="s">
        <v>5</v>
      </c>
      <c r="L4" s="54">
        <v>45383</v>
      </c>
      <c r="M4" s="51">
        <v>45413</v>
      </c>
      <c r="N4" s="51">
        <v>45444</v>
      </c>
      <c r="O4" s="51">
        <v>45474</v>
      </c>
      <c r="P4" s="51">
        <v>45505</v>
      </c>
      <c r="Q4" s="51">
        <v>45536</v>
      </c>
      <c r="R4" s="52" t="s">
        <v>5</v>
      </c>
      <c r="S4" s="48">
        <v>45017</v>
      </c>
      <c r="T4" s="51">
        <v>45047</v>
      </c>
      <c r="U4" s="51">
        <v>45078</v>
      </c>
      <c r="V4" s="51">
        <v>45108</v>
      </c>
      <c r="W4" s="51">
        <v>45139</v>
      </c>
      <c r="X4" s="51">
        <v>45170</v>
      </c>
      <c r="Y4" s="52" t="s">
        <v>5</v>
      </c>
    </row>
    <row r="5" spans="3:25" x14ac:dyDescent="0.4">
      <c r="C5" s="2" t="s">
        <v>6</v>
      </c>
      <c r="D5" s="15" t="s">
        <v>7</v>
      </c>
      <c r="E5" s="3">
        <v>11753.171</v>
      </c>
      <c r="F5" s="3">
        <v>10563.879000000001</v>
      </c>
      <c r="G5" s="3">
        <v>9223.0700000000015</v>
      </c>
      <c r="H5" s="3">
        <v>10595.855</v>
      </c>
      <c r="I5" s="3">
        <v>10776.385</v>
      </c>
      <c r="J5" s="3">
        <v>8638.655999999999</v>
      </c>
      <c r="K5" s="59">
        <f>SUM(E5:J5)</f>
        <v>61551.016000000003</v>
      </c>
      <c r="L5" s="2">
        <v>2624.741</v>
      </c>
      <c r="M5" s="3">
        <v>2364.820999999999</v>
      </c>
      <c r="N5" s="3">
        <v>2014.6079999999999</v>
      </c>
      <c r="O5" s="3">
        <v>2326.4290000000001</v>
      </c>
      <c r="P5" s="3">
        <v>2387.0369999999998</v>
      </c>
      <c r="Q5" s="3">
        <v>2072.3980000000001</v>
      </c>
      <c r="R5" s="56">
        <f>SUM(L5:Q5)</f>
        <v>13790.034</v>
      </c>
      <c r="S5" s="57">
        <f t="shared" ref="S5:Y9" si="0">IF(E5=0,"***",L5/E5)</f>
        <v>0.22332194435016728</v>
      </c>
      <c r="T5" s="7">
        <f t="shared" si="0"/>
        <v>0.22385915249502564</v>
      </c>
      <c r="U5" s="7">
        <f t="shared" si="0"/>
        <v>0.21843138998186065</v>
      </c>
      <c r="V5" s="7">
        <f t="shared" si="0"/>
        <v>0.21956029032107369</v>
      </c>
      <c r="W5" s="7">
        <f t="shared" si="0"/>
        <v>0.22150628434303338</v>
      </c>
      <c r="X5" s="7">
        <f t="shared" si="0"/>
        <v>0.23989819712696053</v>
      </c>
      <c r="Y5" s="64">
        <f t="shared" si="0"/>
        <v>0.22404234562106984</v>
      </c>
    </row>
    <row r="6" spans="3:25" x14ac:dyDescent="0.4">
      <c r="C6" s="2" t="s">
        <v>8</v>
      </c>
      <c r="D6" s="15" t="s">
        <v>9</v>
      </c>
      <c r="E6" s="3">
        <v>13328.239</v>
      </c>
      <c r="F6" s="3">
        <v>10428.931</v>
      </c>
      <c r="G6" s="3">
        <v>11991.208000000001</v>
      </c>
      <c r="H6" s="3">
        <v>13843.186</v>
      </c>
      <c r="I6" s="3">
        <v>11383.003000000001</v>
      </c>
      <c r="J6" s="3">
        <v>14024.165999999999</v>
      </c>
      <c r="K6" s="59">
        <f>SUM(E6:J6)</f>
        <v>74998.732999999993</v>
      </c>
      <c r="L6" s="2">
        <v>2832.9229999999998</v>
      </c>
      <c r="M6" s="3">
        <v>2155.5160000000001</v>
      </c>
      <c r="N6" s="3">
        <v>2459.6379999999999</v>
      </c>
      <c r="O6" s="3">
        <v>2954.2979999999998</v>
      </c>
      <c r="P6" s="3">
        <v>2296.569</v>
      </c>
      <c r="Q6" s="3">
        <v>2908.8560000000011</v>
      </c>
      <c r="R6" s="56">
        <f>SUM(L6:Q6)</f>
        <v>15607.800000000001</v>
      </c>
      <c r="S6" s="57">
        <f t="shared" si="0"/>
        <v>0.21255043520753192</v>
      </c>
      <c r="T6" s="7">
        <f t="shared" si="0"/>
        <v>0.20668618864196148</v>
      </c>
      <c r="U6" s="7">
        <f t="shared" si="0"/>
        <v>0.20512011800645938</v>
      </c>
      <c r="V6" s="7">
        <f t="shared" si="0"/>
        <v>0.21341171028114481</v>
      </c>
      <c r="W6" s="7">
        <f t="shared" si="0"/>
        <v>0.20175422952976468</v>
      </c>
      <c r="X6" s="7">
        <f t="shared" si="0"/>
        <v>0.20741739651398888</v>
      </c>
      <c r="Y6" s="64">
        <f t="shared" si="0"/>
        <v>0.20810751562963073</v>
      </c>
    </row>
    <row r="7" spans="3:25" x14ac:dyDescent="0.4">
      <c r="C7" s="2" t="s">
        <v>10</v>
      </c>
      <c r="D7" s="15" t="s">
        <v>11</v>
      </c>
      <c r="E7" s="3">
        <v>9755.1179999999986</v>
      </c>
      <c r="F7" s="3">
        <v>8922.02</v>
      </c>
      <c r="G7" s="3">
        <v>7512.0229999999992</v>
      </c>
      <c r="H7" s="3">
        <v>8068.27</v>
      </c>
      <c r="I7" s="3">
        <v>8839.3920000000016</v>
      </c>
      <c r="J7" s="3">
        <v>9951.1290000000008</v>
      </c>
      <c r="K7" s="59">
        <f>SUM(E7:J7)</f>
        <v>53047.951999999997</v>
      </c>
      <c r="L7" s="2">
        <v>1820.7760000000001</v>
      </c>
      <c r="M7" s="3">
        <v>1584.587</v>
      </c>
      <c r="N7" s="3">
        <v>1260.4190000000001</v>
      </c>
      <c r="O7" s="3">
        <v>1425.3979999999999</v>
      </c>
      <c r="P7" s="3">
        <v>1569.4580000000001</v>
      </c>
      <c r="Q7" s="3">
        <v>1621.124</v>
      </c>
      <c r="R7" s="56">
        <f>SUM(L7:Q7)</f>
        <v>9281.7620000000006</v>
      </c>
      <c r="S7" s="57">
        <f t="shared" si="0"/>
        <v>0.18664828042059567</v>
      </c>
      <c r="T7" s="7">
        <f t="shared" si="0"/>
        <v>0.17760406275708862</v>
      </c>
      <c r="U7" s="7">
        <f t="shared" si="0"/>
        <v>0.16778689309124856</v>
      </c>
      <c r="V7" s="7">
        <f t="shared" si="0"/>
        <v>0.17666711699038329</v>
      </c>
      <c r="W7" s="7">
        <f t="shared" si="0"/>
        <v>0.17755270950762223</v>
      </c>
      <c r="X7" s="7">
        <f t="shared" si="0"/>
        <v>0.1629085503765452</v>
      </c>
      <c r="Y7" s="64">
        <f t="shared" si="0"/>
        <v>0.17496928062368933</v>
      </c>
    </row>
    <row r="8" spans="3:25" x14ac:dyDescent="0.4">
      <c r="C8" s="2" t="s">
        <v>12</v>
      </c>
      <c r="D8" s="15" t="s">
        <v>13</v>
      </c>
      <c r="E8" s="3">
        <v>13260.614</v>
      </c>
      <c r="F8" s="3">
        <v>11607.928</v>
      </c>
      <c r="G8" s="3">
        <v>11655.598</v>
      </c>
      <c r="H8" s="3">
        <v>12809.026</v>
      </c>
      <c r="I8" s="3">
        <v>11252.949000000001</v>
      </c>
      <c r="J8" s="3">
        <v>11636.983</v>
      </c>
      <c r="K8" s="59">
        <f>SUM(E8:J8)</f>
        <v>72223.097999999998</v>
      </c>
      <c r="L8" s="2">
        <v>2517.61</v>
      </c>
      <c r="M8" s="3">
        <v>2235.1959999999999</v>
      </c>
      <c r="N8" s="3">
        <v>2179.799</v>
      </c>
      <c r="O8" s="3">
        <v>2431.7080000000001</v>
      </c>
      <c r="P8" s="3">
        <v>2204.0120000000002</v>
      </c>
      <c r="Q8" s="3">
        <v>2268.7550000000001</v>
      </c>
      <c r="R8" s="56">
        <f>SUM(L8:Q8)</f>
        <v>13837.080000000002</v>
      </c>
      <c r="S8" s="57">
        <f t="shared" si="0"/>
        <v>0.18985621631094912</v>
      </c>
      <c r="T8" s="7">
        <f t="shared" si="0"/>
        <v>0.19255770711189801</v>
      </c>
      <c r="U8" s="7">
        <f t="shared" si="0"/>
        <v>0.18701734565656777</v>
      </c>
      <c r="V8" s="7">
        <f t="shared" si="0"/>
        <v>0.18984331829758172</v>
      </c>
      <c r="W8" s="7">
        <f t="shared" si="0"/>
        <v>0.19586083612393515</v>
      </c>
      <c r="X8" s="7">
        <f t="shared" si="0"/>
        <v>0.19496075572165053</v>
      </c>
      <c r="Y8" s="64">
        <f t="shared" si="0"/>
        <v>0.19158801523579067</v>
      </c>
    </row>
    <row r="9" spans="3:25" x14ac:dyDescent="0.4">
      <c r="C9" s="2" t="s">
        <v>14</v>
      </c>
      <c r="D9" s="15" t="s">
        <v>15</v>
      </c>
      <c r="E9" s="3">
        <v>3244.4180000000001</v>
      </c>
      <c r="F9" s="3">
        <v>0</v>
      </c>
      <c r="G9" s="3">
        <v>0</v>
      </c>
      <c r="H9" s="3">
        <v>0</v>
      </c>
      <c r="I9" s="3">
        <v>0</v>
      </c>
      <c r="J9" s="3">
        <v>2238.4749999999999</v>
      </c>
      <c r="K9" s="59">
        <f>SUM(E9:J9)</f>
        <v>5482.893</v>
      </c>
      <c r="L9" s="2">
        <v>177.04300000000001</v>
      </c>
      <c r="M9" s="3">
        <v>0</v>
      </c>
      <c r="N9" s="3">
        <v>0</v>
      </c>
      <c r="O9" s="3">
        <v>0</v>
      </c>
      <c r="P9" s="3">
        <v>0</v>
      </c>
      <c r="Q9" s="3">
        <v>136.78</v>
      </c>
      <c r="R9" s="56">
        <f>SUM(L9:Q9)</f>
        <v>313.82299999999998</v>
      </c>
      <c r="S9" s="57">
        <f t="shared" si="0"/>
        <v>5.4568492715796793E-2</v>
      </c>
      <c r="T9" s="7" t="str">
        <f t="shared" si="0"/>
        <v>***</v>
      </c>
      <c r="U9" s="7" t="str">
        <f t="shared" si="0"/>
        <v>***</v>
      </c>
      <c r="V9" s="7" t="str">
        <f t="shared" si="0"/>
        <v>***</v>
      </c>
      <c r="W9" s="7" t="str">
        <f t="shared" si="0"/>
        <v>***</v>
      </c>
      <c r="X9" s="7">
        <f t="shared" si="0"/>
        <v>6.1104099889433661E-2</v>
      </c>
      <c r="Y9" s="64">
        <f t="shared" si="0"/>
        <v>5.7236754392252405E-2</v>
      </c>
    </row>
    <row r="10" spans="3:25" x14ac:dyDescent="0.4">
      <c r="C10" s="70" t="s">
        <v>16</v>
      </c>
      <c r="D10" s="15" t="s">
        <v>17</v>
      </c>
      <c r="E10" s="3"/>
      <c r="F10" s="3"/>
      <c r="G10" s="3"/>
      <c r="H10" s="3"/>
      <c r="I10" s="3"/>
      <c r="J10" s="3"/>
      <c r="K10" s="59"/>
      <c r="L10" s="2"/>
      <c r="M10" s="3"/>
      <c r="N10" s="3"/>
      <c r="O10" s="3"/>
      <c r="P10" s="3"/>
      <c r="Q10" s="3"/>
      <c r="R10" s="56"/>
      <c r="S10" s="57"/>
      <c r="T10" s="7"/>
      <c r="U10" s="7"/>
      <c r="V10" s="7"/>
      <c r="W10" s="7"/>
      <c r="X10" s="7"/>
      <c r="Y10" s="64"/>
    </row>
    <row r="11" spans="3:25" x14ac:dyDescent="0.4">
      <c r="C11" s="2" t="s">
        <v>18</v>
      </c>
      <c r="D11" s="15" t="s">
        <v>19</v>
      </c>
      <c r="E11" s="3">
        <v>75.2</v>
      </c>
      <c r="F11" s="3">
        <v>1.8</v>
      </c>
      <c r="G11" s="3">
        <v>0</v>
      </c>
      <c r="H11" s="3">
        <v>0</v>
      </c>
      <c r="I11" s="3">
        <v>0</v>
      </c>
      <c r="J11" s="3">
        <v>0</v>
      </c>
      <c r="K11" s="59">
        <f>SUM(E11:J11)</f>
        <v>77</v>
      </c>
      <c r="L11" s="2">
        <v>16.72</v>
      </c>
      <c r="M11" s="3">
        <v>0.52500000000000002</v>
      </c>
      <c r="N11" s="3">
        <v>0</v>
      </c>
      <c r="O11" s="3">
        <v>0</v>
      </c>
      <c r="P11" s="3">
        <v>0</v>
      </c>
      <c r="Q11" s="3">
        <v>0</v>
      </c>
      <c r="R11" s="56">
        <f>SUM(L11:Q11)</f>
        <v>17.244999999999997</v>
      </c>
      <c r="S11" s="57">
        <f t="shared" ref="S11:Y12" si="1">IF(E11=0,"***",L11/E11)</f>
        <v>0.22234042553191488</v>
      </c>
      <c r="T11" s="7">
        <f t="shared" si="1"/>
        <v>0.29166666666666669</v>
      </c>
      <c r="U11" s="7" t="str">
        <f t="shared" si="1"/>
        <v>***</v>
      </c>
      <c r="V11" s="7" t="str">
        <f t="shared" si="1"/>
        <v>***</v>
      </c>
      <c r="W11" s="7" t="str">
        <f t="shared" si="1"/>
        <v>***</v>
      </c>
      <c r="X11" s="7" t="str">
        <f t="shared" si="1"/>
        <v>***</v>
      </c>
      <c r="Y11" s="64">
        <f t="shared" si="1"/>
        <v>0.22396103896103892</v>
      </c>
    </row>
    <row r="12" spans="3:25" x14ac:dyDescent="0.4">
      <c r="C12" s="4" t="s">
        <v>5</v>
      </c>
      <c r="D12" s="16"/>
      <c r="E12" s="6">
        <f t="shared" ref="E12:J12" si="2">SUM(E5:E11)</f>
        <v>51416.759999999995</v>
      </c>
      <c r="F12" s="6">
        <f t="shared" si="2"/>
        <v>41524.558000000005</v>
      </c>
      <c r="G12" s="6">
        <f t="shared" si="2"/>
        <v>40381.898999999998</v>
      </c>
      <c r="H12" s="6">
        <f t="shared" si="2"/>
        <v>45316.337</v>
      </c>
      <c r="I12" s="6">
        <f t="shared" si="2"/>
        <v>42251.728999999999</v>
      </c>
      <c r="J12" s="6">
        <f t="shared" si="2"/>
        <v>46489.409</v>
      </c>
      <c r="K12" s="60">
        <f>SUM(E12:J12)</f>
        <v>267380.69199999998</v>
      </c>
      <c r="L12" s="49">
        <f t="shared" ref="L12:Q12" si="3">SUM(L5:L11)</f>
        <v>9989.8129999999983</v>
      </c>
      <c r="M12" s="6">
        <f t="shared" si="3"/>
        <v>8340.6449999999986</v>
      </c>
      <c r="N12" s="6">
        <f t="shared" si="3"/>
        <v>7914.4639999999999</v>
      </c>
      <c r="O12" s="6">
        <f t="shared" si="3"/>
        <v>9137.8330000000005</v>
      </c>
      <c r="P12" s="6">
        <f t="shared" si="3"/>
        <v>8457.0760000000009</v>
      </c>
      <c r="Q12" s="6">
        <f t="shared" si="3"/>
        <v>9007.9130000000023</v>
      </c>
      <c r="R12" s="50">
        <f>SUM(L12:Q12)</f>
        <v>52847.743999999999</v>
      </c>
      <c r="S12" s="58">
        <f t="shared" si="1"/>
        <v>0.19429098605201883</v>
      </c>
      <c r="T12" s="9">
        <f t="shared" si="1"/>
        <v>0.20086053655285138</v>
      </c>
      <c r="U12" s="9">
        <f t="shared" si="1"/>
        <v>0.19599038668290464</v>
      </c>
      <c r="V12" s="9">
        <f t="shared" si="1"/>
        <v>0.20164544632104756</v>
      </c>
      <c r="W12" s="9">
        <f t="shared" si="1"/>
        <v>0.20015928815599479</v>
      </c>
      <c r="X12" s="9">
        <f t="shared" si="1"/>
        <v>0.19376269119704237</v>
      </c>
      <c r="Y12" s="65">
        <f t="shared" si="1"/>
        <v>0.19764981384669317</v>
      </c>
    </row>
    <row r="13" spans="3:25" x14ac:dyDescent="0.4">
      <c r="C13" s="12"/>
      <c r="E13" s="11"/>
      <c r="F13" s="11"/>
      <c r="G13" s="11"/>
      <c r="H13" s="11"/>
      <c r="I13" s="11"/>
      <c r="J13" s="11"/>
      <c r="K13" s="12"/>
      <c r="L13" s="11"/>
      <c r="M13" s="11"/>
      <c r="N13" s="11"/>
      <c r="O13" s="11"/>
      <c r="P13" s="11"/>
      <c r="Q13" s="11"/>
      <c r="R13" s="12"/>
      <c r="S13" s="13"/>
      <c r="T13" s="13"/>
      <c r="U13" s="13"/>
      <c r="V13" s="13"/>
      <c r="W13" s="13"/>
      <c r="X13" s="13"/>
      <c r="Y13" s="13"/>
    </row>
    <row r="14" spans="3:25" x14ac:dyDescent="0.4">
      <c r="C14" s="12" t="s">
        <v>20</v>
      </c>
    </row>
    <row r="15" spans="3:25" x14ac:dyDescent="0.4">
      <c r="C15" s="85"/>
      <c r="D15" s="84"/>
      <c r="E15" s="87" t="s">
        <v>2</v>
      </c>
      <c r="F15" s="83"/>
      <c r="G15" s="83"/>
      <c r="H15" s="83"/>
      <c r="I15" s="83"/>
      <c r="J15" s="83"/>
      <c r="K15" s="83"/>
      <c r="L15" s="86" t="s">
        <v>3</v>
      </c>
      <c r="M15" s="83"/>
      <c r="N15" s="83"/>
      <c r="O15" s="83"/>
      <c r="P15" s="83"/>
      <c r="Q15" s="83"/>
      <c r="R15" s="84"/>
      <c r="S15" s="82" t="s">
        <v>4</v>
      </c>
      <c r="T15" s="83"/>
      <c r="U15" s="83"/>
      <c r="V15" s="83"/>
      <c r="W15" s="83"/>
      <c r="X15" s="83"/>
      <c r="Y15" s="84"/>
    </row>
    <row r="16" spans="3:25" x14ac:dyDescent="0.4">
      <c r="C16" s="1"/>
      <c r="D16" s="14"/>
      <c r="E16" s="51">
        <v>45748</v>
      </c>
      <c r="F16" s="51">
        <v>45778</v>
      </c>
      <c r="G16" s="51">
        <v>45809</v>
      </c>
      <c r="H16" s="51">
        <v>45839</v>
      </c>
      <c r="I16" s="51">
        <v>45870</v>
      </c>
      <c r="J16" s="51">
        <v>45901</v>
      </c>
      <c r="K16" s="55" t="s">
        <v>5</v>
      </c>
      <c r="L16" s="54">
        <v>45748</v>
      </c>
      <c r="M16" s="51">
        <v>45778</v>
      </c>
      <c r="N16" s="51">
        <v>45809</v>
      </c>
      <c r="O16" s="51">
        <v>45839</v>
      </c>
      <c r="P16" s="51">
        <v>45870</v>
      </c>
      <c r="Q16" s="51">
        <v>45901</v>
      </c>
      <c r="R16" s="52" t="s">
        <v>5</v>
      </c>
      <c r="S16" s="48">
        <v>45748</v>
      </c>
      <c r="T16" s="51">
        <v>45778</v>
      </c>
      <c r="U16" s="51">
        <v>45809</v>
      </c>
      <c r="V16" s="51">
        <v>45839</v>
      </c>
      <c r="W16" s="51">
        <v>45870</v>
      </c>
      <c r="X16" s="51">
        <v>45901</v>
      </c>
      <c r="Y16" s="52" t="s">
        <v>5</v>
      </c>
    </row>
    <row r="17" spans="3:25" x14ac:dyDescent="0.4">
      <c r="C17" s="2" t="s">
        <v>6</v>
      </c>
      <c r="D17" s="15" t="s">
        <v>7</v>
      </c>
      <c r="E17" s="3">
        <v>12613.22</v>
      </c>
      <c r="F17" s="3">
        <v>8701.2239999999983</v>
      </c>
      <c r="G17" s="3">
        <v>8907.0970000000016</v>
      </c>
      <c r="H17" s="3">
        <v>11991.28</v>
      </c>
      <c r="I17" s="3">
        <v>8473.6230000000014</v>
      </c>
      <c r="J17" s="3">
        <v>10873.977999999999</v>
      </c>
      <c r="K17" s="59">
        <f t="shared" ref="K17:K24" si="4">SUM(E17:J17)</f>
        <v>61560.421999999991</v>
      </c>
      <c r="L17" s="2">
        <v>3055.373</v>
      </c>
      <c r="M17" s="3">
        <v>1995.807</v>
      </c>
      <c r="N17" s="3">
        <v>2147.1060000000002</v>
      </c>
      <c r="O17" s="3">
        <v>2808.03</v>
      </c>
      <c r="P17" s="3">
        <v>1948.3979999999999</v>
      </c>
      <c r="Q17" s="3">
        <v>2467.5859999999998</v>
      </c>
      <c r="R17" s="56">
        <f t="shared" ref="R17:R24" si="5">SUM(L17:Q17)</f>
        <v>14422.3</v>
      </c>
      <c r="S17" s="57">
        <f t="shared" ref="S17:Y24" si="6">IF(E17=0,"***",L17/E17)</f>
        <v>0.24223576533192953</v>
      </c>
      <c r="T17" s="7">
        <f t="shared" si="6"/>
        <v>0.22937083334482603</v>
      </c>
      <c r="U17" s="7">
        <f t="shared" si="6"/>
        <v>0.24105564360644099</v>
      </c>
      <c r="V17" s="7">
        <f t="shared" si="6"/>
        <v>0.23417266547024171</v>
      </c>
      <c r="W17" s="7">
        <f t="shared" si="6"/>
        <v>0.22993682867411019</v>
      </c>
      <c r="X17" s="7">
        <f t="shared" si="6"/>
        <v>0.22692578557727447</v>
      </c>
      <c r="Y17" s="64">
        <f t="shared" si="6"/>
        <v>0.23427877086352658</v>
      </c>
    </row>
    <row r="18" spans="3:25" x14ac:dyDescent="0.4">
      <c r="C18" s="2" t="s">
        <v>8</v>
      </c>
      <c r="D18" s="15" t="s">
        <v>9</v>
      </c>
      <c r="E18" s="3">
        <v>14217.865</v>
      </c>
      <c r="F18" s="3">
        <v>12444.771000000001</v>
      </c>
      <c r="G18" s="3">
        <v>11689.779</v>
      </c>
      <c r="H18" s="3">
        <v>14073.075999999999</v>
      </c>
      <c r="I18" s="3">
        <v>11761.85</v>
      </c>
      <c r="J18" s="3">
        <v>12710.688</v>
      </c>
      <c r="K18" s="59">
        <f t="shared" si="4"/>
        <v>76898.028999999995</v>
      </c>
      <c r="L18" s="2">
        <v>2955.326</v>
      </c>
      <c r="M18" s="3">
        <v>2676.6570000000002</v>
      </c>
      <c r="N18" s="3">
        <v>2394.0030000000002</v>
      </c>
      <c r="O18" s="3">
        <v>2966.271999999999</v>
      </c>
      <c r="P18" s="3">
        <v>2500.065000000001</v>
      </c>
      <c r="Q18" s="3">
        <v>2549.7199999999998</v>
      </c>
      <c r="R18" s="56">
        <f t="shared" si="5"/>
        <v>16042.043</v>
      </c>
      <c r="S18" s="57">
        <f t="shared" si="6"/>
        <v>0.20786004087111531</v>
      </c>
      <c r="T18" s="7">
        <f t="shared" si="6"/>
        <v>0.21508286492374989</v>
      </c>
      <c r="U18" s="7">
        <f t="shared" si="6"/>
        <v>0.20479454744182932</v>
      </c>
      <c r="V18" s="7">
        <f t="shared" si="6"/>
        <v>0.21077637895226312</v>
      </c>
      <c r="W18" s="7">
        <f t="shared" si="6"/>
        <v>0.21255712324166698</v>
      </c>
      <c r="X18" s="7">
        <f t="shared" si="6"/>
        <v>0.20059653733928484</v>
      </c>
      <c r="Y18" s="64">
        <f t="shared" si="6"/>
        <v>0.20861448867564603</v>
      </c>
    </row>
    <row r="19" spans="3:25" x14ac:dyDescent="0.4">
      <c r="C19" s="2" t="s">
        <v>10</v>
      </c>
      <c r="D19" s="15" t="s">
        <v>11</v>
      </c>
      <c r="E19" s="3">
        <v>9524.1920000000009</v>
      </c>
      <c r="F19" s="3">
        <v>7397.3889999999992</v>
      </c>
      <c r="G19" s="3">
        <v>6553.1149999999989</v>
      </c>
      <c r="H19" s="3">
        <v>7484.947000000001</v>
      </c>
      <c r="I19" s="3">
        <v>7106.0659999999998</v>
      </c>
      <c r="J19" s="3">
        <v>9966.9249999999993</v>
      </c>
      <c r="K19" s="59">
        <f t="shared" si="4"/>
        <v>48032.633999999991</v>
      </c>
      <c r="L19" s="2">
        <v>1605.049</v>
      </c>
      <c r="M19" s="3">
        <v>1501.787</v>
      </c>
      <c r="N19" s="3">
        <v>1231.2149999999999</v>
      </c>
      <c r="O19" s="3">
        <v>1371.1669999999999</v>
      </c>
      <c r="P19" s="3">
        <v>1453.3810000000001</v>
      </c>
      <c r="Q19" s="3">
        <v>1870.951</v>
      </c>
      <c r="R19" s="56">
        <f t="shared" si="5"/>
        <v>9033.5500000000011</v>
      </c>
      <c r="S19" s="57">
        <f t="shared" si="6"/>
        <v>0.1685233771011756</v>
      </c>
      <c r="T19" s="7">
        <f t="shared" si="6"/>
        <v>0.20301582085246567</v>
      </c>
      <c r="U19" s="7">
        <f t="shared" si="6"/>
        <v>0.18788240401702094</v>
      </c>
      <c r="V19" s="7">
        <f t="shared" si="6"/>
        <v>0.18318994109109921</v>
      </c>
      <c r="W19" s="7">
        <f t="shared" si="6"/>
        <v>0.20452680850417096</v>
      </c>
      <c r="X19" s="7">
        <f t="shared" si="6"/>
        <v>0.18771597057266912</v>
      </c>
      <c r="Y19" s="64">
        <f t="shared" si="6"/>
        <v>0.18807109349864101</v>
      </c>
    </row>
    <row r="20" spans="3:25" x14ac:dyDescent="0.4">
      <c r="C20" s="2" t="s">
        <v>12</v>
      </c>
      <c r="D20" s="15" t="s">
        <v>13</v>
      </c>
      <c r="E20" s="3">
        <v>14053.099</v>
      </c>
      <c r="F20" s="3">
        <v>12472.69</v>
      </c>
      <c r="G20" s="3">
        <v>11107.365</v>
      </c>
      <c r="H20" s="3">
        <v>12987.361000000001</v>
      </c>
      <c r="I20" s="3">
        <v>11939.249</v>
      </c>
      <c r="J20" s="3">
        <v>11811.983</v>
      </c>
      <c r="K20" s="59">
        <f t="shared" si="4"/>
        <v>74371.747000000003</v>
      </c>
      <c r="L20" s="2">
        <v>2683.7040000000002</v>
      </c>
      <c r="M20" s="3">
        <v>2345.1390000000001</v>
      </c>
      <c r="N20" s="3">
        <v>2120.8989999999999</v>
      </c>
      <c r="O20" s="3">
        <v>2561.0050000000001</v>
      </c>
      <c r="P20" s="3">
        <v>2364.6959999999999</v>
      </c>
      <c r="Q20" s="3">
        <v>2326.4079999999999</v>
      </c>
      <c r="R20" s="56">
        <f t="shared" si="5"/>
        <v>14401.850999999999</v>
      </c>
      <c r="S20" s="57">
        <f t="shared" si="6"/>
        <v>0.19096883897281305</v>
      </c>
      <c r="T20" s="7">
        <f t="shared" si="6"/>
        <v>0.18802191026955692</v>
      </c>
      <c r="U20" s="7">
        <f t="shared" si="6"/>
        <v>0.19094528720358067</v>
      </c>
      <c r="V20" s="7">
        <f t="shared" si="6"/>
        <v>0.19719210084327371</v>
      </c>
      <c r="W20" s="7">
        <f t="shared" si="6"/>
        <v>0.19806069879269625</v>
      </c>
      <c r="X20" s="7">
        <f t="shared" si="6"/>
        <v>0.19695321268240903</v>
      </c>
      <c r="Y20" s="64">
        <f t="shared" si="6"/>
        <v>0.19364680246115501</v>
      </c>
    </row>
    <row r="21" spans="3:25" x14ac:dyDescent="0.4">
      <c r="C21" s="2" t="s">
        <v>14</v>
      </c>
      <c r="D21" s="15" t="s">
        <v>15</v>
      </c>
      <c r="E21" s="3">
        <v>0</v>
      </c>
      <c r="F21" s="3">
        <v>0</v>
      </c>
      <c r="G21" s="3">
        <v>0</v>
      </c>
      <c r="H21" s="3">
        <v>0</v>
      </c>
      <c r="I21" s="3">
        <v>0</v>
      </c>
      <c r="J21" s="3">
        <v>0</v>
      </c>
      <c r="K21" s="59">
        <f t="shared" si="4"/>
        <v>0</v>
      </c>
      <c r="L21" s="2">
        <v>0</v>
      </c>
      <c r="M21" s="3">
        <v>0</v>
      </c>
      <c r="N21" s="3">
        <v>0</v>
      </c>
      <c r="O21" s="3">
        <v>0</v>
      </c>
      <c r="P21" s="3">
        <v>0</v>
      </c>
      <c r="Q21" s="3">
        <v>0</v>
      </c>
      <c r="R21" s="56">
        <f t="shared" si="5"/>
        <v>0</v>
      </c>
      <c r="S21" s="57" t="str">
        <f t="shared" si="6"/>
        <v>***</v>
      </c>
      <c r="T21" s="7" t="str">
        <f t="shared" si="6"/>
        <v>***</v>
      </c>
      <c r="U21" s="7" t="str">
        <f t="shared" si="6"/>
        <v>***</v>
      </c>
      <c r="V21" s="7" t="str">
        <f t="shared" si="6"/>
        <v>***</v>
      </c>
      <c r="W21" s="7" t="str">
        <f t="shared" si="6"/>
        <v>***</v>
      </c>
      <c r="X21" s="7" t="str">
        <f t="shared" si="6"/>
        <v>***</v>
      </c>
      <c r="Y21" s="64" t="str">
        <f t="shared" si="6"/>
        <v>***</v>
      </c>
    </row>
    <row r="22" spans="3:25" x14ac:dyDescent="0.4">
      <c r="C22" s="70" t="s">
        <v>16</v>
      </c>
      <c r="D22" s="15" t="s">
        <v>17</v>
      </c>
      <c r="E22" s="3">
        <v>0</v>
      </c>
      <c r="F22" s="3">
        <v>0</v>
      </c>
      <c r="G22" s="3">
        <v>0</v>
      </c>
      <c r="H22" s="3">
        <v>107.5</v>
      </c>
      <c r="I22" s="3">
        <v>0</v>
      </c>
      <c r="J22" s="3">
        <v>0</v>
      </c>
      <c r="K22" s="59">
        <f t="shared" si="4"/>
        <v>107.5</v>
      </c>
      <c r="L22" s="2">
        <v>0</v>
      </c>
      <c r="M22" s="3">
        <v>0</v>
      </c>
      <c r="N22" s="3">
        <v>0</v>
      </c>
      <c r="O22" s="3">
        <v>3.6</v>
      </c>
      <c r="P22" s="3">
        <v>0</v>
      </c>
      <c r="Q22" s="3">
        <v>0</v>
      </c>
      <c r="R22" s="56">
        <f t="shared" si="5"/>
        <v>3.6</v>
      </c>
      <c r="S22" s="57" t="str">
        <f t="shared" si="6"/>
        <v>***</v>
      </c>
      <c r="T22" s="7" t="str">
        <f t="shared" si="6"/>
        <v>***</v>
      </c>
      <c r="U22" s="7" t="str">
        <f t="shared" si="6"/>
        <v>***</v>
      </c>
      <c r="V22" s="7">
        <f t="shared" si="6"/>
        <v>3.3488372093023258E-2</v>
      </c>
      <c r="W22" s="7" t="str">
        <f t="shared" si="6"/>
        <v>***</v>
      </c>
      <c r="X22" s="7" t="str">
        <f t="shared" si="6"/>
        <v>***</v>
      </c>
      <c r="Y22" s="64">
        <f t="shared" si="6"/>
        <v>3.3488372093023258E-2</v>
      </c>
    </row>
    <row r="23" spans="3:25" x14ac:dyDescent="0.4">
      <c r="C23" s="2" t="s">
        <v>18</v>
      </c>
      <c r="D23" s="15" t="s">
        <v>19</v>
      </c>
      <c r="E23" s="3">
        <v>0</v>
      </c>
      <c r="F23" s="3">
        <v>0</v>
      </c>
      <c r="G23" s="3">
        <v>125</v>
      </c>
      <c r="H23" s="3">
        <v>0</v>
      </c>
      <c r="I23" s="3">
        <v>4.8</v>
      </c>
      <c r="J23" s="3">
        <v>0</v>
      </c>
      <c r="K23" s="59">
        <f t="shared" si="4"/>
        <v>129.80000000000001</v>
      </c>
      <c r="L23" s="2">
        <v>0</v>
      </c>
      <c r="M23" s="3">
        <v>0</v>
      </c>
      <c r="N23" s="3">
        <v>20.2</v>
      </c>
      <c r="O23" s="3">
        <v>0</v>
      </c>
      <c r="P23" s="3">
        <v>1.38</v>
      </c>
      <c r="Q23" s="3">
        <v>0</v>
      </c>
      <c r="R23" s="56">
        <f t="shared" si="5"/>
        <v>21.58</v>
      </c>
      <c r="S23" s="57" t="str">
        <f t="shared" si="6"/>
        <v>***</v>
      </c>
      <c r="T23" s="7" t="str">
        <f t="shared" si="6"/>
        <v>***</v>
      </c>
      <c r="U23" s="7">
        <f t="shared" si="6"/>
        <v>0.16159999999999999</v>
      </c>
      <c r="V23" s="7" t="str">
        <f t="shared" si="6"/>
        <v>***</v>
      </c>
      <c r="W23" s="7">
        <f t="shared" si="6"/>
        <v>0.28749999999999998</v>
      </c>
      <c r="X23" s="7" t="str">
        <f t="shared" si="6"/>
        <v>***</v>
      </c>
      <c r="Y23" s="64">
        <f t="shared" si="6"/>
        <v>0.16625577812018488</v>
      </c>
    </row>
    <row r="24" spans="3:25" x14ac:dyDescent="0.4">
      <c r="C24" s="4" t="s">
        <v>5</v>
      </c>
      <c r="D24" s="16"/>
      <c r="E24" s="6">
        <f t="shared" ref="E24:J24" si="7">SUM(E17:E23)</f>
        <v>50408.376000000004</v>
      </c>
      <c r="F24" s="6">
        <f t="shared" si="7"/>
        <v>41016.074000000001</v>
      </c>
      <c r="G24" s="6">
        <f t="shared" si="7"/>
        <v>38382.356</v>
      </c>
      <c r="H24" s="6">
        <f t="shared" si="7"/>
        <v>46644.164000000004</v>
      </c>
      <c r="I24" s="6">
        <f t="shared" si="7"/>
        <v>39285.588000000003</v>
      </c>
      <c r="J24" s="6">
        <f t="shared" si="7"/>
        <v>45363.574000000001</v>
      </c>
      <c r="K24" s="60">
        <f t="shared" si="4"/>
        <v>261100.13200000001</v>
      </c>
      <c r="L24" s="49">
        <f t="shared" ref="L24:Q24" si="8">SUM(L17:L23)</f>
        <v>10299.452000000001</v>
      </c>
      <c r="M24" s="6">
        <f t="shared" si="8"/>
        <v>8519.39</v>
      </c>
      <c r="N24" s="6">
        <f t="shared" si="8"/>
        <v>7913.4229999999998</v>
      </c>
      <c r="O24" s="6">
        <f t="shared" si="8"/>
        <v>9710.0739999999987</v>
      </c>
      <c r="P24" s="6">
        <f t="shared" si="8"/>
        <v>8267.92</v>
      </c>
      <c r="Q24" s="6">
        <f t="shared" si="8"/>
        <v>9214.6649999999991</v>
      </c>
      <c r="R24" s="50">
        <f t="shared" si="5"/>
        <v>53924.923999999999</v>
      </c>
      <c r="S24" s="58">
        <f t="shared" si="6"/>
        <v>0.20432025026951869</v>
      </c>
      <c r="T24" s="9">
        <f t="shared" si="6"/>
        <v>0.2077085681091759</v>
      </c>
      <c r="U24" s="9">
        <f t="shared" si="6"/>
        <v>0.20617345636625328</v>
      </c>
      <c r="V24" s="9">
        <f t="shared" si="6"/>
        <v>0.20817339549702291</v>
      </c>
      <c r="W24" s="9">
        <f t="shared" si="6"/>
        <v>0.21045682197756591</v>
      </c>
      <c r="X24" s="9">
        <f t="shared" si="6"/>
        <v>0.20312916702727168</v>
      </c>
      <c r="Y24" s="65">
        <f t="shared" si="6"/>
        <v>0.20652966962115513</v>
      </c>
    </row>
    <row r="25" spans="3:25" x14ac:dyDescent="0.4">
      <c r="C25" s="12"/>
      <c r="E25" s="11"/>
      <c r="F25" s="11"/>
      <c r="G25" s="11"/>
      <c r="H25" s="11"/>
      <c r="I25" s="11"/>
      <c r="J25" s="11"/>
      <c r="K25" s="12"/>
      <c r="L25" s="11"/>
      <c r="M25" s="11"/>
      <c r="N25" s="11"/>
      <c r="O25" s="11"/>
      <c r="P25" s="11"/>
      <c r="Q25" s="11"/>
      <c r="R25" s="12"/>
      <c r="S25" s="13"/>
      <c r="T25" s="13"/>
      <c r="U25" s="13"/>
      <c r="V25" s="13"/>
      <c r="W25" s="13"/>
      <c r="X25" s="13"/>
      <c r="Y25" s="13"/>
    </row>
    <row r="26" spans="3:25" x14ac:dyDescent="0.4">
      <c r="C26" s="12" t="s">
        <v>21</v>
      </c>
    </row>
    <row r="27" spans="3:25" x14ac:dyDescent="0.4">
      <c r="C27" s="85"/>
      <c r="D27" s="84"/>
      <c r="E27" s="87" t="s">
        <v>2</v>
      </c>
      <c r="F27" s="83"/>
      <c r="G27" s="83"/>
      <c r="H27" s="83"/>
      <c r="I27" s="83"/>
      <c r="J27" s="83"/>
      <c r="K27" s="83"/>
      <c r="L27" s="86" t="s">
        <v>3</v>
      </c>
      <c r="M27" s="83"/>
      <c r="N27" s="83"/>
      <c r="O27" s="83"/>
      <c r="P27" s="83"/>
      <c r="Q27" s="83"/>
      <c r="R27" s="84"/>
      <c r="S27" s="82" t="s">
        <v>4</v>
      </c>
      <c r="T27" s="83"/>
      <c r="U27" s="83"/>
      <c r="V27" s="83"/>
      <c r="W27" s="83"/>
      <c r="X27" s="83"/>
      <c r="Y27" s="84"/>
    </row>
    <row r="28" spans="3:25" x14ac:dyDescent="0.4">
      <c r="C28" s="1"/>
      <c r="D28" s="14"/>
      <c r="E28" s="51">
        <v>45748</v>
      </c>
      <c r="F28" s="51">
        <v>45778</v>
      </c>
      <c r="G28" s="51">
        <v>45809</v>
      </c>
      <c r="H28" s="51">
        <v>45839</v>
      </c>
      <c r="I28" s="51">
        <v>45870</v>
      </c>
      <c r="J28" s="51">
        <v>45901</v>
      </c>
      <c r="K28" s="55" t="s">
        <v>5</v>
      </c>
      <c r="L28" s="54">
        <v>45748</v>
      </c>
      <c r="M28" s="51">
        <v>45778</v>
      </c>
      <c r="N28" s="51">
        <v>45809</v>
      </c>
      <c r="O28" s="51">
        <v>45839</v>
      </c>
      <c r="P28" s="51">
        <v>45870</v>
      </c>
      <c r="Q28" s="51">
        <v>45901</v>
      </c>
      <c r="R28" s="52" t="s">
        <v>5</v>
      </c>
      <c r="S28" s="48">
        <v>45748</v>
      </c>
      <c r="T28" s="51">
        <v>45778</v>
      </c>
      <c r="U28" s="51">
        <v>45809</v>
      </c>
      <c r="V28" s="51">
        <v>45839</v>
      </c>
      <c r="W28" s="51">
        <v>45870</v>
      </c>
      <c r="X28" s="51">
        <v>45901</v>
      </c>
      <c r="Y28" s="52" t="s">
        <v>5</v>
      </c>
    </row>
    <row r="29" spans="3:25" x14ac:dyDescent="0.4">
      <c r="C29" s="2" t="s">
        <v>6</v>
      </c>
      <c r="D29" s="15" t="s">
        <v>7</v>
      </c>
      <c r="E29" s="3">
        <f t="shared" ref="E29:J35" si="9">(E17+E5)/2</f>
        <v>12183.1955</v>
      </c>
      <c r="F29" s="3">
        <f t="shared" si="9"/>
        <v>9632.5514999999996</v>
      </c>
      <c r="G29" s="3">
        <f t="shared" si="9"/>
        <v>9065.0835000000006</v>
      </c>
      <c r="H29" s="3">
        <f t="shared" si="9"/>
        <v>11293.567500000001</v>
      </c>
      <c r="I29" s="3">
        <f t="shared" si="9"/>
        <v>9625.0040000000008</v>
      </c>
      <c r="J29" s="3">
        <f t="shared" si="9"/>
        <v>9756.3169999999991</v>
      </c>
      <c r="K29" s="59">
        <f t="shared" ref="K29:K36" si="10">SUM(E29:J29)</f>
        <v>61555.718999999997</v>
      </c>
      <c r="L29" s="2">
        <f t="shared" ref="L29:Q35" si="11">(L17+L5)/2</f>
        <v>2840.0569999999998</v>
      </c>
      <c r="M29" s="3">
        <f t="shared" si="11"/>
        <v>2180.3139999999994</v>
      </c>
      <c r="N29" s="3">
        <f t="shared" si="11"/>
        <v>2080.857</v>
      </c>
      <c r="O29" s="3">
        <f t="shared" si="11"/>
        <v>2567.2295000000004</v>
      </c>
      <c r="P29" s="3">
        <f t="shared" si="11"/>
        <v>2167.7174999999997</v>
      </c>
      <c r="Q29" s="3">
        <f t="shared" si="11"/>
        <v>2269.9920000000002</v>
      </c>
      <c r="R29" s="56">
        <f t="shared" ref="R29:R36" si="12">SUM(L29:Q29)</f>
        <v>14106.166999999999</v>
      </c>
      <c r="S29" s="57">
        <f t="shared" ref="S29:Y36" si="13">IF(E29=0,"***",L29/E29)</f>
        <v>0.23311265094613312</v>
      </c>
      <c r="T29" s="7">
        <f t="shared" si="13"/>
        <v>0.22634854327018128</v>
      </c>
      <c r="U29" s="7">
        <f t="shared" si="13"/>
        <v>0.22954636876759049</v>
      </c>
      <c r="V29" s="7">
        <f t="shared" si="13"/>
        <v>0.22731785151149095</v>
      </c>
      <c r="W29" s="7">
        <f t="shared" si="13"/>
        <v>0.2252173090005988</v>
      </c>
      <c r="X29" s="7">
        <f t="shared" si="13"/>
        <v>0.23266894669371654</v>
      </c>
      <c r="Y29" s="64">
        <f t="shared" si="13"/>
        <v>0.22916094928563827</v>
      </c>
    </row>
    <row r="30" spans="3:25" x14ac:dyDescent="0.4">
      <c r="C30" s="2" t="s">
        <v>8</v>
      </c>
      <c r="D30" s="15" t="s">
        <v>9</v>
      </c>
      <c r="E30" s="3">
        <f t="shared" si="9"/>
        <v>13773.052</v>
      </c>
      <c r="F30" s="3">
        <f t="shared" si="9"/>
        <v>11436.851000000001</v>
      </c>
      <c r="G30" s="3">
        <f t="shared" si="9"/>
        <v>11840.4935</v>
      </c>
      <c r="H30" s="3">
        <f t="shared" si="9"/>
        <v>13958.130999999999</v>
      </c>
      <c r="I30" s="3">
        <f t="shared" si="9"/>
        <v>11572.426500000001</v>
      </c>
      <c r="J30" s="3">
        <f t="shared" si="9"/>
        <v>13367.427</v>
      </c>
      <c r="K30" s="59">
        <f t="shared" si="10"/>
        <v>75948.381000000008</v>
      </c>
      <c r="L30" s="2">
        <f t="shared" si="11"/>
        <v>2894.1244999999999</v>
      </c>
      <c r="M30" s="3">
        <f t="shared" si="11"/>
        <v>2416.0865000000003</v>
      </c>
      <c r="N30" s="3">
        <f t="shared" si="11"/>
        <v>2426.8204999999998</v>
      </c>
      <c r="O30" s="3">
        <f t="shared" si="11"/>
        <v>2960.2849999999994</v>
      </c>
      <c r="P30" s="3">
        <f t="shared" si="11"/>
        <v>2398.3170000000005</v>
      </c>
      <c r="Q30" s="3">
        <f t="shared" si="11"/>
        <v>2729.2880000000005</v>
      </c>
      <c r="R30" s="56">
        <f t="shared" si="12"/>
        <v>15824.9215</v>
      </c>
      <c r="S30" s="57">
        <f t="shared" si="13"/>
        <v>0.21012949780484383</v>
      </c>
      <c r="T30" s="7">
        <f t="shared" si="13"/>
        <v>0.21125452277029755</v>
      </c>
      <c r="U30" s="7">
        <f t="shared" si="13"/>
        <v>0.2049594047748094</v>
      </c>
      <c r="V30" s="7">
        <f t="shared" si="13"/>
        <v>0.21208319365966685</v>
      </c>
      <c r="W30" s="7">
        <f t="shared" si="13"/>
        <v>0.20724409007912042</v>
      </c>
      <c r="X30" s="7">
        <f t="shared" si="13"/>
        <v>0.20417452064634431</v>
      </c>
      <c r="Y30" s="64">
        <f t="shared" si="13"/>
        <v>0.20836417171289009</v>
      </c>
    </row>
    <row r="31" spans="3:25" x14ac:dyDescent="0.4">
      <c r="C31" s="2" t="s">
        <v>10</v>
      </c>
      <c r="D31" s="15" t="s">
        <v>11</v>
      </c>
      <c r="E31" s="3">
        <f t="shared" si="9"/>
        <v>9639.6549999999988</v>
      </c>
      <c r="F31" s="3">
        <f t="shared" si="9"/>
        <v>8159.7044999999998</v>
      </c>
      <c r="G31" s="3">
        <f t="shared" si="9"/>
        <v>7032.5689999999995</v>
      </c>
      <c r="H31" s="3">
        <f t="shared" si="9"/>
        <v>7776.6085000000003</v>
      </c>
      <c r="I31" s="3">
        <f t="shared" si="9"/>
        <v>7972.7290000000012</v>
      </c>
      <c r="J31" s="3">
        <f t="shared" si="9"/>
        <v>9959.027</v>
      </c>
      <c r="K31" s="59">
        <f t="shared" si="10"/>
        <v>50540.292999999998</v>
      </c>
      <c r="L31" s="2">
        <f t="shared" si="11"/>
        <v>1712.9124999999999</v>
      </c>
      <c r="M31" s="3">
        <f t="shared" si="11"/>
        <v>1543.1869999999999</v>
      </c>
      <c r="N31" s="3">
        <f t="shared" si="11"/>
        <v>1245.817</v>
      </c>
      <c r="O31" s="3">
        <f t="shared" si="11"/>
        <v>1398.2824999999998</v>
      </c>
      <c r="P31" s="3">
        <f t="shared" si="11"/>
        <v>1511.4195</v>
      </c>
      <c r="Q31" s="3">
        <f t="shared" si="11"/>
        <v>1746.0374999999999</v>
      </c>
      <c r="R31" s="56">
        <f t="shared" si="12"/>
        <v>9157.655999999999</v>
      </c>
      <c r="S31" s="57">
        <f t="shared" si="13"/>
        <v>0.17769437806643495</v>
      </c>
      <c r="T31" s="7">
        <f t="shared" si="13"/>
        <v>0.18912290267374265</v>
      </c>
      <c r="U31" s="7">
        <f t="shared" si="13"/>
        <v>0.17714963052619889</v>
      </c>
      <c r="V31" s="7">
        <f t="shared" si="13"/>
        <v>0.17980620986642182</v>
      </c>
      <c r="W31" s="7">
        <f t="shared" si="13"/>
        <v>0.18957367044584103</v>
      </c>
      <c r="X31" s="7">
        <f t="shared" si="13"/>
        <v>0.17532209722897626</v>
      </c>
      <c r="Y31" s="64">
        <f t="shared" si="13"/>
        <v>0.18119515057025884</v>
      </c>
    </row>
    <row r="32" spans="3:25" x14ac:dyDescent="0.4">
      <c r="C32" s="2" t="s">
        <v>12</v>
      </c>
      <c r="D32" s="15" t="s">
        <v>13</v>
      </c>
      <c r="E32" s="3">
        <f t="shared" si="9"/>
        <v>13656.8565</v>
      </c>
      <c r="F32" s="3">
        <f t="shared" si="9"/>
        <v>12040.309000000001</v>
      </c>
      <c r="G32" s="3">
        <f t="shared" si="9"/>
        <v>11381.4815</v>
      </c>
      <c r="H32" s="3">
        <f t="shared" si="9"/>
        <v>12898.193500000001</v>
      </c>
      <c r="I32" s="3">
        <f t="shared" si="9"/>
        <v>11596.099</v>
      </c>
      <c r="J32" s="3">
        <f t="shared" si="9"/>
        <v>11724.483</v>
      </c>
      <c r="K32" s="59">
        <f t="shared" si="10"/>
        <v>73297.422500000015</v>
      </c>
      <c r="L32" s="2">
        <f t="shared" si="11"/>
        <v>2600.6570000000002</v>
      </c>
      <c r="M32" s="3">
        <f t="shared" si="11"/>
        <v>2290.1675</v>
      </c>
      <c r="N32" s="3">
        <f t="shared" si="11"/>
        <v>2150.3490000000002</v>
      </c>
      <c r="O32" s="3">
        <f t="shared" si="11"/>
        <v>2496.3564999999999</v>
      </c>
      <c r="P32" s="3">
        <f t="shared" si="11"/>
        <v>2284.3540000000003</v>
      </c>
      <c r="Q32" s="3">
        <f t="shared" si="11"/>
        <v>2297.5815000000002</v>
      </c>
      <c r="R32" s="56">
        <f t="shared" si="12"/>
        <v>14119.465500000002</v>
      </c>
      <c r="S32" s="57">
        <f t="shared" si="13"/>
        <v>0.19042866855926913</v>
      </c>
      <c r="T32" s="7">
        <f t="shared" si="13"/>
        <v>0.19020836591486148</v>
      </c>
      <c r="U32" s="7">
        <f t="shared" si="13"/>
        <v>0.1889340153125057</v>
      </c>
      <c r="V32" s="7">
        <f t="shared" si="13"/>
        <v>0.19354311128918941</v>
      </c>
      <c r="W32" s="7">
        <f t="shared" si="13"/>
        <v>0.19699331645926793</v>
      </c>
      <c r="X32" s="7">
        <f t="shared" si="13"/>
        <v>0.1959644190707599</v>
      </c>
      <c r="Y32" s="64">
        <f t="shared" si="13"/>
        <v>0.19263249672933586</v>
      </c>
    </row>
    <row r="33" spans="3:25" x14ac:dyDescent="0.4">
      <c r="C33" s="2" t="s">
        <v>14</v>
      </c>
      <c r="D33" s="15" t="s">
        <v>15</v>
      </c>
      <c r="E33" s="3">
        <f t="shared" si="9"/>
        <v>1622.2090000000001</v>
      </c>
      <c r="F33" s="3">
        <f t="shared" si="9"/>
        <v>0</v>
      </c>
      <c r="G33" s="3">
        <f t="shared" si="9"/>
        <v>0</v>
      </c>
      <c r="H33" s="3">
        <f t="shared" si="9"/>
        <v>0</v>
      </c>
      <c r="I33" s="3">
        <f t="shared" si="9"/>
        <v>0</v>
      </c>
      <c r="J33" s="3">
        <f t="shared" si="9"/>
        <v>1119.2375</v>
      </c>
      <c r="K33" s="59">
        <f t="shared" si="10"/>
        <v>2741.4465</v>
      </c>
      <c r="L33" s="2">
        <f t="shared" si="11"/>
        <v>88.521500000000003</v>
      </c>
      <c r="M33" s="3">
        <f t="shared" si="11"/>
        <v>0</v>
      </c>
      <c r="N33" s="3">
        <f t="shared" si="11"/>
        <v>0</v>
      </c>
      <c r="O33" s="3">
        <f t="shared" si="11"/>
        <v>0</v>
      </c>
      <c r="P33" s="3">
        <f t="shared" si="11"/>
        <v>0</v>
      </c>
      <c r="Q33" s="3">
        <f t="shared" si="11"/>
        <v>68.39</v>
      </c>
      <c r="R33" s="56">
        <f t="shared" si="12"/>
        <v>156.91149999999999</v>
      </c>
      <c r="S33" s="57">
        <f t="shared" si="13"/>
        <v>5.4568492715796793E-2</v>
      </c>
      <c r="T33" s="7" t="str">
        <f t="shared" si="13"/>
        <v>***</v>
      </c>
      <c r="U33" s="7" t="str">
        <f t="shared" si="13"/>
        <v>***</v>
      </c>
      <c r="V33" s="7" t="str">
        <f t="shared" si="13"/>
        <v>***</v>
      </c>
      <c r="W33" s="7" t="str">
        <f t="shared" si="13"/>
        <v>***</v>
      </c>
      <c r="X33" s="7">
        <f t="shared" si="13"/>
        <v>6.1104099889433661E-2</v>
      </c>
      <c r="Y33" s="64">
        <f t="shared" si="13"/>
        <v>5.7236754392252405E-2</v>
      </c>
    </row>
    <row r="34" spans="3:25" x14ac:dyDescent="0.4">
      <c r="C34" s="70" t="s">
        <v>16</v>
      </c>
      <c r="D34" s="15" t="s">
        <v>17</v>
      </c>
      <c r="E34" s="3">
        <f t="shared" si="9"/>
        <v>0</v>
      </c>
      <c r="F34" s="3">
        <f t="shared" si="9"/>
        <v>0</v>
      </c>
      <c r="G34" s="3">
        <f t="shared" si="9"/>
        <v>0</v>
      </c>
      <c r="H34" s="3">
        <f t="shared" si="9"/>
        <v>53.75</v>
      </c>
      <c r="I34" s="3">
        <f t="shared" si="9"/>
        <v>0</v>
      </c>
      <c r="J34" s="3">
        <f t="shared" si="9"/>
        <v>0</v>
      </c>
      <c r="K34" s="59">
        <f t="shared" si="10"/>
        <v>53.75</v>
      </c>
      <c r="L34" s="2">
        <f t="shared" si="11"/>
        <v>0</v>
      </c>
      <c r="M34" s="3">
        <f t="shared" si="11"/>
        <v>0</v>
      </c>
      <c r="N34" s="3">
        <f t="shared" si="11"/>
        <v>0</v>
      </c>
      <c r="O34" s="3">
        <f t="shared" si="11"/>
        <v>1.8</v>
      </c>
      <c r="P34" s="3">
        <f t="shared" si="11"/>
        <v>0</v>
      </c>
      <c r="Q34" s="3">
        <f t="shared" si="11"/>
        <v>0</v>
      </c>
      <c r="R34" s="56">
        <f t="shared" si="12"/>
        <v>1.8</v>
      </c>
      <c r="S34" s="57" t="str">
        <f t="shared" si="13"/>
        <v>***</v>
      </c>
      <c r="T34" s="7" t="str">
        <f t="shared" si="13"/>
        <v>***</v>
      </c>
      <c r="U34" s="7" t="str">
        <f t="shared" si="13"/>
        <v>***</v>
      </c>
      <c r="V34" s="7">
        <f t="shared" si="13"/>
        <v>3.3488372093023258E-2</v>
      </c>
      <c r="W34" s="7" t="str">
        <f t="shared" si="13"/>
        <v>***</v>
      </c>
      <c r="X34" s="7" t="str">
        <f t="shared" si="13"/>
        <v>***</v>
      </c>
      <c r="Y34" s="64">
        <f t="shared" si="13"/>
        <v>3.3488372093023258E-2</v>
      </c>
    </row>
    <row r="35" spans="3:25" x14ac:dyDescent="0.4">
      <c r="C35" s="2" t="s">
        <v>18</v>
      </c>
      <c r="D35" s="15" t="s">
        <v>19</v>
      </c>
      <c r="E35" s="3">
        <f t="shared" si="9"/>
        <v>37.6</v>
      </c>
      <c r="F35" s="3">
        <f t="shared" si="9"/>
        <v>0.9</v>
      </c>
      <c r="G35" s="3">
        <f t="shared" si="9"/>
        <v>62.5</v>
      </c>
      <c r="H35" s="3">
        <f t="shared" si="9"/>
        <v>0</v>
      </c>
      <c r="I35" s="3">
        <f t="shared" si="9"/>
        <v>2.4</v>
      </c>
      <c r="J35" s="3">
        <f t="shared" si="9"/>
        <v>0</v>
      </c>
      <c r="K35" s="59">
        <f t="shared" si="10"/>
        <v>103.4</v>
      </c>
      <c r="L35" s="2">
        <f t="shared" si="11"/>
        <v>8.36</v>
      </c>
      <c r="M35" s="3">
        <f t="shared" si="11"/>
        <v>0.26250000000000001</v>
      </c>
      <c r="N35" s="3">
        <f t="shared" si="11"/>
        <v>10.1</v>
      </c>
      <c r="O35" s="3">
        <f t="shared" si="11"/>
        <v>0</v>
      </c>
      <c r="P35" s="3">
        <f t="shared" si="11"/>
        <v>0.69</v>
      </c>
      <c r="Q35" s="3">
        <f t="shared" si="11"/>
        <v>0</v>
      </c>
      <c r="R35" s="56">
        <f t="shared" si="12"/>
        <v>19.412499999999998</v>
      </c>
      <c r="S35" s="57">
        <f t="shared" si="13"/>
        <v>0.22234042553191488</v>
      </c>
      <c r="T35" s="7">
        <f t="shared" si="13"/>
        <v>0.29166666666666669</v>
      </c>
      <c r="U35" s="7">
        <f t="shared" si="13"/>
        <v>0.16159999999999999</v>
      </c>
      <c r="V35" s="7" t="str">
        <f t="shared" si="13"/>
        <v>***</v>
      </c>
      <c r="W35" s="7">
        <f t="shared" si="13"/>
        <v>0.28749999999999998</v>
      </c>
      <c r="X35" s="7" t="str">
        <f t="shared" si="13"/>
        <v>***</v>
      </c>
      <c r="Y35" s="64">
        <f t="shared" si="13"/>
        <v>0.18774177949709861</v>
      </c>
    </row>
    <row r="36" spans="3:25" x14ac:dyDescent="0.4">
      <c r="C36" s="4" t="s">
        <v>5</v>
      </c>
      <c r="D36" s="16"/>
      <c r="E36" s="6">
        <f t="shared" ref="E36:J36" si="14">SUM(E29:E35)</f>
        <v>50912.567999999999</v>
      </c>
      <c r="F36" s="6">
        <f t="shared" si="14"/>
        <v>41270.315999999999</v>
      </c>
      <c r="G36" s="6">
        <f t="shared" si="14"/>
        <v>39382.127500000002</v>
      </c>
      <c r="H36" s="6">
        <f t="shared" si="14"/>
        <v>45980.250500000002</v>
      </c>
      <c r="I36" s="6">
        <f t="shared" si="14"/>
        <v>40768.658500000005</v>
      </c>
      <c r="J36" s="6">
        <f t="shared" si="14"/>
        <v>45926.491500000004</v>
      </c>
      <c r="K36" s="60">
        <f t="shared" si="10"/>
        <v>264240.41200000001</v>
      </c>
      <c r="L36" s="49">
        <f t="shared" ref="L36:Q36" si="15">SUM(L29:L35)</f>
        <v>10144.632500000002</v>
      </c>
      <c r="M36" s="6">
        <f t="shared" si="15"/>
        <v>8430.0174999999999</v>
      </c>
      <c r="N36" s="6">
        <f t="shared" si="15"/>
        <v>7913.9435000000003</v>
      </c>
      <c r="O36" s="6">
        <f t="shared" si="15"/>
        <v>9423.9534999999978</v>
      </c>
      <c r="P36" s="6">
        <f t="shared" si="15"/>
        <v>8362.4980000000014</v>
      </c>
      <c r="Q36" s="6">
        <f t="shared" si="15"/>
        <v>9111.2890000000007</v>
      </c>
      <c r="R36" s="50">
        <f t="shared" si="12"/>
        <v>53386.334000000003</v>
      </c>
      <c r="S36" s="58">
        <f t="shared" si="13"/>
        <v>0.19925595778236921</v>
      </c>
      <c r="T36" s="9">
        <f t="shared" si="13"/>
        <v>0.20426345899556475</v>
      </c>
      <c r="U36" s="9">
        <f t="shared" si="13"/>
        <v>0.2009526656476342</v>
      </c>
      <c r="V36" s="9">
        <f t="shared" si="13"/>
        <v>0.20495654976912311</v>
      </c>
      <c r="W36" s="9">
        <f t="shared" si="13"/>
        <v>0.20512075470915975</v>
      </c>
      <c r="X36" s="9">
        <f t="shared" si="13"/>
        <v>0.19838852702257911</v>
      </c>
      <c r="Y36" s="65">
        <f t="shared" si="13"/>
        <v>0.2020369768421342</v>
      </c>
    </row>
    <row r="37" spans="3:25" x14ac:dyDescent="0.4">
      <c r="C37" s="12"/>
      <c r="E37" s="11"/>
      <c r="F37" s="11"/>
      <c r="G37" s="11"/>
      <c r="H37" s="11"/>
      <c r="I37" s="11"/>
      <c r="J37" s="11"/>
      <c r="K37" s="12"/>
      <c r="L37" s="11"/>
      <c r="M37" s="11"/>
      <c r="N37" s="11"/>
      <c r="O37" s="11"/>
      <c r="P37" s="11"/>
      <c r="Q37" s="11"/>
      <c r="R37" s="12"/>
      <c r="S37" s="13"/>
      <c r="T37" s="13"/>
      <c r="U37" s="13"/>
      <c r="V37" s="13"/>
      <c r="W37" s="13"/>
      <c r="X37" s="13"/>
      <c r="Y37" s="13"/>
    </row>
    <row r="38" spans="3:25" x14ac:dyDescent="0.4">
      <c r="C38" s="12" t="s">
        <v>22</v>
      </c>
      <c r="E38" s="12"/>
      <c r="F38" s="12"/>
      <c r="G38" s="12"/>
      <c r="H38" s="12"/>
      <c r="I38" s="12"/>
      <c r="J38" s="12"/>
      <c r="K38" s="11"/>
      <c r="L38" s="12"/>
      <c r="M38" s="12"/>
      <c r="N38" s="12"/>
      <c r="O38" s="12"/>
      <c r="P38" s="12"/>
      <c r="Q38" s="12"/>
      <c r="R38" s="12"/>
    </row>
    <row r="39" spans="3:25" x14ac:dyDescent="0.4">
      <c r="C39" s="85"/>
      <c r="D39" s="84"/>
      <c r="E39" s="85" t="s">
        <v>2</v>
      </c>
      <c r="F39" s="83"/>
      <c r="G39" s="83"/>
      <c r="H39" s="83"/>
      <c r="I39" s="83"/>
      <c r="J39" s="83"/>
      <c r="K39" s="84"/>
      <c r="L39" s="82" t="s">
        <v>3</v>
      </c>
      <c r="M39" s="83"/>
      <c r="N39" s="83"/>
      <c r="O39" s="83"/>
      <c r="P39" s="83"/>
      <c r="Q39" s="83"/>
      <c r="R39" s="84"/>
      <c r="S39" s="82" t="s">
        <v>4</v>
      </c>
      <c r="T39" s="83"/>
      <c r="U39" s="83"/>
      <c r="V39" s="83"/>
      <c r="W39" s="83"/>
      <c r="X39" s="83"/>
      <c r="Y39" s="84"/>
    </row>
    <row r="40" spans="3:25" x14ac:dyDescent="0.4">
      <c r="C40" s="1"/>
      <c r="D40" s="14"/>
      <c r="E40" s="54">
        <v>46113</v>
      </c>
      <c r="F40" s="51">
        <v>46143</v>
      </c>
      <c r="G40" s="51">
        <v>46174</v>
      </c>
      <c r="H40" s="51">
        <v>46204</v>
      </c>
      <c r="I40" s="51">
        <v>46235</v>
      </c>
      <c r="J40" s="51">
        <v>46266</v>
      </c>
      <c r="K40" s="52" t="s">
        <v>5</v>
      </c>
      <c r="L40" s="48">
        <v>46113</v>
      </c>
      <c r="M40" s="51">
        <v>46143</v>
      </c>
      <c r="N40" s="51">
        <v>46174</v>
      </c>
      <c r="O40" s="51">
        <v>46204</v>
      </c>
      <c r="P40" s="51">
        <v>46235</v>
      </c>
      <c r="Q40" s="51">
        <v>46266</v>
      </c>
      <c r="R40" s="52" t="s">
        <v>5</v>
      </c>
      <c r="S40" s="48">
        <v>46113</v>
      </c>
      <c r="T40" s="51">
        <v>46143</v>
      </c>
      <c r="U40" s="51">
        <v>46174</v>
      </c>
      <c r="V40" s="51">
        <v>46204</v>
      </c>
      <c r="W40" s="51">
        <v>46235</v>
      </c>
      <c r="X40" s="51">
        <v>46266</v>
      </c>
      <c r="Y40" s="52" t="s">
        <v>5</v>
      </c>
    </row>
    <row r="41" spans="3:25" x14ac:dyDescent="0.4">
      <c r="C41" s="2" t="s">
        <v>6</v>
      </c>
      <c r="D41" s="15" t="s">
        <v>7</v>
      </c>
      <c r="E41" s="3">
        <v>12500</v>
      </c>
      <c r="F41" s="3">
        <v>9500</v>
      </c>
      <c r="G41" s="3">
        <v>9500</v>
      </c>
      <c r="H41" s="3">
        <v>11000</v>
      </c>
      <c r="I41" s="3">
        <v>11000</v>
      </c>
      <c r="J41" s="3">
        <v>11800</v>
      </c>
      <c r="K41" s="59">
        <f t="shared" ref="K41:K48" si="16">SUM(E41:J41)</f>
        <v>65300</v>
      </c>
      <c r="L41" s="2">
        <v>2900</v>
      </c>
      <c r="M41" s="3">
        <v>2200</v>
      </c>
      <c r="N41" s="3">
        <v>2200</v>
      </c>
      <c r="O41" s="3">
        <v>2550</v>
      </c>
      <c r="P41" s="3">
        <v>2550</v>
      </c>
      <c r="Q41" s="3">
        <v>2750</v>
      </c>
      <c r="R41" s="56">
        <f t="shared" ref="R41:R48" si="17">SUM(L41:Q41)</f>
        <v>15150</v>
      </c>
      <c r="S41" s="57">
        <f t="shared" ref="S41:Y48" si="18">IF(E41=0,"***",L41/E41)</f>
        <v>0.23200000000000001</v>
      </c>
      <c r="T41" s="7">
        <f t="shared" si="18"/>
        <v>0.23157894736842105</v>
      </c>
      <c r="U41" s="7">
        <f t="shared" si="18"/>
        <v>0.23157894736842105</v>
      </c>
      <c r="V41" s="7">
        <f t="shared" si="18"/>
        <v>0.23181818181818181</v>
      </c>
      <c r="W41" s="7">
        <f t="shared" si="18"/>
        <v>0.23181818181818181</v>
      </c>
      <c r="X41" s="7">
        <f t="shared" si="18"/>
        <v>0.23305084745762711</v>
      </c>
      <c r="Y41" s="64">
        <f t="shared" si="18"/>
        <v>0.23200612557427258</v>
      </c>
    </row>
    <row r="42" spans="3:25" x14ac:dyDescent="0.4">
      <c r="C42" s="2" t="s">
        <v>8</v>
      </c>
      <c r="D42" s="15" t="s">
        <v>9</v>
      </c>
      <c r="E42" s="3">
        <v>17000</v>
      </c>
      <c r="F42" s="3">
        <v>13000</v>
      </c>
      <c r="G42" s="3">
        <v>12200</v>
      </c>
      <c r="H42" s="3">
        <v>14500</v>
      </c>
      <c r="I42" s="3">
        <v>12200</v>
      </c>
      <c r="J42" s="3">
        <v>13200</v>
      </c>
      <c r="K42" s="59">
        <f t="shared" si="16"/>
        <v>82100</v>
      </c>
      <c r="L42" s="2">
        <v>3400</v>
      </c>
      <c r="M42" s="3">
        <v>2700</v>
      </c>
      <c r="N42" s="3">
        <v>2500</v>
      </c>
      <c r="O42" s="3">
        <v>3000</v>
      </c>
      <c r="P42" s="3">
        <v>2550</v>
      </c>
      <c r="Q42" s="3">
        <v>2750</v>
      </c>
      <c r="R42" s="56">
        <f t="shared" si="17"/>
        <v>16900</v>
      </c>
      <c r="S42" s="57">
        <f t="shared" si="18"/>
        <v>0.2</v>
      </c>
      <c r="T42" s="7">
        <f t="shared" si="18"/>
        <v>0.2076923076923077</v>
      </c>
      <c r="U42" s="7">
        <f t="shared" si="18"/>
        <v>0.20491803278688525</v>
      </c>
      <c r="V42" s="7">
        <f t="shared" si="18"/>
        <v>0.20689655172413793</v>
      </c>
      <c r="W42" s="7">
        <f t="shared" si="18"/>
        <v>0.20901639344262296</v>
      </c>
      <c r="X42" s="7">
        <f t="shared" si="18"/>
        <v>0.20833333333333334</v>
      </c>
      <c r="Y42" s="64">
        <f t="shared" si="18"/>
        <v>0.20584652862362973</v>
      </c>
    </row>
    <row r="43" spans="3:25" x14ac:dyDescent="0.4">
      <c r="C43" s="2" t="s">
        <v>10</v>
      </c>
      <c r="D43" s="15" t="s">
        <v>11</v>
      </c>
      <c r="E43" s="3">
        <v>10000</v>
      </c>
      <c r="F43" s="3">
        <v>7800</v>
      </c>
      <c r="G43" s="3">
        <v>7100</v>
      </c>
      <c r="H43" s="3">
        <v>8000</v>
      </c>
      <c r="I43" s="3">
        <v>8000</v>
      </c>
      <c r="J43" s="3">
        <v>10500</v>
      </c>
      <c r="K43" s="59">
        <f t="shared" si="16"/>
        <v>51400</v>
      </c>
      <c r="L43" s="2">
        <v>1850</v>
      </c>
      <c r="M43" s="3">
        <v>1450</v>
      </c>
      <c r="N43" s="3">
        <v>1350</v>
      </c>
      <c r="O43" s="3">
        <v>1550</v>
      </c>
      <c r="P43" s="3">
        <v>1550</v>
      </c>
      <c r="Q43" s="3">
        <v>2000</v>
      </c>
      <c r="R43" s="56">
        <f t="shared" si="17"/>
        <v>9750</v>
      </c>
      <c r="S43" s="57">
        <f t="shared" si="18"/>
        <v>0.185</v>
      </c>
      <c r="T43" s="7">
        <f t="shared" si="18"/>
        <v>0.1858974358974359</v>
      </c>
      <c r="U43" s="7">
        <f t="shared" si="18"/>
        <v>0.19014084507042253</v>
      </c>
      <c r="V43" s="7">
        <f t="shared" si="18"/>
        <v>0.19375000000000001</v>
      </c>
      <c r="W43" s="7">
        <f t="shared" si="18"/>
        <v>0.19375000000000001</v>
      </c>
      <c r="X43" s="7">
        <f t="shared" si="18"/>
        <v>0.19047619047619047</v>
      </c>
      <c r="Y43" s="64">
        <f t="shared" si="18"/>
        <v>0.18968871595330739</v>
      </c>
    </row>
    <row r="44" spans="3:25" x14ac:dyDescent="0.4">
      <c r="C44" s="2" t="s">
        <v>12</v>
      </c>
      <c r="D44" s="15" t="s">
        <v>13</v>
      </c>
      <c r="E44" s="3">
        <v>14000</v>
      </c>
      <c r="F44" s="3">
        <v>12500</v>
      </c>
      <c r="G44" s="3">
        <v>11500</v>
      </c>
      <c r="H44" s="3">
        <v>13500</v>
      </c>
      <c r="I44" s="3">
        <v>12500</v>
      </c>
      <c r="J44" s="3">
        <v>21000</v>
      </c>
      <c r="K44" s="59">
        <f t="shared" si="16"/>
        <v>85000</v>
      </c>
      <c r="L44" s="2">
        <v>2650</v>
      </c>
      <c r="M44" s="3">
        <v>2400</v>
      </c>
      <c r="N44" s="3">
        <v>2250</v>
      </c>
      <c r="O44" s="3">
        <v>2650</v>
      </c>
      <c r="P44" s="3">
        <v>2450</v>
      </c>
      <c r="Q44" s="3">
        <v>3800</v>
      </c>
      <c r="R44" s="56">
        <f t="shared" si="17"/>
        <v>16200</v>
      </c>
      <c r="S44" s="57">
        <f t="shared" si="18"/>
        <v>0.18928571428571428</v>
      </c>
      <c r="T44" s="7">
        <f t="shared" si="18"/>
        <v>0.192</v>
      </c>
      <c r="U44" s="7">
        <f t="shared" si="18"/>
        <v>0.19565217391304349</v>
      </c>
      <c r="V44" s="7">
        <f t="shared" si="18"/>
        <v>0.1962962962962963</v>
      </c>
      <c r="W44" s="7">
        <f t="shared" si="18"/>
        <v>0.19600000000000001</v>
      </c>
      <c r="X44" s="7">
        <f t="shared" si="18"/>
        <v>0.18095238095238095</v>
      </c>
      <c r="Y44" s="64">
        <f t="shared" si="18"/>
        <v>0.19058823529411764</v>
      </c>
    </row>
    <row r="45" spans="3:25" x14ac:dyDescent="0.4">
      <c r="C45" s="2" t="s">
        <v>14</v>
      </c>
      <c r="D45" s="15" t="s">
        <v>15</v>
      </c>
      <c r="E45" s="3">
        <v>0</v>
      </c>
      <c r="F45" s="3">
        <v>0</v>
      </c>
      <c r="G45" s="3">
        <v>0</v>
      </c>
      <c r="H45" s="3">
        <v>0</v>
      </c>
      <c r="I45" s="3">
        <v>0</v>
      </c>
      <c r="J45" s="3">
        <v>0</v>
      </c>
      <c r="K45" s="59">
        <f t="shared" si="16"/>
        <v>0</v>
      </c>
      <c r="L45" s="2">
        <v>0</v>
      </c>
      <c r="M45" s="3">
        <v>0</v>
      </c>
      <c r="N45" s="3">
        <v>0</v>
      </c>
      <c r="O45" s="3">
        <v>0</v>
      </c>
      <c r="P45" s="3">
        <v>0</v>
      </c>
      <c r="Q45" s="3">
        <v>0</v>
      </c>
      <c r="R45" s="56">
        <f t="shared" si="17"/>
        <v>0</v>
      </c>
      <c r="S45" s="57" t="str">
        <f t="shared" si="18"/>
        <v>***</v>
      </c>
      <c r="T45" s="7" t="str">
        <f t="shared" si="18"/>
        <v>***</v>
      </c>
      <c r="U45" s="7" t="str">
        <f t="shared" si="18"/>
        <v>***</v>
      </c>
      <c r="V45" s="7" t="str">
        <f t="shared" si="18"/>
        <v>***</v>
      </c>
      <c r="W45" s="7" t="str">
        <f t="shared" si="18"/>
        <v>***</v>
      </c>
      <c r="X45" s="7" t="str">
        <f t="shared" si="18"/>
        <v>***</v>
      </c>
      <c r="Y45" s="64" t="str">
        <f t="shared" si="18"/>
        <v>***</v>
      </c>
    </row>
    <row r="46" spans="3:25" x14ac:dyDescent="0.4">
      <c r="C46" s="70" t="s">
        <v>16</v>
      </c>
      <c r="D46" s="15" t="s">
        <v>17</v>
      </c>
      <c r="E46" s="3"/>
      <c r="F46" s="3"/>
      <c r="G46" s="3">
        <v>100</v>
      </c>
      <c r="H46" s="3"/>
      <c r="I46" s="3"/>
      <c r="J46" s="3">
        <v>100</v>
      </c>
      <c r="K46" s="59">
        <f t="shared" si="16"/>
        <v>200</v>
      </c>
      <c r="L46" s="2"/>
      <c r="M46" s="3"/>
      <c r="N46" s="3">
        <v>10</v>
      </c>
      <c r="O46" s="3"/>
      <c r="P46" s="3"/>
      <c r="Q46" s="3">
        <v>10</v>
      </c>
      <c r="R46" s="56">
        <f t="shared" si="17"/>
        <v>20</v>
      </c>
      <c r="S46" s="57" t="str">
        <f t="shared" si="18"/>
        <v>***</v>
      </c>
      <c r="T46" s="7" t="str">
        <f t="shared" si="18"/>
        <v>***</v>
      </c>
      <c r="U46" s="7">
        <f t="shared" si="18"/>
        <v>0.1</v>
      </c>
      <c r="V46" s="7" t="str">
        <f t="shared" si="18"/>
        <v>***</v>
      </c>
      <c r="W46" s="7" t="str">
        <f t="shared" si="18"/>
        <v>***</v>
      </c>
      <c r="X46" s="7">
        <f t="shared" si="18"/>
        <v>0.1</v>
      </c>
      <c r="Y46" s="64">
        <f t="shared" si="18"/>
        <v>0.1</v>
      </c>
    </row>
    <row r="47" spans="3:25" x14ac:dyDescent="0.4">
      <c r="C47" s="2" t="s">
        <v>18</v>
      </c>
      <c r="D47" s="15" t="s">
        <v>19</v>
      </c>
      <c r="E47" s="3"/>
      <c r="F47" s="3"/>
      <c r="G47" s="3"/>
      <c r="H47" s="3"/>
      <c r="I47" s="3"/>
      <c r="J47" s="3"/>
      <c r="K47" s="59">
        <f t="shared" si="16"/>
        <v>0</v>
      </c>
      <c r="L47" s="2"/>
      <c r="M47" s="3"/>
      <c r="N47" s="3"/>
      <c r="O47" s="3"/>
      <c r="P47" s="3"/>
      <c r="Q47" s="3"/>
      <c r="R47" s="56">
        <f t="shared" si="17"/>
        <v>0</v>
      </c>
      <c r="S47" s="57" t="str">
        <f t="shared" si="18"/>
        <v>***</v>
      </c>
      <c r="T47" s="7" t="str">
        <f t="shared" si="18"/>
        <v>***</v>
      </c>
      <c r="U47" s="7" t="str">
        <f t="shared" si="18"/>
        <v>***</v>
      </c>
      <c r="V47" s="7" t="str">
        <f t="shared" si="18"/>
        <v>***</v>
      </c>
      <c r="W47" s="7" t="str">
        <f t="shared" si="18"/>
        <v>***</v>
      </c>
      <c r="X47" s="7" t="str">
        <f t="shared" si="18"/>
        <v>***</v>
      </c>
      <c r="Y47" s="64" t="str">
        <f t="shared" si="18"/>
        <v>***</v>
      </c>
    </row>
    <row r="48" spans="3:25" x14ac:dyDescent="0.4">
      <c r="C48" s="4" t="s">
        <v>5</v>
      </c>
      <c r="D48" s="16"/>
      <c r="E48" s="6">
        <f t="shared" ref="E48:J48" si="19">SUM(E41:E47)</f>
        <v>53500</v>
      </c>
      <c r="F48" s="6">
        <f t="shared" si="19"/>
        <v>42800</v>
      </c>
      <c r="G48" s="6">
        <f t="shared" si="19"/>
        <v>40400</v>
      </c>
      <c r="H48" s="6">
        <f t="shared" si="19"/>
        <v>47000</v>
      </c>
      <c r="I48" s="6">
        <f t="shared" si="19"/>
        <v>43700</v>
      </c>
      <c r="J48" s="6">
        <f t="shared" si="19"/>
        <v>56600</v>
      </c>
      <c r="K48" s="60">
        <f t="shared" si="16"/>
        <v>284000</v>
      </c>
      <c r="L48" s="49">
        <f t="shared" ref="L48:Q48" si="20">SUM(L41:L47)</f>
        <v>10800</v>
      </c>
      <c r="M48" s="6">
        <f t="shared" si="20"/>
        <v>8750</v>
      </c>
      <c r="N48" s="6">
        <f t="shared" si="20"/>
        <v>8310</v>
      </c>
      <c r="O48" s="6">
        <f t="shared" si="20"/>
        <v>9750</v>
      </c>
      <c r="P48" s="6">
        <f t="shared" si="20"/>
        <v>9100</v>
      </c>
      <c r="Q48" s="6">
        <f t="shared" si="20"/>
        <v>11310</v>
      </c>
      <c r="R48" s="50">
        <f t="shared" si="17"/>
        <v>58020</v>
      </c>
      <c r="S48" s="58">
        <f t="shared" si="18"/>
        <v>0.20186915887850468</v>
      </c>
      <c r="T48" s="9">
        <f t="shared" si="18"/>
        <v>0.20443925233644861</v>
      </c>
      <c r="U48" s="9">
        <f t="shared" si="18"/>
        <v>0.20569306930693068</v>
      </c>
      <c r="V48" s="9">
        <f t="shared" si="18"/>
        <v>0.20744680851063829</v>
      </c>
      <c r="W48" s="9">
        <f t="shared" si="18"/>
        <v>0.20823798627002288</v>
      </c>
      <c r="X48" s="9">
        <f t="shared" si="18"/>
        <v>0.19982332155477031</v>
      </c>
      <c r="Y48" s="65">
        <f t="shared" si="18"/>
        <v>0.20429577464788731</v>
      </c>
    </row>
    <row r="49" spans="3:25" hidden="1" x14ac:dyDescent="0.4">
      <c r="C49" s="12"/>
      <c r="E49" s="11"/>
      <c r="F49" s="11"/>
      <c r="G49" s="11"/>
      <c r="H49" s="11"/>
      <c r="I49" s="11"/>
      <c r="J49" s="11"/>
      <c r="K49" s="76"/>
      <c r="L49" s="11"/>
      <c r="M49" s="11"/>
      <c r="N49" s="11"/>
      <c r="O49" s="11"/>
      <c r="P49" s="11"/>
      <c r="Q49" s="11"/>
      <c r="R49" s="76"/>
      <c r="S49" s="13"/>
      <c r="T49" s="13"/>
      <c r="U49" s="13"/>
      <c r="V49" s="13"/>
      <c r="W49" s="13"/>
      <c r="X49" s="13"/>
      <c r="Y49" s="13"/>
    </row>
    <row r="50" spans="3:25" hidden="1" x14ac:dyDescent="0.4">
      <c r="C50" s="12" t="s">
        <v>23</v>
      </c>
    </row>
    <row r="51" spans="3:25" hidden="1" x14ac:dyDescent="0.4">
      <c r="C51" s="85"/>
      <c r="D51" s="84"/>
      <c r="E51" s="85" t="s">
        <v>2</v>
      </c>
      <c r="F51" s="83"/>
      <c r="G51" s="83"/>
      <c r="H51" s="83"/>
      <c r="I51" s="83"/>
      <c r="J51" s="83"/>
      <c r="K51" s="84"/>
      <c r="L51" s="82" t="s">
        <v>3</v>
      </c>
      <c r="M51" s="83"/>
      <c r="N51" s="83"/>
      <c r="O51" s="83"/>
      <c r="P51" s="83"/>
      <c r="Q51" s="83"/>
      <c r="R51" s="84"/>
      <c r="S51" s="82" t="s">
        <v>4</v>
      </c>
      <c r="T51" s="83"/>
      <c r="U51" s="83"/>
      <c r="V51" s="83"/>
      <c r="W51" s="83"/>
      <c r="X51" s="83"/>
      <c r="Y51" s="84"/>
    </row>
    <row r="52" spans="3:25" hidden="1" x14ac:dyDescent="0.4">
      <c r="C52" s="1"/>
      <c r="D52" s="14"/>
      <c r="E52" s="54">
        <v>46113</v>
      </c>
      <c r="F52" s="51">
        <v>46143</v>
      </c>
      <c r="G52" s="51">
        <v>46174</v>
      </c>
      <c r="H52" s="51">
        <v>46204</v>
      </c>
      <c r="I52" s="51">
        <v>46235</v>
      </c>
      <c r="J52" s="51">
        <v>46266</v>
      </c>
      <c r="K52" s="52" t="s">
        <v>5</v>
      </c>
      <c r="L52" s="48">
        <v>46113</v>
      </c>
      <c r="M52" s="51">
        <v>46143</v>
      </c>
      <c r="N52" s="51">
        <v>46174</v>
      </c>
      <c r="O52" s="51">
        <v>46204</v>
      </c>
      <c r="P52" s="51">
        <v>46235</v>
      </c>
      <c r="Q52" s="51">
        <v>46266</v>
      </c>
      <c r="R52" s="52" t="s">
        <v>5</v>
      </c>
      <c r="S52" s="48">
        <v>46113</v>
      </c>
      <c r="T52" s="51">
        <v>46143</v>
      </c>
      <c r="U52" s="51">
        <v>46174</v>
      </c>
      <c r="V52" s="51">
        <v>46204</v>
      </c>
      <c r="W52" s="51">
        <v>46235</v>
      </c>
      <c r="X52" s="51">
        <v>46266</v>
      </c>
      <c r="Y52" s="52" t="s">
        <v>5</v>
      </c>
    </row>
    <row r="53" spans="3:25" hidden="1" x14ac:dyDescent="0.4">
      <c r="C53" s="2" t="s">
        <v>6</v>
      </c>
      <c r="D53" s="15" t="s">
        <v>7</v>
      </c>
      <c r="E53" s="3">
        <f t="shared" ref="E53:J57" si="21">E41-E17</f>
        <v>-113.21999999999935</v>
      </c>
      <c r="F53" s="3">
        <f t="shared" si="21"/>
        <v>798.77600000000166</v>
      </c>
      <c r="G53" s="3">
        <f t="shared" si="21"/>
        <v>592.90299999999843</v>
      </c>
      <c r="H53" s="3">
        <f t="shared" si="21"/>
        <v>-991.28000000000065</v>
      </c>
      <c r="I53" s="3">
        <f t="shared" si="21"/>
        <v>2526.3769999999986</v>
      </c>
      <c r="J53" s="3">
        <f t="shared" si="21"/>
        <v>926.02200000000084</v>
      </c>
      <c r="K53" s="59">
        <f>SUM(E53:J53)</f>
        <v>3739.5779999999995</v>
      </c>
      <c r="L53" s="2">
        <f t="shared" ref="L53:Q57" si="22">L41-L17</f>
        <v>-155.37300000000005</v>
      </c>
      <c r="M53" s="3">
        <f t="shared" si="22"/>
        <v>204.19299999999998</v>
      </c>
      <c r="N53" s="3">
        <f t="shared" si="22"/>
        <v>52.893999999999778</v>
      </c>
      <c r="O53" s="3">
        <f t="shared" si="22"/>
        <v>-258.0300000000002</v>
      </c>
      <c r="P53" s="3">
        <f t="shared" si="22"/>
        <v>601.60200000000009</v>
      </c>
      <c r="Q53" s="3">
        <f t="shared" si="22"/>
        <v>282.41400000000021</v>
      </c>
      <c r="R53" s="56">
        <f>SUM(L53:Q53)</f>
        <v>727.69999999999982</v>
      </c>
      <c r="S53" s="57">
        <f t="shared" ref="S53:Y57" si="23">S41-S17</f>
        <v>-1.0235765331929519E-2</v>
      </c>
      <c r="T53" s="7">
        <f t="shared" si="23"/>
        <v>2.2081140235950258E-3</v>
      </c>
      <c r="U53" s="7">
        <f t="shared" si="23"/>
        <v>-9.4766962380199438E-3</v>
      </c>
      <c r="V53" s="7">
        <f t="shared" si="23"/>
        <v>-2.3544836520598966E-3</v>
      </c>
      <c r="W53" s="7">
        <f t="shared" si="23"/>
        <v>1.881353144071618E-3</v>
      </c>
      <c r="X53" s="7">
        <f t="shared" si="23"/>
        <v>6.1250618803526391E-3</v>
      </c>
      <c r="Y53" s="64">
        <f t="shared" si="23"/>
        <v>-2.2726452892539994E-3</v>
      </c>
    </row>
    <row r="54" spans="3:25" hidden="1" x14ac:dyDescent="0.4">
      <c r="C54" s="2" t="s">
        <v>8</v>
      </c>
      <c r="D54" s="15" t="s">
        <v>9</v>
      </c>
      <c r="E54" s="3">
        <f t="shared" si="21"/>
        <v>2782.1350000000002</v>
      </c>
      <c r="F54" s="3">
        <f t="shared" si="21"/>
        <v>555.22899999999936</v>
      </c>
      <c r="G54" s="3">
        <f t="shared" si="21"/>
        <v>510.22099999999955</v>
      </c>
      <c r="H54" s="3">
        <f t="shared" si="21"/>
        <v>426.92400000000089</v>
      </c>
      <c r="I54" s="3">
        <f t="shared" si="21"/>
        <v>438.14999999999964</v>
      </c>
      <c r="J54" s="3">
        <f t="shared" si="21"/>
        <v>489.3119999999999</v>
      </c>
      <c r="K54" s="59">
        <f>SUM(E54:J54)</f>
        <v>5201.9709999999995</v>
      </c>
      <c r="L54" s="2">
        <f t="shared" si="22"/>
        <v>444.67399999999998</v>
      </c>
      <c r="M54" s="3">
        <f t="shared" si="22"/>
        <v>23.342999999999847</v>
      </c>
      <c r="N54" s="3">
        <f t="shared" si="22"/>
        <v>105.99699999999984</v>
      </c>
      <c r="O54" s="3">
        <f t="shared" si="22"/>
        <v>33.728000000000975</v>
      </c>
      <c r="P54" s="3">
        <f t="shared" si="22"/>
        <v>49.934999999999036</v>
      </c>
      <c r="Q54" s="3">
        <f t="shared" si="22"/>
        <v>200.2800000000002</v>
      </c>
      <c r="R54" s="56">
        <f>SUM(L54:Q54)</f>
        <v>857.95699999999988</v>
      </c>
      <c r="S54" s="57">
        <f t="shared" si="23"/>
        <v>-7.8600408711153036E-3</v>
      </c>
      <c r="T54" s="7">
        <f t="shared" si="23"/>
        <v>-7.3905572314421908E-3</v>
      </c>
      <c r="U54" s="7">
        <f t="shared" si="23"/>
        <v>1.2348534505593478E-4</v>
      </c>
      <c r="V54" s="7">
        <f t="shared" si="23"/>
        <v>-3.8798272281251878E-3</v>
      </c>
      <c r="W54" s="7">
        <f t="shared" si="23"/>
        <v>-3.5407297990440179E-3</v>
      </c>
      <c r="X54" s="7">
        <f t="shared" si="23"/>
        <v>7.7367959940485009E-3</v>
      </c>
      <c r="Y54" s="64">
        <f t="shared" si="23"/>
        <v>-2.7679600520162939E-3</v>
      </c>
    </row>
    <row r="55" spans="3:25" hidden="1" x14ac:dyDescent="0.4">
      <c r="C55" s="2" t="s">
        <v>10</v>
      </c>
      <c r="D55" s="15" t="s">
        <v>11</v>
      </c>
      <c r="E55" s="3">
        <f t="shared" si="21"/>
        <v>475.80799999999908</v>
      </c>
      <c r="F55" s="3">
        <f t="shared" si="21"/>
        <v>402.61100000000079</v>
      </c>
      <c r="G55" s="3">
        <f t="shared" si="21"/>
        <v>546.88500000000113</v>
      </c>
      <c r="H55" s="3">
        <f t="shared" si="21"/>
        <v>515.05299999999897</v>
      </c>
      <c r="I55" s="3">
        <f t="shared" si="21"/>
        <v>893.9340000000002</v>
      </c>
      <c r="J55" s="3">
        <f t="shared" si="21"/>
        <v>533.07500000000073</v>
      </c>
      <c r="K55" s="59">
        <f>SUM(E55:J55)</f>
        <v>3367.3660000000009</v>
      </c>
      <c r="L55" s="2">
        <f t="shared" si="22"/>
        <v>244.95100000000002</v>
      </c>
      <c r="M55" s="3">
        <f t="shared" si="22"/>
        <v>-51.787000000000035</v>
      </c>
      <c r="N55" s="3">
        <f t="shared" si="22"/>
        <v>118.78500000000008</v>
      </c>
      <c r="O55" s="3">
        <f t="shared" si="22"/>
        <v>178.83300000000008</v>
      </c>
      <c r="P55" s="3">
        <f t="shared" si="22"/>
        <v>96.618999999999915</v>
      </c>
      <c r="Q55" s="3">
        <f t="shared" si="22"/>
        <v>129.04899999999998</v>
      </c>
      <c r="R55" s="56">
        <f>SUM(L55:Q55)</f>
        <v>716.45</v>
      </c>
      <c r="S55" s="57">
        <f t="shared" si="23"/>
        <v>1.64766228988244E-2</v>
      </c>
      <c r="T55" s="7">
        <f t="shared" si="23"/>
        <v>-1.7118384955029764E-2</v>
      </c>
      <c r="U55" s="7">
        <f t="shared" si="23"/>
        <v>2.2584410534015886E-3</v>
      </c>
      <c r="V55" s="7">
        <f t="shared" si="23"/>
        <v>1.0560058908900799E-2</v>
      </c>
      <c r="W55" s="7">
        <f t="shared" si="23"/>
        <v>-1.0776808504170954E-2</v>
      </c>
      <c r="X55" s="7">
        <f t="shared" si="23"/>
        <v>2.7602199035213493E-3</v>
      </c>
      <c r="Y55" s="64">
        <f t="shared" si="23"/>
        <v>1.6176224546663731E-3</v>
      </c>
    </row>
    <row r="56" spans="3:25" hidden="1" x14ac:dyDescent="0.4">
      <c r="C56" s="2" t="s">
        <v>12</v>
      </c>
      <c r="D56" s="15" t="s">
        <v>13</v>
      </c>
      <c r="E56" s="3">
        <f t="shared" si="21"/>
        <v>-53.09900000000016</v>
      </c>
      <c r="F56" s="3">
        <f t="shared" si="21"/>
        <v>27.309999999999491</v>
      </c>
      <c r="G56" s="3">
        <f t="shared" si="21"/>
        <v>392.63500000000022</v>
      </c>
      <c r="H56" s="3">
        <f t="shared" si="21"/>
        <v>512.63899999999921</v>
      </c>
      <c r="I56" s="3">
        <f t="shared" si="21"/>
        <v>560.7510000000002</v>
      </c>
      <c r="J56" s="3">
        <f t="shared" si="21"/>
        <v>9188.0169999999998</v>
      </c>
      <c r="K56" s="59">
        <f>SUM(E56:J56)</f>
        <v>10628.252999999999</v>
      </c>
      <c r="L56" s="2">
        <f t="shared" si="22"/>
        <v>-33.704000000000178</v>
      </c>
      <c r="M56" s="3">
        <f t="shared" si="22"/>
        <v>54.860999999999876</v>
      </c>
      <c r="N56" s="3">
        <f t="shared" si="22"/>
        <v>129.10100000000011</v>
      </c>
      <c r="O56" s="3">
        <f t="shared" si="22"/>
        <v>88.994999999999891</v>
      </c>
      <c r="P56" s="3">
        <f t="shared" si="22"/>
        <v>85.304000000000087</v>
      </c>
      <c r="Q56" s="3">
        <f t="shared" si="22"/>
        <v>1473.5920000000001</v>
      </c>
      <c r="R56" s="56">
        <f>SUM(L56:Q56)</f>
        <v>1798.1489999999999</v>
      </c>
      <c r="S56" s="57">
        <f t="shared" si="23"/>
        <v>-1.6831246870987748E-3</v>
      </c>
      <c r="T56" s="7">
        <f t="shared" si="23"/>
        <v>3.9780897304430851E-3</v>
      </c>
      <c r="U56" s="7">
        <f t="shared" si="23"/>
        <v>4.7068867094628153E-3</v>
      </c>
      <c r="V56" s="7">
        <f t="shared" si="23"/>
        <v>-8.9580454697740786E-4</v>
      </c>
      <c r="W56" s="7">
        <f t="shared" si="23"/>
        <v>-2.0606987926962417E-3</v>
      </c>
      <c r="X56" s="7">
        <f t="shared" si="23"/>
        <v>-1.6000831730028087E-2</v>
      </c>
      <c r="Y56" s="64">
        <f t="shared" si="23"/>
        <v>-3.0585671670373682E-3</v>
      </c>
    </row>
    <row r="57" spans="3:25" hidden="1" x14ac:dyDescent="0.4">
      <c r="C57" s="2" t="s">
        <v>14</v>
      </c>
      <c r="D57" s="15" t="s">
        <v>15</v>
      </c>
      <c r="E57" s="3">
        <f t="shared" si="21"/>
        <v>0</v>
      </c>
      <c r="F57" s="3">
        <f t="shared" si="21"/>
        <v>0</v>
      </c>
      <c r="G57" s="3">
        <f t="shared" si="21"/>
        <v>0</v>
      </c>
      <c r="H57" s="3">
        <f t="shared" si="21"/>
        <v>0</v>
      </c>
      <c r="I57" s="3">
        <f t="shared" si="21"/>
        <v>0</v>
      </c>
      <c r="J57" s="3">
        <f t="shared" si="21"/>
        <v>0</v>
      </c>
      <c r="K57" s="59">
        <f>SUM(E57:J57)</f>
        <v>0</v>
      </c>
      <c r="L57" s="2">
        <f t="shared" si="22"/>
        <v>0</v>
      </c>
      <c r="M57" s="3">
        <f t="shared" si="22"/>
        <v>0</v>
      </c>
      <c r="N57" s="3">
        <f t="shared" si="22"/>
        <v>0</v>
      </c>
      <c r="O57" s="3">
        <f t="shared" si="22"/>
        <v>0</v>
      </c>
      <c r="P57" s="3">
        <f t="shared" si="22"/>
        <v>0</v>
      </c>
      <c r="Q57" s="3">
        <f t="shared" si="22"/>
        <v>0</v>
      </c>
      <c r="R57" s="56">
        <f>SUM(L57:Q57)</f>
        <v>0</v>
      </c>
      <c r="S57" s="57" t="e">
        <f t="shared" si="23"/>
        <v>#VALUE!</v>
      </c>
      <c r="T57" s="7" t="e">
        <f t="shared" si="23"/>
        <v>#VALUE!</v>
      </c>
      <c r="U57" s="7" t="e">
        <f t="shared" si="23"/>
        <v>#VALUE!</v>
      </c>
      <c r="V57" s="7" t="e">
        <f t="shared" si="23"/>
        <v>#VALUE!</v>
      </c>
      <c r="W57" s="7" t="e">
        <f t="shared" si="23"/>
        <v>#VALUE!</v>
      </c>
      <c r="X57" s="7" t="e">
        <f t="shared" si="23"/>
        <v>#VALUE!</v>
      </c>
      <c r="Y57" s="64" t="e">
        <f t="shared" si="23"/>
        <v>#VALUE!</v>
      </c>
    </row>
    <row r="58" spans="3:25" hidden="1" x14ac:dyDescent="0.4">
      <c r="C58" s="70" t="s">
        <v>16</v>
      </c>
      <c r="D58" s="15" t="s">
        <v>17</v>
      </c>
      <c r="E58" s="3"/>
      <c r="F58" s="3"/>
      <c r="G58" s="3"/>
      <c r="H58" s="3"/>
      <c r="I58" s="3"/>
      <c r="J58" s="3"/>
      <c r="K58" s="59"/>
      <c r="L58" s="2"/>
      <c r="M58" s="3"/>
      <c r="N58" s="3"/>
      <c r="O58" s="3"/>
      <c r="P58" s="3"/>
      <c r="Q58" s="3"/>
      <c r="R58" s="56"/>
      <c r="S58" s="57"/>
      <c r="T58" s="7"/>
      <c r="U58" s="7"/>
      <c r="V58" s="7"/>
      <c r="W58" s="7"/>
      <c r="X58" s="7"/>
      <c r="Y58" s="64"/>
    </row>
    <row r="59" spans="3:25" hidden="1" x14ac:dyDescent="0.4">
      <c r="C59" s="2" t="s">
        <v>18</v>
      </c>
      <c r="D59" s="15" t="s">
        <v>19</v>
      </c>
      <c r="E59" s="3">
        <f t="shared" ref="E59:J59" si="24">E47-E23</f>
        <v>0</v>
      </c>
      <c r="F59" s="3">
        <f t="shared" si="24"/>
        <v>0</v>
      </c>
      <c r="G59" s="3">
        <f t="shared" si="24"/>
        <v>-125</v>
      </c>
      <c r="H59" s="3">
        <f t="shared" si="24"/>
        <v>0</v>
      </c>
      <c r="I59" s="3">
        <f t="shared" si="24"/>
        <v>-4.8</v>
      </c>
      <c r="J59" s="3">
        <f t="shared" si="24"/>
        <v>0</v>
      </c>
      <c r="K59" s="59">
        <f>SUM(E59:J59)</f>
        <v>-129.80000000000001</v>
      </c>
      <c r="L59" s="2">
        <f t="shared" ref="L59:Q59" si="25">L47-L23</f>
        <v>0</v>
      </c>
      <c r="M59" s="3">
        <f t="shared" si="25"/>
        <v>0</v>
      </c>
      <c r="N59" s="3">
        <f t="shared" si="25"/>
        <v>-20.2</v>
      </c>
      <c r="O59" s="3">
        <f t="shared" si="25"/>
        <v>0</v>
      </c>
      <c r="P59" s="3">
        <f t="shared" si="25"/>
        <v>-1.38</v>
      </c>
      <c r="Q59" s="3">
        <f t="shared" si="25"/>
        <v>0</v>
      </c>
      <c r="R59" s="56">
        <f>SUM(L59:Q59)</f>
        <v>-21.58</v>
      </c>
      <c r="S59" s="57" t="e">
        <f t="shared" ref="S59:Y60" si="26">S47-S23</f>
        <v>#VALUE!</v>
      </c>
      <c r="T59" s="7" t="e">
        <f t="shared" si="26"/>
        <v>#VALUE!</v>
      </c>
      <c r="U59" s="7" t="e">
        <f t="shared" si="26"/>
        <v>#VALUE!</v>
      </c>
      <c r="V59" s="7" t="e">
        <f t="shared" si="26"/>
        <v>#VALUE!</v>
      </c>
      <c r="W59" s="7" t="e">
        <f t="shared" si="26"/>
        <v>#VALUE!</v>
      </c>
      <c r="X59" s="7" t="e">
        <f t="shared" si="26"/>
        <v>#VALUE!</v>
      </c>
      <c r="Y59" s="64" t="e">
        <f t="shared" si="26"/>
        <v>#VALUE!</v>
      </c>
    </row>
    <row r="60" spans="3:25" hidden="1" x14ac:dyDescent="0.4">
      <c r="C60" s="4" t="s">
        <v>5</v>
      </c>
      <c r="D60" s="16"/>
      <c r="E60" s="6">
        <f t="shared" ref="E60:J60" si="27">SUM(E53:E59)</f>
        <v>3091.6239999999998</v>
      </c>
      <c r="F60" s="6">
        <f t="shared" si="27"/>
        <v>1783.9260000000013</v>
      </c>
      <c r="G60" s="6">
        <f t="shared" si="27"/>
        <v>1917.6439999999993</v>
      </c>
      <c r="H60" s="6">
        <f t="shared" si="27"/>
        <v>463.33599999999842</v>
      </c>
      <c r="I60" s="6">
        <f t="shared" si="27"/>
        <v>4414.4119999999984</v>
      </c>
      <c r="J60" s="6">
        <f t="shared" si="27"/>
        <v>11136.426000000001</v>
      </c>
      <c r="K60" s="60">
        <f>SUM(E60:J60)</f>
        <v>22807.367999999999</v>
      </c>
      <c r="L60" s="49">
        <f t="shared" ref="L60:Q60" si="28">SUM(L53:L59)</f>
        <v>500.54799999999977</v>
      </c>
      <c r="M60" s="6">
        <f t="shared" si="28"/>
        <v>230.60999999999967</v>
      </c>
      <c r="N60" s="6">
        <f t="shared" si="28"/>
        <v>386.57699999999983</v>
      </c>
      <c r="O60" s="6">
        <f t="shared" si="28"/>
        <v>43.526000000000749</v>
      </c>
      <c r="P60" s="6">
        <f t="shared" si="28"/>
        <v>832.07999999999913</v>
      </c>
      <c r="Q60" s="6">
        <f t="shared" si="28"/>
        <v>2085.3350000000005</v>
      </c>
      <c r="R60" s="50">
        <f>SUM(L60:Q60)</f>
        <v>4078.6759999999995</v>
      </c>
      <c r="S60" s="58">
        <f t="shared" si="26"/>
        <v>-2.4510913910140153E-3</v>
      </c>
      <c r="T60" s="9">
        <f t="shared" si="26"/>
        <v>-3.2693157727272937E-3</v>
      </c>
      <c r="U60" s="9">
        <f t="shared" si="26"/>
        <v>-4.8038705932260117E-4</v>
      </c>
      <c r="V60" s="9">
        <f t="shared" si="26"/>
        <v>-7.2658698638461416E-4</v>
      </c>
      <c r="W60" s="9">
        <f t="shared" si="26"/>
        <v>-2.2188357075430265E-3</v>
      </c>
      <c r="X60" s="9">
        <f t="shared" si="26"/>
        <v>-3.3058454725013731E-3</v>
      </c>
      <c r="Y60" s="65">
        <f t="shared" si="26"/>
        <v>-2.2338949732678137E-3</v>
      </c>
    </row>
    <row r="61" spans="3:25" hidden="1" x14ac:dyDescent="0.4"/>
    <row r="62" spans="3:25" hidden="1" x14ac:dyDescent="0.4">
      <c r="C62" s="12" t="s">
        <v>24</v>
      </c>
    </row>
    <row r="63" spans="3:25" hidden="1" x14ac:dyDescent="0.4">
      <c r="C63" s="85"/>
      <c r="D63" s="84"/>
      <c r="E63" s="85" t="s">
        <v>2</v>
      </c>
      <c r="F63" s="83"/>
      <c r="G63" s="83"/>
      <c r="H63" s="83"/>
      <c r="I63" s="83"/>
      <c r="J63" s="83"/>
      <c r="K63" s="84"/>
      <c r="L63" s="82" t="s">
        <v>3</v>
      </c>
      <c r="M63" s="83"/>
      <c r="N63" s="83"/>
      <c r="O63" s="83"/>
      <c r="P63" s="83"/>
      <c r="Q63" s="83"/>
      <c r="R63" s="84"/>
      <c r="S63" s="82" t="s">
        <v>4</v>
      </c>
      <c r="T63" s="83"/>
      <c r="U63" s="83"/>
      <c r="V63" s="83"/>
      <c r="W63" s="83"/>
      <c r="X63" s="83"/>
      <c r="Y63" s="84"/>
    </row>
    <row r="64" spans="3:25" hidden="1" x14ac:dyDescent="0.4">
      <c r="C64" s="1"/>
      <c r="D64" s="14"/>
      <c r="E64" s="54">
        <v>46113</v>
      </c>
      <c r="F64" s="51">
        <v>46143</v>
      </c>
      <c r="G64" s="51">
        <v>46174</v>
      </c>
      <c r="H64" s="51">
        <v>46204</v>
      </c>
      <c r="I64" s="51">
        <v>46235</v>
      </c>
      <c r="J64" s="51">
        <v>46266</v>
      </c>
      <c r="K64" s="52" t="s">
        <v>5</v>
      </c>
      <c r="L64" s="48">
        <v>46113</v>
      </c>
      <c r="M64" s="51">
        <v>46143</v>
      </c>
      <c r="N64" s="51">
        <v>46174</v>
      </c>
      <c r="O64" s="51">
        <v>46204</v>
      </c>
      <c r="P64" s="51">
        <v>46235</v>
      </c>
      <c r="Q64" s="51">
        <v>46266</v>
      </c>
      <c r="R64" s="52" t="s">
        <v>5</v>
      </c>
      <c r="S64" s="48">
        <v>46113</v>
      </c>
      <c r="T64" s="51">
        <v>46143</v>
      </c>
      <c r="U64" s="51">
        <v>46174</v>
      </c>
      <c r="V64" s="51">
        <v>46204</v>
      </c>
      <c r="W64" s="51">
        <v>46235</v>
      </c>
      <c r="X64" s="51">
        <v>46266</v>
      </c>
      <c r="Y64" s="52" t="s">
        <v>5</v>
      </c>
    </row>
    <row r="65" spans="3:25" hidden="1" x14ac:dyDescent="0.4">
      <c r="C65" s="2" t="s">
        <v>6</v>
      </c>
      <c r="D65" s="15" t="s">
        <v>7</v>
      </c>
      <c r="E65" s="3">
        <f t="shared" ref="E65:J69" si="29">E41-E29</f>
        <v>316.80450000000019</v>
      </c>
      <c r="F65" s="3">
        <f t="shared" si="29"/>
        <v>-132.55149999999958</v>
      </c>
      <c r="G65" s="3">
        <f t="shared" si="29"/>
        <v>434.91649999999936</v>
      </c>
      <c r="H65" s="3">
        <f t="shared" si="29"/>
        <v>-293.56750000000102</v>
      </c>
      <c r="I65" s="3">
        <f t="shared" si="29"/>
        <v>1374.9959999999992</v>
      </c>
      <c r="J65" s="3">
        <f t="shared" si="29"/>
        <v>2043.6830000000009</v>
      </c>
      <c r="K65" s="59">
        <f>SUM(E65:J65)</f>
        <v>3744.280999999999</v>
      </c>
      <c r="L65" s="2">
        <f t="shared" ref="L65:Q69" si="30">L41-L29</f>
        <v>59.943000000000211</v>
      </c>
      <c r="M65" s="3">
        <f t="shared" si="30"/>
        <v>19.686000000000604</v>
      </c>
      <c r="N65" s="3">
        <f t="shared" si="30"/>
        <v>119.14300000000003</v>
      </c>
      <c r="O65" s="3">
        <f t="shared" si="30"/>
        <v>-17.229500000000371</v>
      </c>
      <c r="P65" s="3">
        <f t="shared" si="30"/>
        <v>382.28250000000025</v>
      </c>
      <c r="Q65" s="3">
        <f t="shared" si="30"/>
        <v>480.00799999999981</v>
      </c>
      <c r="R65" s="56">
        <f>SUM(L65:Q65)</f>
        <v>1043.8330000000005</v>
      </c>
      <c r="S65" s="57">
        <f t="shared" ref="S65:Y69" si="31">S41-S29</f>
        <v>-1.1126509461331091E-3</v>
      </c>
      <c r="T65" s="7">
        <f t="shared" si="31"/>
        <v>5.2304040982397715E-3</v>
      </c>
      <c r="U65" s="7">
        <f t="shared" si="31"/>
        <v>2.0325786008305591E-3</v>
      </c>
      <c r="V65" s="7">
        <f t="shared" si="31"/>
        <v>4.500330306690864E-3</v>
      </c>
      <c r="W65" s="7">
        <f t="shared" si="31"/>
        <v>6.6008728175830089E-3</v>
      </c>
      <c r="X65" s="7">
        <f t="shared" si="31"/>
        <v>3.8190076391056427E-4</v>
      </c>
      <c r="Y65" s="64">
        <f t="shared" si="31"/>
        <v>2.8451762886343157E-3</v>
      </c>
    </row>
    <row r="66" spans="3:25" hidden="1" x14ac:dyDescent="0.4">
      <c r="C66" s="2" t="s">
        <v>8</v>
      </c>
      <c r="D66" s="15" t="s">
        <v>9</v>
      </c>
      <c r="E66" s="3">
        <f t="shared" si="29"/>
        <v>3226.9480000000003</v>
      </c>
      <c r="F66" s="3">
        <f t="shared" si="29"/>
        <v>1563.1489999999994</v>
      </c>
      <c r="G66" s="3">
        <f t="shared" si="29"/>
        <v>359.50649999999951</v>
      </c>
      <c r="H66" s="3">
        <f t="shared" si="29"/>
        <v>541.8690000000006</v>
      </c>
      <c r="I66" s="3">
        <f t="shared" si="29"/>
        <v>627.5734999999986</v>
      </c>
      <c r="J66" s="3">
        <f t="shared" si="29"/>
        <v>-167.42699999999968</v>
      </c>
      <c r="K66" s="59">
        <f>SUM(E66:J66)</f>
        <v>6151.6189999999988</v>
      </c>
      <c r="L66" s="2">
        <f t="shared" si="30"/>
        <v>505.8755000000001</v>
      </c>
      <c r="M66" s="3">
        <f t="shared" si="30"/>
        <v>283.91349999999966</v>
      </c>
      <c r="N66" s="3">
        <f t="shared" si="30"/>
        <v>73.179500000000189</v>
      </c>
      <c r="O66" s="3">
        <f t="shared" si="30"/>
        <v>39.7150000000006</v>
      </c>
      <c r="P66" s="3">
        <f t="shared" si="30"/>
        <v>151.68299999999954</v>
      </c>
      <c r="Q66" s="3">
        <f t="shared" si="30"/>
        <v>20.711999999999534</v>
      </c>
      <c r="R66" s="56">
        <f>SUM(L66:Q66)</f>
        <v>1075.0784999999996</v>
      </c>
      <c r="S66" s="57">
        <f t="shared" si="31"/>
        <v>-1.0129497804843818E-2</v>
      </c>
      <c r="T66" s="7">
        <f t="shared" si="31"/>
        <v>-3.5622150779898443E-3</v>
      </c>
      <c r="U66" s="7">
        <f t="shared" si="31"/>
        <v>-4.1371987924143649E-5</v>
      </c>
      <c r="V66" s="7">
        <f t="shared" si="31"/>
        <v>-5.1866419355289239E-3</v>
      </c>
      <c r="W66" s="7">
        <f t="shared" si="31"/>
        <v>1.7723033635025365E-3</v>
      </c>
      <c r="X66" s="7">
        <f t="shared" si="31"/>
        <v>4.1588126869890329E-3</v>
      </c>
      <c r="Y66" s="64">
        <f t="shared" si="31"/>
        <v>-2.517643089260363E-3</v>
      </c>
    </row>
    <row r="67" spans="3:25" hidden="1" x14ac:dyDescent="0.4">
      <c r="C67" s="2" t="s">
        <v>10</v>
      </c>
      <c r="D67" s="15" t="s">
        <v>11</v>
      </c>
      <c r="E67" s="3">
        <f t="shared" si="29"/>
        <v>360.34500000000116</v>
      </c>
      <c r="F67" s="3">
        <f t="shared" si="29"/>
        <v>-359.70449999999983</v>
      </c>
      <c r="G67" s="3">
        <f t="shared" si="29"/>
        <v>67.431000000000495</v>
      </c>
      <c r="H67" s="3">
        <f t="shared" si="29"/>
        <v>223.39149999999972</v>
      </c>
      <c r="I67" s="3">
        <f t="shared" si="29"/>
        <v>27.270999999998821</v>
      </c>
      <c r="J67" s="3">
        <f t="shared" si="29"/>
        <v>540.97299999999996</v>
      </c>
      <c r="K67" s="59">
        <f>SUM(E67:J67)</f>
        <v>859.70700000000033</v>
      </c>
      <c r="L67" s="2">
        <f t="shared" si="30"/>
        <v>137.08750000000009</v>
      </c>
      <c r="M67" s="3">
        <f t="shared" si="30"/>
        <v>-93.186999999999898</v>
      </c>
      <c r="N67" s="3">
        <f t="shared" si="30"/>
        <v>104.18299999999999</v>
      </c>
      <c r="O67" s="3">
        <f t="shared" si="30"/>
        <v>151.7175000000002</v>
      </c>
      <c r="P67" s="3">
        <f t="shared" si="30"/>
        <v>38.580500000000029</v>
      </c>
      <c r="Q67" s="3">
        <f t="shared" si="30"/>
        <v>253.96250000000009</v>
      </c>
      <c r="R67" s="56">
        <f>SUM(L67:Q67)</f>
        <v>592.34400000000051</v>
      </c>
      <c r="S67" s="57">
        <f t="shared" si="31"/>
        <v>7.305621933565043E-3</v>
      </c>
      <c r="T67" s="7">
        <f t="shared" si="31"/>
        <v>-3.2254667763067513E-3</v>
      </c>
      <c r="U67" s="7">
        <f t="shared" si="31"/>
        <v>1.2991214544223639E-2</v>
      </c>
      <c r="V67" s="7">
        <f t="shared" si="31"/>
        <v>1.3943790133578188E-2</v>
      </c>
      <c r="W67" s="7">
        <f t="shared" si="31"/>
        <v>4.1763295541589751E-3</v>
      </c>
      <c r="X67" s="7">
        <f t="shared" si="31"/>
        <v>1.5154093247214201E-2</v>
      </c>
      <c r="Y67" s="64">
        <f t="shared" si="31"/>
        <v>8.4935653830485458E-3</v>
      </c>
    </row>
    <row r="68" spans="3:25" hidden="1" x14ac:dyDescent="0.4">
      <c r="C68" s="2" t="s">
        <v>12</v>
      </c>
      <c r="D68" s="15" t="s">
        <v>13</v>
      </c>
      <c r="E68" s="3">
        <f t="shared" si="29"/>
        <v>343.14350000000013</v>
      </c>
      <c r="F68" s="3">
        <f t="shared" si="29"/>
        <v>459.69099999999889</v>
      </c>
      <c r="G68" s="3">
        <f t="shared" si="29"/>
        <v>118.51850000000013</v>
      </c>
      <c r="H68" s="3">
        <f t="shared" si="29"/>
        <v>601.80649999999878</v>
      </c>
      <c r="I68" s="3">
        <f t="shared" si="29"/>
        <v>903.90099999999984</v>
      </c>
      <c r="J68" s="3">
        <f t="shared" si="29"/>
        <v>9275.5169999999998</v>
      </c>
      <c r="K68" s="59">
        <f>SUM(E68:J68)</f>
        <v>11702.577499999998</v>
      </c>
      <c r="L68" s="2">
        <f t="shared" si="30"/>
        <v>49.342999999999847</v>
      </c>
      <c r="M68" s="3">
        <f t="shared" si="30"/>
        <v>109.83249999999998</v>
      </c>
      <c r="N68" s="3">
        <f t="shared" si="30"/>
        <v>99.65099999999984</v>
      </c>
      <c r="O68" s="3">
        <f t="shared" si="30"/>
        <v>153.64350000000013</v>
      </c>
      <c r="P68" s="3">
        <f t="shared" si="30"/>
        <v>165.64599999999973</v>
      </c>
      <c r="Q68" s="3">
        <f t="shared" si="30"/>
        <v>1502.4184999999998</v>
      </c>
      <c r="R68" s="56">
        <f>SUM(L68:Q68)</f>
        <v>2080.5344999999993</v>
      </c>
      <c r="S68" s="57">
        <f t="shared" si="31"/>
        <v>-1.142954273554847E-3</v>
      </c>
      <c r="T68" s="7">
        <f t="shared" si="31"/>
        <v>1.7916340851385215E-3</v>
      </c>
      <c r="U68" s="7">
        <f t="shared" si="31"/>
        <v>6.718158600537788E-3</v>
      </c>
      <c r="V68" s="7">
        <f t="shared" si="31"/>
        <v>2.7531850071068897E-3</v>
      </c>
      <c r="W68" s="7">
        <f t="shared" si="31"/>
        <v>-9.9331645926792334E-4</v>
      </c>
      <c r="X68" s="7">
        <f t="shared" si="31"/>
        <v>-1.5012038118378951E-2</v>
      </c>
      <c r="Y68" s="64">
        <f t="shared" si="31"/>
        <v>-2.0442614352182142E-3</v>
      </c>
    </row>
    <row r="69" spans="3:25" hidden="1" x14ac:dyDescent="0.4">
      <c r="C69" s="2" t="s">
        <v>14</v>
      </c>
      <c r="D69" s="15" t="s">
        <v>15</v>
      </c>
      <c r="E69" s="3">
        <f t="shared" si="29"/>
        <v>-1622.2090000000001</v>
      </c>
      <c r="F69" s="3">
        <f t="shared" si="29"/>
        <v>0</v>
      </c>
      <c r="G69" s="3">
        <f t="shared" si="29"/>
        <v>0</v>
      </c>
      <c r="H69" s="3">
        <f t="shared" si="29"/>
        <v>0</v>
      </c>
      <c r="I69" s="3">
        <f t="shared" si="29"/>
        <v>0</v>
      </c>
      <c r="J69" s="3">
        <f t="shared" si="29"/>
        <v>-1119.2375</v>
      </c>
      <c r="K69" s="59">
        <f>SUM(E69:J69)</f>
        <v>-2741.4465</v>
      </c>
      <c r="L69" s="2">
        <f t="shared" si="30"/>
        <v>-88.521500000000003</v>
      </c>
      <c r="M69" s="3">
        <f t="shared" si="30"/>
        <v>0</v>
      </c>
      <c r="N69" s="3">
        <f t="shared" si="30"/>
        <v>0</v>
      </c>
      <c r="O69" s="3">
        <f t="shared" si="30"/>
        <v>0</v>
      </c>
      <c r="P69" s="3">
        <f t="shared" si="30"/>
        <v>0</v>
      </c>
      <c r="Q69" s="3">
        <f t="shared" si="30"/>
        <v>-68.39</v>
      </c>
      <c r="R69" s="56">
        <f>SUM(L69:Q69)</f>
        <v>-156.91149999999999</v>
      </c>
      <c r="S69" s="57" t="e">
        <f t="shared" si="31"/>
        <v>#VALUE!</v>
      </c>
      <c r="T69" s="7" t="e">
        <f t="shared" si="31"/>
        <v>#VALUE!</v>
      </c>
      <c r="U69" s="7" t="e">
        <f t="shared" si="31"/>
        <v>#VALUE!</v>
      </c>
      <c r="V69" s="7" t="e">
        <f t="shared" si="31"/>
        <v>#VALUE!</v>
      </c>
      <c r="W69" s="7" t="e">
        <f t="shared" si="31"/>
        <v>#VALUE!</v>
      </c>
      <c r="X69" s="7" t="e">
        <f t="shared" si="31"/>
        <v>#VALUE!</v>
      </c>
      <c r="Y69" s="64" t="e">
        <f t="shared" si="31"/>
        <v>#VALUE!</v>
      </c>
    </row>
    <row r="70" spans="3:25" hidden="1" x14ac:dyDescent="0.4">
      <c r="C70" s="70" t="s">
        <v>16</v>
      </c>
      <c r="D70" s="15" t="s">
        <v>17</v>
      </c>
      <c r="E70" s="3"/>
      <c r="F70" s="3"/>
      <c r="G70" s="3"/>
      <c r="H70" s="3"/>
      <c r="I70" s="3"/>
      <c r="J70" s="3"/>
      <c r="K70" s="59"/>
      <c r="L70" s="2"/>
      <c r="M70" s="3"/>
      <c r="N70" s="3"/>
      <c r="O70" s="3"/>
      <c r="P70" s="3"/>
      <c r="Q70" s="3"/>
      <c r="R70" s="56"/>
      <c r="S70" s="57"/>
      <c r="T70" s="7"/>
      <c r="U70" s="7"/>
      <c r="V70" s="7"/>
      <c r="W70" s="7"/>
      <c r="X70" s="7"/>
      <c r="Y70" s="64"/>
    </row>
    <row r="71" spans="3:25" hidden="1" x14ac:dyDescent="0.4">
      <c r="C71" s="2" t="s">
        <v>18</v>
      </c>
      <c r="D71" s="15" t="s">
        <v>19</v>
      </c>
      <c r="E71" s="3">
        <f t="shared" ref="E71:J71" si="32">E47-E35</f>
        <v>-37.6</v>
      </c>
      <c r="F71" s="3">
        <f t="shared" si="32"/>
        <v>-0.9</v>
      </c>
      <c r="G71" s="3">
        <f t="shared" si="32"/>
        <v>-62.5</v>
      </c>
      <c r="H71" s="3">
        <f t="shared" si="32"/>
        <v>0</v>
      </c>
      <c r="I71" s="3">
        <f t="shared" si="32"/>
        <v>-2.4</v>
      </c>
      <c r="J71" s="3">
        <f t="shared" si="32"/>
        <v>0</v>
      </c>
      <c r="K71" s="59">
        <f>SUM(E71:J71)</f>
        <v>-103.4</v>
      </c>
      <c r="L71" s="2">
        <f t="shared" ref="L71:Q71" si="33">L47-L35</f>
        <v>-8.36</v>
      </c>
      <c r="M71" s="3">
        <f t="shared" si="33"/>
        <v>-0.26250000000000001</v>
      </c>
      <c r="N71" s="3">
        <f t="shared" si="33"/>
        <v>-10.1</v>
      </c>
      <c r="O71" s="3">
        <f t="shared" si="33"/>
        <v>0</v>
      </c>
      <c r="P71" s="3">
        <f t="shared" si="33"/>
        <v>-0.69</v>
      </c>
      <c r="Q71" s="3">
        <f t="shared" si="33"/>
        <v>0</v>
      </c>
      <c r="R71" s="56">
        <f>SUM(L71:Q71)</f>
        <v>-19.412499999999998</v>
      </c>
      <c r="S71" s="57" t="e">
        <f t="shared" ref="S71:Y72" si="34">S47-S35</f>
        <v>#VALUE!</v>
      </c>
      <c r="T71" s="7" t="e">
        <f t="shared" si="34"/>
        <v>#VALUE!</v>
      </c>
      <c r="U71" s="7" t="e">
        <f t="shared" si="34"/>
        <v>#VALUE!</v>
      </c>
      <c r="V71" s="7" t="e">
        <f t="shared" si="34"/>
        <v>#VALUE!</v>
      </c>
      <c r="W71" s="7" t="e">
        <f t="shared" si="34"/>
        <v>#VALUE!</v>
      </c>
      <c r="X71" s="7" t="e">
        <f t="shared" si="34"/>
        <v>#VALUE!</v>
      </c>
      <c r="Y71" s="64" t="e">
        <f t="shared" si="34"/>
        <v>#VALUE!</v>
      </c>
    </row>
    <row r="72" spans="3:25" hidden="1" x14ac:dyDescent="0.4">
      <c r="C72" s="4" t="s">
        <v>5</v>
      </c>
      <c r="D72" s="16"/>
      <c r="E72" s="6">
        <f t="shared" ref="E72:J72" si="35">SUM(E65:E71)</f>
        <v>2587.4320000000021</v>
      </c>
      <c r="F72" s="6">
        <f t="shared" si="35"/>
        <v>1529.6839999999988</v>
      </c>
      <c r="G72" s="6">
        <f t="shared" si="35"/>
        <v>917.87249999999949</v>
      </c>
      <c r="H72" s="6">
        <f t="shared" si="35"/>
        <v>1073.4994999999981</v>
      </c>
      <c r="I72" s="6">
        <f t="shared" si="35"/>
        <v>2931.3414999999964</v>
      </c>
      <c r="J72" s="6">
        <f t="shared" si="35"/>
        <v>10573.508500000002</v>
      </c>
      <c r="K72" s="60">
        <f>SUM(E72:J72)</f>
        <v>19613.337999999996</v>
      </c>
      <c r="L72" s="49">
        <f t="shared" ref="L72:Q72" si="36">SUM(L65:L71)</f>
        <v>655.36750000000018</v>
      </c>
      <c r="M72" s="6">
        <f t="shared" si="36"/>
        <v>319.98250000000036</v>
      </c>
      <c r="N72" s="6">
        <f t="shared" si="36"/>
        <v>386.05650000000003</v>
      </c>
      <c r="O72" s="6">
        <f t="shared" si="36"/>
        <v>327.84650000000056</v>
      </c>
      <c r="P72" s="6">
        <f t="shared" si="36"/>
        <v>737.5019999999995</v>
      </c>
      <c r="Q72" s="6">
        <f t="shared" si="36"/>
        <v>2188.7109999999993</v>
      </c>
      <c r="R72" s="50">
        <f>SUM(L72:Q72)</f>
        <v>4615.4660000000003</v>
      </c>
      <c r="S72" s="58">
        <f t="shared" si="34"/>
        <v>2.6132010961354701E-3</v>
      </c>
      <c r="T72" s="9">
        <f t="shared" si="34"/>
        <v>1.7579334088385634E-4</v>
      </c>
      <c r="U72" s="9">
        <f t="shared" si="34"/>
        <v>4.7404036592964827E-3</v>
      </c>
      <c r="V72" s="9">
        <f t="shared" si="34"/>
        <v>2.4902587415151778E-3</v>
      </c>
      <c r="W72" s="9">
        <f t="shared" si="34"/>
        <v>3.1172315608631318E-3</v>
      </c>
      <c r="X72" s="9">
        <f t="shared" si="34"/>
        <v>1.434794532191197E-3</v>
      </c>
      <c r="Y72" s="65">
        <f t="shared" si="34"/>
        <v>2.25879780575311E-3</v>
      </c>
    </row>
    <row r="73" spans="3:25" x14ac:dyDescent="0.4">
      <c r="C73" s="12"/>
      <c r="E73" s="11"/>
      <c r="F73" s="11"/>
      <c r="G73" s="11"/>
      <c r="H73" s="11"/>
      <c r="I73" s="11"/>
      <c r="J73" s="11"/>
      <c r="K73" s="12"/>
      <c r="L73" s="11"/>
      <c r="M73" s="11"/>
      <c r="N73" s="11"/>
      <c r="O73" s="11"/>
      <c r="P73" s="11"/>
      <c r="Q73" s="11"/>
      <c r="R73" s="12"/>
      <c r="S73" s="13"/>
      <c r="T73" s="13"/>
      <c r="U73" s="13"/>
      <c r="V73" s="13"/>
      <c r="W73" s="13"/>
      <c r="X73" s="13"/>
      <c r="Y73" s="13"/>
    </row>
    <row r="74" spans="3:25" x14ac:dyDescent="0.4">
      <c r="C74" s="12" t="s">
        <v>25</v>
      </c>
    </row>
    <row r="75" spans="3:25" x14ac:dyDescent="0.4">
      <c r="C75" s="85"/>
      <c r="D75" s="84"/>
      <c r="E75" s="85" t="s">
        <v>2</v>
      </c>
      <c r="F75" s="83"/>
      <c r="G75" s="83"/>
      <c r="H75" s="83"/>
      <c r="I75" s="83"/>
      <c r="J75" s="83"/>
      <c r="K75" s="84"/>
      <c r="L75" s="86" t="s">
        <v>3</v>
      </c>
      <c r="M75" s="83"/>
      <c r="N75" s="83"/>
      <c r="O75" s="83"/>
      <c r="P75" s="83"/>
      <c r="Q75" s="83"/>
      <c r="R75" s="84"/>
      <c r="S75" s="82" t="s">
        <v>4</v>
      </c>
      <c r="T75" s="83"/>
      <c r="U75" s="83"/>
      <c r="V75" s="83"/>
      <c r="W75" s="83"/>
      <c r="X75" s="83"/>
      <c r="Y75" s="84"/>
    </row>
    <row r="76" spans="3:25" x14ac:dyDescent="0.4">
      <c r="C76" s="1"/>
      <c r="D76" s="14"/>
      <c r="E76" s="54">
        <v>46113</v>
      </c>
      <c r="F76" s="51">
        <v>46143</v>
      </c>
      <c r="G76" s="51">
        <v>46174</v>
      </c>
      <c r="H76" s="51">
        <v>46204</v>
      </c>
      <c r="I76" s="51">
        <v>46235</v>
      </c>
      <c r="J76" s="51">
        <v>46266</v>
      </c>
      <c r="K76" s="52" t="s">
        <v>5</v>
      </c>
      <c r="L76" s="54">
        <v>46113</v>
      </c>
      <c r="M76" s="51">
        <v>46143</v>
      </c>
      <c r="N76" s="51">
        <v>46174</v>
      </c>
      <c r="O76" s="51">
        <v>46204</v>
      </c>
      <c r="P76" s="51">
        <v>46235</v>
      </c>
      <c r="Q76" s="51">
        <v>46266</v>
      </c>
      <c r="R76" s="52" t="s">
        <v>5</v>
      </c>
      <c r="S76" s="48">
        <v>46113</v>
      </c>
      <c r="T76" s="51">
        <v>46143</v>
      </c>
      <c r="U76" s="51">
        <v>46174</v>
      </c>
      <c r="V76" s="51">
        <v>46204</v>
      </c>
      <c r="W76" s="51">
        <v>46235</v>
      </c>
      <c r="X76" s="51">
        <v>46266</v>
      </c>
      <c r="Y76" s="52" t="s">
        <v>5</v>
      </c>
    </row>
    <row r="77" spans="3:25" x14ac:dyDescent="0.4">
      <c r="C77" s="2" t="s">
        <v>6</v>
      </c>
      <c r="D77" s="15" t="s">
        <v>7</v>
      </c>
      <c r="E77" s="3">
        <v>15744.501</v>
      </c>
      <c r="F77" s="3">
        <v>10976.27</v>
      </c>
      <c r="G77" s="79">
        <v>9450.6869999999999</v>
      </c>
      <c r="H77" s="3">
        <v>9629.1059999999998</v>
      </c>
      <c r="I77" s="3">
        <v>7893.2020000000002</v>
      </c>
      <c r="J77" s="3">
        <v>9142.0339999999997</v>
      </c>
      <c r="K77" s="59">
        <f t="shared" ref="K77:K84" si="37">SUM(E77:J77)</f>
        <v>62835.799999999996</v>
      </c>
      <c r="L77" s="2">
        <v>3925.6529999999998</v>
      </c>
      <c r="M77" s="62">
        <v>2266.8760000000002</v>
      </c>
      <c r="N77" s="79">
        <v>1926.086</v>
      </c>
      <c r="O77" s="3">
        <v>2120.8339999999998</v>
      </c>
      <c r="P77" s="3">
        <v>1748.6859999999999</v>
      </c>
      <c r="Q77" s="3">
        <v>2221.3200000000002</v>
      </c>
      <c r="R77" s="56">
        <f t="shared" ref="R77:R84" si="38">SUM(L77:Q77)</f>
        <v>14209.455</v>
      </c>
      <c r="S77" s="57">
        <f t="shared" ref="S77:Y81" si="39">IF(E77=0,"***",L77/E77)</f>
        <v>0.24933486301026622</v>
      </c>
      <c r="T77" s="7">
        <f t="shared" si="39"/>
        <v>0.20652516747492547</v>
      </c>
      <c r="U77" s="7">
        <f t="shared" si="39"/>
        <v>0.20380380812527174</v>
      </c>
      <c r="V77" s="7">
        <f t="shared" si="39"/>
        <v>0.2202524304956244</v>
      </c>
      <c r="W77" s="7">
        <f t="shared" si="39"/>
        <v>0.22154329763763805</v>
      </c>
      <c r="X77" s="7">
        <f t="shared" si="39"/>
        <v>0.24297875068064725</v>
      </c>
      <c r="Y77" s="64">
        <f t="shared" si="39"/>
        <v>0.2261362949146824</v>
      </c>
    </row>
    <row r="78" spans="3:25" x14ac:dyDescent="0.4">
      <c r="C78" s="2" t="s">
        <v>8</v>
      </c>
      <c r="D78" s="15" t="s">
        <v>9</v>
      </c>
      <c r="E78" s="3">
        <v>12689.174999999999</v>
      </c>
      <c r="F78" s="3">
        <v>18266.703000000001</v>
      </c>
      <c r="G78" s="79">
        <v>19128.594000000001</v>
      </c>
      <c r="H78" s="3">
        <v>16378.021000000001</v>
      </c>
      <c r="I78" s="3">
        <v>13478.138999999999</v>
      </c>
      <c r="J78" s="3">
        <v>15950.679</v>
      </c>
      <c r="K78" s="59">
        <f t="shared" si="37"/>
        <v>95891.311000000002</v>
      </c>
      <c r="L78" s="2">
        <v>2483.5509999999999</v>
      </c>
      <c r="M78" s="62">
        <v>3112.73</v>
      </c>
      <c r="N78" s="79">
        <v>3824.482</v>
      </c>
      <c r="O78" s="3">
        <v>3200.5349999999999</v>
      </c>
      <c r="P78" s="3">
        <v>2715.5309999999999</v>
      </c>
      <c r="Q78" s="3">
        <v>3205.9270000000001</v>
      </c>
      <c r="R78" s="56">
        <f t="shared" si="38"/>
        <v>18542.755999999998</v>
      </c>
      <c r="S78" s="57">
        <f t="shared" si="39"/>
        <v>0.19572202290535043</v>
      </c>
      <c r="T78" s="7">
        <f t="shared" si="39"/>
        <v>0.1704045880638668</v>
      </c>
      <c r="U78" s="7">
        <f t="shared" si="39"/>
        <v>0.19993534286942363</v>
      </c>
      <c r="V78" s="7">
        <f t="shared" si="39"/>
        <v>0.19541646698340415</v>
      </c>
      <c r="W78" s="7">
        <f t="shared" si="39"/>
        <v>0.20147670238450577</v>
      </c>
      <c r="X78" s="7">
        <f t="shared" si="39"/>
        <v>0.2009900017422456</v>
      </c>
      <c r="Y78" s="64">
        <f t="shared" si="39"/>
        <v>0.19337264040534388</v>
      </c>
    </row>
    <row r="79" spans="3:25" x14ac:dyDescent="0.4">
      <c r="C79" s="2" t="s">
        <v>10</v>
      </c>
      <c r="D79" s="15" t="s">
        <v>11</v>
      </c>
      <c r="E79" s="3">
        <v>9403.6110000000008</v>
      </c>
      <c r="F79" s="3">
        <v>9079.7150000000001</v>
      </c>
      <c r="G79" s="79">
        <v>8615.4830000000002</v>
      </c>
      <c r="H79" s="3">
        <v>9858.7990000000009</v>
      </c>
      <c r="I79" s="3">
        <v>9650.8819999999996</v>
      </c>
      <c r="J79" s="3">
        <v>11591.025</v>
      </c>
      <c r="K79" s="59">
        <f t="shared" si="37"/>
        <v>58199.514999999999</v>
      </c>
      <c r="L79" s="2">
        <v>1990.2329999999999</v>
      </c>
      <c r="M79" s="62">
        <v>2007.683</v>
      </c>
      <c r="N79" s="79">
        <v>1874.1079999999999</v>
      </c>
      <c r="O79" s="3">
        <v>2151.6419999999998</v>
      </c>
      <c r="P79" s="3">
        <v>1952.6489999999999</v>
      </c>
      <c r="Q79" s="3">
        <v>2430.17</v>
      </c>
      <c r="R79" s="56">
        <f t="shared" si="38"/>
        <v>12406.485000000001</v>
      </c>
      <c r="S79" s="57">
        <f t="shared" si="39"/>
        <v>0.21164561145713065</v>
      </c>
      <c r="T79" s="7">
        <f t="shared" si="39"/>
        <v>0.22111740291407825</v>
      </c>
      <c r="U79" s="7">
        <f t="shared" si="39"/>
        <v>0.21752790876611328</v>
      </c>
      <c r="V79" s="7">
        <f t="shared" si="39"/>
        <v>0.21824585327279719</v>
      </c>
      <c r="W79" s="7">
        <f t="shared" si="39"/>
        <v>0.20232855401195454</v>
      </c>
      <c r="X79" s="7">
        <f t="shared" si="39"/>
        <v>0.20965962889390716</v>
      </c>
      <c r="Y79" s="64">
        <f t="shared" si="39"/>
        <v>0.21317162179100635</v>
      </c>
    </row>
    <row r="80" spans="3:25" x14ac:dyDescent="0.4">
      <c r="C80" s="2" t="s">
        <v>12</v>
      </c>
      <c r="D80" s="15" t="s">
        <v>13</v>
      </c>
      <c r="E80" s="3">
        <v>14052.192999999999</v>
      </c>
      <c r="F80" s="3">
        <v>11657.203</v>
      </c>
      <c r="G80" s="79">
        <v>11564.468999999999</v>
      </c>
      <c r="H80" s="3">
        <v>14695.665000000001</v>
      </c>
      <c r="I80" s="3">
        <v>13183.796</v>
      </c>
      <c r="J80" s="3">
        <v>14028.019</v>
      </c>
      <c r="K80" s="59">
        <f t="shared" si="37"/>
        <v>79181.345000000001</v>
      </c>
      <c r="L80" s="2">
        <v>2789.712</v>
      </c>
      <c r="M80" s="62">
        <v>2337.4499999999998</v>
      </c>
      <c r="N80" s="79">
        <v>2603.6990000000001</v>
      </c>
      <c r="O80" s="3">
        <v>3150.701</v>
      </c>
      <c r="P80" s="3">
        <v>2770.0630000000001</v>
      </c>
      <c r="Q80" s="3">
        <v>3020.4839999999999</v>
      </c>
      <c r="R80" s="56">
        <f t="shared" si="38"/>
        <v>16672.109</v>
      </c>
      <c r="S80" s="57">
        <f t="shared" si="39"/>
        <v>0.19852502737473077</v>
      </c>
      <c r="T80" s="7">
        <f t="shared" si="39"/>
        <v>0.20051550959522621</v>
      </c>
      <c r="U80" s="7">
        <f t="shared" si="39"/>
        <v>0.22514643776553858</v>
      </c>
      <c r="V80" s="7">
        <f t="shared" si="39"/>
        <v>0.21439662648815141</v>
      </c>
      <c r="W80" s="7">
        <f t="shared" si="39"/>
        <v>0.21011118497282574</v>
      </c>
      <c r="X80" s="7">
        <f t="shared" si="39"/>
        <v>0.21531792906753261</v>
      </c>
      <c r="Y80" s="64">
        <f t="shared" si="39"/>
        <v>0.21055602174981999</v>
      </c>
    </row>
    <row r="81" spans="3:25" x14ac:dyDescent="0.4">
      <c r="C81" s="2" t="s">
        <v>14</v>
      </c>
      <c r="D81" s="15" t="s">
        <v>15</v>
      </c>
      <c r="E81" s="3"/>
      <c r="F81" s="3"/>
      <c r="G81" s="3"/>
      <c r="H81" s="3"/>
      <c r="I81" s="3">
        <v>0</v>
      </c>
      <c r="J81" s="3">
        <v>0</v>
      </c>
      <c r="K81" s="59">
        <f t="shared" si="37"/>
        <v>0</v>
      </c>
      <c r="L81" s="2"/>
      <c r="M81" s="3"/>
      <c r="N81" s="3"/>
      <c r="O81" s="3"/>
      <c r="P81" s="3">
        <v>0</v>
      </c>
      <c r="Q81" s="3">
        <v>0</v>
      </c>
      <c r="R81" s="56">
        <f t="shared" si="38"/>
        <v>0</v>
      </c>
      <c r="S81" s="57" t="str">
        <f t="shared" si="39"/>
        <v>***</v>
      </c>
      <c r="T81" s="7" t="str">
        <f t="shared" si="39"/>
        <v>***</v>
      </c>
      <c r="U81" s="7" t="str">
        <f t="shared" si="39"/>
        <v>***</v>
      </c>
      <c r="V81" s="7" t="str">
        <f t="shared" si="39"/>
        <v>***</v>
      </c>
      <c r="W81" s="7" t="str">
        <f t="shared" si="39"/>
        <v>***</v>
      </c>
      <c r="X81" s="7" t="str">
        <f t="shared" si="39"/>
        <v>***</v>
      </c>
      <c r="Y81" s="64" t="str">
        <f t="shared" si="39"/>
        <v>***</v>
      </c>
    </row>
    <row r="82" spans="3:25" x14ac:dyDescent="0.4">
      <c r="C82" s="70" t="s">
        <v>16</v>
      </c>
      <c r="D82" s="15" t="s">
        <v>17</v>
      </c>
      <c r="E82" s="3"/>
      <c r="F82" s="3"/>
      <c r="G82" s="79">
        <v>94.2</v>
      </c>
      <c r="H82" s="3">
        <v>0</v>
      </c>
      <c r="I82" s="3">
        <v>69.099999999999994</v>
      </c>
      <c r="J82" s="3">
        <v>0</v>
      </c>
      <c r="K82" s="59">
        <f t="shared" si="37"/>
        <v>163.30000000000001</v>
      </c>
      <c r="L82" s="2"/>
      <c r="M82" s="3"/>
      <c r="N82" s="79">
        <v>3.15</v>
      </c>
      <c r="O82" s="3">
        <v>0</v>
      </c>
      <c r="P82" s="3">
        <v>2.2000000000000002</v>
      </c>
      <c r="Q82" s="3">
        <v>0</v>
      </c>
      <c r="R82" s="56">
        <f t="shared" si="38"/>
        <v>5.35</v>
      </c>
      <c r="S82" s="57"/>
      <c r="T82" s="7"/>
      <c r="U82" s="7"/>
      <c r="V82" s="7"/>
      <c r="W82" s="7"/>
      <c r="X82" s="7"/>
      <c r="Y82" s="64"/>
    </row>
    <row r="83" spans="3:25" x14ac:dyDescent="0.4">
      <c r="C83" s="2" t="s">
        <v>18</v>
      </c>
      <c r="D83" s="15" t="s">
        <v>19</v>
      </c>
      <c r="E83" s="3"/>
      <c r="F83" s="3"/>
      <c r="G83" s="3"/>
      <c r="H83" s="3"/>
      <c r="I83" s="3">
        <v>0</v>
      </c>
      <c r="J83" s="3">
        <v>0</v>
      </c>
      <c r="K83" s="59">
        <f t="shared" si="37"/>
        <v>0</v>
      </c>
      <c r="L83" s="2"/>
      <c r="M83" s="3"/>
      <c r="N83" s="3"/>
      <c r="O83" s="3"/>
      <c r="P83" s="3">
        <v>0</v>
      </c>
      <c r="Q83" s="3">
        <v>0</v>
      </c>
      <c r="R83" s="56">
        <f t="shared" si="38"/>
        <v>0</v>
      </c>
      <c r="S83" s="57" t="str">
        <f t="shared" ref="S83:Y84" si="40">IF(E83=0,"***",L83/E83)</f>
        <v>***</v>
      </c>
      <c r="T83" s="7" t="str">
        <f t="shared" si="40"/>
        <v>***</v>
      </c>
      <c r="U83" s="7" t="str">
        <f t="shared" si="40"/>
        <v>***</v>
      </c>
      <c r="V83" s="7" t="str">
        <f t="shared" si="40"/>
        <v>***</v>
      </c>
      <c r="W83" s="7" t="str">
        <f t="shared" si="40"/>
        <v>***</v>
      </c>
      <c r="X83" s="7" t="str">
        <f t="shared" si="40"/>
        <v>***</v>
      </c>
      <c r="Y83" s="64" t="str">
        <f t="shared" si="40"/>
        <v>***</v>
      </c>
    </row>
    <row r="84" spans="3:25" x14ac:dyDescent="0.4">
      <c r="C84" s="4" t="s">
        <v>5</v>
      </c>
      <c r="D84" s="16"/>
      <c r="E84" s="6">
        <f t="shared" ref="E84:J84" si="41">SUM(E77:E83)</f>
        <v>51889.479999999996</v>
      </c>
      <c r="F84" s="6">
        <f t="shared" si="41"/>
        <v>49979.891000000003</v>
      </c>
      <c r="G84" s="6">
        <f t="shared" si="41"/>
        <v>48853.432999999997</v>
      </c>
      <c r="H84" s="6">
        <f t="shared" si="41"/>
        <v>50561.591</v>
      </c>
      <c r="I84" s="6">
        <f t="shared" si="41"/>
        <v>44275.118999999999</v>
      </c>
      <c r="J84" s="6">
        <f t="shared" si="41"/>
        <v>50711.756999999998</v>
      </c>
      <c r="K84" s="60">
        <f t="shared" si="37"/>
        <v>296271.27100000001</v>
      </c>
      <c r="L84" s="49">
        <f t="shared" ref="L84:Q84" si="42">SUM(L77:L83)</f>
        <v>11189.148999999999</v>
      </c>
      <c r="M84" s="6">
        <f t="shared" si="42"/>
        <v>9724.7389999999996</v>
      </c>
      <c r="N84" s="6">
        <f t="shared" si="42"/>
        <v>10231.525</v>
      </c>
      <c r="O84" s="6">
        <f t="shared" si="42"/>
        <v>10623.712</v>
      </c>
      <c r="P84" s="6">
        <f t="shared" si="42"/>
        <v>9189.1290000000008</v>
      </c>
      <c r="Q84" s="6">
        <f t="shared" si="42"/>
        <v>10877.901</v>
      </c>
      <c r="R84" s="50">
        <f t="shared" si="38"/>
        <v>61836.154999999999</v>
      </c>
      <c r="S84" s="58">
        <f t="shared" si="40"/>
        <v>0.21563424802098616</v>
      </c>
      <c r="T84" s="9">
        <f t="shared" si="40"/>
        <v>0.19457303338256579</v>
      </c>
      <c r="U84" s="9">
        <f t="shared" si="40"/>
        <v>0.2094330811920628</v>
      </c>
      <c r="V84" s="9">
        <f t="shared" si="40"/>
        <v>0.21011427429172472</v>
      </c>
      <c r="W84" s="9">
        <f t="shared" si="40"/>
        <v>0.20754611636391088</v>
      </c>
      <c r="X84" s="9">
        <f t="shared" si="40"/>
        <v>0.21450451815345306</v>
      </c>
      <c r="Y84" s="65">
        <f t="shared" si="40"/>
        <v>0.20871465124271193</v>
      </c>
    </row>
    <row r="85" spans="3:25" x14ac:dyDescent="0.4">
      <c r="C85" s="12"/>
      <c r="E85" s="11"/>
      <c r="F85" s="11"/>
      <c r="G85" s="11"/>
      <c r="H85" s="11"/>
      <c r="I85" s="11"/>
      <c r="J85" s="11"/>
      <c r="K85" s="12"/>
      <c r="L85" s="11"/>
      <c r="M85" s="11"/>
      <c r="N85" s="11"/>
      <c r="O85" s="11"/>
      <c r="P85" s="11"/>
      <c r="Q85" s="11"/>
      <c r="R85" s="12"/>
      <c r="S85" s="13"/>
      <c r="T85" s="13"/>
      <c r="U85" s="13"/>
      <c r="V85" s="13"/>
      <c r="W85" s="13"/>
      <c r="X85" s="13"/>
      <c r="Y85" s="13"/>
    </row>
    <row r="86" spans="3:25" x14ac:dyDescent="0.4">
      <c r="C86" s="12" t="s">
        <v>26</v>
      </c>
    </row>
    <row r="87" spans="3:25" x14ac:dyDescent="0.4">
      <c r="C87" s="85"/>
      <c r="D87" s="84"/>
      <c r="E87" s="85" t="s">
        <v>2</v>
      </c>
      <c r="F87" s="83"/>
      <c r="G87" s="83"/>
      <c r="H87" s="83"/>
      <c r="I87" s="83"/>
      <c r="J87" s="83"/>
      <c r="K87" s="84"/>
      <c r="L87" s="82" t="s">
        <v>3</v>
      </c>
      <c r="M87" s="83"/>
      <c r="N87" s="83"/>
      <c r="O87" s="83"/>
      <c r="P87" s="83"/>
      <c r="Q87" s="83"/>
      <c r="R87" s="84"/>
      <c r="S87" s="82" t="s">
        <v>4</v>
      </c>
      <c r="T87" s="83"/>
      <c r="U87" s="83"/>
      <c r="V87" s="83"/>
      <c r="W87" s="83"/>
      <c r="X87" s="83"/>
      <c r="Y87" s="84"/>
    </row>
    <row r="88" spans="3:25" x14ac:dyDescent="0.4">
      <c r="C88" s="1"/>
      <c r="D88" s="14"/>
      <c r="E88" s="54">
        <v>46113</v>
      </c>
      <c r="F88" s="51">
        <v>46143</v>
      </c>
      <c r="G88" s="51">
        <v>46174</v>
      </c>
      <c r="H88" s="51">
        <v>46204</v>
      </c>
      <c r="I88" s="51">
        <v>46235</v>
      </c>
      <c r="J88" s="51">
        <v>46266</v>
      </c>
      <c r="K88" s="52" t="s">
        <v>5</v>
      </c>
      <c r="L88" s="48">
        <v>46113</v>
      </c>
      <c r="M88" s="51">
        <v>46143</v>
      </c>
      <c r="N88" s="51">
        <v>46174</v>
      </c>
      <c r="O88" s="51">
        <v>46204</v>
      </c>
      <c r="P88" s="51">
        <v>46235</v>
      </c>
      <c r="Q88" s="51">
        <v>46266</v>
      </c>
      <c r="R88" s="52" t="s">
        <v>5</v>
      </c>
      <c r="S88" s="48">
        <v>46113</v>
      </c>
      <c r="T88" s="51">
        <v>46143</v>
      </c>
      <c r="U88" s="51">
        <v>46174</v>
      </c>
      <c r="V88" s="51">
        <v>46204</v>
      </c>
      <c r="W88" s="51">
        <v>46235</v>
      </c>
      <c r="X88" s="51">
        <v>46266</v>
      </c>
      <c r="Y88" s="52" t="s">
        <v>5</v>
      </c>
    </row>
    <row r="89" spans="3:25" x14ac:dyDescent="0.4">
      <c r="C89" s="2" t="s">
        <v>6</v>
      </c>
      <c r="D89" s="15" t="s">
        <v>7</v>
      </c>
      <c r="E89" s="3">
        <f t="shared" ref="E89:J95" si="43">E77-E41</f>
        <v>3244.5010000000002</v>
      </c>
      <c r="F89" s="3">
        <f t="shared" si="43"/>
        <v>1476.2700000000004</v>
      </c>
      <c r="G89" s="79">
        <f t="shared" si="43"/>
        <v>-49.313000000000102</v>
      </c>
      <c r="H89" s="3">
        <f t="shared" si="43"/>
        <v>-1370.8940000000002</v>
      </c>
      <c r="I89" s="3">
        <f t="shared" si="43"/>
        <v>-3106.7979999999998</v>
      </c>
      <c r="J89" s="3">
        <f t="shared" si="43"/>
        <v>-2657.9660000000003</v>
      </c>
      <c r="K89" s="59">
        <f t="shared" ref="K89:K96" si="44">SUM(E89:J89)</f>
        <v>-2464.1999999999998</v>
      </c>
      <c r="L89" s="2">
        <f t="shared" ref="L89:Q95" si="45">L77-L41</f>
        <v>1025.6529999999998</v>
      </c>
      <c r="M89" s="3">
        <f t="shared" si="45"/>
        <v>66.876000000000204</v>
      </c>
      <c r="N89" s="79">
        <f t="shared" si="45"/>
        <v>-273.91399999999999</v>
      </c>
      <c r="O89" s="3">
        <f t="shared" si="45"/>
        <v>-429.16600000000017</v>
      </c>
      <c r="P89" s="3">
        <f t="shared" si="45"/>
        <v>-801.31400000000008</v>
      </c>
      <c r="Q89" s="3">
        <f t="shared" si="45"/>
        <v>-528.67999999999984</v>
      </c>
      <c r="R89" s="56">
        <f t="shared" ref="R89:R96" si="46">SUM(L89:Q89)</f>
        <v>-940.54500000000007</v>
      </c>
      <c r="S89" s="57">
        <f t="shared" ref="S89:Y93" si="47">S77-S41</f>
        <v>1.733486301026621E-2</v>
      </c>
      <c r="T89" s="57">
        <f t="shared" si="47"/>
        <v>-2.5053779893495581E-2</v>
      </c>
      <c r="U89" s="7">
        <f t="shared" si="47"/>
        <v>-2.777513924314931E-2</v>
      </c>
      <c r="V89" s="7">
        <f t="shared" si="47"/>
        <v>-1.156575132255741E-2</v>
      </c>
      <c r="W89" s="7">
        <f t="shared" si="47"/>
        <v>-1.0274884180543759E-2</v>
      </c>
      <c r="X89" s="7">
        <f t="shared" si="47"/>
        <v>9.9279032230201458E-3</v>
      </c>
      <c r="Y89" s="64">
        <f t="shared" si="47"/>
        <v>-5.8698306595901806E-3</v>
      </c>
    </row>
    <row r="90" spans="3:25" x14ac:dyDescent="0.4">
      <c r="C90" s="2" t="s">
        <v>8</v>
      </c>
      <c r="D90" s="15" t="s">
        <v>9</v>
      </c>
      <c r="E90" s="3">
        <f t="shared" si="43"/>
        <v>-4310.8250000000007</v>
      </c>
      <c r="F90" s="3">
        <f t="shared" si="43"/>
        <v>5266.7030000000013</v>
      </c>
      <c r="G90" s="79">
        <f t="shared" si="43"/>
        <v>6928.594000000001</v>
      </c>
      <c r="H90" s="3">
        <f t="shared" si="43"/>
        <v>1878.0210000000006</v>
      </c>
      <c r="I90" s="3">
        <f t="shared" si="43"/>
        <v>1278.1389999999992</v>
      </c>
      <c r="J90" s="3">
        <f t="shared" si="43"/>
        <v>2750.6790000000001</v>
      </c>
      <c r="K90" s="59">
        <f t="shared" si="44"/>
        <v>13791.311000000002</v>
      </c>
      <c r="L90" s="2">
        <f t="shared" si="45"/>
        <v>-916.44900000000007</v>
      </c>
      <c r="M90" s="3">
        <f t="shared" si="45"/>
        <v>412.73</v>
      </c>
      <c r="N90" s="79">
        <f t="shared" si="45"/>
        <v>1324.482</v>
      </c>
      <c r="O90" s="3">
        <f t="shared" si="45"/>
        <v>200.53499999999985</v>
      </c>
      <c r="P90" s="3">
        <f t="shared" si="45"/>
        <v>165.53099999999995</v>
      </c>
      <c r="Q90" s="3">
        <f t="shared" si="45"/>
        <v>455.92700000000013</v>
      </c>
      <c r="R90" s="56">
        <f t="shared" si="46"/>
        <v>1642.7559999999999</v>
      </c>
      <c r="S90" s="57">
        <f t="shared" si="47"/>
        <v>-4.2779770946495821E-3</v>
      </c>
      <c r="T90" s="57">
        <f t="shared" si="47"/>
        <v>-3.7287719628440907E-2</v>
      </c>
      <c r="U90" s="7">
        <f t="shared" si="47"/>
        <v>-4.982689917461619E-3</v>
      </c>
      <c r="V90" s="7">
        <f t="shared" si="47"/>
        <v>-1.1480084740733781E-2</v>
      </c>
      <c r="W90" s="7">
        <f t="shared" si="47"/>
        <v>-7.5396910581171928E-3</v>
      </c>
      <c r="X90" s="7">
        <f t="shared" si="47"/>
        <v>-7.3433315910877428E-3</v>
      </c>
      <c r="Y90" s="64">
        <f t="shared" si="47"/>
        <v>-1.247388821828585E-2</v>
      </c>
    </row>
    <row r="91" spans="3:25" x14ac:dyDescent="0.4">
      <c r="C91" s="2" t="s">
        <v>10</v>
      </c>
      <c r="D91" s="15" t="s">
        <v>11</v>
      </c>
      <c r="E91" s="3">
        <f t="shared" si="43"/>
        <v>-596.38899999999921</v>
      </c>
      <c r="F91" s="3">
        <f t="shared" si="43"/>
        <v>1279.7150000000001</v>
      </c>
      <c r="G91" s="79">
        <f t="shared" si="43"/>
        <v>1515.4830000000002</v>
      </c>
      <c r="H91" s="3">
        <f t="shared" si="43"/>
        <v>1858.7990000000009</v>
      </c>
      <c r="I91" s="3">
        <f t="shared" si="43"/>
        <v>1650.8819999999996</v>
      </c>
      <c r="J91" s="3">
        <f t="shared" si="43"/>
        <v>1091.0249999999996</v>
      </c>
      <c r="K91" s="59">
        <f t="shared" si="44"/>
        <v>6799.5150000000012</v>
      </c>
      <c r="L91" s="2">
        <f t="shared" si="45"/>
        <v>140.23299999999995</v>
      </c>
      <c r="M91" s="3">
        <f t="shared" si="45"/>
        <v>557.68299999999999</v>
      </c>
      <c r="N91" s="79">
        <f t="shared" si="45"/>
        <v>524.10799999999995</v>
      </c>
      <c r="O91" s="3">
        <f t="shared" si="45"/>
        <v>601.64199999999983</v>
      </c>
      <c r="P91" s="3">
        <f t="shared" si="45"/>
        <v>402.64899999999989</v>
      </c>
      <c r="Q91" s="3">
        <f t="shared" si="45"/>
        <v>430.17000000000007</v>
      </c>
      <c r="R91" s="56">
        <f t="shared" si="46"/>
        <v>2656.4849999999997</v>
      </c>
      <c r="S91" s="57">
        <f t="shared" si="47"/>
        <v>2.6645611457130652E-2</v>
      </c>
      <c r="T91" s="57">
        <f t="shared" si="47"/>
        <v>3.5219967016642345E-2</v>
      </c>
      <c r="U91" s="7">
        <f t="shared" si="47"/>
        <v>2.7387063695690744E-2</v>
      </c>
      <c r="V91" s="7">
        <f t="shared" si="47"/>
        <v>2.4495853272797186E-2</v>
      </c>
      <c r="W91" s="7">
        <f t="shared" si="47"/>
        <v>8.5785540119545367E-3</v>
      </c>
      <c r="X91" s="7">
        <f t="shared" si="47"/>
        <v>1.9183438417716692E-2</v>
      </c>
      <c r="Y91" s="64">
        <f t="shared" si="47"/>
        <v>2.3482905837698964E-2</v>
      </c>
    </row>
    <row r="92" spans="3:25" x14ac:dyDescent="0.4">
      <c r="C92" s="2" t="s">
        <v>12</v>
      </c>
      <c r="D92" s="15" t="s">
        <v>13</v>
      </c>
      <c r="E92" s="3">
        <f t="shared" si="43"/>
        <v>52.192999999999302</v>
      </c>
      <c r="F92" s="3">
        <f t="shared" si="43"/>
        <v>-842.79700000000048</v>
      </c>
      <c r="G92" s="79">
        <f t="shared" si="43"/>
        <v>64.468999999999141</v>
      </c>
      <c r="H92" s="3">
        <f t="shared" si="43"/>
        <v>1195.6650000000009</v>
      </c>
      <c r="I92" s="3">
        <f t="shared" si="43"/>
        <v>683.79600000000028</v>
      </c>
      <c r="J92" s="3">
        <f t="shared" si="43"/>
        <v>-6971.9809999999998</v>
      </c>
      <c r="K92" s="59">
        <f t="shared" si="44"/>
        <v>-5818.6550000000007</v>
      </c>
      <c r="L92" s="2">
        <f t="shared" si="45"/>
        <v>139.71199999999999</v>
      </c>
      <c r="M92" s="3">
        <f t="shared" si="45"/>
        <v>-62.550000000000182</v>
      </c>
      <c r="N92" s="79">
        <f t="shared" si="45"/>
        <v>353.69900000000007</v>
      </c>
      <c r="O92" s="3">
        <f t="shared" si="45"/>
        <v>500.70100000000002</v>
      </c>
      <c r="P92" s="3">
        <f t="shared" si="45"/>
        <v>320.0630000000001</v>
      </c>
      <c r="Q92" s="3">
        <f t="shared" si="45"/>
        <v>-779.51600000000008</v>
      </c>
      <c r="R92" s="56">
        <f t="shared" si="46"/>
        <v>472.10899999999992</v>
      </c>
      <c r="S92" s="57">
        <f t="shared" si="47"/>
        <v>9.2393130890164876E-3</v>
      </c>
      <c r="T92" s="57">
        <f t="shared" si="47"/>
        <v>8.5155095952262061E-3</v>
      </c>
      <c r="U92" s="7">
        <f t="shared" si="47"/>
        <v>2.9494263852495095E-2</v>
      </c>
      <c r="V92" s="7">
        <f t="shared" si="47"/>
        <v>1.8100330191855113E-2</v>
      </c>
      <c r="W92" s="7">
        <f t="shared" si="47"/>
        <v>1.4111184972825735E-2</v>
      </c>
      <c r="X92" s="7">
        <f t="shared" si="47"/>
        <v>3.4365548115151662E-2</v>
      </c>
      <c r="Y92" s="64">
        <f t="shared" si="47"/>
        <v>1.9967786455702352E-2</v>
      </c>
    </row>
    <row r="93" spans="3:25" x14ac:dyDescent="0.4">
      <c r="C93" s="2" t="s">
        <v>14</v>
      </c>
      <c r="D93" s="15" t="s">
        <v>15</v>
      </c>
      <c r="E93" s="3">
        <f t="shared" si="43"/>
        <v>0</v>
      </c>
      <c r="F93" s="3">
        <f t="shared" si="43"/>
        <v>0</v>
      </c>
      <c r="G93" s="79">
        <f t="shared" si="43"/>
        <v>0</v>
      </c>
      <c r="H93" s="3">
        <f t="shared" si="43"/>
        <v>0</v>
      </c>
      <c r="I93" s="3">
        <f t="shared" si="43"/>
        <v>0</v>
      </c>
      <c r="J93" s="3">
        <f t="shared" si="43"/>
        <v>0</v>
      </c>
      <c r="K93" s="59">
        <f t="shared" si="44"/>
        <v>0</v>
      </c>
      <c r="L93" s="2">
        <f t="shared" si="45"/>
        <v>0</v>
      </c>
      <c r="M93" s="3">
        <f t="shared" si="45"/>
        <v>0</v>
      </c>
      <c r="N93" s="79">
        <f t="shared" si="45"/>
        <v>0</v>
      </c>
      <c r="O93" s="3">
        <f t="shared" si="45"/>
        <v>0</v>
      </c>
      <c r="P93" s="3">
        <f t="shared" si="45"/>
        <v>0</v>
      </c>
      <c r="Q93" s="3">
        <f t="shared" si="45"/>
        <v>0</v>
      </c>
      <c r="R93" s="56">
        <f t="shared" si="46"/>
        <v>0</v>
      </c>
      <c r="S93" s="57" t="e">
        <f t="shared" si="47"/>
        <v>#VALUE!</v>
      </c>
      <c r="T93" s="57" t="e">
        <f t="shared" si="47"/>
        <v>#VALUE!</v>
      </c>
      <c r="U93" s="7" t="e">
        <f t="shared" si="47"/>
        <v>#VALUE!</v>
      </c>
      <c r="V93" s="7" t="e">
        <f t="shared" si="47"/>
        <v>#VALUE!</v>
      </c>
      <c r="W93" s="7" t="e">
        <f t="shared" si="47"/>
        <v>#VALUE!</v>
      </c>
      <c r="X93" s="7" t="e">
        <f t="shared" si="47"/>
        <v>#VALUE!</v>
      </c>
      <c r="Y93" s="64" t="e">
        <f t="shared" si="47"/>
        <v>#VALUE!</v>
      </c>
    </row>
    <row r="94" spans="3:25" x14ac:dyDescent="0.4">
      <c r="C94" s="70" t="s">
        <v>16</v>
      </c>
      <c r="D94" s="15" t="s">
        <v>17</v>
      </c>
      <c r="E94" s="3">
        <f t="shared" si="43"/>
        <v>0</v>
      </c>
      <c r="F94" s="3">
        <f t="shared" si="43"/>
        <v>0</v>
      </c>
      <c r="G94" s="79">
        <f t="shared" si="43"/>
        <v>-5.7999999999999972</v>
      </c>
      <c r="H94" s="3">
        <f t="shared" si="43"/>
        <v>0</v>
      </c>
      <c r="I94" s="3">
        <f t="shared" si="43"/>
        <v>69.099999999999994</v>
      </c>
      <c r="J94" s="3">
        <f t="shared" si="43"/>
        <v>-100</v>
      </c>
      <c r="K94" s="59">
        <f t="shared" si="44"/>
        <v>-36.700000000000003</v>
      </c>
      <c r="L94" s="2">
        <f t="shared" si="45"/>
        <v>0</v>
      </c>
      <c r="M94" s="3">
        <f t="shared" si="45"/>
        <v>0</v>
      </c>
      <c r="N94" s="79">
        <f t="shared" si="45"/>
        <v>-6.85</v>
      </c>
      <c r="O94" s="3">
        <f t="shared" si="45"/>
        <v>0</v>
      </c>
      <c r="P94" s="3">
        <f t="shared" si="45"/>
        <v>2.2000000000000002</v>
      </c>
      <c r="Q94" s="3">
        <f t="shared" si="45"/>
        <v>-10</v>
      </c>
      <c r="R94" s="56">
        <f t="shared" si="46"/>
        <v>-14.649999999999999</v>
      </c>
      <c r="S94" s="57"/>
      <c r="T94" s="57"/>
      <c r="U94" s="7"/>
      <c r="V94" s="7"/>
      <c r="W94" s="7"/>
      <c r="X94" s="7"/>
      <c r="Y94" s="64"/>
    </row>
    <row r="95" spans="3:25" x14ac:dyDescent="0.4">
      <c r="C95" s="2" t="s">
        <v>18</v>
      </c>
      <c r="D95" s="15" t="s">
        <v>19</v>
      </c>
      <c r="E95" s="3">
        <f t="shared" si="43"/>
        <v>0</v>
      </c>
      <c r="F95" s="3">
        <f t="shared" si="43"/>
        <v>0</v>
      </c>
      <c r="G95" s="79">
        <f t="shared" si="43"/>
        <v>0</v>
      </c>
      <c r="H95" s="3">
        <f t="shared" si="43"/>
        <v>0</v>
      </c>
      <c r="I95" s="3">
        <f t="shared" si="43"/>
        <v>0</v>
      </c>
      <c r="J95" s="3">
        <f t="shared" si="43"/>
        <v>0</v>
      </c>
      <c r="K95" s="59">
        <f t="shared" si="44"/>
        <v>0</v>
      </c>
      <c r="L95" s="2">
        <f t="shared" si="45"/>
        <v>0</v>
      </c>
      <c r="M95" s="3">
        <f t="shared" si="45"/>
        <v>0</v>
      </c>
      <c r="N95" s="3">
        <f t="shared" si="45"/>
        <v>0</v>
      </c>
      <c r="O95" s="3">
        <f t="shared" si="45"/>
        <v>0</v>
      </c>
      <c r="P95" s="3">
        <f t="shared" si="45"/>
        <v>0</v>
      </c>
      <c r="Q95" s="3">
        <f t="shared" si="45"/>
        <v>0</v>
      </c>
      <c r="R95" s="56">
        <f t="shared" si="46"/>
        <v>0</v>
      </c>
      <c r="S95" s="57" t="e">
        <f t="shared" ref="S95:Y96" si="48">S83-S47</f>
        <v>#VALUE!</v>
      </c>
      <c r="T95" s="57" t="e">
        <f t="shared" si="48"/>
        <v>#VALUE!</v>
      </c>
      <c r="U95" s="7" t="e">
        <f t="shared" si="48"/>
        <v>#VALUE!</v>
      </c>
      <c r="V95" s="7" t="e">
        <f t="shared" si="48"/>
        <v>#VALUE!</v>
      </c>
      <c r="W95" s="7" t="e">
        <f t="shared" si="48"/>
        <v>#VALUE!</v>
      </c>
      <c r="X95" s="7" t="e">
        <f t="shared" si="48"/>
        <v>#VALUE!</v>
      </c>
      <c r="Y95" s="64" t="e">
        <f t="shared" si="48"/>
        <v>#VALUE!</v>
      </c>
    </row>
    <row r="96" spans="3:25" x14ac:dyDescent="0.4">
      <c r="C96" s="4" t="s">
        <v>5</v>
      </c>
      <c r="D96" s="16"/>
      <c r="E96" s="6">
        <f t="shared" ref="E96:J96" si="49">SUM(E89:E95)</f>
        <v>-1610.5200000000004</v>
      </c>
      <c r="F96" s="6">
        <f t="shared" si="49"/>
        <v>7179.8910000000014</v>
      </c>
      <c r="G96" s="6">
        <f t="shared" si="49"/>
        <v>8453.4330000000009</v>
      </c>
      <c r="H96" s="6">
        <f t="shared" si="49"/>
        <v>3561.5910000000022</v>
      </c>
      <c r="I96" s="6">
        <f t="shared" si="49"/>
        <v>575.11899999999935</v>
      </c>
      <c r="J96" s="6">
        <f t="shared" si="49"/>
        <v>-5888.2430000000004</v>
      </c>
      <c r="K96" s="60">
        <f t="shared" si="44"/>
        <v>12271.271000000002</v>
      </c>
      <c r="L96" s="49">
        <f t="shared" ref="L96:Q96" si="50">SUM(L89:L95)</f>
        <v>389.14899999999966</v>
      </c>
      <c r="M96" s="6">
        <f t="shared" si="50"/>
        <v>974.73900000000003</v>
      </c>
      <c r="N96" s="6">
        <f t="shared" si="50"/>
        <v>1921.5250000000001</v>
      </c>
      <c r="O96" s="6">
        <f t="shared" si="50"/>
        <v>873.71199999999953</v>
      </c>
      <c r="P96" s="6">
        <f t="shared" si="50"/>
        <v>89.128999999999863</v>
      </c>
      <c r="Q96" s="6">
        <f t="shared" si="50"/>
        <v>-432.09899999999971</v>
      </c>
      <c r="R96" s="50">
        <f t="shared" si="46"/>
        <v>3816.1549999999993</v>
      </c>
      <c r="S96" s="58">
        <f t="shared" si="48"/>
        <v>1.3765089142481479E-2</v>
      </c>
      <c r="T96" s="58">
        <f t="shared" si="48"/>
        <v>-9.866218953882816E-3</v>
      </c>
      <c r="U96" s="58">
        <f t="shared" si="48"/>
        <v>3.7400118851321218E-3</v>
      </c>
      <c r="V96" s="58">
        <f t="shared" si="48"/>
        <v>2.6674657810864255E-3</v>
      </c>
      <c r="W96" s="9">
        <f t="shared" si="48"/>
        <v>-6.9186990611200261E-4</v>
      </c>
      <c r="X96" s="9">
        <f t="shared" si="48"/>
        <v>1.468119659868275E-2</v>
      </c>
      <c r="Y96" s="65">
        <f t="shared" si="48"/>
        <v>4.4188765948246223E-3</v>
      </c>
    </row>
    <row r="97" spans="3:25" x14ac:dyDescent="0.4">
      <c r="C97" s="12"/>
      <c r="E97" s="11"/>
      <c r="F97" s="11"/>
      <c r="G97" s="11"/>
      <c r="H97" s="11"/>
      <c r="I97" s="11"/>
      <c r="J97" s="11"/>
      <c r="K97" s="12"/>
      <c r="L97" s="11"/>
      <c r="M97" s="11"/>
      <c r="N97" s="11"/>
      <c r="O97" s="11"/>
      <c r="P97" s="11"/>
      <c r="Q97" s="11"/>
      <c r="R97" s="12"/>
      <c r="S97" s="13"/>
      <c r="T97" s="13"/>
      <c r="U97" s="13"/>
      <c r="V97" s="13"/>
      <c r="W97" s="13"/>
      <c r="X97" s="13"/>
      <c r="Y97" s="13"/>
    </row>
    <row r="98" spans="3:25" x14ac:dyDescent="0.4">
      <c r="C98" s="12" t="s">
        <v>27</v>
      </c>
    </row>
    <row r="99" spans="3:25" x14ac:dyDescent="0.4">
      <c r="C99" s="85"/>
      <c r="D99" s="84"/>
      <c r="E99" s="85" t="s">
        <v>2</v>
      </c>
      <c r="F99" s="83"/>
      <c r="G99" s="83"/>
      <c r="H99" s="83"/>
      <c r="I99" s="83"/>
      <c r="J99" s="83"/>
      <c r="K99" s="84"/>
      <c r="L99" s="82" t="s">
        <v>3</v>
      </c>
      <c r="M99" s="83"/>
      <c r="N99" s="83"/>
      <c r="O99" s="83"/>
      <c r="P99" s="83"/>
      <c r="Q99" s="83"/>
      <c r="R99" s="84"/>
      <c r="S99" s="82" t="s">
        <v>4</v>
      </c>
      <c r="T99" s="83"/>
      <c r="U99" s="83"/>
      <c r="V99" s="83"/>
      <c r="W99" s="83"/>
      <c r="X99" s="83"/>
      <c r="Y99" s="84"/>
    </row>
    <row r="100" spans="3:25" x14ac:dyDescent="0.4">
      <c r="C100" s="1"/>
      <c r="D100" s="14"/>
      <c r="E100" s="54">
        <v>46113</v>
      </c>
      <c r="F100" s="51">
        <v>46143</v>
      </c>
      <c r="G100" s="51">
        <v>46174</v>
      </c>
      <c r="H100" s="51">
        <v>46204</v>
      </c>
      <c r="I100" s="51">
        <v>46235</v>
      </c>
      <c r="J100" s="51">
        <v>46266</v>
      </c>
      <c r="K100" s="52" t="s">
        <v>5</v>
      </c>
      <c r="L100" s="48">
        <v>46113</v>
      </c>
      <c r="M100" s="51">
        <v>46143</v>
      </c>
      <c r="N100" s="51">
        <v>46174</v>
      </c>
      <c r="O100" s="51">
        <v>46204</v>
      </c>
      <c r="P100" s="51">
        <v>46235</v>
      </c>
      <c r="Q100" s="51">
        <v>46266</v>
      </c>
      <c r="R100" s="52" t="s">
        <v>5</v>
      </c>
      <c r="S100" s="48">
        <v>46113</v>
      </c>
      <c r="T100" s="51">
        <v>46143</v>
      </c>
      <c r="U100" s="51">
        <v>46174</v>
      </c>
      <c r="V100" s="51">
        <v>46204</v>
      </c>
      <c r="W100" s="51">
        <v>46235</v>
      </c>
      <c r="X100" s="51">
        <v>46266</v>
      </c>
      <c r="Y100" s="52" t="s">
        <v>5</v>
      </c>
    </row>
    <row r="101" spans="3:25" x14ac:dyDescent="0.4">
      <c r="C101" s="2" t="s">
        <v>6</v>
      </c>
      <c r="D101" s="15" t="s">
        <v>7</v>
      </c>
      <c r="E101" s="3">
        <f t="shared" ref="E101:J107" si="51">E77-E17</f>
        <v>3131.2810000000009</v>
      </c>
      <c r="F101" s="3">
        <f t="shared" si="51"/>
        <v>2275.0460000000021</v>
      </c>
      <c r="G101" s="79">
        <f t="shared" si="51"/>
        <v>543.58999999999833</v>
      </c>
      <c r="H101" s="3">
        <f t="shared" si="51"/>
        <v>-2362.1740000000009</v>
      </c>
      <c r="I101" s="3">
        <f t="shared" si="51"/>
        <v>-580.42100000000119</v>
      </c>
      <c r="J101" s="3">
        <f t="shared" si="51"/>
        <v>-1731.9439999999995</v>
      </c>
      <c r="K101" s="59">
        <f t="shared" ref="K101:K108" si="52">SUM(E101:J101)</f>
        <v>1275.3779999999997</v>
      </c>
      <c r="L101" s="2">
        <f t="shared" ref="L101:Q107" si="53">L77-L17</f>
        <v>870.27999999999975</v>
      </c>
      <c r="M101" s="3">
        <f t="shared" si="53"/>
        <v>271.06900000000019</v>
      </c>
      <c r="N101" s="79">
        <f t="shared" si="53"/>
        <v>-221.02000000000021</v>
      </c>
      <c r="O101" s="3">
        <f t="shared" si="53"/>
        <v>-687.19600000000037</v>
      </c>
      <c r="P101" s="3">
        <f t="shared" si="53"/>
        <v>-199.71199999999999</v>
      </c>
      <c r="Q101" s="3">
        <f t="shared" si="53"/>
        <v>-246.26599999999962</v>
      </c>
      <c r="R101" s="56">
        <f t="shared" ref="R101:R108" si="54">SUM(L101:Q101)</f>
        <v>-212.84500000000025</v>
      </c>
      <c r="S101" s="57">
        <f t="shared" ref="S101:Y105" si="55">S77-S17</f>
        <v>7.099097678336691E-3</v>
      </c>
      <c r="T101" s="7">
        <f t="shared" si="55"/>
        <v>-2.2845665869900555E-2</v>
      </c>
      <c r="U101" s="7">
        <f t="shared" si="55"/>
        <v>-3.7251835481169254E-2</v>
      </c>
      <c r="V101" s="7">
        <f t="shared" si="55"/>
        <v>-1.3920234974617307E-2</v>
      </c>
      <c r="W101" s="7">
        <f t="shared" si="55"/>
        <v>-8.3935310364721405E-3</v>
      </c>
      <c r="X101" s="7">
        <f t="shared" si="55"/>
        <v>1.6052965103372785E-2</v>
      </c>
      <c r="Y101" s="8">
        <f t="shared" si="55"/>
        <v>-8.14247594884418E-3</v>
      </c>
    </row>
    <row r="102" spans="3:25" x14ac:dyDescent="0.4">
      <c r="C102" s="2" t="s">
        <v>8</v>
      </c>
      <c r="D102" s="15" t="s">
        <v>9</v>
      </c>
      <c r="E102" s="3">
        <f t="shared" si="51"/>
        <v>-1528.6900000000005</v>
      </c>
      <c r="F102" s="3">
        <f t="shared" si="51"/>
        <v>5821.9320000000007</v>
      </c>
      <c r="G102" s="79">
        <f t="shared" si="51"/>
        <v>7438.8150000000005</v>
      </c>
      <c r="H102" s="3">
        <f t="shared" si="51"/>
        <v>2304.9450000000015</v>
      </c>
      <c r="I102" s="3">
        <f t="shared" si="51"/>
        <v>1716.2889999999989</v>
      </c>
      <c r="J102" s="3">
        <f t="shared" si="51"/>
        <v>3239.991</v>
      </c>
      <c r="K102" s="59">
        <f t="shared" si="52"/>
        <v>18993.281999999999</v>
      </c>
      <c r="L102" s="2">
        <f t="shared" si="53"/>
        <v>-471.77500000000009</v>
      </c>
      <c r="M102" s="3">
        <f t="shared" si="53"/>
        <v>436.07299999999987</v>
      </c>
      <c r="N102" s="79">
        <f t="shared" si="53"/>
        <v>1430.4789999999998</v>
      </c>
      <c r="O102" s="3">
        <f t="shared" si="53"/>
        <v>234.26300000000083</v>
      </c>
      <c r="P102" s="3">
        <f t="shared" si="53"/>
        <v>215.46599999999899</v>
      </c>
      <c r="Q102" s="3">
        <f t="shared" si="53"/>
        <v>656.20700000000033</v>
      </c>
      <c r="R102" s="56">
        <f t="shared" si="54"/>
        <v>2500.7129999999997</v>
      </c>
      <c r="S102" s="57">
        <f t="shared" si="55"/>
        <v>-1.2138017965764886E-2</v>
      </c>
      <c r="T102" s="7">
        <f t="shared" si="55"/>
        <v>-4.4678276859883098E-2</v>
      </c>
      <c r="U102" s="7">
        <f t="shared" si="55"/>
        <v>-4.8592045724056843E-3</v>
      </c>
      <c r="V102" s="7">
        <f t="shared" si="55"/>
        <v>-1.5359911968858969E-2</v>
      </c>
      <c r="W102" s="7">
        <f t="shared" si="55"/>
        <v>-1.1080420857161211E-2</v>
      </c>
      <c r="X102" s="7">
        <f t="shared" si="55"/>
        <v>3.9346440296075813E-4</v>
      </c>
      <c r="Y102" s="8">
        <f t="shared" si="55"/>
        <v>-1.5241848270302144E-2</v>
      </c>
    </row>
    <row r="103" spans="3:25" x14ac:dyDescent="0.4">
      <c r="C103" s="2" t="s">
        <v>10</v>
      </c>
      <c r="D103" s="15" t="s">
        <v>11</v>
      </c>
      <c r="E103" s="3">
        <f t="shared" si="51"/>
        <v>-120.58100000000013</v>
      </c>
      <c r="F103" s="3">
        <f t="shared" si="51"/>
        <v>1682.3260000000009</v>
      </c>
      <c r="G103" s="79">
        <f t="shared" si="51"/>
        <v>2062.3680000000013</v>
      </c>
      <c r="H103" s="3">
        <f t="shared" si="51"/>
        <v>2373.8519999999999</v>
      </c>
      <c r="I103" s="3">
        <f t="shared" si="51"/>
        <v>2544.8159999999998</v>
      </c>
      <c r="J103" s="3">
        <f t="shared" si="51"/>
        <v>1624.1000000000004</v>
      </c>
      <c r="K103" s="59">
        <f t="shared" si="52"/>
        <v>10166.881000000003</v>
      </c>
      <c r="L103" s="2">
        <f t="shared" si="53"/>
        <v>385.18399999999997</v>
      </c>
      <c r="M103" s="3">
        <f t="shared" si="53"/>
        <v>505.89599999999996</v>
      </c>
      <c r="N103" s="79">
        <f t="shared" si="53"/>
        <v>642.89300000000003</v>
      </c>
      <c r="O103" s="3">
        <f t="shared" si="53"/>
        <v>780.47499999999991</v>
      </c>
      <c r="P103" s="3">
        <f t="shared" si="53"/>
        <v>499.2679999999998</v>
      </c>
      <c r="Q103" s="3">
        <f t="shared" si="53"/>
        <v>559.21900000000005</v>
      </c>
      <c r="R103" s="56">
        <f t="shared" si="54"/>
        <v>3372.9349999999995</v>
      </c>
      <c r="S103" s="57">
        <f t="shared" si="55"/>
        <v>4.3122234355955052E-2</v>
      </c>
      <c r="T103" s="7">
        <f t="shared" si="55"/>
        <v>1.8101582061612581E-2</v>
      </c>
      <c r="U103" s="7">
        <f t="shared" si="55"/>
        <v>2.9645504749092333E-2</v>
      </c>
      <c r="V103" s="7">
        <f t="shared" si="55"/>
        <v>3.5055912181697985E-2</v>
      </c>
      <c r="W103" s="7">
        <f t="shared" si="55"/>
        <v>-2.1982544922164171E-3</v>
      </c>
      <c r="X103" s="7">
        <f t="shared" si="55"/>
        <v>2.1943658321238041E-2</v>
      </c>
      <c r="Y103" s="8">
        <f t="shared" si="55"/>
        <v>2.5100528292365337E-2</v>
      </c>
    </row>
    <row r="104" spans="3:25" x14ac:dyDescent="0.4">
      <c r="C104" s="2" t="s">
        <v>12</v>
      </c>
      <c r="D104" s="15" t="s">
        <v>13</v>
      </c>
      <c r="E104" s="3">
        <f t="shared" si="51"/>
        <v>-0.90600000000085856</v>
      </c>
      <c r="F104" s="3">
        <f t="shared" si="51"/>
        <v>-815.48700000000099</v>
      </c>
      <c r="G104" s="79">
        <f t="shared" si="51"/>
        <v>457.10399999999936</v>
      </c>
      <c r="H104" s="3">
        <f t="shared" si="51"/>
        <v>1708.3040000000001</v>
      </c>
      <c r="I104" s="3">
        <f t="shared" si="51"/>
        <v>1244.5470000000005</v>
      </c>
      <c r="J104" s="3">
        <f t="shared" si="51"/>
        <v>2216.0360000000001</v>
      </c>
      <c r="K104" s="59">
        <f t="shared" si="52"/>
        <v>4809.5979999999981</v>
      </c>
      <c r="L104" s="2">
        <f t="shared" si="53"/>
        <v>106.00799999999981</v>
      </c>
      <c r="M104" s="3">
        <f t="shared" si="53"/>
        <v>-7.6890000000003056</v>
      </c>
      <c r="N104" s="79">
        <f t="shared" si="53"/>
        <v>482.80000000000018</v>
      </c>
      <c r="O104" s="3">
        <f t="shared" si="53"/>
        <v>589.69599999999991</v>
      </c>
      <c r="P104" s="3">
        <f t="shared" si="53"/>
        <v>405.36700000000019</v>
      </c>
      <c r="Q104" s="3">
        <f t="shared" si="53"/>
        <v>694.07600000000002</v>
      </c>
      <c r="R104" s="56">
        <f t="shared" si="54"/>
        <v>2270.2579999999998</v>
      </c>
      <c r="S104" s="57">
        <f t="shared" si="55"/>
        <v>7.5561884019177128E-3</v>
      </c>
      <c r="T104" s="7">
        <f t="shared" si="55"/>
        <v>1.2493599325669291E-2</v>
      </c>
      <c r="U104" s="7">
        <f t="shared" si="55"/>
        <v>3.420115056195791E-2</v>
      </c>
      <c r="V104" s="7">
        <f t="shared" si="55"/>
        <v>1.7204525644877705E-2</v>
      </c>
      <c r="W104" s="7">
        <f t="shared" si="55"/>
        <v>1.2050486180129494E-2</v>
      </c>
      <c r="X104" s="7">
        <f t="shared" si="55"/>
        <v>1.8364716385123575E-2</v>
      </c>
      <c r="Y104" s="8">
        <f t="shared" si="55"/>
        <v>1.6909219288664984E-2</v>
      </c>
    </row>
    <row r="105" spans="3:25" x14ac:dyDescent="0.4">
      <c r="C105" s="2" t="s">
        <v>14</v>
      </c>
      <c r="D105" s="15" t="s">
        <v>15</v>
      </c>
      <c r="E105" s="3">
        <f t="shared" si="51"/>
        <v>0</v>
      </c>
      <c r="F105" s="3">
        <f t="shared" si="51"/>
        <v>0</v>
      </c>
      <c r="G105" s="79">
        <f t="shared" si="51"/>
        <v>0</v>
      </c>
      <c r="H105" s="3">
        <f t="shared" si="51"/>
        <v>0</v>
      </c>
      <c r="I105" s="3">
        <f t="shared" si="51"/>
        <v>0</v>
      </c>
      <c r="J105" s="3">
        <f t="shared" si="51"/>
        <v>0</v>
      </c>
      <c r="K105" s="59">
        <f t="shared" si="52"/>
        <v>0</v>
      </c>
      <c r="L105" s="2">
        <f t="shared" si="53"/>
        <v>0</v>
      </c>
      <c r="M105" s="3">
        <f t="shared" si="53"/>
        <v>0</v>
      </c>
      <c r="N105" s="79">
        <f t="shared" si="53"/>
        <v>0</v>
      </c>
      <c r="O105" s="3">
        <f t="shared" si="53"/>
        <v>0</v>
      </c>
      <c r="P105" s="3">
        <f t="shared" si="53"/>
        <v>0</v>
      </c>
      <c r="Q105" s="3">
        <f t="shared" si="53"/>
        <v>0</v>
      </c>
      <c r="R105" s="56">
        <f t="shared" si="54"/>
        <v>0</v>
      </c>
      <c r="S105" s="57" t="e">
        <f t="shared" si="55"/>
        <v>#VALUE!</v>
      </c>
      <c r="T105" s="7" t="e">
        <f t="shared" si="55"/>
        <v>#VALUE!</v>
      </c>
      <c r="U105" s="7" t="e">
        <f t="shared" si="55"/>
        <v>#VALUE!</v>
      </c>
      <c r="V105" s="7" t="e">
        <f t="shared" si="55"/>
        <v>#VALUE!</v>
      </c>
      <c r="W105" s="7" t="e">
        <f t="shared" si="55"/>
        <v>#VALUE!</v>
      </c>
      <c r="X105" s="7" t="e">
        <f t="shared" si="55"/>
        <v>#VALUE!</v>
      </c>
      <c r="Y105" s="8" t="e">
        <f t="shared" si="55"/>
        <v>#VALUE!</v>
      </c>
    </row>
    <row r="106" spans="3:25" x14ac:dyDescent="0.4">
      <c r="C106" s="70" t="s">
        <v>16</v>
      </c>
      <c r="D106" s="15" t="s">
        <v>17</v>
      </c>
      <c r="E106" s="3">
        <f t="shared" si="51"/>
        <v>0</v>
      </c>
      <c r="F106" s="3">
        <f t="shared" si="51"/>
        <v>0</v>
      </c>
      <c r="G106" s="79">
        <f t="shared" si="51"/>
        <v>94.2</v>
      </c>
      <c r="H106" s="3">
        <f t="shared" si="51"/>
        <v>-107.5</v>
      </c>
      <c r="I106" s="3">
        <f t="shared" si="51"/>
        <v>69.099999999999994</v>
      </c>
      <c r="J106" s="3">
        <f t="shared" si="51"/>
        <v>0</v>
      </c>
      <c r="K106" s="59">
        <f t="shared" si="52"/>
        <v>55.8</v>
      </c>
      <c r="L106" s="2">
        <f t="shared" si="53"/>
        <v>0</v>
      </c>
      <c r="M106" s="3">
        <f t="shared" si="53"/>
        <v>0</v>
      </c>
      <c r="N106" s="79">
        <f t="shared" si="53"/>
        <v>3.15</v>
      </c>
      <c r="O106" s="3">
        <f t="shared" si="53"/>
        <v>-3.6</v>
      </c>
      <c r="P106" s="3">
        <f t="shared" si="53"/>
        <v>2.2000000000000002</v>
      </c>
      <c r="Q106" s="3">
        <f t="shared" si="53"/>
        <v>0</v>
      </c>
      <c r="R106" s="56">
        <f t="shared" si="54"/>
        <v>1.75</v>
      </c>
      <c r="S106" s="57"/>
      <c r="T106" s="7"/>
      <c r="U106" s="7"/>
      <c r="V106" s="7"/>
      <c r="W106" s="7"/>
      <c r="X106" s="7"/>
      <c r="Y106" s="8"/>
    </row>
    <row r="107" spans="3:25" x14ac:dyDescent="0.4">
      <c r="C107" s="2" t="s">
        <v>18</v>
      </c>
      <c r="D107" s="15" t="s">
        <v>19</v>
      </c>
      <c r="E107" s="3">
        <f t="shared" si="51"/>
        <v>0</v>
      </c>
      <c r="F107" s="3">
        <f t="shared" si="51"/>
        <v>0</v>
      </c>
      <c r="G107" s="79">
        <f t="shared" si="51"/>
        <v>-125</v>
      </c>
      <c r="H107" s="3">
        <f t="shared" si="51"/>
        <v>0</v>
      </c>
      <c r="I107" s="3">
        <f t="shared" si="51"/>
        <v>-4.8</v>
      </c>
      <c r="J107" s="3">
        <f t="shared" si="51"/>
        <v>0</v>
      </c>
      <c r="K107" s="59">
        <f t="shared" si="52"/>
        <v>-129.80000000000001</v>
      </c>
      <c r="L107" s="2">
        <f t="shared" si="53"/>
        <v>0</v>
      </c>
      <c r="M107" s="3">
        <f t="shared" si="53"/>
        <v>0</v>
      </c>
      <c r="N107" s="79">
        <f t="shared" si="53"/>
        <v>-20.2</v>
      </c>
      <c r="O107" s="3">
        <f t="shared" si="53"/>
        <v>0</v>
      </c>
      <c r="P107" s="3">
        <f t="shared" si="53"/>
        <v>-1.38</v>
      </c>
      <c r="Q107" s="3">
        <f t="shared" si="53"/>
        <v>0</v>
      </c>
      <c r="R107" s="56">
        <f t="shared" si="54"/>
        <v>-21.58</v>
      </c>
      <c r="S107" s="57" t="e">
        <f t="shared" ref="S107:Y108" si="56">S83-S23</f>
        <v>#VALUE!</v>
      </c>
      <c r="T107" s="7" t="e">
        <f t="shared" si="56"/>
        <v>#VALUE!</v>
      </c>
      <c r="U107" s="7" t="e">
        <f t="shared" si="56"/>
        <v>#VALUE!</v>
      </c>
      <c r="V107" s="7" t="e">
        <f t="shared" si="56"/>
        <v>#VALUE!</v>
      </c>
      <c r="W107" s="7" t="e">
        <f t="shared" si="56"/>
        <v>#VALUE!</v>
      </c>
      <c r="X107" s="7" t="e">
        <f t="shared" si="56"/>
        <v>#VALUE!</v>
      </c>
      <c r="Y107" s="8" t="e">
        <f t="shared" si="56"/>
        <v>#VALUE!</v>
      </c>
    </row>
    <row r="108" spans="3:25" x14ac:dyDescent="0.4">
      <c r="C108" s="4" t="s">
        <v>5</v>
      </c>
      <c r="D108" s="16"/>
      <c r="E108" s="6">
        <f t="shared" ref="E108:J108" si="57">SUM(E101:E107)</f>
        <v>1481.1039999999994</v>
      </c>
      <c r="F108" s="6">
        <f t="shared" si="57"/>
        <v>8963.8170000000027</v>
      </c>
      <c r="G108" s="6">
        <f t="shared" si="57"/>
        <v>10471.077000000001</v>
      </c>
      <c r="H108" s="6">
        <f t="shared" si="57"/>
        <v>3917.4270000000006</v>
      </c>
      <c r="I108" s="6">
        <f t="shared" si="57"/>
        <v>4989.5309999999981</v>
      </c>
      <c r="J108" s="6">
        <f t="shared" si="57"/>
        <v>5348.1830000000009</v>
      </c>
      <c r="K108" s="60">
        <f t="shared" si="52"/>
        <v>35171.139000000003</v>
      </c>
      <c r="L108" s="49">
        <f t="shared" ref="L108:Q108" si="58">SUM(L101:L107)</f>
        <v>889.69699999999943</v>
      </c>
      <c r="M108" s="6">
        <f t="shared" si="58"/>
        <v>1205.3489999999997</v>
      </c>
      <c r="N108" s="6">
        <f t="shared" si="58"/>
        <v>2318.1020000000003</v>
      </c>
      <c r="O108" s="6">
        <f t="shared" si="58"/>
        <v>913.63800000000026</v>
      </c>
      <c r="P108" s="6">
        <f t="shared" si="58"/>
        <v>921.20899999999904</v>
      </c>
      <c r="Q108" s="6">
        <f t="shared" si="58"/>
        <v>1663.2360000000008</v>
      </c>
      <c r="R108" s="50">
        <f t="shared" si="54"/>
        <v>7911.2309999999989</v>
      </c>
      <c r="S108" s="58">
        <f t="shared" si="56"/>
        <v>1.1313997751467464E-2</v>
      </c>
      <c r="T108" s="9">
        <f t="shared" si="56"/>
        <v>-1.313553472661011E-2</v>
      </c>
      <c r="U108" s="9">
        <f t="shared" si="56"/>
        <v>3.2596248258095206E-3</v>
      </c>
      <c r="V108" s="9">
        <f t="shared" si="56"/>
        <v>1.9408787947018113E-3</v>
      </c>
      <c r="W108" s="9">
        <f t="shared" si="56"/>
        <v>-2.9107056136550291E-3</v>
      </c>
      <c r="X108" s="9">
        <f t="shared" si="56"/>
        <v>1.1375351126181377E-2</v>
      </c>
      <c r="Y108" s="10">
        <f t="shared" si="56"/>
        <v>2.1849816215568085E-3</v>
      </c>
    </row>
  </sheetData>
  <mergeCells count="36">
    <mergeCell ref="C3:D3"/>
    <mergeCell ref="S15:Y15"/>
    <mergeCell ref="C87:D87"/>
    <mergeCell ref="E27:K27"/>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S99:Y99"/>
    <mergeCell ref="L63:R63"/>
    <mergeCell ref="C15:D15"/>
    <mergeCell ref="L99:R99"/>
    <mergeCell ref="S63:Y63"/>
    <mergeCell ref="E75:K75"/>
    <mergeCell ref="L27:R27"/>
    <mergeCell ref="C63:D63"/>
    <mergeCell ref="L15:R15"/>
    <mergeCell ref="C39:D39"/>
    <mergeCell ref="E63:K63"/>
    <mergeCell ref="L39:R39"/>
    <mergeCell ref="S87:Y87"/>
    <mergeCell ref="E99:K99"/>
    <mergeCell ref="L51:R51"/>
    <mergeCell ref="E15:K15"/>
  </mergeCells>
  <phoneticPr fontId="2"/>
  <printOptions horizontalCentered="1" verticalCentered="1"/>
  <pageMargins left="0.70866141732283472" right="0.70866141732283472" top="0.74803149606299213" bottom="0.74803149606299213" header="0.31496062992125978" footer="0.31496062992125978"/>
  <pageSetup paperSize="8" scale="6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D1:U14"/>
  <sheetViews>
    <sheetView topLeftCell="C1" zoomScaleNormal="100" workbookViewId="0">
      <selection activeCell="N12" sqref="N12"/>
    </sheetView>
  </sheetViews>
  <sheetFormatPr defaultRowHeight="18.75" x14ac:dyDescent="0.4"/>
  <cols>
    <col min="4" max="5" width="1.625" style="78" customWidth="1"/>
    <col min="21" max="21" width="54.375" style="78" customWidth="1"/>
  </cols>
  <sheetData>
    <row r="1" spans="4:21" ht="21.75" customHeight="1" x14ac:dyDescent="0.4">
      <c r="D1" s="91" t="s">
        <v>30</v>
      </c>
      <c r="E1" s="92"/>
      <c r="F1" s="93"/>
      <c r="G1" s="93"/>
      <c r="H1" s="93"/>
      <c r="I1" s="93"/>
      <c r="J1" s="93"/>
      <c r="K1" s="93"/>
      <c r="L1" s="93"/>
      <c r="M1" s="93"/>
      <c r="N1" s="93"/>
      <c r="O1" s="93"/>
      <c r="P1" s="93"/>
      <c r="Q1" s="93"/>
      <c r="R1" s="93"/>
      <c r="S1" s="93"/>
      <c r="T1" s="93"/>
      <c r="U1" s="92"/>
    </row>
    <row r="3" spans="4:21" x14ac:dyDescent="0.4">
      <c r="D3" s="29" t="s">
        <v>31</v>
      </c>
      <c r="E3" s="30"/>
      <c r="F3" s="30"/>
      <c r="G3" s="30"/>
      <c r="H3" s="30"/>
      <c r="I3" s="30"/>
      <c r="J3" s="30"/>
      <c r="K3" s="30"/>
      <c r="L3" s="30"/>
      <c r="M3" s="30"/>
      <c r="N3" s="30"/>
      <c r="O3" s="30"/>
      <c r="P3" s="30"/>
      <c r="Q3" s="30"/>
      <c r="R3" s="30"/>
      <c r="S3" s="30"/>
      <c r="T3" s="30"/>
      <c r="U3" s="31"/>
    </row>
    <row r="4" spans="4:21" x14ac:dyDescent="0.4">
      <c r="D4" s="32" t="s">
        <v>32</v>
      </c>
      <c r="U4" s="47"/>
    </row>
    <row r="5" spans="4:21" x14ac:dyDescent="0.4">
      <c r="D5" s="33"/>
      <c r="E5" s="45"/>
      <c r="F5" s="45"/>
      <c r="G5" s="45"/>
      <c r="H5" s="45"/>
      <c r="I5" s="45"/>
      <c r="J5" s="45"/>
      <c r="K5" s="45"/>
      <c r="L5" s="45"/>
      <c r="M5" s="45"/>
      <c r="N5" s="45"/>
      <c r="O5" s="45"/>
      <c r="P5" s="45"/>
      <c r="Q5" s="45"/>
      <c r="R5" s="45"/>
      <c r="S5" s="45"/>
      <c r="T5" s="45"/>
      <c r="U5" s="46"/>
    </row>
    <row r="7" spans="4:21" x14ac:dyDescent="0.4">
      <c r="D7" s="85"/>
      <c r="E7" s="96"/>
      <c r="F7" s="97"/>
      <c r="G7" s="88" t="s">
        <v>33</v>
      </c>
      <c r="H7" s="89"/>
      <c r="I7" s="90"/>
      <c r="J7" s="88" t="s">
        <v>34</v>
      </c>
      <c r="K7" s="89"/>
      <c r="L7" s="90"/>
      <c r="M7" s="88" t="s">
        <v>35</v>
      </c>
      <c r="N7" s="89"/>
      <c r="O7" s="90"/>
      <c r="P7" s="94" t="s">
        <v>36</v>
      </c>
      <c r="Q7" s="89"/>
      <c r="R7" s="89"/>
      <c r="S7" s="89"/>
      <c r="T7" s="95"/>
      <c r="U7" s="94" t="s">
        <v>37</v>
      </c>
    </row>
    <row r="8" spans="4:21" x14ac:dyDescent="0.4">
      <c r="D8" s="98"/>
      <c r="E8" s="99"/>
      <c r="F8" s="100"/>
      <c r="G8" s="41" t="s">
        <v>2</v>
      </c>
      <c r="H8" s="42" t="s">
        <v>3</v>
      </c>
      <c r="I8" s="43" t="s">
        <v>4</v>
      </c>
      <c r="J8" s="41" t="s">
        <v>2</v>
      </c>
      <c r="K8" s="42" t="s">
        <v>3</v>
      </c>
      <c r="L8" s="43" t="s">
        <v>4</v>
      </c>
      <c r="M8" s="41" t="s">
        <v>2</v>
      </c>
      <c r="N8" s="42" t="s">
        <v>3</v>
      </c>
      <c r="O8" s="43" t="s">
        <v>4</v>
      </c>
      <c r="P8" s="41" t="s">
        <v>2</v>
      </c>
      <c r="Q8" s="42" t="s">
        <v>3</v>
      </c>
      <c r="R8" s="44" t="s">
        <v>4</v>
      </c>
      <c r="S8" s="44" t="s">
        <v>38</v>
      </c>
      <c r="T8" s="43" t="s">
        <v>39</v>
      </c>
      <c r="U8" s="101"/>
    </row>
    <row r="9" spans="4:21" x14ac:dyDescent="0.4">
      <c r="D9" s="29" t="s">
        <v>40</v>
      </c>
      <c r="E9" s="30"/>
      <c r="F9" s="31"/>
      <c r="G9" s="36">
        <v>267380.69199999998</v>
      </c>
      <c r="H9" s="37">
        <v>52847.743999999999</v>
      </c>
      <c r="I9" s="38">
        <f t="shared" ref="I9:I14" si="0">H9/G9</f>
        <v>0.19764981384669317</v>
      </c>
      <c r="J9" s="36">
        <v>261100.13200000001</v>
      </c>
      <c r="K9" s="37">
        <v>53924.923999999999</v>
      </c>
      <c r="L9" s="38">
        <f t="shared" ref="L9:L14" si="1">K9/J9</f>
        <v>0.20652966962115513</v>
      </c>
      <c r="M9" s="36">
        <f t="shared" ref="M9:N12" si="2">(G9+J9)/2</f>
        <v>264240.41200000001</v>
      </c>
      <c r="N9" s="37">
        <f t="shared" si="2"/>
        <v>53386.334000000003</v>
      </c>
      <c r="O9" s="38">
        <f t="shared" ref="O9:O14" si="3">N9/M9</f>
        <v>0.2020369768421342</v>
      </c>
      <c r="P9" s="36">
        <f>P10+P14+P13</f>
        <v>284000</v>
      </c>
      <c r="Q9" s="37">
        <f>Q10+Q14+Q13</f>
        <v>58020</v>
      </c>
      <c r="R9" s="39">
        <f t="shared" ref="R9:R14" si="4">Q9/P9</f>
        <v>0.20429577464788731</v>
      </c>
      <c r="S9" s="39">
        <f t="shared" ref="S9:T14" si="5">P9/J9-1</f>
        <v>8.770530993067438E-2</v>
      </c>
      <c r="T9" s="38">
        <f t="shared" si="5"/>
        <v>7.5940320286774998E-2</v>
      </c>
      <c r="U9" s="40"/>
    </row>
    <row r="10" spans="4:21" x14ac:dyDescent="0.4">
      <c r="D10" s="32"/>
      <c r="E10" s="25" t="s">
        <v>41</v>
      </c>
      <c r="F10" s="26"/>
      <c r="G10" s="2">
        <f>G9-G14-G13</f>
        <v>261897.79899999997</v>
      </c>
      <c r="H10" s="3">
        <f>H9-H14-H13</f>
        <v>52533.921000000002</v>
      </c>
      <c r="I10" s="18">
        <f t="shared" si="0"/>
        <v>0.20058939479670851</v>
      </c>
      <c r="J10" s="2">
        <f>J9-J14-J13</f>
        <v>260992.63200000001</v>
      </c>
      <c r="K10" s="3">
        <f>K9-K14-K13</f>
        <v>53921.324000000001</v>
      </c>
      <c r="L10" s="18">
        <f t="shared" si="1"/>
        <v>0.20660094343199695</v>
      </c>
      <c r="M10" s="2">
        <f t="shared" si="2"/>
        <v>261445.21549999999</v>
      </c>
      <c r="N10" s="3">
        <f t="shared" si="2"/>
        <v>53227.622499999998</v>
      </c>
      <c r="O10" s="18">
        <f t="shared" si="3"/>
        <v>0.20358996586801184</v>
      </c>
      <c r="P10" s="2">
        <f>P11+P12</f>
        <v>283800</v>
      </c>
      <c r="Q10" s="3">
        <f>Q11+Q12</f>
        <v>58000</v>
      </c>
      <c r="R10" s="22">
        <f t="shared" si="4"/>
        <v>0.20436927413671599</v>
      </c>
      <c r="S10" s="22">
        <f t="shared" si="5"/>
        <v>8.7387018649629944E-2</v>
      </c>
      <c r="T10" s="18">
        <f t="shared" si="5"/>
        <v>7.5641243527328816E-2</v>
      </c>
      <c r="U10" s="20"/>
    </row>
    <row r="11" spans="4:21" x14ac:dyDescent="0.4">
      <c r="D11" s="32"/>
      <c r="E11" s="27"/>
      <c r="F11" s="24" t="s">
        <v>42</v>
      </c>
      <c r="G11" s="2">
        <f>G10-G12</f>
        <v>258421.79899999997</v>
      </c>
      <c r="H11" s="3">
        <f>H10-H12</f>
        <v>51978.921000000002</v>
      </c>
      <c r="I11" s="18">
        <f t="shared" si="0"/>
        <v>0.20113984656534339</v>
      </c>
      <c r="J11" s="2">
        <f>J10-J12</f>
        <v>256625.63200000001</v>
      </c>
      <c r="K11" s="3">
        <f>K10-K12</f>
        <v>49554.324000000001</v>
      </c>
      <c r="L11" s="18">
        <f t="shared" si="1"/>
        <v>0.19309966667709949</v>
      </c>
      <c r="M11" s="2">
        <f t="shared" si="2"/>
        <v>257523.71549999999</v>
      </c>
      <c r="N11" s="3">
        <f t="shared" si="2"/>
        <v>50766.622499999998</v>
      </c>
      <c r="O11" s="18">
        <f t="shared" si="3"/>
        <v>0.19713377620943809</v>
      </c>
      <c r="P11" s="2">
        <f>包装資材!K48-全体!K46</f>
        <v>268160</v>
      </c>
      <c r="Q11" s="3">
        <f>包装資材!R48-全体!R46</f>
        <v>55740</v>
      </c>
      <c r="R11" s="22">
        <f t="shared" si="4"/>
        <v>0.2078609785202864</v>
      </c>
      <c r="S11" s="22">
        <f t="shared" si="5"/>
        <v>4.4946281905308583E-2</v>
      </c>
      <c r="T11" s="18">
        <f t="shared" si="5"/>
        <v>0.12482616047794326</v>
      </c>
      <c r="U11" s="61"/>
    </row>
    <row r="12" spans="4:21" x14ac:dyDescent="0.4">
      <c r="D12" s="32"/>
      <c r="E12" s="27"/>
      <c r="F12" s="28" t="s">
        <v>43</v>
      </c>
      <c r="G12" s="2">
        <v>3476</v>
      </c>
      <c r="H12" s="3">
        <v>555</v>
      </c>
      <c r="I12" s="18">
        <f t="shared" si="0"/>
        <v>0.1596662830840046</v>
      </c>
      <c r="J12" s="2">
        <v>4367</v>
      </c>
      <c r="K12" s="3">
        <v>4367</v>
      </c>
      <c r="L12" s="18">
        <f t="shared" si="1"/>
        <v>1</v>
      </c>
      <c r="M12" s="2">
        <f t="shared" si="2"/>
        <v>3921.5</v>
      </c>
      <c r="N12" s="3">
        <f t="shared" si="2"/>
        <v>2461</v>
      </c>
      <c r="O12" s="18">
        <f t="shared" si="3"/>
        <v>0.62756598240469208</v>
      </c>
      <c r="P12" s="2">
        <f>機械!K48</f>
        <v>15640</v>
      </c>
      <c r="Q12" s="3">
        <f>機械!R48</f>
        <v>2260</v>
      </c>
      <c r="R12" s="22">
        <f t="shared" si="4"/>
        <v>0.14450127877237851</v>
      </c>
      <c r="S12" s="22">
        <f t="shared" si="5"/>
        <v>2.5814059995420195</v>
      </c>
      <c r="T12" s="18">
        <f t="shared" si="5"/>
        <v>-0.48248225326310967</v>
      </c>
      <c r="U12" s="77"/>
    </row>
    <row r="13" spans="4:21" x14ac:dyDescent="0.4">
      <c r="D13" s="32"/>
      <c r="E13" s="27" t="s">
        <v>17</v>
      </c>
      <c r="F13" s="26"/>
      <c r="G13" s="72">
        <v>0</v>
      </c>
      <c r="H13" s="73">
        <v>0</v>
      </c>
      <c r="I13" s="74" t="e">
        <f t="shared" si="0"/>
        <v>#DIV/0!</v>
      </c>
      <c r="J13" s="72">
        <v>107.5</v>
      </c>
      <c r="K13" s="73">
        <v>3.6</v>
      </c>
      <c r="L13" s="74">
        <f t="shared" si="1"/>
        <v>3.3488372093023258E-2</v>
      </c>
      <c r="M13" s="72">
        <v>53.75</v>
      </c>
      <c r="N13" s="73">
        <v>1.8</v>
      </c>
      <c r="O13" s="74">
        <f t="shared" si="3"/>
        <v>3.3488372093023258E-2</v>
      </c>
      <c r="P13" s="72">
        <v>200</v>
      </c>
      <c r="Q13" s="73">
        <v>20</v>
      </c>
      <c r="R13" s="22">
        <f t="shared" si="4"/>
        <v>0.1</v>
      </c>
      <c r="S13" s="22">
        <f t="shared" si="5"/>
        <v>0.86046511627906974</v>
      </c>
      <c r="T13" s="18">
        <f t="shared" si="5"/>
        <v>4.5555555555555554</v>
      </c>
      <c r="U13" s="75"/>
    </row>
    <row r="14" spans="4:21" x14ac:dyDescent="0.4">
      <c r="D14" s="33"/>
      <c r="E14" s="34" t="s">
        <v>44</v>
      </c>
      <c r="F14" s="35"/>
      <c r="G14" s="4">
        <v>5482.893</v>
      </c>
      <c r="H14" s="5">
        <v>313.82299999999998</v>
      </c>
      <c r="I14" s="19">
        <f t="shared" si="0"/>
        <v>5.7236754392252405E-2</v>
      </c>
      <c r="J14" s="4">
        <v>0</v>
      </c>
      <c r="K14" s="5">
        <v>0</v>
      </c>
      <c r="L14" s="19" t="e">
        <f t="shared" si="1"/>
        <v>#DIV/0!</v>
      </c>
      <c r="M14" s="4">
        <f>(G14+J14)/2</f>
        <v>2741.4465</v>
      </c>
      <c r="N14" s="5">
        <f>(H14+K14)/2</f>
        <v>156.91149999999999</v>
      </c>
      <c r="O14" s="19">
        <f t="shared" si="3"/>
        <v>5.7236754392252405E-2</v>
      </c>
      <c r="P14" s="4">
        <v>0</v>
      </c>
      <c r="Q14" s="5">
        <v>0</v>
      </c>
      <c r="R14" s="23" t="e">
        <f t="shared" si="4"/>
        <v>#DIV/0!</v>
      </c>
      <c r="S14" s="23" t="e">
        <f t="shared" si="5"/>
        <v>#DIV/0!</v>
      </c>
      <c r="T14" s="19" t="e">
        <f t="shared" si="5"/>
        <v>#DIV/0!</v>
      </c>
      <c r="U14" s="21"/>
    </row>
  </sheetData>
  <mergeCells count="7">
    <mergeCell ref="J7:L7"/>
    <mergeCell ref="D1:U1"/>
    <mergeCell ref="P7:T7"/>
    <mergeCell ref="M7:O7"/>
    <mergeCell ref="G7:I7"/>
    <mergeCell ref="D7:F8"/>
    <mergeCell ref="U7:U8"/>
  </mergeCells>
  <phoneticPr fontId="2"/>
  <pageMargins left="0.70866141732283472" right="0.70866141732283472" top="0.74803149606299213" bottom="0.74803149606299213" header="0.31496062992125978" footer="0.31496062992125978"/>
  <pageSetup paperSize="9" scale="61"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4</vt:i4>
      </vt:variant>
    </vt:vector>
  </HeadingPairs>
  <TitlesOfParts>
    <vt:vector size="8" baseType="lpstr">
      <vt:lpstr>包装資材</vt:lpstr>
      <vt:lpstr>機械</vt:lpstr>
      <vt:lpstr>全体</vt:lpstr>
      <vt:lpstr>総括</vt:lpstr>
      <vt:lpstr>機械!Print_Area</vt:lpstr>
      <vt:lpstr>全体!Print_Area</vt:lpstr>
      <vt:lpstr>総括!Print_Area</vt:lpstr>
      <vt:lpstr>包装資材!Print_Area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ma-takahashi</dc:creator>
  <cp:lastModifiedBy>ma-takahashi</cp:lastModifiedBy>
  <cp:lastPrinted>2025-05-02T03:13:19Z</cp:lastPrinted>
  <dcterms:created xsi:type="dcterms:W3CDTF">2024-06-27T00:13:49Z</dcterms:created>
  <dcterms:modified xsi:type="dcterms:W3CDTF">2026-10-07T01:56:29Z</dcterms:modified>
</cp:coreProperties>
</file>