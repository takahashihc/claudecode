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f>全体!J77-機械!J77</f>
        <v/>
      </c>
      <c r="K77" s="56">
        <f>SUM(E77:J77)</f>
        <v/>
      </c>
      <c r="L77" s="2">
        <f>全体!L77-機械!L77</f>
        <v/>
      </c>
      <c r="M77" s="80">
        <f>全体!M77-機械!M77</f>
        <v/>
      </c>
      <c r="N77" s="80">
        <f>全体!N77-機械!N77</f>
        <v/>
      </c>
      <c r="O77" s="3">
        <f>全体!O77-機械!O77</f>
        <v/>
      </c>
      <c r="P77" s="3">
        <f>全体!P77-機械!P77</f>
        <v/>
      </c>
      <c r="Q77" s="3">
        <f>全体!Q77-機械!Q77</f>
        <v/>
      </c>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f>全体!J78-機械!J78</f>
        <v/>
      </c>
      <c r="K78" s="56">
        <f>SUM(E78:J78)</f>
        <v/>
      </c>
      <c r="L78" s="2">
        <f>全体!L78-機械!L78</f>
        <v/>
      </c>
      <c r="M78" s="80">
        <f>全体!M78-機械!M78</f>
        <v/>
      </c>
      <c r="N78" s="80">
        <f>全体!N78-機械!N78</f>
        <v/>
      </c>
      <c r="O78" s="3">
        <f>全体!O78-機械!O78</f>
        <v/>
      </c>
      <c r="P78" s="3">
        <f>全体!P78-機械!P78</f>
        <v/>
      </c>
      <c r="Q78" s="3">
        <f>全体!Q78-機械!Q78</f>
        <v/>
      </c>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f>全体!J79-機械!J79</f>
        <v/>
      </c>
      <c r="K79" s="56">
        <f>SUM(E79:J79)</f>
        <v/>
      </c>
      <c r="L79" s="2">
        <f>全体!L79-機械!L79</f>
        <v/>
      </c>
      <c r="M79" s="80">
        <f>全体!M79-機械!M79</f>
        <v/>
      </c>
      <c r="N79" s="80">
        <f>全体!N79-機械!N79</f>
        <v/>
      </c>
      <c r="O79" s="3">
        <f>全体!O79-機械!O79</f>
        <v/>
      </c>
      <c r="P79" s="3">
        <f>全体!P79-機械!P79</f>
        <v/>
      </c>
      <c r="Q79" s="3">
        <f>全体!Q79-機械!Q79</f>
        <v/>
      </c>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f>全体!J80-機械!J80</f>
        <v/>
      </c>
      <c r="K80" s="56">
        <f>SUM(E80:J80)</f>
        <v/>
      </c>
      <c r="L80" s="2">
        <f>全体!L80-機械!L80</f>
        <v/>
      </c>
      <c r="M80" s="80">
        <f>全体!M80-機械!M80</f>
        <v/>
      </c>
      <c r="N80" s="80">
        <f>全体!N80-機械!N80</f>
        <v/>
      </c>
      <c r="O80" s="3">
        <f>全体!O80-機械!O80</f>
        <v/>
      </c>
      <c r="P80" s="3">
        <f>全体!P80-機械!P80</f>
        <v/>
      </c>
      <c r="Q80" s="3">
        <f>全体!Q80-機械!Q80</f>
        <v/>
      </c>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3">
        <f>全体!J81-機械!J81</f>
        <v/>
      </c>
      <c r="K81" s="56">
        <f>SUM(E81:J81)</f>
        <v/>
      </c>
      <c r="L81" s="82">
        <f>全体!L81-機械!L81</f>
        <v/>
      </c>
      <c r="M81" s="80">
        <f>全体!M81-機械!M81</f>
        <v/>
      </c>
      <c r="N81" s="80">
        <f>全体!N81-機械!N81</f>
        <v/>
      </c>
      <c r="O81" s="3">
        <f>全体!O81-機械!O81</f>
        <v/>
      </c>
      <c r="P81" s="3">
        <f>全体!P81-機械!P81</f>
        <v/>
      </c>
      <c r="Q81" s="3">
        <f>全体!Q81-機械!Q81</f>
        <v/>
      </c>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3">
        <f>全体!J82-機械!J82</f>
        <v/>
      </c>
      <c r="K82" s="63">
        <f>SUM(E82:J82)</f>
        <v/>
      </c>
      <c r="L82" s="82">
        <f>全体!L82-機械!L82</f>
        <v/>
      </c>
      <c r="M82" s="80">
        <f>全体!M82-機械!M82</f>
        <v/>
      </c>
      <c r="N82" s="80">
        <f>全体!N82-機械!N82</f>
        <v/>
      </c>
      <c r="O82" s="3">
        <f>全体!O82-機械!O82</f>
        <v/>
      </c>
      <c r="P82" s="3">
        <f>全体!P82-機械!P82</f>
        <v/>
      </c>
      <c r="Q82" s="3">
        <f>全体!Q82-機械!Q82</f>
        <v/>
      </c>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f>全体!J83-機械!J83</f>
        <v/>
      </c>
      <c r="K83" s="56">
        <f>SUM(E83:J83)</f>
        <v/>
      </c>
      <c r="L83" s="82">
        <f>全体!L83-機械!L83</f>
        <v/>
      </c>
      <c r="M83" s="80">
        <f>全体!M83-機械!M83</f>
        <v/>
      </c>
      <c r="N83" s="80">
        <f>全体!N83-機械!N83</f>
        <v/>
      </c>
      <c r="O83" s="3">
        <f>全体!O83-機械!O83</f>
        <v/>
      </c>
      <c r="P83" s="3">
        <f>全体!P83-機械!P83</f>
        <v/>
      </c>
      <c r="Q83" s="3">
        <f>全体!Q83-機械!Q83</f>
        <v/>
      </c>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f>J77-J41</f>
        <v/>
      </c>
      <c r="K89" s="56">
        <f>SUM(E89:J89)</f>
        <v/>
      </c>
      <c r="L89" s="62">
        <f>L77-L41</f>
        <v/>
      </c>
      <c r="M89" s="62">
        <f>M77-M41</f>
        <v/>
      </c>
      <c r="N89" s="81">
        <f>N77-N41</f>
        <v/>
      </c>
      <c r="O89" s="62">
        <f>O77-O41</f>
        <v/>
      </c>
      <c r="P89" s="62">
        <f>P77-P41</f>
        <v/>
      </c>
      <c r="Q89" s="62">
        <f>Q77-Q41</f>
        <v/>
      </c>
      <c r="R89" s="56">
        <f>SUM(L89:Q89)</f>
        <v/>
      </c>
      <c r="S89" s="103">
        <f>S77-S41</f>
        <v/>
      </c>
      <c r="T89" s="104">
        <f>T77-T41</f>
        <v/>
      </c>
      <c r="U89" s="104">
        <f>U77-U41</f>
        <v/>
      </c>
      <c r="V89" s="104">
        <f>V77-V41</f>
        <v/>
      </c>
      <c r="W89" s="104">
        <f>W77-W41</f>
        <v/>
      </c>
      <c r="X89" s="104">
        <f>X77-X41</f>
        <v/>
      </c>
      <c r="Y89" s="105">
        <f>Y77-Y41</f>
        <v/>
      </c>
    </row>
    <row r="90">
      <c r="C90" s="2" t="inlineStr">
        <is>
          <t>0024 集計</t>
        </is>
      </c>
      <c r="D90" s="15" t="inlineStr">
        <is>
          <t>東野</t>
        </is>
      </c>
      <c r="E90" s="2">
        <f>E78-E42</f>
        <v/>
      </c>
      <c r="F90" s="3">
        <f>F78-F42</f>
        <v/>
      </c>
      <c r="G90" s="80">
        <f>G78-G42</f>
        <v/>
      </c>
      <c r="H90" s="3">
        <f>H78-H42</f>
        <v/>
      </c>
      <c r="I90" s="3">
        <f>I78-I42</f>
        <v/>
      </c>
      <c r="J90" s="3">
        <f>J78-J42</f>
        <v/>
      </c>
      <c r="K90" s="56">
        <f>SUM(E90:J90)</f>
        <v/>
      </c>
      <c r="L90" s="62">
        <f>L78-L42</f>
        <v/>
      </c>
      <c r="M90" s="62">
        <f>M78-M42</f>
        <v/>
      </c>
      <c r="N90" s="81">
        <f>N78-N42</f>
        <v/>
      </c>
      <c r="O90" s="62">
        <f>O78-O42</f>
        <v/>
      </c>
      <c r="P90" s="62">
        <f>P78-P42</f>
        <v/>
      </c>
      <c r="Q90" s="62">
        <f>Q78-Q42</f>
        <v/>
      </c>
      <c r="R90" s="56">
        <f>SUM(L90:Q90)</f>
        <v/>
      </c>
      <c r="S90" s="103">
        <f>S78-S42</f>
        <v/>
      </c>
      <c r="T90" s="104">
        <f>T78-T42</f>
        <v/>
      </c>
      <c r="U90" s="104">
        <f>U78-U42</f>
        <v/>
      </c>
      <c r="V90" s="104">
        <f>V78-V42</f>
        <v/>
      </c>
      <c r="W90" s="104">
        <f>W78-W42</f>
        <v/>
      </c>
      <c r="X90" s="104">
        <f>X78-X42</f>
        <v/>
      </c>
      <c r="Y90" s="105">
        <f>Y78-Y42</f>
        <v/>
      </c>
    </row>
    <row r="91">
      <c r="C91" s="2" t="inlineStr">
        <is>
          <t>0025 集計</t>
        </is>
      </c>
      <c r="D91" s="15" t="inlineStr">
        <is>
          <t>橋本課長</t>
        </is>
      </c>
      <c r="E91" s="2">
        <f>E79-E43</f>
        <v/>
      </c>
      <c r="F91" s="3">
        <f>F79-F43</f>
        <v/>
      </c>
      <c r="G91" s="80">
        <f>G79-G43</f>
        <v/>
      </c>
      <c r="H91" s="3">
        <f>H79-H43</f>
        <v/>
      </c>
      <c r="I91" s="3">
        <f>I79-I43</f>
        <v/>
      </c>
      <c r="J91" s="3">
        <f>J79-J43</f>
        <v/>
      </c>
      <c r="K91" s="56">
        <f>SUM(E91:J91)</f>
        <v/>
      </c>
      <c r="L91" s="62">
        <f>L79-L43</f>
        <v/>
      </c>
      <c r="M91" s="62">
        <f>M79-M43</f>
        <v/>
      </c>
      <c r="N91" s="81">
        <f>N79-N43</f>
        <v/>
      </c>
      <c r="O91" s="62">
        <f>O79-O43</f>
        <v/>
      </c>
      <c r="P91" s="62">
        <f>P79-P43</f>
        <v/>
      </c>
      <c r="Q91" s="62">
        <f>Q79-Q43</f>
        <v/>
      </c>
      <c r="R91" s="56">
        <f>SUM(L91:Q91)</f>
        <v/>
      </c>
      <c r="S91" s="103">
        <f>S79-S43</f>
        <v/>
      </c>
      <c r="T91" s="104">
        <f>T79-T43</f>
        <v/>
      </c>
      <c r="U91" s="104">
        <f>U79-U43</f>
        <v/>
      </c>
      <c r="V91" s="104">
        <f>V79-V43</f>
        <v/>
      </c>
      <c r="W91" s="104">
        <f>W79-W43</f>
        <v/>
      </c>
      <c r="X91" s="104">
        <f>X79-X43</f>
        <v/>
      </c>
      <c r="Y91" s="105">
        <f>Y79-Y43</f>
        <v/>
      </c>
    </row>
    <row r="92">
      <c r="C92" s="2" t="inlineStr">
        <is>
          <t>0026 集計</t>
        </is>
      </c>
      <c r="D92" s="15" t="inlineStr">
        <is>
          <t>井上課長</t>
        </is>
      </c>
      <c r="E92" s="2">
        <f>E80-E44</f>
        <v/>
      </c>
      <c r="F92" s="3">
        <f>F80-F44</f>
        <v/>
      </c>
      <c r="G92" s="80">
        <f>G80-G44</f>
        <v/>
      </c>
      <c r="H92" s="3">
        <f>H80-H44</f>
        <v/>
      </c>
      <c r="I92" s="3">
        <f>I80-I44</f>
        <v/>
      </c>
      <c r="J92" s="3">
        <f>J80-J44</f>
        <v/>
      </c>
      <c r="K92" s="56">
        <f>SUM(E92:J92)</f>
        <v/>
      </c>
      <c r="L92" s="62">
        <f>L80-L44</f>
        <v/>
      </c>
      <c r="M92" s="62">
        <f>M80-M44</f>
        <v/>
      </c>
      <c r="N92" s="81">
        <f>N80-N44</f>
        <v/>
      </c>
      <c r="O92" s="62">
        <f>O80-O44</f>
        <v/>
      </c>
      <c r="P92" s="62">
        <f>P80-P44</f>
        <v/>
      </c>
      <c r="Q92" s="62">
        <f>Q80-Q44</f>
        <v/>
      </c>
      <c r="R92" s="56">
        <f>SUM(L92:Q92)</f>
        <v/>
      </c>
      <c r="S92" s="103">
        <f>S80-S44</f>
        <v/>
      </c>
      <c r="T92" s="104">
        <f>T80-T44</f>
        <v/>
      </c>
      <c r="U92" s="104">
        <f>U80-U44</f>
        <v/>
      </c>
      <c r="V92" s="104">
        <f>V80-V44</f>
        <v/>
      </c>
      <c r="W92" s="104">
        <f>W80-W44</f>
        <v/>
      </c>
      <c r="X92" s="104">
        <f>X80-X44</f>
        <v/>
      </c>
      <c r="Y92" s="105">
        <f>Y80-Y44</f>
        <v/>
      </c>
    </row>
    <row r="93">
      <c r="C93" s="2" t="inlineStr">
        <is>
          <t>0027 集計</t>
        </is>
      </c>
      <c r="D93" s="15" t="inlineStr">
        <is>
          <t>中国</t>
        </is>
      </c>
      <c r="E93" s="69">
        <f>E81-E45</f>
        <v/>
      </c>
      <c r="F93" s="3">
        <f>F81-F45</f>
        <v/>
      </c>
      <c r="G93" s="80">
        <f>G81-G45</f>
        <v/>
      </c>
      <c r="H93" s="3">
        <f>H81-H45</f>
        <v/>
      </c>
      <c r="I93" s="3">
        <f>I81-I45</f>
        <v/>
      </c>
      <c r="J93" s="3">
        <f>J81-J45</f>
        <v/>
      </c>
      <c r="K93" s="56">
        <f>SUM(E93:J93)</f>
        <v/>
      </c>
      <c r="L93" s="62">
        <f>L81-L45</f>
        <v/>
      </c>
      <c r="M93" s="62">
        <f>M81-M45</f>
        <v/>
      </c>
      <c r="N93" s="81">
        <f>N81-N45</f>
        <v/>
      </c>
      <c r="O93" s="62">
        <f>O81-O45</f>
        <v/>
      </c>
      <c r="P93" s="62">
        <f>P81-P45</f>
        <v/>
      </c>
      <c r="Q93" s="62">
        <f>Q81-Q45</f>
        <v/>
      </c>
      <c r="R93" s="56">
        <f>SUM(L93:Q93)</f>
        <v/>
      </c>
      <c r="S93" s="103">
        <f>S81-S45</f>
        <v/>
      </c>
      <c r="T93" s="104">
        <f>T81-T45</f>
        <v/>
      </c>
      <c r="U93" s="104">
        <f>U81-U45</f>
        <v/>
      </c>
      <c r="V93" s="104">
        <f>V81-V45</f>
        <v/>
      </c>
      <c r="W93" s="104">
        <f>W81-W45</f>
        <v/>
      </c>
      <c r="X93" s="104">
        <f>X81-X45</f>
        <v/>
      </c>
      <c r="Y93" s="105">
        <f>Y81-Y45</f>
        <v/>
      </c>
    </row>
    <row r="94">
      <c r="C94" s="71" t="inlineStr">
        <is>
          <t>0028 集計</t>
        </is>
      </c>
      <c r="D94" s="15" t="inlineStr">
        <is>
          <t>自治体</t>
        </is>
      </c>
      <c r="E94" s="69">
        <f>E82-E46</f>
        <v/>
      </c>
      <c r="F94" s="3">
        <f>F82-F46</f>
        <v/>
      </c>
      <c r="G94" s="80">
        <f>G82-G46</f>
        <v/>
      </c>
      <c r="H94" s="3">
        <f>H82-H46</f>
        <v/>
      </c>
      <c r="I94" s="3">
        <f>I82-I46</f>
        <v/>
      </c>
      <c r="J94" s="3">
        <f>J82-J46</f>
        <v/>
      </c>
      <c r="K94" s="56">
        <f>SUM(E94:J94)</f>
        <v/>
      </c>
      <c r="L94" s="62">
        <f>L82-L46</f>
        <v/>
      </c>
      <c r="M94" s="62">
        <f>M82-M46</f>
        <v/>
      </c>
      <c r="N94" s="81">
        <f>N82-N46</f>
        <v/>
      </c>
      <c r="O94" s="62">
        <f>O82-O46</f>
        <v/>
      </c>
      <c r="P94" s="62">
        <f>P82-P46</f>
        <v/>
      </c>
      <c r="Q94" s="62">
        <f>Q82-Q46</f>
        <v/>
      </c>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f>J83-J47</f>
        <v/>
      </c>
      <c r="K95" s="56">
        <f>SUM(E95:J95)</f>
        <v/>
      </c>
      <c r="L95" s="2">
        <f>L83-L47</f>
        <v/>
      </c>
      <c r="M95" s="3">
        <f>M83-M47</f>
        <v/>
      </c>
      <c r="N95" s="3">
        <f>N83-N47</f>
        <v/>
      </c>
      <c r="O95" s="3">
        <f>O83-O47</f>
        <v/>
      </c>
      <c r="P95" s="3">
        <f>P83-P47</f>
        <v/>
      </c>
      <c r="Q95" s="3">
        <f>Q83-Q47</f>
        <v/>
      </c>
      <c r="R95" s="56">
        <f>SUM(L95:Q95)</f>
        <v/>
      </c>
      <c r="S95" s="103">
        <f>S83-S47</f>
        <v/>
      </c>
      <c r="T95" s="104">
        <f>T83-T47</f>
        <v/>
      </c>
      <c r="U95" s="104">
        <f>U83-U47</f>
        <v/>
      </c>
      <c r="V95" s="104">
        <f>V83-V47</f>
        <v/>
      </c>
      <c r="W95" s="104">
        <f>W83-W47</f>
        <v/>
      </c>
      <c r="X95" s="104">
        <f>X83-X47</f>
        <v/>
      </c>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f>X84-X48</f>
        <v/>
      </c>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f>J77-J17</f>
        <v/>
      </c>
      <c r="K101" s="56">
        <f>SUM(E101:J101)</f>
        <v/>
      </c>
      <c r="L101" s="62">
        <f>L77-L17</f>
        <v/>
      </c>
      <c r="M101" s="62">
        <f>M77-M17</f>
        <v/>
      </c>
      <c r="N101" s="81">
        <f>N77-N17</f>
        <v/>
      </c>
      <c r="O101" s="62">
        <f>O77-O17</f>
        <v/>
      </c>
      <c r="P101" s="62">
        <f>P77-P17</f>
        <v/>
      </c>
      <c r="Q101" s="62">
        <f>Q77-Q17</f>
        <v/>
      </c>
      <c r="R101" s="56">
        <f>SUM(L101:Q101)</f>
        <v/>
      </c>
      <c r="S101" s="103">
        <f>S77-S17</f>
        <v/>
      </c>
      <c r="T101" s="104">
        <f>T77-T17</f>
        <v/>
      </c>
      <c r="U101" s="104">
        <f>U77-U17</f>
        <v/>
      </c>
      <c r="V101" s="104">
        <f>V77-V17</f>
        <v/>
      </c>
      <c r="W101" s="104">
        <f>W77-W17</f>
        <v/>
      </c>
      <c r="X101" s="104">
        <f>X77-X17</f>
        <v/>
      </c>
      <c r="Y101" s="111">
        <f>Y77-Y17</f>
        <v/>
      </c>
    </row>
    <row r="102">
      <c r="C102" s="2" t="inlineStr">
        <is>
          <t>0024 集計</t>
        </is>
      </c>
      <c r="D102" s="15" t="inlineStr">
        <is>
          <t>東野</t>
        </is>
      </c>
      <c r="E102" s="2">
        <f>E78-E18</f>
        <v/>
      </c>
      <c r="F102" s="3">
        <f>F78-F18</f>
        <v/>
      </c>
      <c r="G102" s="80">
        <f>G78-G18</f>
        <v/>
      </c>
      <c r="H102" s="3">
        <f>H78-H18</f>
        <v/>
      </c>
      <c r="I102" s="3">
        <f>I78-I18</f>
        <v/>
      </c>
      <c r="J102" s="3">
        <f>J78-J18</f>
        <v/>
      </c>
      <c r="K102" s="56">
        <f>SUM(E102:J102)</f>
        <v/>
      </c>
      <c r="L102" s="62">
        <f>L78-L18</f>
        <v/>
      </c>
      <c r="M102" s="62">
        <f>M78-M18</f>
        <v/>
      </c>
      <c r="N102" s="81">
        <f>N78-N18</f>
        <v/>
      </c>
      <c r="O102" s="62">
        <f>O78-O18</f>
        <v/>
      </c>
      <c r="P102" s="62">
        <f>P78-P18</f>
        <v/>
      </c>
      <c r="Q102" s="62">
        <f>Q78-Q18</f>
        <v/>
      </c>
      <c r="R102" s="56">
        <f>SUM(L102:Q102)</f>
        <v/>
      </c>
      <c r="S102" s="103">
        <f>S78-S18</f>
        <v/>
      </c>
      <c r="T102" s="104">
        <f>T78-T18</f>
        <v/>
      </c>
      <c r="U102" s="104">
        <f>U78-U18</f>
        <v/>
      </c>
      <c r="V102" s="104">
        <f>V78-V18</f>
        <v/>
      </c>
      <c r="W102" s="104">
        <f>W78-W18</f>
        <v/>
      </c>
      <c r="X102" s="104">
        <f>X78-X18</f>
        <v/>
      </c>
      <c r="Y102" s="111">
        <f>Y78-Y18</f>
        <v/>
      </c>
    </row>
    <row r="103">
      <c r="C103" s="2" t="inlineStr">
        <is>
          <t>0025 集計</t>
        </is>
      </c>
      <c r="D103" s="15" t="inlineStr">
        <is>
          <t>橋本課長</t>
        </is>
      </c>
      <c r="E103" s="2">
        <f>E79-E19</f>
        <v/>
      </c>
      <c r="F103" s="3">
        <f>F79-F19</f>
        <v/>
      </c>
      <c r="G103" s="80">
        <f>G79-G19</f>
        <v/>
      </c>
      <c r="H103" s="3">
        <f>H79-H19</f>
        <v/>
      </c>
      <c r="I103" s="3">
        <f>I79-I19</f>
        <v/>
      </c>
      <c r="J103" s="3">
        <f>J79-J19</f>
        <v/>
      </c>
      <c r="K103" s="56">
        <f>SUM(E103:J103)</f>
        <v/>
      </c>
      <c r="L103" s="62">
        <f>L79-L19</f>
        <v/>
      </c>
      <c r="M103" s="62">
        <f>M79-M19</f>
        <v/>
      </c>
      <c r="N103" s="81">
        <f>N79-N19</f>
        <v/>
      </c>
      <c r="O103" s="62">
        <f>O79-O19</f>
        <v/>
      </c>
      <c r="P103" s="62">
        <f>P79-P19</f>
        <v/>
      </c>
      <c r="Q103" s="62">
        <f>Q79-Q19</f>
        <v/>
      </c>
      <c r="R103" s="56">
        <f>SUM(L103:Q103)</f>
        <v/>
      </c>
      <c r="S103" s="103">
        <f>S79-S19</f>
        <v/>
      </c>
      <c r="T103" s="104">
        <f>T79-T19</f>
        <v/>
      </c>
      <c r="U103" s="104">
        <f>U79-U19</f>
        <v/>
      </c>
      <c r="V103" s="104">
        <f>V79-V19</f>
        <v/>
      </c>
      <c r="W103" s="104">
        <f>W79-W19</f>
        <v/>
      </c>
      <c r="X103" s="104">
        <f>X79-X19</f>
        <v/>
      </c>
      <c r="Y103" s="111">
        <f>Y79-Y19</f>
        <v/>
      </c>
    </row>
    <row r="104">
      <c r="C104" s="2" t="inlineStr">
        <is>
          <t>0026 集計</t>
        </is>
      </c>
      <c r="D104" s="15" t="inlineStr">
        <is>
          <t>井上課長</t>
        </is>
      </c>
      <c r="E104" s="2">
        <f>E80-E20</f>
        <v/>
      </c>
      <c r="F104" s="3">
        <f>F80-F20</f>
        <v/>
      </c>
      <c r="G104" s="80">
        <f>G80-G20</f>
        <v/>
      </c>
      <c r="H104" s="3">
        <f>H80-H20</f>
        <v/>
      </c>
      <c r="I104" s="3">
        <f>I80-I20</f>
        <v/>
      </c>
      <c r="J104" s="3">
        <f>J80-J20</f>
        <v/>
      </c>
      <c r="K104" s="56">
        <f>SUM(E104:J104)</f>
        <v/>
      </c>
      <c r="L104" s="62">
        <f>L80-L20</f>
        <v/>
      </c>
      <c r="M104" s="62">
        <f>M80-M20</f>
        <v/>
      </c>
      <c r="N104" s="81">
        <f>N80-N20</f>
        <v/>
      </c>
      <c r="O104" s="62">
        <f>O80-O20</f>
        <v/>
      </c>
      <c r="P104" s="62">
        <f>P80-P20</f>
        <v/>
      </c>
      <c r="Q104" s="62">
        <f>Q80-Q20</f>
        <v/>
      </c>
      <c r="R104" s="56">
        <f>SUM(L104:Q104)</f>
        <v/>
      </c>
      <c r="S104" s="103">
        <f>S80-S20</f>
        <v/>
      </c>
      <c r="T104" s="104">
        <f>T80-T20</f>
        <v/>
      </c>
      <c r="U104" s="104">
        <f>U80-U20</f>
        <v/>
      </c>
      <c r="V104" s="104">
        <f>V80-V20</f>
        <v/>
      </c>
      <c r="W104" s="104">
        <f>W80-W20</f>
        <v/>
      </c>
      <c r="X104" s="104">
        <f>X80-X20</f>
        <v/>
      </c>
      <c r="Y104" s="111">
        <f>Y80-Y20</f>
        <v/>
      </c>
    </row>
    <row r="105">
      <c r="C105" s="2" t="inlineStr">
        <is>
          <t>0027 集計</t>
        </is>
      </c>
      <c r="D105" s="15" t="inlineStr">
        <is>
          <t>中国</t>
        </is>
      </c>
      <c r="E105" s="2">
        <f>E81-E21</f>
        <v/>
      </c>
      <c r="F105" s="70">
        <f>F81-F21</f>
        <v/>
      </c>
      <c r="G105" s="80">
        <f>G81-G21</f>
        <v/>
      </c>
      <c r="H105" s="3">
        <f>H81-H21</f>
        <v/>
      </c>
      <c r="I105" s="3">
        <f>I81-I21</f>
        <v/>
      </c>
      <c r="J105" s="3">
        <f>J81-J21</f>
        <v/>
      </c>
      <c r="K105" s="56">
        <f>SUM(E105:J105)</f>
        <v/>
      </c>
      <c r="L105" s="62">
        <f>L81-L21</f>
        <v/>
      </c>
      <c r="M105" s="62">
        <f>M81-M21</f>
        <v/>
      </c>
      <c r="N105" s="81">
        <f>N81-N21</f>
        <v/>
      </c>
      <c r="O105" s="62">
        <f>O81-O21</f>
        <v/>
      </c>
      <c r="P105" s="62">
        <f>P81-P21</f>
        <v/>
      </c>
      <c r="Q105" s="62">
        <f>Q81-Q21</f>
        <v/>
      </c>
      <c r="R105" s="56">
        <f>SUM(L105:Q105)</f>
        <v/>
      </c>
      <c r="S105" s="103">
        <f>S81-S21</f>
        <v/>
      </c>
      <c r="T105" s="104">
        <f>T81-T21</f>
        <v/>
      </c>
      <c r="U105" s="104">
        <f>U81-U21</f>
        <v/>
      </c>
      <c r="V105" s="104">
        <f>V81-V21</f>
        <v/>
      </c>
      <c r="W105" s="104">
        <f>W81-W21</f>
        <v/>
      </c>
      <c r="X105" s="104">
        <f>X81-X21</f>
        <v/>
      </c>
      <c r="Y105" s="111">
        <f>Y81-Y21</f>
        <v/>
      </c>
    </row>
    <row r="106">
      <c r="C106" s="71" t="inlineStr">
        <is>
          <t>0028 集計</t>
        </is>
      </c>
      <c r="D106" s="15" t="inlineStr">
        <is>
          <t>自治体</t>
        </is>
      </c>
      <c r="E106" s="2">
        <f>E82-E22</f>
        <v/>
      </c>
      <c r="F106" s="70">
        <f>F82-F22</f>
        <v/>
      </c>
      <c r="G106" s="80">
        <f>G82-G22</f>
        <v/>
      </c>
      <c r="H106" s="3">
        <f>H82-H22</f>
        <v/>
      </c>
      <c r="I106" s="3">
        <f>I82-I22</f>
        <v/>
      </c>
      <c r="J106" s="3">
        <f>J82-J22</f>
        <v/>
      </c>
      <c r="K106" s="56">
        <f>SUM(E106:J106)</f>
        <v/>
      </c>
      <c r="L106" s="62">
        <f>L82-L22</f>
        <v/>
      </c>
      <c r="M106" s="62">
        <f>M82-M22</f>
        <v/>
      </c>
      <c r="N106" s="81">
        <f>N82-N22</f>
        <v/>
      </c>
      <c r="O106" s="62">
        <f>O82-O22</f>
        <v/>
      </c>
      <c r="P106" s="62">
        <f>P82-P22</f>
        <v/>
      </c>
      <c r="Q106" s="62">
        <f>Q82-Q22</f>
        <v/>
      </c>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f>J83-J23</f>
        <v/>
      </c>
      <c r="K107" s="56">
        <f>SUM(E107:J107)</f>
        <v/>
      </c>
      <c r="L107" s="2">
        <f>L83-L23</f>
        <v/>
      </c>
      <c r="M107" s="3">
        <f>M83-M23</f>
        <v/>
      </c>
      <c r="N107" s="80">
        <f>N83-N23</f>
        <v/>
      </c>
      <c r="O107" s="3">
        <f>O83-O23</f>
        <v/>
      </c>
      <c r="P107" s="3">
        <f>P83-P23</f>
        <v/>
      </c>
      <c r="Q107" s="3">
        <f>Q83-Q23</f>
        <v/>
      </c>
      <c r="R107" s="56">
        <f>SUM(L107:Q107)</f>
        <v/>
      </c>
      <c r="S107" s="103">
        <f>S83-S23</f>
        <v/>
      </c>
      <c r="T107" s="104">
        <f>T83-T23</f>
        <v/>
      </c>
      <c r="U107" s="104">
        <f>U83-U23</f>
        <v/>
      </c>
      <c r="V107" s="104">
        <f>V83-V23</f>
        <v/>
      </c>
      <c r="W107" s="104">
        <f>W83-W23</f>
        <v/>
      </c>
      <c r="X107" s="104">
        <f>X83-X23</f>
        <v/>
      </c>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f>X84-X24</f>
        <v/>
      </c>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v>53.547</v>
      </c>
      <c r="K77" s="59">
        <f>SUM(E77:J77)</f>
        <v/>
      </c>
      <c r="L77" s="2" t="n">
        <v>13</v>
      </c>
      <c r="M77" s="3" t="n">
        <v>4.05</v>
      </c>
      <c r="N77" s="80" t="n">
        <v>11.37</v>
      </c>
      <c r="O77" s="3" t="n">
        <v>17.735</v>
      </c>
      <c r="P77" s="3" t="n">
        <v>8.25</v>
      </c>
      <c r="Q77" s="3" t="n">
        <v>11.197</v>
      </c>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v>106.2</v>
      </c>
      <c r="K78" s="59">
        <f>SUM(E78:J78)</f>
        <v/>
      </c>
      <c r="L78" s="2" t="n">
        <v>1.49</v>
      </c>
      <c r="M78" s="3" t="n">
        <v>444.769</v>
      </c>
      <c r="N78" s="80" t="n">
        <v>7.94</v>
      </c>
      <c r="O78" s="3" t="n">
        <v>64.078</v>
      </c>
      <c r="P78" s="3" t="n">
        <v>61.68</v>
      </c>
      <c r="Q78" s="3" t="n">
        <v>13.29</v>
      </c>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v>148.7</v>
      </c>
      <c r="K79" s="59">
        <f>SUM(E79:J79)</f>
        <v/>
      </c>
      <c r="L79" s="2" t="n"/>
      <c r="M79" s="3" t="n">
        <v>12.96</v>
      </c>
      <c r="N79" s="3" t="n"/>
      <c r="O79" s="3" t="n">
        <v>5</v>
      </c>
      <c r="P79" s="3" t="n">
        <v>0</v>
      </c>
      <c r="Q79" s="3" t="n">
        <v>18.43</v>
      </c>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v>669.73</v>
      </c>
      <c r="K80" s="59">
        <f>SUM(E80:J80)</f>
        <v/>
      </c>
      <c r="L80" s="2" t="n">
        <v>90</v>
      </c>
      <c r="M80" s="3" t="n">
        <v>15.69</v>
      </c>
      <c r="N80" s="80" t="n">
        <v>9.51</v>
      </c>
      <c r="O80" s="3" t="n">
        <v>84.63</v>
      </c>
      <c r="P80" s="3" t="n">
        <v>40.47</v>
      </c>
      <c r="Q80" s="3" t="n">
        <v>120.8</v>
      </c>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v>0</v>
      </c>
      <c r="K81" s="59">
        <f>SUM(E81:J81)</f>
        <v/>
      </c>
      <c r="L81" s="2" t="n"/>
      <c r="M81" s="3" t="n"/>
      <c r="N81" s="3" t="n"/>
      <c r="O81" s="3" t="n"/>
      <c r="P81" s="3" t="n">
        <v>0</v>
      </c>
      <c r="Q81" s="3" t="n">
        <v>0</v>
      </c>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v>0</v>
      </c>
      <c r="K82" s="3">
        <f>SUM(E82:J82)</f>
        <v/>
      </c>
      <c r="L82" s="2" t="n"/>
      <c r="M82" s="3" t="n"/>
      <c r="N82" s="3" t="n"/>
      <c r="O82" s="3" t="n"/>
      <c r="P82" s="3" t="n">
        <v>0</v>
      </c>
      <c r="Q82" s="3" t="n">
        <v>0</v>
      </c>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v>0</v>
      </c>
      <c r="K83" s="59">
        <f>SUM(E83:J83)</f>
        <v/>
      </c>
      <c r="L83" s="2" t="n"/>
      <c r="M83" s="3" t="n"/>
      <c r="N83" s="3" t="n"/>
      <c r="O83" s="3" t="n"/>
      <c r="P83" s="3" t="n">
        <v>0</v>
      </c>
      <c r="Q83" s="3" t="n">
        <v>0</v>
      </c>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f>J77-J41</f>
        <v/>
      </c>
      <c r="K89" s="59">
        <f>SUM(E89:J89)</f>
        <v/>
      </c>
      <c r="L89" s="2">
        <f>L77-L41</f>
        <v/>
      </c>
      <c r="M89" s="3">
        <f>M77-M41</f>
        <v/>
      </c>
      <c r="N89" s="80">
        <f>N77-N41</f>
        <v/>
      </c>
      <c r="O89" s="3">
        <f>O77-O41</f>
        <v/>
      </c>
      <c r="P89" s="3">
        <f>P77-P41</f>
        <v/>
      </c>
      <c r="Q89" s="3">
        <f>Q77-Q41</f>
        <v/>
      </c>
      <c r="R89" s="56">
        <f>SUM(L89:Q89)</f>
        <v/>
      </c>
      <c r="S89" s="103">
        <f>S77-S41</f>
        <v/>
      </c>
      <c r="T89" s="104">
        <f>T77-T41</f>
        <v/>
      </c>
      <c r="U89" s="104">
        <f>U77-U41</f>
        <v/>
      </c>
      <c r="V89" s="104">
        <f>V77-V41</f>
        <v/>
      </c>
      <c r="W89" s="104">
        <f>W77-W41</f>
        <v/>
      </c>
      <c r="X89" s="104">
        <f>X77-X41</f>
        <v/>
      </c>
      <c r="Y89" s="105">
        <f>Y77-Y41</f>
        <v/>
      </c>
    </row>
    <row r="90">
      <c r="C90" s="2" t="inlineStr">
        <is>
          <t>0024 集計</t>
        </is>
      </c>
      <c r="D90" s="15" t="inlineStr">
        <is>
          <t>東野</t>
        </is>
      </c>
      <c r="E90" s="3">
        <f>E78-E42</f>
        <v/>
      </c>
      <c r="F90" s="3">
        <f>F78-F42</f>
        <v/>
      </c>
      <c r="G90" s="80">
        <f>G78-G42</f>
        <v/>
      </c>
      <c r="H90" s="3">
        <f>H78-H42</f>
        <v/>
      </c>
      <c r="I90" s="3">
        <f>I78-I42</f>
        <v/>
      </c>
      <c r="J90" s="3">
        <f>J78-J42</f>
        <v/>
      </c>
      <c r="K90" s="59">
        <f>SUM(E90:J90)</f>
        <v/>
      </c>
      <c r="L90" s="2">
        <f>L78-L42</f>
        <v/>
      </c>
      <c r="M90" s="3">
        <f>M78-M42</f>
        <v/>
      </c>
      <c r="N90" s="80">
        <f>N78-N42</f>
        <v/>
      </c>
      <c r="O90" s="3">
        <f>O78-O42</f>
        <v/>
      </c>
      <c r="P90" s="3">
        <f>P78-P42</f>
        <v/>
      </c>
      <c r="Q90" s="3">
        <f>Q78-Q42</f>
        <v/>
      </c>
      <c r="R90" s="56">
        <f>SUM(L90:Q90)</f>
        <v/>
      </c>
      <c r="S90" s="103">
        <f>S78-S42</f>
        <v/>
      </c>
      <c r="T90" s="104">
        <f>T78-T42</f>
        <v/>
      </c>
      <c r="U90" s="104">
        <f>U78-U42</f>
        <v/>
      </c>
      <c r="V90" s="104">
        <f>V78-V42</f>
        <v/>
      </c>
      <c r="W90" s="104">
        <f>W78-W42</f>
        <v/>
      </c>
      <c r="X90" s="104">
        <f>X78-X42</f>
        <v/>
      </c>
      <c r="Y90" s="105">
        <f>Y78-Y42</f>
        <v/>
      </c>
    </row>
    <row r="91">
      <c r="C91" s="2" t="inlineStr">
        <is>
          <t>0025 集計</t>
        </is>
      </c>
      <c r="D91" s="15" t="inlineStr">
        <is>
          <t>橋本課長</t>
        </is>
      </c>
      <c r="E91" s="3">
        <f>E79-E43</f>
        <v/>
      </c>
      <c r="F91" s="3">
        <f>F79-F43</f>
        <v/>
      </c>
      <c r="G91" s="80">
        <f>G79-G43</f>
        <v/>
      </c>
      <c r="H91" s="3">
        <f>H79-H43</f>
        <v/>
      </c>
      <c r="I91" s="3">
        <f>I79-I43</f>
        <v/>
      </c>
      <c r="J91" s="3">
        <f>J79-J43</f>
        <v/>
      </c>
      <c r="K91" s="59">
        <f>SUM(E91:J91)</f>
        <v/>
      </c>
      <c r="L91" s="2">
        <f>L79-L43</f>
        <v/>
      </c>
      <c r="M91" s="3">
        <f>M79-M43</f>
        <v/>
      </c>
      <c r="N91" s="80">
        <f>N79-N43</f>
        <v/>
      </c>
      <c r="O91" s="3">
        <f>O79-O43</f>
        <v/>
      </c>
      <c r="P91" s="3">
        <f>P79-P43</f>
        <v/>
      </c>
      <c r="Q91" s="3">
        <f>Q79-Q43</f>
        <v/>
      </c>
      <c r="R91" s="56">
        <f>SUM(L91:Q91)</f>
        <v/>
      </c>
      <c r="S91" s="103">
        <f>S79-S43</f>
        <v/>
      </c>
      <c r="T91" s="104">
        <f>T79-T43</f>
        <v/>
      </c>
      <c r="U91" s="104">
        <f>U79-U43</f>
        <v/>
      </c>
      <c r="V91" s="104">
        <f>V79-V43</f>
        <v/>
      </c>
      <c r="W91" s="104">
        <f>W79-W43</f>
        <v/>
      </c>
      <c r="X91" s="104">
        <f>X79-X43</f>
        <v/>
      </c>
      <c r="Y91" s="105">
        <f>Y79-Y43</f>
        <v/>
      </c>
    </row>
    <row r="92">
      <c r="C92" s="2" t="inlineStr">
        <is>
          <t>0026 集計</t>
        </is>
      </c>
      <c r="D92" s="15" t="inlineStr">
        <is>
          <t>井上課長</t>
        </is>
      </c>
      <c r="E92" s="3">
        <f>E80-E44</f>
        <v/>
      </c>
      <c r="F92" s="3">
        <f>F80-F44</f>
        <v/>
      </c>
      <c r="G92" s="80">
        <f>G80-G44</f>
        <v/>
      </c>
      <c r="H92" s="3">
        <f>H80-H44</f>
        <v/>
      </c>
      <c r="I92" s="3">
        <f>I80-I44</f>
        <v/>
      </c>
      <c r="J92" s="3">
        <f>J80-J44</f>
        <v/>
      </c>
      <c r="K92" s="59">
        <f>SUM(E92:J92)</f>
        <v/>
      </c>
      <c r="L92" s="2">
        <f>L80-L44</f>
        <v/>
      </c>
      <c r="M92" s="3">
        <f>M80-M44</f>
        <v/>
      </c>
      <c r="N92" s="80">
        <f>N80-N44</f>
        <v/>
      </c>
      <c r="O92" s="3">
        <f>O80-O44</f>
        <v/>
      </c>
      <c r="P92" s="3">
        <f>P80-P44</f>
        <v/>
      </c>
      <c r="Q92" s="3">
        <f>Q80-Q44</f>
        <v/>
      </c>
      <c r="R92" s="56">
        <f>SUM(L92:Q92)</f>
        <v/>
      </c>
      <c r="S92" s="103">
        <f>S80-S44</f>
        <v/>
      </c>
      <c r="T92" s="104">
        <f>T80-T44</f>
        <v/>
      </c>
      <c r="U92" s="104">
        <f>U80-U44</f>
        <v/>
      </c>
      <c r="V92" s="104">
        <f>V80-V44</f>
        <v/>
      </c>
      <c r="W92" s="104">
        <f>W80-W44</f>
        <v/>
      </c>
      <c r="X92" s="104">
        <f>X80-X44</f>
        <v/>
      </c>
      <c r="Y92" s="105">
        <f>Y80-Y44</f>
        <v/>
      </c>
    </row>
    <row r="93">
      <c r="C93" s="2" t="inlineStr">
        <is>
          <t>0027 集計</t>
        </is>
      </c>
      <c r="D93" s="15" t="inlineStr">
        <is>
          <t>中国</t>
        </is>
      </c>
      <c r="E93" s="3">
        <f>E81-E45</f>
        <v/>
      </c>
      <c r="F93" s="3">
        <f>F81-F45</f>
        <v/>
      </c>
      <c r="G93" s="80">
        <f>G81-G45</f>
        <v/>
      </c>
      <c r="H93" s="3">
        <f>H81-H45</f>
        <v/>
      </c>
      <c r="I93" s="3">
        <f>I81-I45</f>
        <v/>
      </c>
      <c r="J93" s="3">
        <f>J81-J45</f>
        <v/>
      </c>
      <c r="K93" s="59">
        <f>SUM(E93:J93)</f>
        <v/>
      </c>
      <c r="L93" s="2">
        <f>L81-L45</f>
        <v/>
      </c>
      <c r="M93" s="3">
        <f>M81-M45</f>
        <v/>
      </c>
      <c r="N93" s="80">
        <f>N81-N45</f>
        <v/>
      </c>
      <c r="O93" s="3">
        <f>O81-O45</f>
        <v/>
      </c>
      <c r="P93" s="3">
        <f>P81-P45</f>
        <v/>
      </c>
      <c r="Q93" s="3">
        <f>Q81-Q45</f>
        <v/>
      </c>
      <c r="R93" s="56">
        <f>SUM(L93:Q93)</f>
        <v/>
      </c>
      <c r="S93" s="103">
        <f>S81-S45</f>
        <v/>
      </c>
      <c r="T93" s="104">
        <f>T81-T45</f>
        <v/>
      </c>
      <c r="U93" s="104">
        <f>U81-U45</f>
        <v/>
      </c>
      <c r="V93" s="104">
        <f>V81-V45</f>
        <v/>
      </c>
      <c r="W93" s="104">
        <f>W81-W45</f>
        <v/>
      </c>
      <c r="X93" s="104">
        <f>X81-X45</f>
        <v/>
      </c>
      <c r="Y93" s="105">
        <f>Y81-Y45</f>
        <v/>
      </c>
    </row>
    <row r="94">
      <c r="C94" s="71" t="inlineStr">
        <is>
          <t>0028 集計</t>
        </is>
      </c>
      <c r="D94" s="15" t="inlineStr">
        <is>
          <t>自治体</t>
        </is>
      </c>
      <c r="E94" s="3">
        <f>E82-E46</f>
        <v/>
      </c>
      <c r="F94" s="3">
        <f>F82-F46</f>
        <v/>
      </c>
      <c r="G94" s="80">
        <f>G82-G46</f>
        <v/>
      </c>
      <c r="H94" s="3">
        <f>H82-H46</f>
        <v/>
      </c>
      <c r="I94" s="3">
        <f>I82-I46</f>
        <v/>
      </c>
      <c r="J94" s="3">
        <f>J82-J46</f>
        <v/>
      </c>
      <c r="K94" s="59">
        <f>SUM(E94:J94)</f>
        <v/>
      </c>
      <c r="L94" s="2">
        <f>L82-L46</f>
        <v/>
      </c>
      <c r="M94" s="3">
        <f>M82-M46</f>
        <v/>
      </c>
      <c r="N94" s="80">
        <f>N82-N46</f>
        <v/>
      </c>
      <c r="O94" s="3">
        <f>O82-O46</f>
        <v/>
      </c>
      <c r="P94" s="3">
        <f>P82-P46</f>
        <v/>
      </c>
      <c r="Q94" s="3">
        <f>Q82-Q46</f>
        <v/>
      </c>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f>J83-J47</f>
        <v/>
      </c>
      <c r="K95" s="59">
        <f>SUM(E95:J95)</f>
        <v/>
      </c>
      <c r="L95" s="2">
        <f>L83-L47</f>
        <v/>
      </c>
      <c r="M95" s="3">
        <f>M83-M47</f>
        <v/>
      </c>
      <c r="N95" s="3">
        <f>N83-N47</f>
        <v/>
      </c>
      <c r="O95" s="3">
        <f>O83-O47</f>
        <v/>
      </c>
      <c r="P95" s="3">
        <f>P83-P47</f>
        <v/>
      </c>
      <c r="Q95" s="3">
        <f>Q83-Q47</f>
        <v/>
      </c>
      <c r="R95" s="56">
        <f>SUM(L95:Q95)</f>
        <v/>
      </c>
      <c r="S95" s="103">
        <f>S83-S47</f>
        <v/>
      </c>
      <c r="T95" s="104">
        <f>T83-T47</f>
        <v/>
      </c>
      <c r="U95" s="104">
        <f>U83-U47</f>
        <v/>
      </c>
      <c r="V95" s="104">
        <f>V83-V47</f>
        <v/>
      </c>
      <c r="W95" s="104">
        <f>W83-W47</f>
        <v/>
      </c>
      <c r="X95" s="104">
        <f>X83-X47</f>
        <v/>
      </c>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f>X84-X48</f>
        <v/>
      </c>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f>J77-J17</f>
        <v/>
      </c>
      <c r="K101" s="59">
        <f>SUM(E101:J101)</f>
        <v/>
      </c>
      <c r="L101" s="2">
        <f>L77-L17</f>
        <v/>
      </c>
      <c r="M101" s="3">
        <f>M77-M17</f>
        <v/>
      </c>
      <c r="N101" s="80">
        <f>N77-N17</f>
        <v/>
      </c>
      <c r="O101" s="3">
        <f>O77-O17</f>
        <v/>
      </c>
      <c r="P101" s="3">
        <f>P77-P17</f>
        <v/>
      </c>
      <c r="Q101" s="3">
        <f>Q77-Q17</f>
        <v/>
      </c>
      <c r="R101" s="56">
        <f>SUM(L101:Q101)</f>
        <v/>
      </c>
      <c r="S101" s="103">
        <f>S77-S17</f>
        <v/>
      </c>
      <c r="T101" s="104">
        <f>T77-T17</f>
        <v/>
      </c>
      <c r="U101" s="104">
        <f>U77-U17</f>
        <v/>
      </c>
      <c r="V101" s="104">
        <f>V77-V17</f>
        <v/>
      </c>
      <c r="W101" s="104">
        <f>W77-W17</f>
        <v/>
      </c>
      <c r="X101" s="104">
        <f>X77-X17</f>
        <v/>
      </c>
      <c r="Y101" s="111">
        <f>Y77-Y17</f>
        <v/>
      </c>
    </row>
    <row r="102">
      <c r="C102" s="2" t="inlineStr">
        <is>
          <t>0024 集計</t>
        </is>
      </c>
      <c r="D102" s="15" t="inlineStr">
        <is>
          <t>東野</t>
        </is>
      </c>
      <c r="E102" s="3">
        <f>E78-E18</f>
        <v/>
      </c>
      <c r="F102" s="3">
        <f>F78-F18</f>
        <v/>
      </c>
      <c r="G102" s="80">
        <f>G78-G18</f>
        <v/>
      </c>
      <c r="H102" s="3">
        <f>H78-H18</f>
        <v/>
      </c>
      <c r="I102" s="3">
        <f>I78-I18</f>
        <v/>
      </c>
      <c r="J102" s="3">
        <f>J78-J18</f>
        <v/>
      </c>
      <c r="K102" s="59">
        <f>SUM(E102:J102)</f>
        <v/>
      </c>
      <c r="L102" s="2">
        <f>L78-L18</f>
        <v/>
      </c>
      <c r="M102" s="3">
        <f>M78-M18</f>
        <v/>
      </c>
      <c r="N102" s="80">
        <f>N78-N18</f>
        <v/>
      </c>
      <c r="O102" s="3">
        <f>O78-O18</f>
        <v/>
      </c>
      <c r="P102" s="3">
        <f>P78-P18</f>
        <v/>
      </c>
      <c r="Q102" s="3">
        <f>Q78-Q18</f>
        <v/>
      </c>
      <c r="R102" s="56">
        <f>SUM(L102:Q102)</f>
        <v/>
      </c>
      <c r="S102" s="103">
        <f>S78-S18</f>
        <v/>
      </c>
      <c r="T102" s="104">
        <f>T78-T18</f>
        <v/>
      </c>
      <c r="U102" s="104">
        <f>U78-U18</f>
        <v/>
      </c>
      <c r="V102" s="104">
        <f>V78-V18</f>
        <v/>
      </c>
      <c r="W102" s="104">
        <f>W78-W18</f>
        <v/>
      </c>
      <c r="X102" s="104">
        <f>X78-X18</f>
        <v/>
      </c>
      <c r="Y102" s="111">
        <f>Y78-Y18</f>
        <v/>
      </c>
    </row>
    <row r="103">
      <c r="C103" s="2" t="inlineStr">
        <is>
          <t>0025 集計</t>
        </is>
      </c>
      <c r="D103" s="15" t="inlineStr">
        <is>
          <t>橋本課長</t>
        </is>
      </c>
      <c r="E103" s="3">
        <f>E79-E19</f>
        <v/>
      </c>
      <c r="F103" s="3">
        <f>F79-F19</f>
        <v/>
      </c>
      <c r="G103" s="80">
        <f>G79-G19</f>
        <v/>
      </c>
      <c r="H103" s="3">
        <f>H79-H19</f>
        <v/>
      </c>
      <c r="I103" s="3">
        <f>I79-I19</f>
        <v/>
      </c>
      <c r="J103" s="3">
        <f>J79-J19</f>
        <v/>
      </c>
      <c r="K103" s="59">
        <f>SUM(E103:J103)</f>
        <v/>
      </c>
      <c r="L103" s="2">
        <f>L79-L19</f>
        <v/>
      </c>
      <c r="M103" s="3">
        <f>M79-M19</f>
        <v/>
      </c>
      <c r="N103" s="80">
        <f>N79-N19</f>
        <v/>
      </c>
      <c r="O103" s="3">
        <f>O79-O19</f>
        <v/>
      </c>
      <c r="P103" s="3">
        <f>P79-P19</f>
        <v/>
      </c>
      <c r="Q103" s="3">
        <f>Q79-Q19</f>
        <v/>
      </c>
      <c r="R103" s="56">
        <f>SUM(L103:Q103)</f>
        <v/>
      </c>
      <c r="S103" s="103">
        <f>S79-S19</f>
        <v/>
      </c>
      <c r="T103" s="104">
        <f>T79-T19</f>
        <v/>
      </c>
      <c r="U103" s="104">
        <f>U79-U19</f>
        <v/>
      </c>
      <c r="V103" s="104">
        <f>V79-V19</f>
        <v/>
      </c>
      <c r="W103" s="104">
        <f>W79-W19</f>
        <v/>
      </c>
      <c r="X103" s="104">
        <f>X79-X19</f>
        <v/>
      </c>
      <c r="Y103" s="111">
        <f>Y79-Y19</f>
        <v/>
      </c>
    </row>
    <row r="104">
      <c r="C104" s="2" t="inlineStr">
        <is>
          <t>0026 集計</t>
        </is>
      </c>
      <c r="D104" s="15" t="inlineStr">
        <is>
          <t>井上課長</t>
        </is>
      </c>
      <c r="E104" s="3">
        <f>E80-E20</f>
        <v/>
      </c>
      <c r="F104" s="3">
        <f>F80-F20</f>
        <v/>
      </c>
      <c r="G104" s="80">
        <f>G80-G20</f>
        <v/>
      </c>
      <c r="H104" s="3">
        <f>H80-H20</f>
        <v/>
      </c>
      <c r="I104" s="3">
        <f>I80-I20</f>
        <v/>
      </c>
      <c r="J104" s="3">
        <f>J80-J20</f>
        <v/>
      </c>
      <c r="K104" s="59">
        <f>SUM(E104:J104)</f>
        <v/>
      </c>
      <c r="L104" s="2">
        <f>L80-L20</f>
        <v/>
      </c>
      <c r="M104" s="3">
        <f>M80-M20</f>
        <v/>
      </c>
      <c r="N104" s="80">
        <f>N80-N20</f>
        <v/>
      </c>
      <c r="O104" s="3">
        <f>O80-O20</f>
        <v/>
      </c>
      <c r="P104" s="3">
        <f>P80-P20</f>
        <v/>
      </c>
      <c r="Q104" s="3">
        <f>Q80-Q20</f>
        <v/>
      </c>
      <c r="R104" s="56">
        <f>SUM(L104:Q104)</f>
        <v/>
      </c>
      <c r="S104" s="103">
        <f>S80-S20</f>
        <v/>
      </c>
      <c r="T104" s="104">
        <f>T80-T20</f>
        <v/>
      </c>
      <c r="U104" s="104">
        <f>U80-U20</f>
        <v/>
      </c>
      <c r="V104" s="104">
        <f>V80-V20</f>
        <v/>
      </c>
      <c r="W104" s="104">
        <f>W80-W20</f>
        <v/>
      </c>
      <c r="X104" s="104">
        <f>X80-X20</f>
        <v/>
      </c>
      <c r="Y104" s="111">
        <f>Y80-Y20</f>
        <v/>
      </c>
    </row>
    <row r="105">
      <c r="C105" s="2" t="inlineStr">
        <is>
          <t>0027 集計</t>
        </is>
      </c>
      <c r="D105" s="15" t="inlineStr">
        <is>
          <t>中国</t>
        </is>
      </c>
      <c r="E105" s="3">
        <f>E81-E21</f>
        <v/>
      </c>
      <c r="F105" s="3">
        <f>F81-F21</f>
        <v/>
      </c>
      <c r="G105" s="80">
        <f>G81-G21</f>
        <v/>
      </c>
      <c r="H105" s="3">
        <f>H81-H21</f>
        <v/>
      </c>
      <c r="I105" s="3">
        <f>I81-I21</f>
        <v/>
      </c>
      <c r="J105" s="3">
        <f>J81-J21</f>
        <v/>
      </c>
      <c r="K105" s="59">
        <f>SUM(E105:J105)</f>
        <v/>
      </c>
      <c r="L105" s="2">
        <f>L81-L21</f>
        <v/>
      </c>
      <c r="M105" s="3">
        <f>M81-M21</f>
        <v/>
      </c>
      <c r="N105" s="80">
        <f>N81-N21</f>
        <v/>
      </c>
      <c r="O105" s="3">
        <f>O81-O21</f>
        <v/>
      </c>
      <c r="P105" s="3">
        <f>P81-P21</f>
        <v/>
      </c>
      <c r="Q105" s="3">
        <f>Q81-Q21</f>
        <v/>
      </c>
      <c r="R105" s="56">
        <f>SUM(L105:Q105)</f>
        <v/>
      </c>
      <c r="S105" s="103">
        <f>S81-S21</f>
        <v/>
      </c>
      <c r="T105" s="104">
        <f>T81-T21</f>
        <v/>
      </c>
      <c r="U105" s="104">
        <f>U81-U21</f>
        <v/>
      </c>
      <c r="V105" s="104">
        <f>V81-V21</f>
        <v/>
      </c>
      <c r="W105" s="104">
        <f>W81-W21</f>
        <v/>
      </c>
      <c r="X105" s="104">
        <f>X81-X21</f>
        <v/>
      </c>
      <c r="Y105" s="111">
        <f>Y81-Y21</f>
        <v/>
      </c>
    </row>
    <row r="106">
      <c r="C106" s="71" t="inlineStr">
        <is>
          <t>0028 集計</t>
        </is>
      </c>
      <c r="D106" s="15" t="inlineStr">
        <is>
          <t>自治体</t>
        </is>
      </c>
      <c r="E106" s="3">
        <f>E82-E22</f>
        <v/>
      </c>
      <c r="F106" s="3">
        <f>F82-F22</f>
        <v/>
      </c>
      <c r="G106" s="80">
        <f>G82-G22</f>
        <v/>
      </c>
      <c r="H106" s="3">
        <f>H82-H22</f>
        <v/>
      </c>
      <c r="I106" s="3">
        <f>I82-I22</f>
        <v/>
      </c>
      <c r="J106" s="3">
        <f>J82-J22</f>
        <v/>
      </c>
      <c r="K106" s="59">
        <f>SUM(E106:J106)</f>
        <v/>
      </c>
      <c r="L106" s="2">
        <f>L82-L22</f>
        <v/>
      </c>
      <c r="M106" s="3">
        <f>M82-M22</f>
        <v/>
      </c>
      <c r="N106" s="80">
        <f>N82-N22</f>
        <v/>
      </c>
      <c r="O106" s="3">
        <f>O82-O22</f>
        <v/>
      </c>
      <c r="P106" s="3">
        <f>P82-P22</f>
        <v/>
      </c>
      <c r="Q106" s="3">
        <f>Q82-Q22</f>
        <v/>
      </c>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f>J83-J23</f>
        <v/>
      </c>
      <c r="K107" s="59">
        <f>SUM(E107:J107)</f>
        <v/>
      </c>
      <c r="L107" s="2">
        <f>L83-L23</f>
        <v/>
      </c>
      <c r="M107" s="3">
        <f>M83-M23</f>
        <v/>
      </c>
      <c r="N107" s="80">
        <f>N83-N23</f>
        <v/>
      </c>
      <c r="O107" s="3">
        <f>O83-O23</f>
        <v/>
      </c>
      <c r="P107" s="3">
        <f>P83-P23</f>
        <v/>
      </c>
      <c r="Q107" s="3">
        <f>Q83-Q23</f>
        <v/>
      </c>
      <c r="R107" s="56">
        <f>SUM(L107:Q107)</f>
        <v/>
      </c>
      <c r="S107" s="103">
        <f>S83-S23</f>
        <v/>
      </c>
      <c r="T107" s="104">
        <f>T83-T23</f>
        <v/>
      </c>
      <c r="U107" s="104">
        <f>U83-U23</f>
        <v/>
      </c>
      <c r="V107" s="104">
        <f>V83-V23</f>
        <v/>
      </c>
      <c r="W107" s="104">
        <f>W83-W23</f>
        <v/>
      </c>
      <c r="X107" s="104">
        <f>X83-X23</f>
        <v/>
      </c>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f>X84-X24</f>
        <v/>
      </c>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v>9142.034</v>
      </c>
      <c r="K77" s="59">
        <f>SUM(E77:J77)</f>
        <v/>
      </c>
      <c r="L77" s="2" t="n">
        <v>3925.653</v>
      </c>
      <c r="M77" s="62" t="n">
        <v>2266.876</v>
      </c>
      <c r="N77" s="80" t="n">
        <v>1926.086</v>
      </c>
      <c r="O77" s="3" t="n">
        <v>2120.834</v>
      </c>
      <c r="P77" s="3" t="n">
        <v>1748.686</v>
      </c>
      <c r="Q77" s="3" t="n">
        <v>2221.32</v>
      </c>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v>15950.679</v>
      </c>
      <c r="K78" s="59">
        <f>SUM(E78:J78)</f>
        <v/>
      </c>
      <c r="L78" s="2" t="n">
        <v>2483.551</v>
      </c>
      <c r="M78" s="62" t="n">
        <v>3112.73</v>
      </c>
      <c r="N78" s="80" t="n">
        <v>3824.482</v>
      </c>
      <c r="O78" s="3" t="n">
        <v>3200.535</v>
      </c>
      <c r="P78" s="3" t="n">
        <v>2715.531</v>
      </c>
      <c r="Q78" s="3" t="n">
        <v>3205.927</v>
      </c>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v>11591.025</v>
      </c>
      <c r="K79" s="59">
        <f>SUM(E79:J79)</f>
        <v/>
      </c>
      <c r="L79" s="2" t="n">
        <v>1990.233</v>
      </c>
      <c r="M79" s="62" t="n">
        <v>2007.683</v>
      </c>
      <c r="N79" s="80" t="n">
        <v>1874.108</v>
      </c>
      <c r="O79" s="3" t="n">
        <v>2151.642</v>
      </c>
      <c r="P79" s="3" t="n">
        <v>1952.649</v>
      </c>
      <c r="Q79" s="3" t="n">
        <v>2430.17</v>
      </c>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v>14028.019</v>
      </c>
      <c r="K80" s="59">
        <f>SUM(E80:J80)</f>
        <v/>
      </c>
      <c r="L80" s="2" t="n">
        <v>2789.712</v>
      </c>
      <c r="M80" s="62" t="n">
        <v>2337.45</v>
      </c>
      <c r="N80" s="80" t="n">
        <v>2603.699</v>
      </c>
      <c r="O80" s="3" t="n">
        <v>3150.701</v>
      </c>
      <c r="P80" s="3" t="n">
        <v>2770.063</v>
      </c>
      <c r="Q80" s="3" t="n">
        <v>3020.484</v>
      </c>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v>0</v>
      </c>
      <c r="K81" s="59">
        <f>SUM(E81:J81)</f>
        <v/>
      </c>
      <c r="L81" s="2" t="n"/>
      <c r="M81" s="3" t="n"/>
      <c r="N81" s="3" t="n"/>
      <c r="O81" s="3" t="n"/>
      <c r="P81" s="3" t="n">
        <v>0</v>
      </c>
      <c r="Q81" s="3" t="n">
        <v>0</v>
      </c>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v>0</v>
      </c>
      <c r="K82" s="3">
        <f>SUM(E82:J82)</f>
        <v/>
      </c>
      <c r="L82" s="2" t="n"/>
      <c r="M82" s="3" t="n"/>
      <c r="N82" s="80" t="n">
        <v>3.15</v>
      </c>
      <c r="O82" s="3" t="n">
        <v>0</v>
      </c>
      <c r="P82" s="3" t="n">
        <v>2.2</v>
      </c>
      <c r="Q82" s="3" t="n">
        <v>0</v>
      </c>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v>0</v>
      </c>
      <c r="K83" s="59">
        <f>SUM(E83:J83)</f>
        <v/>
      </c>
      <c r="L83" s="2" t="n"/>
      <c r="M83" s="3" t="n"/>
      <c r="N83" s="3" t="n"/>
      <c r="O83" s="3" t="n"/>
      <c r="P83" s="3" t="n">
        <v>0</v>
      </c>
      <c r="Q83" s="3" t="n">
        <v>0</v>
      </c>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f>J77-J41</f>
        <v/>
      </c>
      <c r="K89" s="59">
        <f>SUM(E89:J89)</f>
        <v/>
      </c>
      <c r="L89" s="2">
        <f>L77-L41</f>
        <v/>
      </c>
      <c r="M89" s="3">
        <f>M77-M41</f>
        <v/>
      </c>
      <c r="N89" s="80">
        <f>N77-N41</f>
        <v/>
      </c>
      <c r="O89" s="3">
        <f>O77-O41</f>
        <v/>
      </c>
      <c r="P89" s="3">
        <f>P77-P41</f>
        <v/>
      </c>
      <c r="Q89" s="3">
        <f>Q77-Q41</f>
        <v/>
      </c>
      <c r="R89" s="56">
        <f>SUM(L89:Q89)</f>
        <v/>
      </c>
      <c r="S89" s="103">
        <f>S77-S41</f>
        <v/>
      </c>
      <c r="T89" s="103">
        <f>T77-T41</f>
        <v/>
      </c>
      <c r="U89" s="104">
        <f>U77-U41</f>
        <v/>
      </c>
      <c r="V89" s="104">
        <f>V77-V41</f>
        <v/>
      </c>
      <c r="W89" s="104">
        <f>W77-W41</f>
        <v/>
      </c>
      <c r="X89" s="104">
        <f>X77-X41</f>
        <v/>
      </c>
      <c r="Y89" s="105">
        <f>Y77-Y41</f>
        <v/>
      </c>
    </row>
    <row r="90">
      <c r="C90" s="2" t="inlineStr">
        <is>
          <t>0024 集計</t>
        </is>
      </c>
      <c r="D90" s="15" t="inlineStr">
        <is>
          <t>東野</t>
        </is>
      </c>
      <c r="E90" s="3">
        <f>E78-E42</f>
        <v/>
      </c>
      <c r="F90" s="3">
        <f>F78-F42</f>
        <v/>
      </c>
      <c r="G90" s="80">
        <f>G78-G42</f>
        <v/>
      </c>
      <c r="H90" s="3">
        <f>H78-H42</f>
        <v/>
      </c>
      <c r="I90" s="3">
        <f>I78-I42</f>
        <v/>
      </c>
      <c r="J90" s="3">
        <f>J78-J42</f>
        <v/>
      </c>
      <c r="K90" s="59">
        <f>SUM(E90:J90)</f>
        <v/>
      </c>
      <c r="L90" s="2">
        <f>L78-L42</f>
        <v/>
      </c>
      <c r="M90" s="3">
        <f>M78-M42</f>
        <v/>
      </c>
      <c r="N90" s="80">
        <f>N78-N42</f>
        <v/>
      </c>
      <c r="O90" s="3">
        <f>O78-O42</f>
        <v/>
      </c>
      <c r="P90" s="3">
        <f>P78-P42</f>
        <v/>
      </c>
      <c r="Q90" s="3">
        <f>Q78-Q42</f>
        <v/>
      </c>
      <c r="R90" s="56">
        <f>SUM(L90:Q90)</f>
        <v/>
      </c>
      <c r="S90" s="103">
        <f>S78-S42</f>
        <v/>
      </c>
      <c r="T90" s="103">
        <f>T78-T42</f>
        <v/>
      </c>
      <c r="U90" s="104">
        <f>U78-U42</f>
        <v/>
      </c>
      <c r="V90" s="104">
        <f>V78-V42</f>
        <v/>
      </c>
      <c r="W90" s="104">
        <f>W78-W42</f>
        <v/>
      </c>
      <c r="X90" s="104">
        <f>X78-X42</f>
        <v/>
      </c>
      <c r="Y90" s="105">
        <f>Y78-Y42</f>
        <v/>
      </c>
    </row>
    <row r="91">
      <c r="C91" s="2" t="inlineStr">
        <is>
          <t>0025 集計</t>
        </is>
      </c>
      <c r="D91" s="15" t="inlineStr">
        <is>
          <t>橋本課長</t>
        </is>
      </c>
      <c r="E91" s="3">
        <f>E79-E43</f>
        <v/>
      </c>
      <c r="F91" s="3">
        <f>F79-F43</f>
        <v/>
      </c>
      <c r="G91" s="80">
        <f>G79-G43</f>
        <v/>
      </c>
      <c r="H91" s="3">
        <f>H79-H43</f>
        <v/>
      </c>
      <c r="I91" s="3">
        <f>I79-I43</f>
        <v/>
      </c>
      <c r="J91" s="3">
        <f>J79-J43</f>
        <v/>
      </c>
      <c r="K91" s="59">
        <f>SUM(E91:J91)</f>
        <v/>
      </c>
      <c r="L91" s="2">
        <f>L79-L43</f>
        <v/>
      </c>
      <c r="M91" s="3">
        <f>M79-M43</f>
        <v/>
      </c>
      <c r="N91" s="80">
        <f>N79-N43</f>
        <v/>
      </c>
      <c r="O91" s="3">
        <f>O79-O43</f>
        <v/>
      </c>
      <c r="P91" s="3">
        <f>P79-P43</f>
        <v/>
      </c>
      <c r="Q91" s="3">
        <f>Q79-Q43</f>
        <v/>
      </c>
      <c r="R91" s="56">
        <f>SUM(L91:Q91)</f>
        <v/>
      </c>
      <c r="S91" s="103">
        <f>S79-S43</f>
        <v/>
      </c>
      <c r="T91" s="103">
        <f>T79-T43</f>
        <v/>
      </c>
      <c r="U91" s="104">
        <f>U79-U43</f>
        <v/>
      </c>
      <c r="V91" s="104">
        <f>V79-V43</f>
        <v/>
      </c>
      <c r="W91" s="104">
        <f>W79-W43</f>
        <v/>
      </c>
      <c r="X91" s="104">
        <f>X79-X43</f>
        <v/>
      </c>
      <c r="Y91" s="105">
        <f>Y79-Y43</f>
        <v/>
      </c>
    </row>
    <row r="92">
      <c r="C92" s="2" t="inlineStr">
        <is>
          <t>0026 集計</t>
        </is>
      </c>
      <c r="D92" s="15" t="inlineStr">
        <is>
          <t>井上課長</t>
        </is>
      </c>
      <c r="E92" s="3">
        <f>E80-E44</f>
        <v/>
      </c>
      <c r="F92" s="3">
        <f>F80-F44</f>
        <v/>
      </c>
      <c r="G92" s="80">
        <f>G80-G44</f>
        <v/>
      </c>
      <c r="H92" s="3">
        <f>H80-H44</f>
        <v/>
      </c>
      <c r="I92" s="3">
        <f>I80-I44</f>
        <v/>
      </c>
      <c r="J92" s="3">
        <f>J80-J44</f>
        <v/>
      </c>
      <c r="K92" s="59">
        <f>SUM(E92:J92)</f>
        <v/>
      </c>
      <c r="L92" s="2">
        <f>L80-L44</f>
        <v/>
      </c>
      <c r="M92" s="3">
        <f>M80-M44</f>
        <v/>
      </c>
      <c r="N92" s="80">
        <f>N80-N44</f>
        <v/>
      </c>
      <c r="O92" s="3">
        <f>O80-O44</f>
        <v/>
      </c>
      <c r="P92" s="3">
        <f>P80-P44</f>
        <v/>
      </c>
      <c r="Q92" s="3">
        <f>Q80-Q44</f>
        <v/>
      </c>
      <c r="R92" s="56">
        <f>SUM(L92:Q92)</f>
        <v/>
      </c>
      <c r="S92" s="103">
        <f>S80-S44</f>
        <v/>
      </c>
      <c r="T92" s="103">
        <f>T80-T44</f>
        <v/>
      </c>
      <c r="U92" s="104">
        <f>U80-U44</f>
        <v/>
      </c>
      <c r="V92" s="104">
        <f>V80-V44</f>
        <v/>
      </c>
      <c r="W92" s="104">
        <f>W80-W44</f>
        <v/>
      </c>
      <c r="X92" s="104">
        <f>X80-X44</f>
        <v/>
      </c>
      <c r="Y92" s="105">
        <f>Y80-Y44</f>
        <v/>
      </c>
    </row>
    <row r="93">
      <c r="C93" s="2" t="inlineStr">
        <is>
          <t>0027 集計</t>
        </is>
      </c>
      <c r="D93" s="15" t="inlineStr">
        <is>
          <t>中国</t>
        </is>
      </c>
      <c r="E93" s="3">
        <f>E81-E45</f>
        <v/>
      </c>
      <c r="F93" s="3">
        <f>F81-F45</f>
        <v/>
      </c>
      <c r="G93" s="80">
        <f>G81-G45</f>
        <v/>
      </c>
      <c r="H93" s="3">
        <f>H81-H45</f>
        <v/>
      </c>
      <c r="I93" s="3">
        <f>I81-I45</f>
        <v/>
      </c>
      <c r="J93" s="3">
        <f>J81-J45</f>
        <v/>
      </c>
      <c r="K93" s="59">
        <f>SUM(E93:J93)</f>
        <v/>
      </c>
      <c r="L93" s="2">
        <f>L81-L45</f>
        <v/>
      </c>
      <c r="M93" s="3">
        <f>M81-M45</f>
        <v/>
      </c>
      <c r="N93" s="80">
        <f>N81-N45</f>
        <v/>
      </c>
      <c r="O93" s="3">
        <f>O81-O45</f>
        <v/>
      </c>
      <c r="P93" s="3">
        <f>P81-P45</f>
        <v/>
      </c>
      <c r="Q93" s="3">
        <f>Q81-Q45</f>
        <v/>
      </c>
      <c r="R93" s="56">
        <f>SUM(L93:Q93)</f>
        <v/>
      </c>
      <c r="S93" s="103">
        <f>S81-S45</f>
        <v/>
      </c>
      <c r="T93" s="103">
        <f>T81-T45</f>
        <v/>
      </c>
      <c r="U93" s="104">
        <f>U81-U45</f>
        <v/>
      </c>
      <c r="V93" s="104">
        <f>V81-V45</f>
        <v/>
      </c>
      <c r="W93" s="104">
        <f>W81-W45</f>
        <v/>
      </c>
      <c r="X93" s="104">
        <f>X81-X45</f>
        <v/>
      </c>
      <c r="Y93" s="105">
        <f>Y81-Y45</f>
        <v/>
      </c>
    </row>
    <row r="94">
      <c r="C94" s="71" t="inlineStr">
        <is>
          <t>0028 集計</t>
        </is>
      </c>
      <c r="D94" s="15" t="inlineStr">
        <is>
          <t>自治体</t>
        </is>
      </c>
      <c r="E94" s="3">
        <f>E82-E46</f>
        <v/>
      </c>
      <c r="F94" s="3">
        <f>F82-F46</f>
        <v/>
      </c>
      <c r="G94" s="80">
        <f>G82-G46</f>
        <v/>
      </c>
      <c r="H94" s="3">
        <f>H82-H46</f>
        <v/>
      </c>
      <c r="I94" s="3">
        <f>I82-I46</f>
        <v/>
      </c>
      <c r="J94" s="3">
        <f>J82-J46</f>
        <v/>
      </c>
      <c r="K94" s="59">
        <f>SUM(E94:J94)</f>
        <v/>
      </c>
      <c r="L94" s="2">
        <f>L82-L46</f>
        <v/>
      </c>
      <c r="M94" s="3">
        <f>M82-M46</f>
        <v/>
      </c>
      <c r="N94" s="80">
        <f>N82-N46</f>
        <v/>
      </c>
      <c r="O94" s="3">
        <f>O82-O46</f>
        <v/>
      </c>
      <c r="P94" s="3">
        <f>P82-P46</f>
        <v/>
      </c>
      <c r="Q94" s="3">
        <f>Q82-Q46</f>
        <v/>
      </c>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f>J83-J47</f>
        <v/>
      </c>
      <c r="K95" s="59">
        <f>SUM(E95:J95)</f>
        <v/>
      </c>
      <c r="L95" s="2">
        <f>L83-L47</f>
        <v/>
      </c>
      <c r="M95" s="3">
        <f>M83-M47</f>
        <v/>
      </c>
      <c r="N95" s="3">
        <f>N83-N47</f>
        <v/>
      </c>
      <c r="O95" s="3">
        <f>O83-O47</f>
        <v/>
      </c>
      <c r="P95" s="3">
        <f>P83-P47</f>
        <v/>
      </c>
      <c r="Q95" s="3">
        <f>Q83-Q47</f>
        <v/>
      </c>
      <c r="R95" s="56">
        <f>SUM(L95:Q95)</f>
        <v/>
      </c>
      <c r="S95" s="103">
        <f>S83-S47</f>
        <v/>
      </c>
      <c r="T95" s="103">
        <f>T83-T47</f>
        <v/>
      </c>
      <c r="U95" s="104">
        <f>U83-U47</f>
        <v/>
      </c>
      <c r="V95" s="104">
        <f>V83-V47</f>
        <v/>
      </c>
      <c r="W95" s="104">
        <f>W83-W47</f>
        <v/>
      </c>
      <c r="X95" s="104">
        <f>X83-X47</f>
        <v/>
      </c>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f>X84-X48</f>
        <v/>
      </c>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f>J77-J17</f>
        <v/>
      </c>
      <c r="K101" s="59">
        <f>SUM(E101:J101)</f>
        <v/>
      </c>
      <c r="L101" s="2">
        <f>L77-L17</f>
        <v/>
      </c>
      <c r="M101" s="3">
        <f>M77-M17</f>
        <v/>
      </c>
      <c r="N101" s="80">
        <f>N77-N17</f>
        <v/>
      </c>
      <c r="O101" s="3">
        <f>O77-O17</f>
        <v/>
      </c>
      <c r="P101" s="3">
        <f>P77-P17</f>
        <v/>
      </c>
      <c r="Q101" s="3">
        <f>Q77-Q17</f>
        <v/>
      </c>
      <c r="R101" s="56">
        <f>SUM(L101:Q101)</f>
        <v/>
      </c>
      <c r="S101" s="103">
        <f>S77-S17</f>
        <v/>
      </c>
      <c r="T101" s="104">
        <f>T77-T17</f>
        <v/>
      </c>
      <c r="U101" s="104">
        <f>U77-U17</f>
        <v/>
      </c>
      <c r="V101" s="104">
        <f>V77-V17</f>
        <v/>
      </c>
      <c r="W101" s="104">
        <f>W77-W17</f>
        <v/>
      </c>
      <c r="X101" s="104">
        <f>X77-X17</f>
        <v/>
      </c>
      <c r="Y101" s="111">
        <f>Y77-Y17</f>
        <v/>
      </c>
    </row>
    <row r="102">
      <c r="C102" s="2" t="inlineStr">
        <is>
          <t>0024 集計</t>
        </is>
      </c>
      <c r="D102" s="15" t="inlineStr">
        <is>
          <t>東野</t>
        </is>
      </c>
      <c r="E102" s="3">
        <f>E78-E18</f>
        <v/>
      </c>
      <c r="F102" s="3">
        <f>F78-F18</f>
        <v/>
      </c>
      <c r="G102" s="80">
        <f>G78-G18</f>
        <v/>
      </c>
      <c r="H102" s="3">
        <f>H78-H18</f>
        <v/>
      </c>
      <c r="I102" s="3">
        <f>I78-I18</f>
        <v/>
      </c>
      <c r="J102" s="3">
        <f>J78-J18</f>
        <v/>
      </c>
      <c r="K102" s="59">
        <f>SUM(E102:J102)</f>
        <v/>
      </c>
      <c r="L102" s="2">
        <f>L78-L18</f>
        <v/>
      </c>
      <c r="M102" s="3">
        <f>M78-M18</f>
        <v/>
      </c>
      <c r="N102" s="80">
        <f>N78-N18</f>
        <v/>
      </c>
      <c r="O102" s="3">
        <f>O78-O18</f>
        <v/>
      </c>
      <c r="P102" s="3">
        <f>P78-P18</f>
        <v/>
      </c>
      <c r="Q102" s="3">
        <f>Q78-Q18</f>
        <v/>
      </c>
      <c r="R102" s="56">
        <f>SUM(L102:Q102)</f>
        <v/>
      </c>
      <c r="S102" s="103">
        <f>S78-S18</f>
        <v/>
      </c>
      <c r="T102" s="104">
        <f>T78-T18</f>
        <v/>
      </c>
      <c r="U102" s="104">
        <f>U78-U18</f>
        <v/>
      </c>
      <c r="V102" s="104">
        <f>V78-V18</f>
        <v/>
      </c>
      <c r="W102" s="104">
        <f>W78-W18</f>
        <v/>
      </c>
      <c r="X102" s="104">
        <f>X78-X18</f>
        <v/>
      </c>
      <c r="Y102" s="111">
        <f>Y78-Y18</f>
        <v/>
      </c>
    </row>
    <row r="103">
      <c r="C103" s="2" t="inlineStr">
        <is>
          <t>0025 集計</t>
        </is>
      </c>
      <c r="D103" s="15" t="inlineStr">
        <is>
          <t>橋本課長</t>
        </is>
      </c>
      <c r="E103" s="3">
        <f>E79-E19</f>
        <v/>
      </c>
      <c r="F103" s="3">
        <f>F79-F19</f>
        <v/>
      </c>
      <c r="G103" s="80">
        <f>G79-G19</f>
        <v/>
      </c>
      <c r="H103" s="3">
        <f>H79-H19</f>
        <v/>
      </c>
      <c r="I103" s="3">
        <f>I79-I19</f>
        <v/>
      </c>
      <c r="J103" s="3">
        <f>J79-J19</f>
        <v/>
      </c>
      <c r="K103" s="59">
        <f>SUM(E103:J103)</f>
        <v/>
      </c>
      <c r="L103" s="2">
        <f>L79-L19</f>
        <v/>
      </c>
      <c r="M103" s="3">
        <f>M79-M19</f>
        <v/>
      </c>
      <c r="N103" s="80">
        <f>N79-N19</f>
        <v/>
      </c>
      <c r="O103" s="3">
        <f>O79-O19</f>
        <v/>
      </c>
      <c r="P103" s="3">
        <f>P79-P19</f>
        <v/>
      </c>
      <c r="Q103" s="3">
        <f>Q79-Q19</f>
        <v/>
      </c>
      <c r="R103" s="56">
        <f>SUM(L103:Q103)</f>
        <v/>
      </c>
      <c r="S103" s="103">
        <f>S79-S19</f>
        <v/>
      </c>
      <c r="T103" s="104">
        <f>T79-T19</f>
        <v/>
      </c>
      <c r="U103" s="104">
        <f>U79-U19</f>
        <v/>
      </c>
      <c r="V103" s="104">
        <f>V79-V19</f>
        <v/>
      </c>
      <c r="W103" s="104">
        <f>W79-W19</f>
        <v/>
      </c>
      <c r="X103" s="104">
        <f>X79-X19</f>
        <v/>
      </c>
      <c r="Y103" s="111">
        <f>Y79-Y19</f>
        <v/>
      </c>
    </row>
    <row r="104">
      <c r="C104" s="2" t="inlineStr">
        <is>
          <t>0026 集計</t>
        </is>
      </c>
      <c r="D104" s="15" t="inlineStr">
        <is>
          <t>井上課長</t>
        </is>
      </c>
      <c r="E104" s="3">
        <f>E80-E20</f>
        <v/>
      </c>
      <c r="F104" s="3">
        <f>F80-F20</f>
        <v/>
      </c>
      <c r="G104" s="80">
        <f>G80-G20</f>
        <v/>
      </c>
      <c r="H104" s="3">
        <f>H80-H20</f>
        <v/>
      </c>
      <c r="I104" s="3">
        <f>I80-I20</f>
        <v/>
      </c>
      <c r="J104" s="3">
        <f>J80-J20</f>
        <v/>
      </c>
      <c r="K104" s="59">
        <f>SUM(E104:J104)</f>
        <v/>
      </c>
      <c r="L104" s="2">
        <f>L80-L20</f>
        <v/>
      </c>
      <c r="M104" s="3">
        <f>M80-M20</f>
        <v/>
      </c>
      <c r="N104" s="80">
        <f>N80-N20</f>
        <v/>
      </c>
      <c r="O104" s="3">
        <f>O80-O20</f>
        <v/>
      </c>
      <c r="P104" s="3">
        <f>P80-P20</f>
        <v/>
      </c>
      <c r="Q104" s="3">
        <f>Q80-Q20</f>
        <v/>
      </c>
      <c r="R104" s="56">
        <f>SUM(L104:Q104)</f>
        <v/>
      </c>
      <c r="S104" s="103">
        <f>S80-S20</f>
        <v/>
      </c>
      <c r="T104" s="104">
        <f>T80-T20</f>
        <v/>
      </c>
      <c r="U104" s="104">
        <f>U80-U20</f>
        <v/>
      </c>
      <c r="V104" s="104">
        <f>V80-V20</f>
        <v/>
      </c>
      <c r="W104" s="104">
        <f>W80-W20</f>
        <v/>
      </c>
      <c r="X104" s="104">
        <f>X80-X20</f>
        <v/>
      </c>
      <c r="Y104" s="111">
        <f>Y80-Y20</f>
        <v/>
      </c>
    </row>
    <row r="105">
      <c r="C105" s="2" t="inlineStr">
        <is>
          <t>0027 集計</t>
        </is>
      </c>
      <c r="D105" s="15" t="inlineStr">
        <is>
          <t>中国</t>
        </is>
      </c>
      <c r="E105" s="3">
        <f>E81-E21</f>
        <v/>
      </c>
      <c r="F105" s="3">
        <f>F81-F21</f>
        <v/>
      </c>
      <c r="G105" s="80">
        <f>G81-G21</f>
        <v/>
      </c>
      <c r="H105" s="3">
        <f>H81-H21</f>
        <v/>
      </c>
      <c r="I105" s="3">
        <f>I81-I21</f>
        <v/>
      </c>
      <c r="J105" s="3">
        <f>J81-J21</f>
        <v/>
      </c>
      <c r="K105" s="59">
        <f>SUM(E105:J105)</f>
        <v/>
      </c>
      <c r="L105" s="2">
        <f>L81-L21</f>
        <v/>
      </c>
      <c r="M105" s="3">
        <f>M81-M21</f>
        <v/>
      </c>
      <c r="N105" s="80">
        <f>N81-N21</f>
        <v/>
      </c>
      <c r="O105" s="3">
        <f>O81-O21</f>
        <v/>
      </c>
      <c r="P105" s="3">
        <f>P81-P21</f>
        <v/>
      </c>
      <c r="Q105" s="3">
        <f>Q81-Q21</f>
        <v/>
      </c>
      <c r="R105" s="56">
        <f>SUM(L105:Q105)</f>
        <v/>
      </c>
      <c r="S105" s="103">
        <f>S81-S21</f>
        <v/>
      </c>
      <c r="T105" s="104">
        <f>T81-T21</f>
        <v/>
      </c>
      <c r="U105" s="104">
        <f>U81-U21</f>
        <v/>
      </c>
      <c r="V105" s="104">
        <f>V81-V21</f>
        <v/>
      </c>
      <c r="W105" s="104">
        <f>W81-W21</f>
        <v/>
      </c>
      <c r="X105" s="104">
        <f>X81-X21</f>
        <v/>
      </c>
      <c r="Y105" s="111">
        <f>Y81-Y21</f>
        <v/>
      </c>
    </row>
    <row r="106">
      <c r="C106" s="71" t="inlineStr">
        <is>
          <t>0028 集計</t>
        </is>
      </c>
      <c r="D106" s="15" t="inlineStr">
        <is>
          <t>自治体</t>
        </is>
      </c>
      <c r="E106" s="3">
        <f>E82-E22</f>
        <v/>
      </c>
      <c r="F106" s="3">
        <f>F82-F22</f>
        <v/>
      </c>
      <c r="G106" s="80">
        <f>G82-G22</f>
        <v/>
      </c>
      <c r="H106" s="3">
        <f>H82-H22</f>
        <v/>
      </c>
      <c r="I106" s="3">
        <f>I82-I22</f>
        <v/>
      </c>
      <c r="J106" s="3">
        <f>J82-J22</f>
        <v/>
      </c>
      <c r="K106" s="59">
        <f>SUM(E106:J106)</f>
        <v/>
      </c>
      <c r="L106" s="2">
        <f>L82-L22</f>
        <v/>
      </c>
      <c r="M106" s="3">
        <f>M82-M22</f>
        <v/>
      </c>
      <c r="N106" s="80">
        <f>N82-N22</f>
        <v/>
      </c>
      <c r="O106" s="3">
        <f>O82-O22</f>
        <v/>
      </c>
      <c r="P106" s="3">
        <f>P82-P22</f>
        <v/>
      </c>
      <c r="Q106" s="3">
        <f>Q82-Q22</f>
        <v/>
      </c>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f>J83-J23</f>
        <v/>
      </c>
      <c r="K107" s="59">
        <f>SUM(E107:J107)</f>
        <v/>
      </c>
      <c r="L107" s="2">
        <f>L83-L23</f>
        <v/>
      </c>
      <c r="M107" s="3">
        <f>M83-M23</f>
        <v/>
      </c>
      <c r="N107" s="80">
        <f>N83-N23</f>
        <v/>
      </c>
      <c r="O107" s="3">
        <f>O83-O23</f>
        <v/>
      </c>
      <c r="P107" s="3">
        <f>P83-P23</f>
        <v/>
      </c>
      <c r="Q107" s="3">
        <f>Q83-Q23</f>
        <v/>
      </c>
      <c r="R107" s="56">
        <f>SUM(L107:Q107)</f>
        <v/>
      </c>
      <c r="S107" s="103">
        <f>S83-S23</f>
        <v/>
      </c>
      <c r="T107" s="104">
        <f>T83-T23</f>
        <v/>
      </c>
      <c r="U107" s="104">
        <f>U83-U23</f>
        <v/>
      </c>
      <c r="V107" s="104">
        <f>V83-V23</f>
        <v/>
      </c>
      <c r="W107" s="104">
        <f>W83-W23</f>
        <v/>
      </c>
      <c r="X107" s="104">
        <f>X83-X23</f>
        <v/>
      </c>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f>X84-X24</f>
        <v/>
      </c>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2026-10-07T01:17:26Z</dcterms:modified>
  <cp:lastModifiedBy>ma-takahashi</cp:lastModifiedBy>
  <cp:lastPrinted>2025-05-02T03:13:19Z</cp:lastPrinted>
</cp:coreProperties>
</file>