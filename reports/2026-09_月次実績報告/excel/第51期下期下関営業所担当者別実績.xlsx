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包装資材" sheetId="1" state="visible" r:id="rId1"/>
    <sheet xmlns:r="http://schemas.openxmlformats.org/officeDocument/2006/relationships" name="機械" sheetId="2" state="visible" r:id="rId2"/>
    <sheet xmlns:r="http://schemas.openxmlformats.org/officeDocument/2006/relationships" name="全体" sheetId="3" state="visible" r:id="rId3"/>
    <sheet xmlns:r="http://schemas.openxmlformats.org/officeDocument/2006/relationships" name="総括" sheetId="4" state="visible" r:id="rId4"/>
  </sheets>
  <definedNames>
    <definedName name="_xlnm.Print_Area" localSheetId="0">'包装資材'!$C$1:$Y$108</definedName>
    <definedName name="_xlnm.Print_Area" localSheetId="1">'機械'!$C$1:$Y$96</definedName>
    <definedName name="_xlnm.Print_Area" localSheetId="2">'全体'!$C$1:$Y$108</definedName>
    <definedName name="_xlnm.Print_Area" localSheetId="3">'総括'!$D$1:$U$15</definedName>
  </definedNames>
  <calcPr calcId="191029" fullCalcOnLoad="1"/>
</workbook>
</file>

<file path=xl/styles.xml><?xml version="1.0" encoding="utf-8"?>
<styleSheet xmlns="http://schemas.openxmlformats.org/spreadsheetml/2006/main">
  <numFmts count="1">
    <numFmt numFmtId="164" formatCode="0.0%"/>
  </numFmts>
  <fonts count="7">
    <font>
      <name val="游ゴシック"/>
      <charset val="128"/>
      <family val="2"/>
      <color theme="1"/>
      <sz val="11"/>
      <scheme val="minor"/>
    </font>
    <font>
      <name val="游ゴシック"/>
      <charset val="128"/>
      <family val="2"/>
      <color theme="1"/>
      <sz val="11"/>
      <scheme val="minor"/>
    </font>
    <font>
      <name val="游ゴシック"/>
      <charset val="128"/>
      <family val="2"/>
      <sz val="6"/>
      <scheme val="minor"/>
    </font>
    <font>
      <name val="游ゴシック"/>
      <charset val="128"/>
      <family val="3"/>
      <color theme="1"/>
      <sz val="10"/>
      <scheme val="minor"/>
    </font>
    <font>
      <name val="HGP創英角ｺﾞｼｯｸUB"/>
      <charset val="128"/>
      <family val="3"/>
      <color theme="1"/>
      <sz val="16"/>
    </font>
    <font>
      <name val="游ゴシック"/>
      <charset val="128"/>
      <family val="2"/>
      <color theme="1"/>
      <sz val="9"/>
      <scheme val="minor"/>
    </font>
    <font>
      <name val="游ゴシック"/>
      <charset val="128"/>
      <family val="2"/>
      <color theme="1"/>
      <sz val="10"/>
      <scheme val="minor"/>
    </font>
  </fonts>
  <fills count="5">
    <fill>
      <patternFill/>
    </fill>
    <fill>
      <patternFill patternType="gray125"/>
    </fill>
    <fill>
      <patternFill patternType="solid">
        <fgColor rgb="FFFFFF00"/>
        <bgColor indexed="64"/>
      </patternFill>
    </fill>
    <fill>
      <patternFill patternType="gray0625"/>
    </fill>
    <fill>
      <patternFill patternType="gray0625">
        <bgColor rgb="FFFFFF00"/>
      </patternFill>
    </fill>
  </fills>
  <borders count="49">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style="hair">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hair">
        <color auto="1"/>
      </left>
      <right/>
      <top style="hair">
        <color auto="1"/>
      </top>
      <bottom/>
      <diagonal/>
    </border>
    <border>
      <left/>
      <right style="thin">
        <color auto="1"/>
      </right>
      <top style="hair">
        <color auto="1"/>
      </top>
      <bottom/>
      <diagonal/>
    </border>
    <border>
      <left style="hair">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top/>
      <bottom style="hair">
        <color auto="1"/>
      </bottom>
      <diagonal/>
    </border>
    <border>
      <left style="thin">
        <color auto="1"/>
      </left>
      <right style="thin">
        <color auto="1"/>
      </right>
      <top/>
      <bottom style="hair">
        <color auto="1"/>
      </bottom>
      <diagonal/>
    </border>
    <border>
      <left/>
      <right style="thin">
        <color auto="1"/>
      </right>
      <top/>
      <bottom/>
      <diagonal/>
    </border>
    <border>
      <left style="hair">
        <color auto="1"/>
      </left>
      <right/>
      <top style="thin">
        <color auto="1"/>
      </top>
      <bottom style="hair">
        <color auto="1"/>
      </bottom>
      <diagonal/>
    </border>
    <border>
      <left style="thin">
        <color auto="1"/>
      </left>
      <right/>
      <top style="hair">
        <color auto="1"/>
      </top>
      <bottom style="hair">
        <color auto="1"/>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thin">
        <color auto="1"/>
      </left>
      <right style="thin">
        <color auto="1"/>
      </right>
      <top style="hair">
        <color auto="1"/>
      </top>
      <bottom/>
      <diagonal/>
    </border>
    <border>
      <left style="thin">
        <color auto="1"/>
      </left>
      <right style="thin">
        <color auto="1"/>
      </right>
      <top style="thin">
        <color auto="1"/>
      </top>
      <bottom style="thin">
        <color auto="1"/>
      </bottom>
      <diagonal/>
    </border>
    <border>
      <left/>
      <right style="hair">
        <color auto="1"/>
      </right>
      <top style="thin">
        <color auto="1"/>
      </top>
      <bottom/>
      <diagonal/>
    </border>
    <border>
      <left style="thin">
        <color auto="1"/>
      </left>
      <right style="thin">
        <color auto="1"/>
      </right>
      <top/>
      <bottom/>
      <diagonal/>
    </border>
  </borders>
  <cellStyleXfs count="3">
    <xf numFmtId="0" fontId="1" fillId="0" borderId="0" applyAlignment="1">
      <alignment vertical="center"/>
    </xf>
    <xf numFmtId="38" fontId="1" fillId="0" borderId="0" applyAlignment="1">
      <alignment vertical="center"/>
    </xf>
    <xf numFmtId="9" fontId="1" fillId="0" borderId="0" applyAlignment="1">
      <alignment vertical="center"/>
    </xf>
  </cellStyleXfs>
  <cellXfs count="120">
    <xf numFmtId="0" fontId="0" fillId="0" borderId="0" applyAlignment="1" pivotButton="0" quotePrefix="0" xfId="0">
      <alignment vertical="center"/>
    </xf>
    <xf numFmtId="0" fontId="0" fillId="0" borderId="1" applyAlignment="1" pivotButton="0" quotePrefix="0" xfId="0">
      <alignment vertical="center"/>
    </xf>
    <xf numFmtId="38" fontId="0" fillId="0" borderId="4" applyAlignment="1" pivotButton="0" quotePrefix="0" xfId="1">
      <alignment vertical="center"/>
    </xf>
    <xf numFmtId="38" fontId="0" fillId="0" borderId="5" applyAlignment="1" pivotButton="0" quotePrefix="0" xfId="1">
      <alignment vertical="center"/>
    </xf>
    <xf numFmtId="38" fontId="0" fillId="0" borderId="7" applyAlignment="1" pivotButton="0" quotePrefix="0" xfId="1">
      <alignment vertical="center"/>
    </xf>
    <xf numFmtId="38" fontId="0" fillId="0" borderId="8" applyAlignment="1" pivotButton="0" quotePrefix="0" xfId="1">
      <alignment vertical="center"/>
    </xf>
    <xf numFmtId="38" fontId="0" fillId="3" borderId="8" applyAlignment="1" pivotButton="0" quotePrefix="0" xfId="0">
      <alignment vertical="center"/>
    </xf>
    <xf numFmtId="164" fontId="0" fillId="0" borderId="5" applyAlignment="1" pivotButton="0" quotePrefix="0" xfId="2">
      <alignment horizontal="right" vertical="center"/>
    </xf>
    <xf numFmtId="164" fontId="0" fillId="2" borderId="5" applyAlignment="1" pivotButton="0" quotePrefix="0" xfId="2">
      <alignment horizontal="right" vertical="center"/>
    </xf>
    <xf numFmtId="164" fontId="0" fillId="3" borderId="8" applyAlignment="1" pivotButton="0" quotePrefix="0" xfId="2">
      <alignment horizontal="right" vertical="center"/>
    </xf>
    <xf numFmtId="164" fontId="0" fillId="4" borderId="8" applyAlignment="1" pivotButton="0" quotePrefix="0" xfId="2">
      <alignment horizontal="right" vertical="center"/>
    </xf>
    <xf numFmtId="38" fontId="0" fillId="0" borderId="0" applyAlignment="1" pivotButton="0" quotePrefix="0" xfId="0">
      <alignment vertical="center"/>
    </xf>
    <xf numFmtId="38" fontId="0" fillId="0" borderId="0" applyAlignment="1" pivotButton="0" quotePrefix="0" xfId="1">
      <alignment vertical="center"/>
    </xf>
    <xf numFmtId="164" fontId="0" fillId="0" borderId="0" applyAlignment="1" pivotButton="0" quotePrefix="0" xfId="2">
      <alignment horizontal="right" vertical="center"/>
    </xf>
    <xf numFmtId="0" fontId="0" fillId="0" borderId="3" applyAlignment="1" pivotButton="0" quotePrefix="0" xfId="0">
      <alignment vertical="center"/>
    </xf>
    <xf numFmtId="38" fontId="0" fillId="0" borderId="6" applyAlignment="1" pivotButton="0" quotePrefix="0" xfId="1">
      <alignment vertical="center"/>
    </xf>
    <xf numFmtId="0" fontId="0" fillId="0" borderId="9" applyAlignment="1" pivotButton="0" quotePrefix="0" xfId="0">
      <alignment vertical="center"/>
    </xf>
    <xf numFmtId="0" fontId="4" fillId="0" borderId="0" applyAlignment="1" pivotButton="0" quotePrefix="0" xfId="0">
      <alignment vertical="center"/>
    </xf>
    <xf numFmtId="164" fontId="0" fillId="0" borderId="6" applyAlignment="1" pivotButton="0" quotePrefix="0" xfId="2">
      <alignment vertical="center"/>
    </xf>
    <xf numFmtId="164" fontId="0" fillId="0" borderId="9" applyAlignment="1" pivotButton="0" quotePrefix="0" xfId="2">
      <alignment vertical="center"/>
    </xf>
    <xf numFmtId="0" fontId="0" fillId="0" borderId="22" applyAlignment="1" pivotButton="0" quotePrefix="0" xfId="0">
      <alignment vertical="center"/>
    </xf>
    <xf numFmtId="0" fontId="0" fillId="0" borderId="23" applyAlignment="1" pivotButton="0" quotePrefix="0" xfId="0">
      <alignment vertical="center"/>
    </xf>
    <xf numFmtId="164" fontId="0" fillId="0" borderId="27" applyAlignment="1" pivotButton="0" quotePrefix="0" xfId="2">
      <alignment vertical="center"/>
    </xf>
    <xf numFmtId="164" fontId="0" fillId="0" borderId="28" applyAlignment="1" pivotButton="0" quotePrefix="0" xfId="2">
      <alignment vertical="center"/>
    </xf>
    <xf numFmtId="0" fontId="0" fillId="0" borderId="6" applyAlignment="1" pivotButton="0" quotePrefix="0" xfId="0">
      <alignment vertical="center"/>
    </xf>
    <xf numFmtId="0" fontId="0" fillId="0" borderId="29" applyAlignment="1" pivotButton="0" quotePrefix="0" xfId="0">
      <alignment vertical="center"/>
    </xf>
    <xf numFmtId="0" fontId="0" fillId="0" borderId="30" applyAlignment="1" pivotButton="0" quotePrefix="0" xfId="0">
      <alignment vertical="center"/>
    </xf>
    <xf numFmtId="0" fontId="0" fillId="0" borderId="31" applyAlignment="1" pivotButton="0" quotePrefix="0" xfId="0">
      <alignment vertical="center"/>
    </xf>
    <xf numFmtId="0" fontId="0" fillId="0" borderId="10" applyAlignment="1" pivotButton="0" quotePrefix="0" xfId="0">
      <alignment vertical="center"/>
    </xf>
    <xf numFmtId="0" fontId="0" fillId="0" borderId="32" applyAlignment="1" pivotButton="0" quotePrefix="0" xfId="0">
      <alignment vertical="center"/>
    </xf>
    <xf numFmtId="0" fontId="0" fillId="0" borderId="33" applyAlignment="1" pivotButton="0" quotePrefix="0" xfId="0">
      <alignment vertical="center"/>
    </xf>
    <xf numFmtId="0" fontId="0" fillId="0" borderId="34" applyAlignment="1" pivotButton="0" quotePrefix="0" xfId="0">
      <alignment vertical="center"/>
    </xf>
    <xf numFmtId="0" fontId="0" fillId="0" borderId="20" applyAlignment="1" pivotButton="0" quotePrefix="0" xfId="0">
      <alignment vertical="center"/>
    </xf>
    <xf numFmtId="0" fontId="0" fillId="0" borderId="15" applyAlignment="1" pivotButton="0" quotePrefix="0" xfId="0">
      <alignment vertical="center"/>
    </xf>
    <xf numFmtId="0" fontId="0" fillId="0" borderId="28" applyAlignment="1" pivotButton="0" quotePrefix="0" xfId="0">
      <alignment vertical="center"/>
    </xf>
    <xf numFmtId="0" fontId="0" fillId="0" borderId="25" applyAlignment="1" pivotButton="0" quotePrefix="0" xfId="0">
      <alignment vertical="center"/>
    </xf>
    <xf numFmtId="38" fontId="0" fillId="0" borderId="35" applyAlignment="1" pivotButton="0" quotePrefix="0" xfId="1">
      <alignment vertical="center"/>
    </xf>
    <xf numFmtId="38" fontId="0" fillId="0" borderId="36" applyAlignment="1" pivotButton="0" quotePrefix="0" xfId="1">
      <alignment vertical="center"/>
    </xf>
    <xf numFmtId="164" fontId="0" fillId="0" borderId="37" applyAlignment="1" pivotButton="0" quotePrefix="0" xfId="2">
      <alignment vertical="center"/>
    </xf>
    <xf numFmtId="164" fontId="0" fillId="0" borderId="38" applyAlignment="1" pivotButton="0" quotePrefix="0" xfId="2">
      <alignment vertical="center"/>
    </xf>
    <xf numFmtId="0" fontId="0" fillId="0" borderId="39" applyAlignment="1" pivotButton="0" quotePrefix="0" xfId="0">
      <alignment vertical="center"/>
    </xf>
    <xf numFmtId="38" fontId="0" fillId="0" borderId="7" applyAlignment="1" pivotButton="0" quotePrefix="0" xfId="1">
      <alignment horizontal="center" vertical="center"/>
    </xf>
    <xf numFmtId="38" fontId="0" fillId="0" borderId="8" applyAlignment="1" pivotButton="0" quotePrefix="0" xfId="1">
      <alignment horizontal="center" vertical="center"/>
    </xf>
    <xf numFmtId="0" fontId="0" fillId="0" borderId="9" applyAlignment="1" pivotButton="0" quotePrefix="0" xfId="0">
      <alignment horizontal="center" vertical="center"/>
    </xf>
    <xf numFmtId="0" fontId="0" fillId="0" borderId="28" applyAlignment="1" pivotButton="0" quotePrefix="0" xfId="0">
      <alignment horizontal="center" vertical="center"/>
    </xf>
    <xf numFmtId="0" fontId="0" fillId="0" borderId="11" applyAlignment="1" pivotButton="0" quotePrefix="0" xfId="0">
      <alignment vertical="center"/>
    </xf>
    <xf numFmtId="0" fontId="0" fillId="0" borderId="16" applyAlignment="1" pivotButton="0" quotePrefix="0" xfId="0">
      <alignment vertical="center"/>
    </xf>
    <xf numFmtId="0" fontId="0" fillId="0" borderId="40" applyAlignment="1" pivotButton="0" quotePrefix="0" xfId="0">
      <alignment vertical="center"/>
    </xf>
    <xf numFmtId="55" fontId="3" fillId="0" borderId="17" applyAlignment="1" pivotButton="0" quotePrefix="0" xfId="0">
      <alignment horizontal="center" vertical="center"/>
    </xf>
    <xf numFmtId="38" fontId="0" fillId="3" borderId="7" applyAlignment="1" pivotButton="0" quotePrefix="0" xfId="0">
      <alignment vertical="center"/>
    </xf>
    <xf numFmtId="38" fontId="0" fillId="4" borderId="9" applyAlignment="1" pivotButton="0" quotePrefix="0" xfId="1">
      <alignment vertical="center"/>
    </xf>
    <xf numFmtId="55" fontId="3" fillId="0" borderId="2" applyAlignment="1" pivotButton="0" quotePrefix="0" xfId="0">
      <alignment horizontal="center" vertical="center"/>
    </xf>
    <xf numFmtId="0" fontId="0" fillId="2" borderId="3" applyAlignment="1" pivotButton="0" quotePrefix="0" xfId="0">
      <alignment horizontal="center" vertical="center"/>
    </xf>
    <xf numFmtId="0" fontId="0" fillId="2" borderId="2" applyAlignment="1" pivotButton="0" quotePrefix="0" xfId="0">
      <alignment horizontal="center" vertical="center"/>
    </xf>
    <xf numFmtId="55" fontId="3" fillId="0" borderId="1" applyAlignment="1" pivotButton="0" quotePrefix="0" xfId="0">
      <alignment horizontal="center" vertical="center"/>
    </xf>
    <xf numFmtId="0" fontId="0" fillId="2" borderId="41" applyAlignment="1" pivotButton="0" quotePrefix="0" xfId="0">
      <alignment horizontal="center" vertical="center"/>
    </xf>
    <xf numFmtId="38" fontId="0" fillId="2" borderId="6" applyAlignment="1" pivotButton="0" quotePrefix="0" xfId="1">
      <alignment vertical="center"/>
    </xf>
    <xf numFmtId="164" fontId="0" fillId="0" borderId="18" applyAlignment="1" pivotButton="0" quotePrefix="0" xfId="2">
      <alignment horizontal="right" vertical="center"/>
    </xf>
    <xf numFmtId="164" fontId="0" fillId="3" borderId="19" applyAlignment="1" pivotButton="0" quotePrefix="0" xfId="2">
      <alignment horizontal="right" vertical="center"/>
    </xf>
    <xf numFmtId="38" fontId="0" fillId="2" borderId="27" applyAlignment="1" pivotButton="0" quotePrefix="0" xfId="1">
      <alignment vertical="center"/>
    </xf>
    <xf numFmtId="38" fontId="0" fillId="4" borderId="28" applyAlignment="1" pivotButton="0" quotePrefix="0" xfId="1">
      <alignment vertical="center"/>
    </xf>
    <xf numFmtId="0" fontId="5" fillId="0" borderId="22" applyAlignment="1" pivotButton="0" quotePrefix="0" xfId="0">
      <alignment vertical="center"/>
    </xf>
    <xf numFmtId="38" fontId="0" fillId="0" borderId="18" applyAlignment="1" pivotButton="0" quotePrefix="0" xfId="1">
      <alignment vertical="center"/>
    </xf>
    <xf numFmtId="10" fontId="0" fillId="0" borderId="5" applyAlignment="1" pivotButton="0" quotePrefix="0" xfId="2">
      <alignment vertical="center"/>
    </xf>
    <xf numFmtId="164" fontId="0" fillId="0" borderId="0" applyAlignment="1" pivotButton="0" quotePrefix="0" xfId="2">
      <alignment vertical="center"/>
    </xf>
    <xf numFmtId="164" fontId="0" fillId="2" borderId="6" applyAlignment="1" pivotButton="0" quotePrefix="0" xfId="2">
      <alignment horizontal="right" vertical="center"/>
    </xf>
    <xf numFmtId="164" fontId="0" fillId="4" borderId="9" applyAlignment="1" pivotButton="0" quotePrefix="0" xfId="2">
      <alignment horizontal="right" vertical="center"/>
    </xf>
    <xf numFmtId="38" fontId="0" fillId="3" borderId="19" applyAlignment="1" pivotButton="0" quotePrefix="0" xfId="0">
      <alignment vertical="center"/>
    </xf>
    <xf numFmtId="0" fontId="0" fillId="0" borderId="5" applyAlignment="1" pivotButton="0" quotePrefix="0" xfId="0">
      <alignment vertical="center"/>
    </xf>
    <xf numFmtId="38" fontId="0" fillId="0" borderId="42" applyAlignment="1" pivotButton="0" quotePrefix="0" xfId="1">
      <alignment vertical="center"/>
    </xf>
    <xf numFmtId="38" fontId="0" fillId="0" borderId="5" applyAlignment="1" pivotButton="0" quotePrefix="0" xfId="2">
      <alignment vertical="center"/>
    </xf>
    <xf numFmtId="38" fontId="0" fillId="0" borderId="4" applyAlignment="1" pivotButton="0" quotePrefix="1" xfId="1">
      <alignment vertical="center"/>
    </xf>
    <xf numFmtId="0" fontId="0" fillId="0" borderId="4" applyAlignment="1" pivotButton="0" quotePrefix="0" xfId="0">
      <alignment vertical="center"/>
    </xf>
    <xf numFmtId="38" fontId="0" fillId="0" borderId="43" applyAlignment="1" pivotButton="0" quotePrefix="0" xfId="1">
      <alignment vertical="center"/>
    </xf>
    <xf numFmtId="38" fontId="0" fillId="0" borderId="44" applyAlignment="1" pivotButton="0" quotePrefix="0" xfId="1">
      <alignment vertical="center"/>
    </xf>
    <xf numFmtId="164" fontId="0" fillId="0" borderId="10" applyAlignment="1" pivotButton="0" quotePrefix="0" xfId="2">
      <alignment vertical="center"/>
    </xf>
    <xf numFmtId="0" fontId="0" fillId="0" borderId="45" applyAlignment="1" pivotButton="0" quotePrefix="0" xfId="0">
      <alignment vertical="center"/>
    </xf>
    <xf numFmtId="40" fontId="0" fillId="0" borderId="0" applyAlignment="1" pivotButton="0" quotePrefix="0" xfId="1">
      <alignment vertical="center"/>
    </xf>
    <xf numFmtId="0" fontId="6" fillId="0" borderId="22" applyAlignment="1" pivotButton="0" quotePrefix="0" xfId="0">
      <alignment vertical="center"/>
    </xf>
    <xf numFmtId="0" fontId="0" fillId="0" borderId="0" pivotButton="0" quotePrefix="0" xfId="0"/>
    <xf numFmtId="38" fontId="1" fillId="0" borderId="5" applyAlignment="1" pivotButton="0" quotePrefix="0" xfId="1">
      <alignment vertical="center"/>
    </xf>
    <xf numFmtId="38" fontId="1" fillId="0" borderId="18" applyAlignment="1" pivotButton="0" quotePrefix="0" xfId="1">
      <alignment vertical="center"/>
    </xf>
    <xf numFmtId="38" fontId="1" fillId="0" borderId="4" applyAlignment="1" pivotButton="0" quotePrefix="0" xfId="1">
      <alignment vertical="center"/>
    </xf>
    <xf numFmtId="38" fontId="0" fillId="0" borderId="46" applyAlignment="1" pivotButton="0" quotePrefix="0" xfId="1">
      <alignment horizontal="center" vertical="center"/>
    </xf>
    <xf numFmtId="0" fontId="0" fillId="0" borderId="13" pivotButton="0" quotePrefix="0" xfId="0"/>
    <xf numFmtId="0" fontId="0" fillId="0" borderId="14" pivotButton="0" quotePrefix="0" xfId="0"/>
    <xf numFmtId="0" fontId="0" fillId="0" borderId="46" applyAlignment="1" pivotButton="0" quotePrefix="0" xfId="0">
      <alignment horizontal="center" vertical="center"/>
    </xf>
    <xf numFmtId="38" fontId="0" fillId="0" borderId="14" applyAlignment="1" pivotButton="0" quotePrefix="0" xfId="1">
      <alignment horizontal="center" vertical="center"/>
    </xf>
    <xf numFmtId="0" fontId="0" fillId="0" borderId="12" applyAlignment="1" pivotButton="0" quotePrefix="0" xfId="0">
      <alignment horizontal="center" vertical="center"/>
    </xf>
    <xf numFmtId="0" fontId="0" fillId="0" borderId="1" applyAlignment="1" pivotButton="0" quotePrefix="0" xfId="0">
      <alignment horizontal="center" vertical="center"/>
    </xf>
    <xf numFmtId="0" fontId="0" fillId="0" borderId="26" pivotButton="0" quotePrefix="0" xfId="0"/>
    <xf numFmtId="0" fontId="0" fillId="0" borderId="17" pivotButton="0" quotePrefix="0" xfId="0"/>
    <xf numFmtId="0" fontId="4"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0" fillId="0" borderId="21" applyAlignment="1" pivotButton="0" quotePrefix="0" xfId="0">
      <alignment horizontal="center" vertical="center"/>
    </xf>
    <xf numFmtId="0" fontId="0" fillId="0" borderId="24" pivotButton="0" quotePrefix="0" xfId="0"/>
    <xf numFmtId="0" fontId="0" fillId="0" borderId="33" pivotButton="0" quotePrefix="0" xfId="0"/>
    <xf numFmtId="0" fontId="0" fillId="0" borderId="34" pivotButton="0" quotePrefix="0" xfId="0"/>
    <xf numFmtId="0" fontId="0" fillId="0" borderId="15" pivotButton="0" quotePrefix="0" xfId="0"/>
    <xf numFmtId="0" fontId="0" fillId="0" borderId="11" pivotButton="0" quotePrefix="0" xfId="0"/>
    <xf numFmtId="0" fontId="0" fillId="0" borderId="16" pivotButton="0" quotePrefix="0" xfId="0"/>
    <xf numFmtId="0" fontId="0" fillId="0" borderId="39" pivotButton="0" quotePrefix="0" xfId="0"/>
    <xf numFmtId="164" fontId="0" fillId="0" borderId="18" applyAlignment="1" pivotButton="0" quotePrefix="0" xfId="2">
      <alignment horizontal="right" vertical="center"/>
    </xf>
    <xf numFmtId="164" fontId="0" fillId="0" borderId="5" applyAlignment="1" pivotButton="0" quotePrefix="0" xfId="2">
      <alignment horizontal="right" vertical="center"/>
    </xf>
    <xf numFmtId="164" fontId="0" fillId="2" borderId="6" applyAlignment="1" pivotButton="0" quotePrefix="0" xfId="2">
      <alignment horizontal="right" vertical="center"/>
    </xf>
    <xf numFmtId="164" fontId="0" fillId="3" borderId="19" applyAlignment="1" pivotButton="0" quotePrefix="0" xfId="2">
      <alignment horizontal="right" vertical="center"/>
    </xf>
    <xf numFmtId="164" fontId="0" fillId="3" borderId="8" applyAlignment="1" pivotButton="0" quotePrefix="0" xfId="2">
      <alignment horizontal="right" vertical="center"/>
    </xf>
    <xf numFmtId="164" fontId="0" fillId="4" borderId="9" applyAlignment="1" pivotButton="0" quotePrefix="0" xfId="2">
      <alignment horizontal="right" vertical="center"/>
    </xf>
    <xf numFmtId="164" fontId="0" fillId="0" borderId="0" applyAlignment="1" pivotButton="0" quotePrefix="0" xfId="2">
      <alignment horizontal="right" vertical="center"/>
    </xf>
    <xf numFmtId="164" fontId="0" fillId="0" borderId="0" applyAlignment="1" pivotButton="0" quotePrefix="0" xfId="2">
      <alignment vertical="center"/>
    </xf>
    <xf numFmtId="164" fontId="0" fillId="2" borderId="5" applyAlignment="1" pivotButton="0" quotePrefix="0" xfId="2">
      <alignment horizontal="right" vertical="center"/>
    </xf>
    <xf numFmtId="164" fontId="0" fillId="4" borderId="8" applyAlignment="1" pivotButton="0" quotePrefix="0" xfId="2">
      <alignment horizontal="right" vertical="center"/>
    </xf>
    <xf numFmtId="164" fontId="0" fillId="0" borderId="37" applyAlignment="1" pivotButton="0" quotePrefix="0" xfId="2">
      <alignment vertical="center"/>
    </xf>
    <xf numFmtId="164" fontId="0" fillId="0" borderId="38" applyAlignment="1" pivotButton="0" quotePrefix="0" xfId="2">
      <alignment vertical="center"/>
    </xf>
    <xf numFmtId="164" fontId="0" fillId="0" borderId="6" applyAlignment="1" pivotButton="0" quotePrefix="0" xfId="2">
      <alignment vertical="center"/>
    </xf>
    <xf numFmtId="164" fontId="0" fillId="0" borderId="27" applyAlignment="1" pivotButton="0" quotePrefix="0" xfId="2">
      <alignment vertical="center"/>
    </xf>
    <xf numFmtId="164" fontId="0" fillId="0" borderId="10" applyAlignment="1" pivotButton="0" quotePrefix="0" xfId="2">
      <alignment vertical="center"/>
    </xf>
    <xf numFmtId="164" fontId="0" fillId="0" borderId="9" applyAlignment="1" pivotButton="0" quotePrefix="0" xfId="2">
      <alignment vertical="center"/>
    </xf>
    <xf numFmtId="164" fontId="0" fillId="0" borderId="28" applyAlignment="1" pivotButton="0" quotePrefix="0" xfId="2">
      <alignment vertical="center"/>
    </xf>
  </cellXfs>
  <cellStyles count="3">
    <cellStyle name="標準" xfId="0" builtinId="0"/>
    <cellStyle name="桁区切り" xfId="1" builtinId="6"/>
    <cellStyle name="パーセント"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8" tint="-0.249977111117893"/>
    <outlinePr summaryBelow="1" summaryRight="1"/>
    <pageSetUpPr fitToPage="1"/>
  </sheetPr>
  <dimension ref="C1:Y108"/>
  <sheetViews>
    <sheetView workbookViewId="0">
      <pane xSplit="4" ySplit="1" topLeftCell="E32" activePane="bottomRight" state="frozen"/>
      <selection activeCell="E99" sqref="E99:Y100"/>
      <selection pane="topRight" activeCell="E99" sqref="E99:Y100"/>
      <selection pane="bottomLeft" activeCell="E99" sqref="E99:Y100"/>
      <selection pane="bottomRight" activeCell="M78" sqref="M78"/>
    </sheetView>
  </sheetViews>
  <sheetFormatPr baseColWidth="8" defaultRowHeight="18.75"/>
  <cols>
    <col width="9" customWidth="1" style="93" min="1" max="4"/>
    <col width="10.125" customWidth="1" style="93" min="5" max="25"/>
  </cols>
  <sheetData>
    <row r="1">
      <c r="C1" s="17" t="inlineStr">
        <is>
          <t>下関営業所包装資材</t>
        </is>
      </c>
    </row>
    <row r="2">
      <c r="C2" s="94" t="inlineStr">
        <is>
          <t>1．2024年</t>
        </is>
      </c>
    </row>
    <row r="3">
      <c r="C3" s="86" t="n"/>
      <c r="D3" s="85" t="n"/>
      <c r="E3" s="88" t="inlineStr">
        <is>
          <t>売上</t>
        </is>
      </c>
      <c r="F3" s="84" t="n"/>
      <c r="G3" s="84" t="n"/>
      <c r="H3" s="84" t="n"/>
      <c r="I3" s="84" t="n"/>
      <c r="J3" s="84" t="n"/>
      <c r="K3" s="84" t="n"/>
      <c r="L3" s="83" t="inlineStr">
        <is>
          <t>粗利益</t>
        </is>
      </c>
      <c r="M3" s="84" t="n"/>
      <c r="N3" s="84" t="n"/>
      <c r="O3" s="84" t="n"/>
      <c r="P3" s="84" t="n"/>
      <c r="Q3" s="84" t="n"/>
      <c r="R3" s="85" t="n"/>
      <c r="S3" s="87" t="inlineStr">
        <is>
          <t>粗利益率</t>
        </is>
      </c>
      <c r="T3" s="84" t="n"/>
      <c r="U3" s="84" t="n"/>
      <c r="V3" s="84" t="n"/>
      <c r="W3" s="84" t="n"/>
      <c r="X3" s="84" t="n"/>
      <c r="Y3" s="85" t="n"/>
    </row>
    <row r="4">
      <c r="C4" s="1" t="n"/>
      <c r="D4" s="14" t="n"/>
      <c r="E4" s="51" t="n">
        <v>45383</v>
      </c>
      <c r="F4" s="51" t="n">
        <v>45413</v>
      </c>
      <c r="G4" s="51" t="n">
        <v>45444</v>
      </c>
      <c r="H4" s="51" t="n">
        <v>45474</v>
      </c>
      <c r="I4" s="51" t="n">
        <v>45505</v>
      </c>
      <c r="J4" s="51" t="n">
        <v>45536</v>
      </c>
      <c r="K4" s="55" t="inlineStr">
        <is>
          <t>合計</t>
        </is>
      </c>
      <c r="L4" s="54" t="n">
        <v>45383</v>
      </c>
      <c r="M4" s="51" t="n">
        <v>45413</v>
      </c>
      <c r="N4" s="51" t="n">
        <v>45444</v>
      </c>
      <c r="O4" s="51" t="n">
        <v>45474</v>
      </c>
      <c r="P4" s="51" t="n">
        <v>45505</v>
      </c>
      <c r="Q4" s="51" t="n">
        <v>45536</v>
      </c>
      <c r="R4" s="52" t="inlineStr">
        <is>
          <t>合計</t>
        </is>
      </c>
      <c r="S4" s="48" t="n">
        <v>45017</v>
      </c>
      <c r="T4" s="51" t="n">
        <v>45047</v>
      </c>
      <c r="U4" s="51" t="n">
        <v>45078</v>
      </c>
      <c r="V4" s="51" t="n">
        <v>45108</v>
      </c>
      <c r="W4" s="51" t="n">
        <v>45139</v>
      </c>
      <c r="X4" s="51" t="n">
        <v>45170</v>
      </c>
      <c r="Y4" s="52" t="inlineStr">
        <is>
          <t>合計</t>
        </is>
      </c>
    </row>
    <row r="5">
      <c r="C5" s="2" t="inlineStr">
        <is>
          <t>0021 集計</t>
        </is>
      </c>
      <c r="D5" s="15" t="inlineStr">
        <is>
          <t>高橋所長</t>
        </is>
      </c>
      <c r="E5" s="2">
        <f>全体!E5-機械!E5</f>
        <v/>
      </c>
      <c r="F5" s="3">
        <f>全体!F5-機械!F5</f>
        <v/>
      </c>
      <c r="G5" s="3">
        <f>全体!G5-機械!G5</f>
        <v/>
      </c>
      <c r="H5" s="3">
        <f>全体!H5-機械!H5</f>
        <v/>
      </c>
      <c r="I5" s="3">
        <f>全体!I5-機械!I5</f>
        <v/>
      </c>
      <c r="J5" s="3">
        <f>全体!J5-機械!J5</f>
        <v/>
      </c>
      <c r="K5" s="56">
        <f>SUM(E5:J5)</f>
        <v/>
      </c>
      <c r="L5" s="2">
        <f>全体!L5-機械!L5</f>
        <v/>
      </c>
      <c r="M5" s="3">
        <f>全体!M5-機械!M5</f>
        <v/>
      </c>
      <c r="N5" s="3">
        <f>全体!N5-機械!N5</f>
        <v/>
      </c>
      <c r="O5" s="3">
        <f>全体!O5-機械!O5</f>
        <v/>
      </c>
      <c r="P5" s="3">
        <f>全体!P5-機械!P5</f>
        <v/>
      </c>
      <c r="Q5" s="3">
        <f>全体!Q5-機械!Q5</f>
        <v/>
      </c>
      <c r="R5" s="56">
        <f>SUM(L5:Q5)</f>
        <v/>
      </c>
      <c r="S5" s="103">
        <f>IF(E5=0,"***",L5/E5)</f>
        <v/>
      </c>
      <c r="T5" s="104">
        <f>IF(F5=0,"***",M5/F5)</f>
        <v/>
      </c>
      <c r="U5" s="104">
        <f>IF(G5=0,"***",N5/G5)</f>
        <v/>
      </c>
      <c r="V5" s="104">
        <f>IF(H5=0,"***",O5/H5)</f>
        <v/>
      </c>
      <c r="W5" s="104">
        <f>IF(I5=0,"***",P5/I5)</f>
        <v/>
      </c>
      <c r="X5" s="104">
        <f>IF(J5=0,"***",Q5/J5)</f>
        <v/>
      </c>
      <c r="Y5" s="105">
        <f>IF(K5=0,"***",R5/K5)</f>
        <v/>
      </c>
    </row>
    <row r="6">
      <c r="C6" s="2" t="inlineStr">
        <is>
          <t>0024 集計</t>
        </is>
      </c>
      <c r="D6" s="15" t="inlineStr">
        <is>
          <t>東野</t>
        </is>
      </c>
      <c r="E6" s="2">
        <f>全体!E6-機械!E6</f>
        <v/>
      </c>
      <c r="F6" s="3">
        <f>全体!F6-機械!F6</f>
        <v/>
      </c>
      <c r="G6" s="3">
        <f>全体!G6-機械!G6</f>
        <v/>
      </c>
      <c r="H6" s="3">
        <f>全体!H6-機械!H6</f>
        <v/>
      </c>
      <c r="I6" s="3">
        <f>全体!I6-機械!I6</f>
        <v/>
      </c>
      <c r="J6" s="3">
        <f>全体!J6-機械!J6</f>
        <v/>
      </c>
      <c r="K6" s="56">
        <f>SUM(E6:J6)</f>
        <v/>
      </c>
      <c r="L6" s="2">
        <f>全体!L6-機械!L6</f>
        <v/>
      </c>
      <c r="M6" s="3">
        <f>全体!M6-機械!M6</f>
        <v/>
      </c>
      <c r="N6" s="3">
        <f>全体!N6-機械!N6</f>
        <v/>
      </c>
      <c r="O6" s="3">
        <f>全体!O6-機械!O6</f>
        <v/>
      </c>
      <c r="P6" s="3">
        <f>全体!P6-機械!P6</f>
        <v/>
      </c>
      <c r="Q6" s="3">
        <f>全体!Q6-機械!Q6</f>
        <v/>
      </c>
      <c r="R6" s="56">
        <f>SUM(L6:Q6)</f>
        <v/>
      </c>
      <c r="S6" s="103">
        <f>IF(E6=0,"***",L6/E6)</f>
        <v/>
      </c>
      <c r="T6" s="104">
        <f>IF(F6=0,"***",M6/F6)</f>
        <v/>
      </c>
      <c r="U6" s="104">
        <f>IF(G6=0,"***",N6/G6)</f>
        <v/>
      </c>
      <c r="V6" s="104">
        <f>IF(H6=0,"***",O6/H6)</f>
        <v/>
      </c>
      <c r="W6" s="104">
        <f>IF(I6=0,"***",P6/I6)</f>
        <v/>
      </c>
      <c r="X6" s="104">
        <f>IF(J6=0,"***",Q6/J6)</f>
        <v/>
      </c>
      <c r="Y6" s="105">
        <f>IF(K6=0,"***",R6/K6)</f>
        <v/>
      </c>
    </row>
    <row r="7">
      <c r="C7" s="2" t="inlineStr">
        <is>
          <t>0025 集計</t>
        </is>
      </c>
      <c r="D7" s="15" t="inlineStr">
        <is>
          <t>橋本課長</t>
        </is>
      </c>
      <c r="E7" s="2">
        <f>全体!E7-機械!E7</f>
        <v/>
      </c>
      <c r="F7" s="3">
        <f>全体!F7-機械!F7</f>
        <v/>
      </c>
      <c r="G7" s="3">
        <f>全体!G7-機械!G7</f>
        <v/>
      </c>
      <c r="H7" s="3">
        <f>全体!H7-機械!H7</f>
        <v/>
      </c>
      <c r="I7" s="3">
        <f>全体!I7-機械!I7</f>
        <v/>
      </c>
      <c r="J7" s="3">
        <f>全体!J7-機械!J7</f>
        <v/>
      </c>
      <c r="K7" s="56">
        <f>SUM(E7:J7)</f>
        <v/>
      </c>
      <c r="L7" s="2">
        <f>全体!L7-機械!L7</f>
        <v/>
      </c>
      <c r="M7" s="3">
        <f>全体!M7-機械!M7</f>
        <v/>
      </c>
      <c r="N7" s="3">
        <f>全体!N7-機械!N7</f>
        <v/>
      </c>
      <c r="O7" s="3">
        <f>全体!O7-機械!O7</f>
        <v/>
      </c>
      <c r="P7" s="3">
        <f>全体!P7-機械!P7</f>
        <v/>
      </c>
      <c r="Q7" s="3">
        <f>全体!Q7-機械!Q7</f>
        <v/>
      </c>
      <c r="R7" s="56">
        <f>SUM(L7:Q7)</f>
        <v/>
      </c>
      <c r="S7" s="103">
        <f>IF(E7=0,"***",L7/E7)</f>
        <v/>
      </c>
      <c r="T7" s="104">
        <f>IF(F7=0,"***",M7/F7)</f>
        <v/>
      </c>
      <c r="U7" s="104">
        <f>IF(G7=0,"***",N7/G7)</f>
        <v/>
      </c>
      <c r="V7" s="104">
        <f>IF(H7=0,"***",O7/H7)</f>
        <v/>
      </c>
      <c r="W7" s="104">
        <f>IF(I7=0,"***",P7/I7)</f>
        <v/>
      </c>
      <c r="X7" s="104">
        <f>IF(J7=0,"***",Q7/J7)</f>
        <v/>
      </c>
      <c r="Y7" s="105">
        <f>IF(K7=0,"***",R7/K7)</f>
        <v/>
      </c>
    </row>
    <row r="8">
      <c r="C8" s="2" t="inlineStr">
        <is>
          <t>0026 集計</t>
        </is>
      </c>
      <c r="D8" s="15" t="inlineStr">
        <is>
          <t>井上課長</t>
        </is>
      </c>
      <c r="E8" s="2">
        <f>全体!E8-機械!E8</f>
        <v/>
      </c>
      <c r="F8" s="3">
        <f>全体!F8-機械!F8</f>
        <v/>
      </c>
      <c r="G8" s="3">
        <f>全体!G8-機械!G8</f>
        <v/>
      </c>
      <c r="H8" s="3">
        <f>全体!H8-機械!H8</f>
        <v/>
      </c>
      <c r="I8" s="3">
        <f>全体!I8-機械!I8</f>
        <v/>
      </c>
      <c r="J8" s="3">
        <f>全体!J8-機械!J8</f>
        <v/>
      </c>
      <c r="K8" s="56">
        <f>SUM(E8:J8)</f>
        <v/>
      </c>
      <c r="L8" s="2">
        <f>全体!L8-機械!L8</f>
        <v/>
      </c>
      <c r="M8" s="3">
        <f>全体!M8-機械!M8</f>
        <v/>
      </c>
      <c r="N8" s="3">
        <f>全体!N8-機械!N8</f>
        <v/>
      </c>
      <c r="O8" s="3">
        <f>全体!O8-機械!O8</f>
        <v/>
      </c>
      <c r="P8" s="3">
        <f>全体!P8-機械!P8</f>
        <v/>
      </c>
      <c r="Q8" s="3">
        <f>全体!Q8-機械!Q8</f>
        <v/>
      </c>
      <c r="R8" s="56">
        <f>SUM(L8:Q8)</f>
        <v/>
      </c>
      <c r="S8" s="103">
        <f>IF(E8=0,"***",L8/E8)</f>
        <v/>
      </c>
      <c r="T8" s="104">
        <f>IF(F8=0,"***",M8/F8)</f>
        <v/>
      </c>
      <c r="U8" s="104">
        <f>IF(G8=0,"***",N8/G8)</f>
        <v/>
      </c>
      <c r="V8" s="104">
        <f>IF(H8=0,"***",O8/H8)</f>
        <v/>
      </c>
      <c r="W8" s="104">
        <f>IF(I8=0,"***",P8/I8)</f>
        <v/>
      </c>
      <c r="X8" s="104">
        <f>IF(J8=0,"***",Q8/J8)</f>
        <v/>
      </c>
      <c r="Y8" s="105">
        <f>IF(K8=0,"***",R8/K8)</f>
        <v/>
      </c>
    </row>
    <row r="9">
      <c r="C9" s="2" t="inlineStr">
        <is>
          <t>0027 集計</t>
        </is>
      </c>
      <c r="D9" s="15" t="inlineStr">
        <is>
          <t>中国</t>
        </is>
      </c>
      <c r="E9" s="2">
        <f>全体!E9-機械!E9</f>
        <v/>
      </c>
      <c r="F9" s="3">
        <f>全体!F9-機械!F9</f>
        <v/>
      </c>
      <c r="G9" s="3">
        <f>全体!G9-機械!G9</f>
        <v/>
      </c>
      <c r="H9" s="3">
        <f>全体!H9-機械!H9</f>
        <v/>
      </c>
      <c r="I9" s="3">
        <f>全体!I9-機械!I9</f>
        <v/>
      </c>
      <c r="J9" s="3">
        <f>全体!J9-機械!J9</f>
        <v/>
      </c>
      <c r="K9" s="56">
        <f>SUM(E9:J9)</f>
        <v/>
      </c>
      <c r="L9" s="2">
        <f>全体!L9-機械!L9</f>
        <v/>
      </c>
      <c r="M9" s="3">
        <f>全体!M9-機械!M9</f>
        <v/>
      </c>
      <c r="N9" s="3">
        <f>全体!N9-機械!N9</f>
        <v/>
      </c>
      <c r="O9" s="3">
        <f>全体!O9-機械!O9</f>
        <v/>
      </c>
      <c r="P9" s="3">
        <f>全体!P9-機械!P9</f>
        <v/>
      </c>
      <c r="Q9" s="3">
        <f>全体!Q9-機械!Q9</f>
        <v/>
      </c>
      <c r="R9" s="56">
        <f>SUM(L9:Q9)</f>
        <v/>
      </c>
      <c r="S9" s="103">
        <f>IF(E9=0,"***",L9/E9)</f>
        <v/>
      </c>
      <c r="T9" s="104">
        <f>IF(F9=0,"***",M9/F9)</f>
        <v/>
      </c>
      <c r="U9" s="104">
        <f>IF(G9=0,"***",N9/G9)</f>
        <v/>
      </c>
      <c r="V9" s="104">
        <f>IF(H9=0,"***",O9/H9)</f>
        <v/>
      </c>
      <c r="W9" s="104">
        <f>IF(I9=0,"***",P9/I9)</f>
        <v/>
      </c>
      <c r="X9" s="104">
        <f>IF(J9=0,"***",Q9/J9)</f>
        <v/>
      </c>
      <c r="Y9" s="105">
        <f>IF(K9=0,"***",R9/K9)</f>
        <v/>
      </c>
    </row>
    <row r="10">
      <c r="C10" s="71" t="inlineStr">
        <is>
          <t>0028 集計</t>
        </is>
      </c>
      <c r="D10" s="15" t="inlineStr">
        <is>
          <t>自治体</t>
        </is>
      </c>
      <c r="E10" s="2" t="n"/>
      <c r="F10" s="3" t="n"/>
      <c r="G10" s="3" t="n"/>
      <c r="H10" s="3" t="n"/>
      <c r="I10" s="3" t="n"/>
      <c r="J10" s="3" t="n"/>
      <c r="K10" s="56" t="n"/>
      <c r="L10" s="2" t="n"/>
      <c r="M10" s="3" t="n"/>
      <c r="N10" s="3" t="n"/>
      <c r="O10" s="3" t="n"/>
      <c r="P10" s="3" t="n"/>
      <c r="Q10" s="3" t="n"/>
      <c r="R10" s="56" t="n"/>
      <c r="S10" s="103" t="n"/>
      <c r="T10" s="104" t="n"/>
      <c r="U10" s="104" t="n"/>
      <c r="V10" s="104" t="n"/>
      <c r="W10" s="104" t="n"/>
      <c r="X10" s="104" t="n"/>
      <c r="Y10" s="105" t="n"/>
    </row>
    <row r="11">
      <c r="C11" s="2" t="inlineStr">
        <is>
          <t>0029 集計</t>
        </is>
      </c>
      <c r="D11" s="15" t="inlineStr">
        <is>
          <t>その他</t>
        </is>
      </c>
      <c r="E11" s="2">
        <f>全体!E11-機械!E11</f>
        <v/>
      </c>
      <c r="F11" s="3">
        <f>全体!F11-機械!F11</f>
        <v/>
      </c>
      <c r="G11" s="3">
        <f>全体!G11-機械!G11</f>
        <v/>
      </c>
      <c r="H11" s="3">
        <f>全体!H11-機械!H11</f>
        <v/>
      </c>
      <c r="I11" s="3">
        <f>全体!I11-機械!I11</f>
        <v/>
      </c>
      <c r="J11" s="3">
        <f>全体!J11-機械!J11</f>
        <v/>
      </c>
      <c r="K11" s="56">
        <f>SUM(E11:J11)</f>
        <v/>
      </c>
      <c r="L11" s="2">
        <f>全体!L11-機械!L11</f>
        <v/>
      </c>
      <c r="M11" s="3">
        <f>全体!M11-機械!M11</f>
        <v/>
      </c>
      <c r="N11" s="3">
        <f>全体!N11-機械!N11</f>
        <v/>
      </c>
      <c r="O11" s="3">
        <f>全体!O11-機械!O11</f>
        <v/>
      </c>
      <c r="P11" s="3">
        <f>全体!P11-機械!P11</f>
        <v/>
      </c>
      <c r="Q11" s="3">
        <f>全体!Q11-機械!Q11</f>
        <v/>
      </c>
      <c r="R11" s="56">
        <f>SUM(L11:Q11)</f>
        <v/>
      </c>
      <c r="S11" s="103">
        <f>IF(E11=0,"***",L11/E11)</f>
        <v/>
      </c>
      <c r="T11" s="104">
        <f>IF(F11=0,"***",M11/F11)</f>
        <v/>
      </c>
      <c r="U11" s="104">
        <f>IF(G11=0,"***",N11/G11)</f>
        <v/>
      </c>
      <c r="V11" s="104">
        <f>IF(H11=0,"***",O11/H11)</f>
        <v/>
      </c>
      <c r="W11" s="104">
        <f>IF(I11=0,"***",P11/I11)</f>
        <v/>
      </c>
      <c r="X11" s="104">
        <f>IF(J11=0,"***",Q11/J11)</f>
        <v/>
      </c>
      <c r="Y11" s="105">
        <f>IF(K11=0,"***",R11/K11)</f>
        <v/>
      </c>
    </row>
    <row r="12">
      <c r="C12" s="4" t="inlineStr">
        <is>
          <t>合計</t>
        </is>
      </c>
      <c r="D12" s="16" t="n"/>
      <c r="E12" s="49">
        <f>SUM(E5:E11)</f>
        <v/>
      </c>
      <c r="F12" s="6">
        <f>SUM(F5:F11)</f>
        <v/>
      </c>
      <c r="G12" s="6">
        <f>SUM(G5:G11)</f>
        <v/>
      </c>
      <c r="H12" s="6">
        <f>SUM(H5:H11)</f>
        <v/>
      </c>
      <c r="I12" s="6">
        <f>SUM(I5:I11)</f>
        <v/>
      </c>
      <c r="J12" s="6">
        <f>SUM(J5:J11)</f>
        <v/>
      </c>
      <c r="K12" s="50">
        <f>SUM(E12:J12)</f>
        <v/>
      </c>
      <c r="L12" s="49">
        <f>SUM(L5:L11)</f>
        <v/>
      </c>
      <c r="M12" s="6">
        <f>SUM(M5:M11)</f>
        <v/>
      </c>
      <c r="N12" s="6">
        <f>SUM(N5:N11)</f>
        <v/>
      </c>
      <c r="O12" s="6">
        <f>SUM(O5:O11)</f>
        <v/>
      </c>
      <c r="P12" s="6">
        <f>SUM(P5:P11)</f>
        <v/>
      </c>
      <c r="Q12" s="6">
        <f>SUM(Q5:Q11)</f>
        <v/>
      </c>
      <c r="R12" s="50">
        <f>SUM(L12:Q12)</f>
        <v/>
      </c>
      <c r="S12" s="106">
        <f>IF(E12=0,"***",L12/E12)</f>
        <v/>
      </c>
      <c r="T12" s="107">
        <f>IF(F12=0,"***",M12/F12)</f>
        <v/>
      </c>
      <c r="U12" s="107">
        <f>IF(G12=0,"***",N12/G12)</f>
        <v/>
      </c>
      <c r="V12" s="107">
        <f>IF(H12=0,"***",O12/H12)</f>
        <v/>
      </c>
      <c r="W12" s="107">
        <f>IF(I12=0,"***",P12/I12)</f>
        <v/>
      </c>
      <c r="X12" s="107">
        <f>IF(J12=0,"***",Q12/J12)</f>
        <v/>
      </c>
      <c r="Y12" s="108">
        <f>IF(K12=0,"***",R12/K12)</f>
        <v/>
      </c>
    </row>
    <row r="13">
      <c r="C13" s="12" t="n"/>
      <c r="E13" s="11" t="n"/>
      <c r="F13" s="11" t="n"/>
      <c r="G13" s="11" t="n"/>
      <c r="H13" s="11" t="n"/>
      <c r="I13" s="11" t="n"/>
      <c r="J13" s="11" t="n"/>
      <c r="K13" s="12" t="n"/>
      <c r="L13" s="11" t="n"/>
      <c r="M13" s="11" t="n"/>
      <c r="N13" s="11" t="n"/>
      <c r="O13" s="11" t="n"/>
      <c r="P13" s="11" t="n"/>
      <c r="Q13" s="11" t="n"/>
      <c r="R13" s="12" t="n"/>
      <c r="S13" s="109" t="n"/>
      <c r="T13" s="109" t="n"/>
      <c r="U13" s="109" t="n"/>
      <c r="V13" s="109" t="n"/>
      <c r="W13" s="109" t="n"/>
      <c r="X13" s="109" t="n"/>
      <c r="Y13" s="109" t="n"/>
    </row>
    <row r="14">
      <c r="C14" s="12" t="inlineStr">
        <is>
          <t>2．2025年</t>
        </is>
      </c>
    </row>
    <row r="15">
      <c r="C15" s="86" t="n"/>
      <c r="D15" s="85" t="n"/>
      <c r="E15" s="88" t="inlineStr">
        <is>
          <t>売上</t>
        </is>
      </c>
      <c r="F15" s="84" t="n"/>
      <c r="G15" s="84" t="n"/>
      <c r="H15" s="84" t="n"/>
      <c r="I15" s="84" t="n"/>
      <c r="J15" s="84" t="n"/>
      <c r="K15" s="84" t="n"/>
      <c r="L15" s="83" t="inlineStr">
        <is>
          <t>粗利益</t>
        </is>
      </c>
      <c r="M15" s="84" t="n"/>
      <c r="N15" s="84" t="n"/>
      <c r="O15" s="84" t="n"/>
      <c r="P15" s="84" t="n"/>
      <c r="Q15" s="84" t="n"/>
      <c r="R15" s="85" t="n"/>
      <c r="S15" s="83" t="inlineStr">
        <is>
          <t>粗利益率</t>
        </is>
      </c>
      <c r="T15" s="84" t="n"/>
      <c r="U15" s="84" t="n"/>
      <c r="V15" s="84" t="n"/>
      <c r="W15" s="84" t="n"/>
      <c r="X15" s="84" t="n"/>
      <c r="Y15" s="85" t="n"/>
    </row>
    <row r="16">
      <c r="C16" s="1" t="n"/>
      <c r="D16" s="14" t="n"/>
      <c r="E16" s="51" t="n">
        <v>45748</v>
      </c>
      <c r="F16" s="51" t="n">
        <v>45778</v>
      </c>
      <c r="G16" s="51" t="n">
        <v>45809</v>
      </c>
      <c r="H16" s="51" t="n">
        <v>45839</v>
      </c>
      <c r="I16" s="51" t="n">
        <v>45870</v>
      </c>
      <c r="J16" s="51" t="n">
        <v>45901</v>
      </c>
      <c r="K16" s="52" t="inlineStr">
        <is>
          <t>合計</t>
        </is>
      </c>
      <c r="L16" s="48" t="n">
        <v>45748</v>
      </c>
      <c r="M16" s="51" t="n">
        <v>45778</v>
      </c>
      <c r="N16" s="51" t="n">
        <v>45809</v>
      </c>
      <c r="O16" s="51" t="n">
        <v>45839</v>
      </c>
      <c r="P16" s="51" t="n">
        <v>45870</v>
      </c>
      <c r="Q16" s="51" t="n">
        <v>45901</v>
      </c>
      <c r="R16" s="53" t="inlineStr">
        <is>
          <t>合計</t>
        </is>
      </c>
      <c r="S16" s="51" t="n">
        <v>45748</v>
      </c>
      <c r="T16" s="51" t="n">
        <v>45778</v>
      </c>
      <c r="U16" s="51" t="n">
        <v>45809</v>
      </c>
      <c r="V16" s="51" t="n">
        <v>45839</v>
      </c>
      <c r="W16" s="51" t="n">
        <v>45870</v>
      </c>
      <c r="X16" s="51" t="n">
        <v>45901</v>
      </c>
      <c r="Y16" s="52" t="inlineStr">
        <is>
          <t>合計</t>
        </is>
      </c>
    </row>
    <row r="17">
      <c r="C17" s="2" t="inlineStr">
        <is>
          <t>0021 集計</t>
        </is>
      </c>
      <c r="D17" s="15" t="inlineStr">
        <is>
          <t>高橋所長</t>
        </is>
      </c>
      <c r="E17" s="2">
        <f>全体!E17-機械!E17</f>
        <v/>
      </c>
      <c r="F17" s="3">
        <f>全体!F17-機械!F17</f>
        <v/>
      </c>
      <c r="G17" s="3">
        <f>全体!G17-機械!G17</f>
        <v/>
      </c>
      <c r="H17" s="3">
        <f>全体!H17-機械!H17</f>
        <v/>
      </c>
      <c r="I17" s="3">
        <f>全体!I17-機械!I17</f>
        <v/>
      </c>
      <c r="J17" s="3">
        <f>全体!J17-機械!J17</f>
        <v/>
      </c>
      <c r="K17" s="56">
        <f>SUM(E17:J17)</f>
        <v/>
      </c>
      <c r="L17" s="2">
        <f>全体!L17-機械!L17</f>
        <v/>
      </c>
      <c r="M17" s="3">
        <f>全体!M17-機械!M17</f>
        <v/>
      </c>
      <c r="N17" s="3">
        <f>全体!N17-機械!N17</f>
        <v/>
      </c>
      <c r="O17" s="3">
        <f>全体!O17-機械!O17</f>
        <v/>
      </c>
      <c r="P17" s="3">
        <f>全体!P17-機械!P17</f>
        <v/>
      </c>
      <c r="Q17" s="3">
        <f>全体!Q17-機械!Q17</f>
        <v/>
      </c>
      <c r="R17" s="56">
        <f>SUM(L17:Q17)</f>
        <v/>
      </c>
      <c r="S17" s="103">
        <f>IF(E17=0,"***",L17/E17)</f>
        <v/>
      </c>
      <c r="T17" s="104">
        <f>IF(F17=0,"***",M17/F17)</f>
        <v/>
      </c>
      <c r="U17" s="104">
        <f>IF(G17=0,"***",N17/G17)</f>
        <v/>
      </c>
      <c r="V17" s="104">
        <f>IF(H17=0,"***",O17/H17)</f>
        <v/>
      </c>
      <c r="W17" s="104">
        <f>IF(I17=0,"***",P17/I17)</f>
        <v/>
      </c>
      <c r="X17" s="104">
        <f>IF(J17=0,"***",Q17/J17)</f>
        <v/>
      </c>
      <c r="Y17" s="105">
        <f>IF(K17=0,"***",R17/K17)</f>
        <v/>
      </c>
    </row>
    <row r="18">
      <c r="C18" s="2" t="inlineStr">
        <is>
          <t>0024 集計</t>
        </is>
      </c>
      <c r="D18" s="15" t="inlineStr">
        <is>
          <t>東野</t>
        </is>
      </c>
      <c r="E18" s="2">
        <f>全体!E18-機械!E18</f>
        <v/>
      </c>
      <c r="F18" s="3">
        <f>全体!F18-機械!F18</f>
        <v/>
      </c>
      <c r="G18" s="3">
        <f>全体!G18-機械!G18</f>
        <v/>
      </c>
      <c r="H18" s="3">
        <f>全体!H18-機械!H18</f>
        <v/>
      </c>
      <c r="I18" s="3">
        <f>全体!I18-機械!I18</f>
        <v/>
      </c>
      <c r="J18" s="3">
        <f>全体!J18-機械!J18</f>
        <v/>
      </c>
      <c r="K18" s="56">
        <f>SUM(E18:J18)</f>
        <v/>
      </c>
      <c r="L18" s="2">
        <f>全体!L18-機械!L18</f>
        <v/>
      </c>
      <c r="M18" s="3">
        <f>全体!M18-機械!M18</f>
        <v/>
      </c>
      <c r="N18" s="3">
        <f>全体!N18-機械!N18</f>
        <v/>
      </c>
      <c r="O18" s="3">
        <f>全体!O18-機械!O18</f>
        <v/>
      </c>
      <c r="P18" s="3">
        <f>全体!P18-機械!P18</f>
        <v/>
      </c>
      <c r="Q18" s="3">
        <f>全体!Q18-機械!Q18</f>
        <v/>
      </c>
      <c r="R18" s="56">
        <f>SUM(L18:Q18)</f>
        <v/>
      </c>
      <c r="S18" s="103">
        <f>IF(E18=0,"***",L18/E18)</f>
        <v/>
      </c>
      <c r="T18" s="104">
        <f>IF(F18=0,"***",M18/F18)</f>
        <v/>
      </c>
      <c r="U18" s="104">
        <f>IF(G18=0,"***",N18/G18)</f>
        <v/>
      </c>
      <c r="V18" s="104">
        <f>IF(H18=0,"***",O18/H18)</f>
        <v/>
      </c>
      <c r="W18" s="104">
        <f>IF(I18=0,"***",P18/I18)</f>
        <v/>
      </c>
      <c r="X18" s="104">
        <f>IF(J18=0,"***",Q18/J18)</f>
        <v/>
      </c>
      <c r="Y18" s="105">
        <f>IF(K18=0,"***",R18/K18)</f>
        <v/>
      </c>
    </row>
    <row r="19">
      <c r="C19" s="2" t="inlineStr">
        <is>
          <t>0025 集計</t>
        </is>
      </c>
      <c r="D19" s="15" t="inlineStr">
        <is>
          <t>橋本課長</t>
        </is>
      </c>
      <c r="E19" s="2">
        <f>全体!E19-機械!E19</f>
        <v/>
      </c>
      <c r="F19" s="3">
        <f>全体!F19-機械!F19</f>
        <v/>
      </c>
      <c r="G19" s="3">
        <f>全体!G19-機械!G19</f>
        <v/>
      </c>
      <c r="H19" s="3">
        <f>全体!H19-機械!H19</f>
        <v/>
      </c>
      <c r="I19" s="3">
        <f>全体!I19-機械!I19</f>
        <v/>
      </c>
      <c r="J19" s="3">
        <f>全体!J19-機械!J19</f>
        <v/>
      </c>
      <c r="K19" s="56">
        <f>SUM(E19:J19)</f>
        <v/>
      </c>
      <c r="L19" s="2">
        <f>全体!L19-機械!L19</f>
        <v/>
      </c>
      <c r="M19" s="3">
        <f>全体!M19-機械!M19</f>
        <v/>
      </c>
      <c r="N19" s="3">
        <f>全体!N19-機械!N19</f>
        <v/>
      </c>
      <c r="O19" s="3">
        <f>全体!O19-機械!O19</f>
        <v/>
      </c>
      <c r="P19" s="3">
        <f>全体!P19-機械!P19</f>
        <v/>
      </c>
      <c r="Q19" s="3">
        <f>全体!Q19-機械!Q19</f>
        <v/>
      </c>
      <c r="R19" s="56">
        <f>SUM(L19:Q19)</f>
        <v/>
      </c>
      <c r="S19" s="103">
        <f>IF(E19=0,"***",L19/E19)</f>
        <v/>
      </c>
      <c r="T19" s="104">
        <f>IF(F19=0,"***",M19/F19)</f>
        <v/>
      </c>
      <c r="U19" s="104">
        <f>IF(G19=0,"***",N19/G19)</f>
        <v/>
      </c>
      <c r="V19" s="104">
        <f>IF(H19=0,"***",O19/H19)</f>
        <v/>
      </c>
      <c r="W19" s="104">
        <f>IF(I19=0,"***",P19/I19)</f>
        <v/>
      </c>
      <c r="X19" s="104">
        <f>IF(J19=0,"***",Q19/J19)</f>
        <v/>
      </c>
      <c r="Y19" s="105">
        <f>IF(K19=0,"***",R19/K19)</f>
        <v/>
      </c>
    </row>
    <row r="20">
      <c r="C20" s="2" t="inlineStr">
        <is>
          <t>0026 集計</t>
        </is>
      </c>
      <c r="D20" s="15" t="inlineStr">
        <is>
          <t>井上課長</t>
        </is>
      </c>
      <c r="E20" s="2">
        <f>全体!E20-機械!E20</f>
        <v/>
      </c>
      <c r="F20" s="3">
        <f>全体!F20-機械!F20</f>
        <v/>
      </c>
      <c r="G20" s="3">
        <f>全体!G20-機械!G20</f>
        <v/>
      </c>
      <c r="H20" s="3">
        <f>全体!H20-機械!H20</f>
        <v/>
      </c>
      <c r="I20" s="3">
        <f>全体!I20-機械!I20</f>
        <v/>
      </c>
      <c r="J20" s="3">
        <f>全体!J20-機械!J20</f>
        <v/>
      </c>
      <c r="K20" s="56">
        <f>SUM(E20:J20)</f>
        <v/>
      </c>
      <c r="L20" s="2">
        <f>全体!L20-機械!L20</f>
        <v/>
      </c>
      <c r="M20" s="3">
        <f>全体!M20-機械!M20</f>
        <v/>
      </c>
      <c r="N20" s="3">
        <f>全体!N20-機械!N20</f>
        <v/>
      </c>
      <c r="O20" s="3">
        <f>全体!O20-機械!O20</f>
        <v/>
      </c>
      <c r="P20" s="3">
        <f>全体!P20-機械!P20</f>
        <v/>
      </c>
      <c r="Q20" s="3">
        <f>全体!Q20-機械!Q20</f>
        <v/>
      </c>
      <c r="R20" s="56">
        <f>SUM(L20:Q20)</f>
        <v/>
      </c>
      <c r="S20" s="103">
        <f>IF(E20=0,"***",L20/E20)</f>
        <v/>
      </c>
      <c r="T20" s="104">
        <f>IF(F20=0,"***",M20/F20)</f>
        <v/>
      </c>
      <c r="U20" s="104">
        <f>IF(G20=0,"***",N20/G20)</f>
        <v/>
      </c>
      <c r="V20" s="104">
        <f>IF(H20=0,"***",O20/H20)</f>
        <v/>
      </c>
      <c r="W20" s="104">
        <f>IF(I20=0,"***",P20/I20)</f>
        <v/>
      </c>
      <c r="X20" s="104">
        <f>IF(J20=0,"***",Q20/J20)</f>
        <v/>
      </c>
      <c r="Y20" s="105">
        <f>IF(K20=0,"***",R20/K20)</f>
        <v/>
      </c>
    </row>
    <row r="21">
      <c r="C21" s="2" t="inlineStr">
        <is>
          <t>0027 集計</t>
        </is>
      </c>
      <c r="D21" s="15" t="inlineStr">
        <is>
          <t>中国</t>
        </is>
      </c>
      <c r="E21" s="2">
        <f>全体!E21-機械!E21</f>
        <v/>
      </c>
      <c r="F21" s="3">
        <f>全体!F21-機械!F21</f>
        <v/>
      </c>
      <c r="G21" s="3">
        <f>全体!G21-機械!G21</f>
        <v/>
      </c>
      <c r="H21" s="3">
        <f>全体!H21-機械!H21</f>
        <v/>
      </c>
      <c r="I21" s="3">
        <f>全体!I21-機械!I21</f>
        <v/>
      </c>
      <c r="J21" s="3">
        <f>全体!J21-機械!J21</f>
        <v/>
      </c>
      <c r="K21" s="56">
        <f>SUM(E21:J21)</f>
        <v/>
      </c>
      <c r="L21" s="2">
        <f>全体!L21-機械!L21</f>
        <v/>
      </c>
      <c r="M21" s="3">
        <f>全体!M21-機械!M21</f>
        <v/>
      </c>
      <c r="N21" s="3">
        <f>全体!N21-機械!N21</f>
        <v/>
      </c>
      <c r="O21" s="3">
        <f>全体!O21-機械!O21</f>
        <v/>
      </c>
      <c r="P21" s="3">
        <f>全体!P21-機械!P21</f>
        <v/>
      </c>
      <c r="Q21" s="3">
        <f>全体!Q21-機械!Q21</f>
        <v/>
      </c>
      <c r="R21" s="56">
        <f>SUM(L21:Q21)</f>
        <v/>
      </c>
      <c r="S21" s="103">
        <f>IF(E21=0,"***",L21/E21)</f>
        <v/>
      </c>
      <c r="T21" s="104">
        <f>IF(F21=0,"***",M21/F21)</f>
        <v/>
      </c>
      <c r="U21" s="104">
        <f>IF(G21=0,"***",N21/G21)</f>
        <v/>
      </c>
      <c r="V21" s="104">
        <f>IF(H21=0,"***",O21/H21)</f>
        <v/>
      </c>
      <c r="W21" s="104">
        <f>IF(I21=0,"***",P21/I21)</f>
        <v/>
      </c>
      <c r="X21" s="104">
        <f>IF(J21=0,"***",Q21/J21)</f>
        <v/>
      </c>
      <c r="Y21" s="105">
        <f>IF(K21=0,"***",R21/K21)</f>
        <v/>
      </c>
    </row>
    <row r="22">
      <c r="C22" s="71" t="inlineStr">
        <is>
          <t>0028 集計</t>
        </is>
      </c>
      <c r="D22" s="15" t="inlineStr">
        <is>
          <t>自治体</t>
        </is>
      </c>
      <c r="E22" s="2" t="n"/>
      <c r="F22" s="3" t="n"/>
      <c r="G22" s="3" t="n"/>
      <c r="H22" s="3" t="n"/>
      <c r="I22" s="3" t="n"/>
      <c r="J22" s="3" t="n"/>
      <c r="K22" s="56" t="n"/>
      <c r="L22" s="2" t="n"/>
      <c r="M22" s="3" t="n"/>
      <c r="N22" s="3" t="n"/>
      <c r="O22" s="3" t="n"/>
      <c r="P22" s="3" t="n"/>
      <c r="Q22" s="3" t="n"/>
      <c r="R22" s="56" t="n"/>
      <c r="S22" s="103" t="n"/>
      <c r="T22" s="104" t="n"/>
      <c r="U22" s="104" t="n"/>
      <c r="V22" s="104" t="n"/>
      <c r="W22" s="104" t="n"/>
      <c r="X22" s="104" t="n"/>
      <c r="Y22" s="105" t="n"/>
    </row>
    <row r="23">
      <c r="C23" s="2" t="inlineStr">
        <is>
          <t>0029 集計</t>
        </is>
      </c>
      <c r="D23" s="15" t="inlineStr">
        <is>
          <t>その他</t>
        </is>
      </c>
      <c r="E23" s="2">
        <f>全体!E23-機械!E23</f>
        <v/>
      </c>
      <c r="F23" s="3">
        <f>全体!F23-機械!F23</f>
        <v/>
      </c>
      <c r="G23" s="3">
        <f>全体!G23-機械!G23</f>
        <v/>
      </c>
      <c r="H23" s="3">
        <f>全体!H23-機械!H23</f>
        <v/>
      </c>
      <c r="I23" s="3">
        <f>全体!I23-機械!I23</f>
        <v/>
      </c>
      <c r="J23" s="3">
        <f>全体!J23-機械!J23</f>
        <v/>
      </c>
      <c r="K23" s="56">
        <f>SUM(E23:J23)</f>
        <v/>
      </c>
      <c r="L23" s="2">
        <f>全体!L23-機械!L23</f>
        <v/>
      </c>
      <c r="M23" s="3">
        <f>全体!M23-機械!M23</f>
        <v/>
      </c>
      <c r="N23" s="3">
        <f>全体!N23-機械!N23</f>
        <v/>
      </c>
      <c r="O23" s="3">
        <f>全体!O23-機械!O23</f>
        <v/>
      </c>
      <c r="P23" s="3">
        <f>全体!P23-機械!P23</f>
        <v/>
      </c>
      <c r="Q23" s="3">
        <f>全体!Q23-機械!Q23</f>
        <v/>
      </c>
      <c r="R23" s="56">
        <f>SUM(L23:Q23)</f>
        <v/>
      </c>
      <c r="S23" s="103">
        <f>IF(E23=0,"***",L23/E23)</f>
        <v/>
      </c>
      <c r="T23" s="104">
        <f>IF(F23=0,"***",M23/F23)</f>
        <v/>
      </c>
      <c r="U23" s="104">
        <f>IF(G23=0,"***",N23/G23)</f>
        <v/>
      </c>
      <c r="V23" s="104">
        <f>IF(H23=0,"***",O23/H23)</f>
        <v/>
      </c>
      <c r="W23" s="104">
        <f>IF(I23=0,"***",P23/I23)</f>
        <v/>
      </c>
      <c r="X23" s="104">
        <f>IF(J23=0,"***",Q23/J23)</f>
        <v/>
      </c>
      <c r="Y23" s="105">
        <f>IF(K23=0,"***",R23/K23)</f>
        <v/>
      </c>
    </row>
    <row r="24">
      <c r="C24" s="4" t="inlineStr">
        <is>
          <t>合計</t>
        </is>
      </c>
      <c r="D24" s="16" t="n"/>
      <c r="E24" s="49">
        <f>SUM(E17:E23)</f>
        <v/>
      </c>
      <c r="F24" s="6">
        <f>SUM(F17:F23)</f>
        <v/>
      </c>
      <c r="G24" s="6">
        <f>SUM(G17:G23)</f>
        <v/>
      </c>
      <c r="H24" s="6">
        <f>SUM(H17:H23)</f>
        <v/>
      </c>
      <c r="I24" s="6">
        <f>SUM(I17:I23)</f>
        <v/>
      </c>
      <c r="J24" s="6">
        <f>SUM(J17:J23)</f>
        <v/>
      </c>
      <c r="K24" s="50">
        <f>SUM(E24:J24)</f>
        <v/>
      </c>
      <c r="L24" s="49">
        <f>SUM(L17:L23)</f>
        <v/>
      </c>
      <c r="M24" s="6">
        <f>SUM(M17:M23)</f>
        <v/>
      </c>
      <c r="N24" s="6">
        <f>SUM(N17:N23)</f>
        <v/>
      </c>
      <c r="O24" s="6">
        <f>SUM(O17:O23)</f>
        <v/>
      </c>
      <c r="P24" s="6">
        <f>SUM(P17:P23)</f>
        <v/>
      </c>
      <c r="Q24" s="6">
        <f>SUM(Q17:Q23)</f>
        <v/>
      </c>
      <c r="R24" s="50">
        <f>SUM(L24:Q24)</f>
        <v/>
      </c>
      <c r="S24" s="106">
        <f>IF(E24=0,"***",L24/E24)</f>
        <v/>
      </c>
      <c r="T24" s="107">
        <f>IF(F24=0,"***",M24/F24)</f>
        <v/>
      </c>
      <c r="U24" s="107">
        <f>IF(G24=0,"***",N24/G24)</f>
        <v/>
      </c>
      <c r="V24" s="107">
        <f>IF(H24=0,"***",O24/H24)</f>
        <v/>
      </c>
      <c r="W24" s="107">
        <f>IF(I24=0,"***",P24/I24)</f>
        <v/>
      </c>
      <c r="X24" s="107">
        <f>IF(J24=0,"***",Q24/J24)</f>
        <v/>
      </c>
      <c r="Y24" s="108">
        <f>IF(K24=0,"***",R24/K24)</f>
        <v/>
      </c>
    </row>
    <row r="25">
      <c r="C25" s="12" t="n"/>
      <c r="E25" s="11" t="n"/>
      <c r="F25" s="11" t="n"/>
      <c r="G25" s="11" t="n"/>
      <c r="H25" s="11" t="n"/>
      <c r="I25" s="11" t="n"/>
      <c r="J25" s="11" t="n"/>
      <c r="K25" s="12" t="n"/>
      <c r="L25" s="11" t="n"/>
      <c r="M25" s="11" t="n"/>
      <c r="N25" s="11" t="n"/>
      <c r="O25" s="11" t="n"/>
      <c r="P25" s="11" t="n"/>
      <c r="Q25" s="11" t="n"/>
      <c r="R25" s="12" t="n"/>
      <c r="S25" s="109" t="n"/>
      <c r="T25" s="109" t="n"/>
      <c r="U25" s="109" t="n"/>
      <c r="V25" s="109" t="n"/>
      <c r="W25" s="109" t="n"/>
      <c r="X25" s="109" t="n"/>
      <c r="Y25" s="109" t="n"/>
    </row>
    <row r="26">
      <c r="C26" s="12" t="inlineStr">
        <is>
          <t>3．過年度平均</t>
        </is>
      </c>
    </row>
    <row r="27">
      <c r="C27" s="86" t="n"/>
      <c r="D27" s="85" t="n"/>
      <c r="E27" s="88" t="inlineStr">
        <is>
          <t>売上</t>
        </is>
      </c>
      <c r="F27" s="84" t="n"/>
      <c r="G27" s="84" t="n"/>
      <c r="H27" s="84" t="n"/>
      <c r="I27" s="84" t="n"/>
      <c r="J27" s="84" t="n"/>
      <c r="K27" s="84" t="n"/>
      <c r="L27" s="83" t="inlineStr">
        <is>
          <t>粗利益</t>
        </is>
      </c>
      <c r="M27" s="84" t="n"/>
      <c r="N27" s="84" t="n"/>
      <c r="O27" s="84" t="n"/>
      <c r="P27" s="84" t="n"/>
      <c r="Q27" s="84" t="n"/>
      <c r="R27" s="85" t="n"/>
      <c r="S27" s="83" t="inlineStr">
        <is>
          <t>粗利益率</t>
        </is>
      </c>
      <c r="T27" s="84" t="n"/>
      <c r="U27" s="84" t="n"/>
      <c r="V27" s="84" t="n"/>
      <c r="W27" s="84" t="n"/>
      <c r="X27" s="84" t="n"/>
      <c r="Y27" s="85" t="n"/>
    </row>
    <row r="28">
      <c r="C28" s="1" t="n"/>
      <c r="D28" s="14" t="n"/>
      <c r="E28" s="51" t="n">
        <v>45748</v>
      </c>
      <c r="F28" s="51" t="n">
        <v>45778</v>
      </c>
      <c r="G28" s="51" t="n">
        <v>45809</v>
      </c>
      <c r="H28" s="51" t="n">
        <v>45839</v>
      </c>
      <c r="I28" s="51" t="n">
        <v>45870</v>
      </c>
      <c r="J28" s="51" t="n">
        <v>45901</v>
      </c>
      <c r="K28" s="52" t="inlineStr">
        <is>
          <t>合計</t>
        </is>
      </c>
      <c r="L28" s="48" t="n">
        <v>45748</v>
      </c>
      <c r="M28" s="51" t="n">
        <v>45778</v>
      </c>
      <c r="N28" s="51" t="n">
        <v>45809</v>
      </c>
      <c r="O28" s="51" t="n">
        <v>45839</v>
      </c>
      <c r="P28" s="51" t="n">
        <v>45870</v>
      </c>
      <c r="Q28" s="51" t="n">
        <v>45901</v>
      </c>
      <c r="R28" s="53" t="inlineStr">
        <is>
          <t>合計</t>
        </is>
      </c>
      <c r="S28" s="51" t="n">
        <v>45748</v>
      </c>
      <c r="T28" s="51" t="n">
        <v>45778</v>
      </c>
      <c r="U28" s="51" t="n">
        <v>45809</v>
      </c>
      <c r="V28" s="51" t="n">
        <v>45839</v>
      </c>
      <c r="W28" s="51" t="n">
        <v>45870</v>
      </c>
      <c r="X28" s="51" t="n">
        <v>45901</v>
      </c>
      <c r="Y28" s="52" t="inlineStr">
        <is>
          <t>合計</t>
        </is>
      </c>
    </row>
    <row r="29">
      <c r="C29" s="2" t="inlineStr">
        <is>
          <t>0021 集計</t>
        </is>
      </c>
      <c r="D29" s="15" t="inlineStr">
        <is>
          <t>高橋所長</t>
        </is>
      </c>
      <c r="E29" s="3">
        <f>(E17+E5)/2</f>
        <v/>
      </c>
      <c r="F29" s="3">
        <f>(F17+F5)/2</f>
        <v/>
      </c>
      <c r="G29" s="3">
        <f>(G17+G5)/2</f>
        <v/>
      </c>
      <c r="H29" s="3">
        <f>(H17+H5)/2</f>
        <v/>
      </c>
      <c r="I29" s="3">
        <f>(I17+I5)/2</f>
        <v/>
      </c>
      <c r="J29" s="3">
        <f>(J17+J5)/2</f>
        <v/>
      </c>
      <c r="K29" s="56">
        <f>SUM(E29:J29)</f>
        <v/>
      </c>
      <c r="L29" s="62">
        <f>(L17+L5)/2</f>
        <v/>
      </c>
      <c r="M29" s="3">
        <f>(M17+M5)/2</f>
        <v/>
      </c>
      <c r="N29" s="3">
        <f>(N17+N5)/2</f>
        <v/>
      </c>
      <c r="O29" s="3">
        <f>(O17+O5)/2</f>
        <v/>
      </c>
      <c r="P29" s="3">
        <f>(P17+P5)/2</f>
        <v/>
      </c>
      <c r="Q29" s="3">
        <f>(Q17+Q5)/2</f>
        <v/>
      </c>
      <c r="R29" s="56">
        <f>SUM(L29:Q29)</f>
        <v/>
      </c>
      <c r="S29" s="103">
        <f>IF(E29=0,"***",L29/E29)</f>
        <v/>
      </c>
      <c r="T29" s="104">
        <f>IF(F29=0,"***",M29/F29)</f>
        <v/>
      </c>
      <c r="U29" s="104">
        <f>IF(G29=0,"***",N29/G29)</f>
        <v/>
      </c>
      <c r="V29" s="104">
        <f>IF(H29=0,"***",O29/H29)</f>
        <v/>
      </c>
      <c r="W29" s="104">
        <f>IF(I29=0,"***",P29/I29)</f>
        <v/>
      </c>
      <c r="X29" s="104">
        <f>IF(J29=0,"***",Q29/J29)</f>
        <v/>
      </c>
      <c r="Y29" s="105">
        <f>IF(K29=0,"***",R29/K29)</f>
        <v/>
      </c>
    </row>
    <row r="30">
      <c r="C30" s="2" t="inlineStr">
        <is>
          <t>0024 集計</t>
        </is>
      </c>
      <c r="D30" s="15" t="inlineStr">
        <is>
          <t>東野</t>
        </is>
      </c>
      <c r="E30" s="3">
        <f>(E18+E6)/2</f>
        <v/>
      </c>
      <c r="F30" s="3">
        <f>(F18+F6)/2</f>
        <v/>
      </c>
      <c r="G30" s="3">
        <f>(G18+G6)/2</f>
        <v/>
      </c>
      <c r="H30" s="3">
        <f>(H18+H6)/2</f>
        <v/>
      </c>
      <c r="I30" s="3">
        <f>(I18+I6)/2</f>
        <v/>
      </c>
      <c r="J30" s="3">
        <f>(J18+J6)/2</f>
        <v/>
      </c>
      <c r="K30" s="56">
        <f>SUM(E30:J30)</f>
        <v/>
      </c>
      <c r="L30" s="62">
        <f>(L18+L6)/2</f>
        <v/>
      </c>
      <c r="M30" s="3">
        <f>(M18+M6)/2</f>
        <v/>
      </c>
      <c r="N30" s="3">
        <f>(N18+N6)/2</f>
        <v/>
      </c>
      <c r="O30" s="3">
        <f>(O18+O6)/2</f>
        <v/>
      </c>
      <c r="P30" s="3">
        <f>(P18+P6)/2</f>
        <v/>
      </c>
      <c r="Q30" s="3">
        <f>(Q18+Q6)/2</f>
        <v/>
      </c>
      <c r="R30" s="56">
        <f>SUM(L30:Q30)</f>
        <v/>
      </c>
      <c r="S30" s="103">
        <f>IF(E30=0,"***",L30/E30)</f>
        <v/>
      </c>
      <c r="T30" s="104">
        <f>IF(F30=0,"***",M30/F30)</f>
        <v/>
      </c>
      <c r="U30" s="104">
        <f>IF(G30=0,"***",N30/G30)</f>
        <v/>
      </c>
      <c r="V30" s="104">
        <f>IF(H30=0,"***",O30/H30)</f>
        <v/>
      </c>
      <c r="W30" s="104">
        <f>IF(I30=0,"***",P30/I30)</f>
        <v/>
      </c>
      <c r="X30" s="104">
        <f>IF(J30=0,"***",Q30/J30)</f>
        <v/>
      </c>
      <c r="Y30" s="105">
        <f>IF(K30=0,"***",R30/K30)</f>
        <v/>
      </c>
    </row>
    <row r="31">
      <c r="C31" s="2" t="inlineStr">
        <is>
          <t>0025 集計</t>
        </is>
      </c>
      <c r="D31" s="15" t="inlineStr">
        <is>
          <t>橋本課長</t>
        </is>
      </c>
      <c r="E31" s="3">
        <f>(E19+E7)/2</f>
        <v/>
      </c>
      <c r="F31" s="3">
        <f>(F19+F7)/2</f>
        <v/>
      </c>
      <c r="G31" s="3">
        <f>(G19+G7)/2</f>
        <v/>
      </c>
      <c r="H31" s="3">
        <f>(H19+H7)/2</f>
        <v/>
      </c>
      <c r="I31" s="3">
        <f>(I19+I7)/2</f>
        <v/>
      </c>
      <c r="J31" s="3">
        <f>(J19+J7)/2</f>
        <v/>
      </c>
      <c r="K31" s="56">
        <f>SUM(E31:J31)</f>
        <v/>
      </c>
      <c r="L31" s="62">
        <f>(L19+L7)/2</f>
        <v/>
      </c>
      <c r="M31" s="3">
        <f>(M19+M7)/2</f>
        <v/>
      </c>
      <c r="N31" s="3">
        <f>(N19+N7)/2</f>
        <v/>
      </c>
      <c r="O31" s="3">
        <f>(O19+O7)/2</f>
        <v/>
      </c>
      <c r="P31" s="3">
        <f>(P19+P7)/2</f>
        <v/>
      </c>
      <c r="Q31" s="3">
        <f>(Q19+Q7)/2</f>
        <v/>
      </c>
      <c r="R31" s="56">
        <f>SUM(L31:Q31)</f>
        <v/>
      </c>
      <c r="S31" s="103">
        <f>IF(E31=0,"***",L31/E31)</f>
        <v/>
      </c>
      <c r="T31" s="104">
        <f>IF(F31=0,"***",M31/F31)</f>
        <v/>
      </c>
      <c r="U31" s="104">
        <f>IF(G31=0,"***",N31/G31)</f>
        <v/>
      </c>
      <c r="V31" s="104">
        <f>IF(H31=0,"***",O31/H31)</f>
        <v/>
      </c>
      <c r="W31" s="104">
        <f>IF(I31=0,"***",P31/I31)</f>
        <v/>
      </c>
      <c r="X31" s="104">
        <f>IF(J31=0,"***",Q31/J31)</f>
        <v/>
      </c>
      <c r="Y31" s="105">
        <f>IF(K31=0,"***",R31/K31)</f>
        <v/>
      </c>
    </row>
    <row r="32">
      <c r="C32" s="2" t="inlineStr">
        <is>
          <t>0026 集計</t>
        </is>
      </c>
      <c r="D32" s="15" t="inlineStr">
        <is>
          <t>井上課長</t>
        </is>
      </c>
      <c r="E32" s="3">
        <f>(E20+E8)/2</f>
        <v/>
      </c>
      <c r="F32" s="3">
        <f>(F20+F8)/2</f>
        <v/>
      </c>
      <c r="G32" s="3">
        <f>(G20+G8)/2</f>
        <v/>
      </c>
      <c r="H32" s="3">
        <f>(H20+H8)/2</f>
        <v/>
      </c>
      <c r="I32" s="3">
        <f>(I20+I8)/2</f>
        <v/>
      </c>
      <c r="J32" s="3">
        <f>(J20+J8)/2</f>
        <v/>
      </c>
      <c r="K32" s="56">
        <f>SUM(E32:J32)</f>
        <v/>
      </c>
      <c r="L32" s="62">
        <f>(L20+L8)/2</f>
        <v/>
      </c>
      <c r="M32" s="3">
        <f>(M20+M8)/2</f>
        <v/>
      </c>
      <c r="N32" s="3">
        <f>(N20+N8)/2</f>
        <v/>
      </c>
      <c r="O32" s="3">
        <f>(O20+O8)/2</f>
        <v/>
      </c>
      <c r="P32" s="3">
        <f>(P20+P8)/2</f>
        <v/>
      </c>
      <c r="Q32" s="3">
        <f>(Q20+Q8)/2</f>
        <v/>
      </c>
      <c r="R32" s="56">
        <f>SUM(L32:Q32)</f>
        <v/>
      </c>
      <c r="S32" s="103">
        <f>IF(E32=0,"***",L32/E32)</f>
        <v/>
      </c>
      <c r="T32" s="104">
        <f>IF(F32=0,"***",M32/F32)</f>
        <v/>
      </c>
      <c r="U32" s="104">
        <f>IF(G32=0,"***",N32/G32)</f>
        <v/>
      </c>
      <c r="V32" s="104">
        <f>IF(H32=0,"***",O32/H32)</f>
        <v/>
      </c>
      <c r="W32" s="104">
        <f>IF(I32=0,"***",P32/I32)</f>
        <v/>
      </c>
      <c r="X32" s="104">
        <f>IF(J32=0,"***",Q32/J32)</f>
        <v/>
      </c>
      <c r="Y32" s="105">
        <f>IF(K32=0,"***",R32/K32)</f>
        <v/>
      </c>
    </row>
    <row r="33">
      <c r="C33" s="2" t="inlineStr">
        <is>
          <t>0027 集計</t>
        </is>
      </c>
      <c r="D33" s="15" t="inlineStr">
        <is>
          <t>中国</t>
        </is>
      </c>
      <c r="E33" s="3">
        <f>(E21+E9)/2</f>
        <v/>
      </c>
      <c r="F33" s="3">
        <f>(F21+F9)/2</f>
        <v/>
      </c>
      <c r="G33" s="3">
        <f>(G21+G9)/2</f>
        <v/>
      </c>
      <c r="H33" s="3">
        <f>(H21+H9)/2</f>
        <v/>
      </c>
      <c r="I33" s="3">
        <f>(I21+I9)/2</f>
        <v/>
      </c>
      <c r="J33" s="3">
        <f>(J21+J9)/2</f>
        <v/>
      </c>
      <c r="K33" s="56">
        <f>SUM(E33:J33)</f>
        <v/>
      </c>
      <c r="L33" s="62">
        <f>(L21+L9)/2</f>
        <v/>
      </c>
      <c r="M33" s="3">
        <f>(M21+M9)/2</f>
        <v/>
      </c>
      <c r="N33" s="3">
        <f>(N21+N9)/2</f>
        <v/>
      </c>
      <c r="O33" s="3">
        <f>(O21+O9)/2</f>
        <v/>
      </c>
      <c r="P33" s="3">
        <f>(P21+P9)/2</f>
        <v/>
      </c>
      <c r="Q33" s="3">
        <f>(Q21+Q9)/2</f>
        <v/>
      </c>
      <c r="R33" s="56">
        <f>SUM(L33:Q33)</f>
        <v/>
      </c>
      <c r="S33" s="103">
        <f>IF(E33=0,"***",L33/E33)</f>
        <v/>
      </c>
      <c r="T33" s="104">
        <f>IF(F33=0,"***",M33/F33)</f>
        <v/>
      </c>
      <c r="U33" s="104">
        <f>IF(G33=0,"***",N33/G33)</f>
        <v/>
      </c>
      <c r="V33" s="104">
        <f>IF(H33=0,"***",O33/H33)</f>
        <v/>
      </c>
      <c r="W33" s="104">
        <f>IF(I33=0,"***",P33/I33)</f>
        <v/>
      </c>
      <c r="X33" s="104">
        <f>IF(J33=0,"***",Q33/J33)</f>
        <v/>
      </c>
      <c r="Y33" s="105">
        <f>IF(K33=0,"***",R33/K33)</f>
        <v/>
      </c>
    </row>
    <row r="34">
      <c r="C34" s="71" t="inlineStr">
        <is>
          <t>0028 集計</t>
        </is>
      </c>
      <c r="D34" s="15" t="inlineStr">
        <is>
          <t>自治体</t>
        </is>
      </c>
      <c r="E34" s="3" t="n"/>
      <c r="F34" s="3" t="n"/>
      <c r="G34" s="3" t="n"/>
      <c r="H34" s="3" t="n"/>
      <c r="I34" s="3" t="n"/>
      <c r="J34" s="3" t="n"/>
      <c r="K34" s="56" t="n"/>
      <c r="L34" s="62" t="n"/>
      <c r="M34" s="3" t="n"/>
      <c r="N34" s="3" t="n"/>
      <c r="O34" s="3" t="n"/>
      <c r="P34" s="3" t="n"/>
      <c r="Q34" s="3" t="n"/>
      <c r="R34" s="56" t="n"/>
      <c r="S34" s="103" t="n"/>
      <c r="T34" s="104" t="n"/>
      <c r="U34" s="104" t="n"/>
      <c r="V34" s="104" t="n"/>
      <c r="W34" s="104" t="n"/>
      <c r="X34" s="104" t="n"/>
      <c r="Y34" s="105" t="n"/>
    </row>
    <row r="35">
      <c r="C35" s="2" t="inlineStr">
        <is>
          <t>0029 集計</t>
        </is>
      </c>
      <c r="D35" s="15" t="inlineStr">
        <is>
          <t>その他</t>
        </is>
      </c>
      <c r="E35" s="3">
        <f>(E23+E11)/2</f>
        <v/>
      </c>
      <c r="F35" s="3">
        <f>(F23+F11)/2</f>
        <v/>
      </c>
      <c r="G35" s="3">
        <f>(G23+G11)/2</f>
        <v/>
      </c>
      <c r="H35" s="3">
        <f>(H23+H11)/2</f>
        <v/>
      </c>
      <c r="I35" s="3">
        <f>(I23+I11)/2</f>
        <v/>
      </c>
      <c r="J35" s="3">
        <f>(J23+J11)/2</f>
        <v/>
      </c>
      <c r="K35" s="56">
        <f>SUM(E35:J35)</f>
        <v/>
      </c>
      <c r="L35" s="62">
        <f>(L23+L11)/2</f>
        <v/>
      </c>
      <c r="M35" s="3">
        <f>(M23+M11)/2</f>
        <v/>
      </c>
      <c r="N35" s="3">
        <f>(N23+N11)/2</f>
        <v/>
      </c>
      <c r="O35" s="3">
        <f>(O23+O11)/2</f>
        <v/>
      </c>
      <c r="P35" s="3">
        <f>(P23+P11)/2</f>
        <v/>
      </c>
      <c r="Q35" s="3">
        <f>(Q23+Q11)/2</f>
        <v/>
      </c>
      <c r="R35" s="56">
        <f>SUM(L35:Q35)</f>
        <v/>
      </c>
      <c r="S35" s="103">
        <f>IF(E35=0,"***",L35/E35)</f>
        <v/>
      </c>
      <c r="T35" s="104">
        <f>IF(F35=0,"***",M35/F35)</f>
        <v/>
      </c>
      <c r="U35" s="104">
        <f>IF(G35=0,"***",N35/G35)</f>
        <v/>
      </c>
      <c r="V35" s="104">
        <f>IF(H35=0,"***",O35/H35)</f>
        <v/>
      </c>
      <c r="W35" s="104">
        <f>IF(I35=0,"***",P35/I35)</f>
        <v/>
      </c>
      <c r="X35" s="104">
        <f>IF(J35=0,"***",Q35/J35)</f>
        <v/>
      </c>
      <c r="Y35" s="105">
        <f>IF(K35=0,"***",R35/K35)</f>
        <v/>
      </c>
    </row>
    <row r="36">
      <c r="C36" s="4" t="inlineStr">
        <is>
          <t>合計</t>
        </is>
      </c>
      <c r="D36" s="16" t="n"/>
      <c r="E36" s="6">
        <f>SUM(E29:E35)</f>
        <v/>
      </c>
      <c r="F36" s="6">
        <f>SUM(F29:F35)</f>
        <v/>
      </c>
      <c r="G36" s="6">
        <f>SUM(G29:G35)</f>
        <v/>
      </c>
      <c r="H36" s="6">
        <f>SUM(H29:H35)</f>
        <v/>
      </c>
      <c r="I36" s="6">
        <f>SUM(I29:I35)</f>
        <v/>
      </c>
      <c r="J36" s="6">
        <f>SUM(J29:J35)</f>
        <v/>
      </c>
      <c r="K36" s="50">
        <f>SUM(E36:J36)</f>
        <v/>
      </c>
      <c r="L36" s="67">
        <f>SUM(L29:L35)</f>
        <v/>
      </c>
      <c r="M36" s="6">
        <f>SUM(M29:M35)</f>
        <v/>
      </c>
      <c r="N36" s="6">
        <f>SUM(N29:N35)</f>
        <v/>
      </c>
      <c r="O36" s="6">
        <f>SUM(O29:O35)</f>
        <v/>
      </c>
      <c r="P36" s="6">
        <f>SUM(P29:P35)</f>
        <v/>
      </c>
      <c r="Q36" s="6">
        <f>SUM(Q29:Q35)</f>
        <v/>
      </c>
      <c r="R36" s="50">
        <f>SUM(L36:Q36)</f>
        <v/>
      </c>
      <c r="S36" s="106">
        <f>IF(E36=0,"***",L36/E36)</f>
        <v/>
      </c>
      <c r="T36" s="107">
        <f>IF(F36=0,"***",M36/F36)</f>
        <v/>
      </c>
      <c r="U36" s="107">
        <f>IF(G36=0,"***",N36/G36)</f>
        <v/>
      </c>
      <c r="V36" s="107">
        <f>IF(H36=0,"***",O36/H36)</f>
        <v/>
      </c>
      <c r="W36" s="107">
        <f>IF(I36=0,"***",P36/I36)</f>
        <v/>
      </c>
      <c r="X36" s="107">
        <f>IF(J36=0,"***",Q36/J36)</f>
        <v/>
      </c>
      <c r="Y36" s="108">
        <f>IF(K36=0,"***",R36/K36)</f>
        <v/>
      </c>
    </row>
    <row r="37">
      <c r="C37" s="12" t="n"/>
      <c r="E37" s="11" t="n"/>
      <c r="F37" s="11" t="n"/>
      <c r="G37" s="11" t="n"/>
      <c r="H37" s="11" t="n"/>
      <c r="I37" s="11" t="n"/>
      <c r="J37" s="11" t="n"/>
      <c r="K37" s="12" t="n"/>
      <c r="L37" s="11" t="n"/>
      <c r="M37" s="11" t="n"/>
      <c r="N37" s="11" t="n"/>
      <c r="O37" s="11" t="n"/>
      <c r="P37" s="11" t="n"/>
      <c r="Q37" s="11" t="n"/>
      <c r="R37" s="12" t="n"/>
      <c r="S37" s="109" t="n"/>
      <c r="T37" s="109" t="n"/>
      <c r="U37" s="109" t="n"/>
      <c r="V37" s="109" t="n"/>
      <c r="W37" s="109" t="n"/>
      <c r="X37" s="109" t="n"/>
      <c r="Y37" s="109" t="n"/>
    </row>
    <row r="38">
      <c r="C38" s="12" t="inlineStr">
        <is>
          <t>4．計画</t>
        </is>
      </c>
    </row>
    <row r="39">
      <c r="C39" s="86" t="n"/>
      <c r="D39" s="85" t="n"/>
      <c r="E39" s="86" t="inlineStr">
        <is>
          <t>売上</t>
        </is>
      </c>
      <c r="F39" s="84" t="n"/>
      <c r="G39" s="84" t="n"/>
      <c r="H39" s="84" t="n"/>
      <c r="I39" s="84" t="n"/>
      <c r="J39" s="84" t="n"/>
      <c r="K39" s="85" t="n"/>
      <c r="L39" s="87" t="inlineStr">
        <is>
          <t>粗利益</t>
        </is>
      </c>
      <c r="M39" s="84" t="n"/>
      <c r="N39" s="84" t="n"/>
      <c r="O39" s="84" t="n"/>
      <c r="P39" s="84" t="n"/>
      <c r="Q39" s="84" t="n"/>
      <c r="R39" s="85" t="n"/>
      <c r="S39" s="87" t="inlineStr">
        <is>
          <t>粗利益率</t>
        </is>
      </c>
      <c r="T39" s="84" t="n"/>
      <c r="U39" s="84" t="n"/>
      <c r="V39" s="84" t="n"/>
      <c r="W39" s="84" t="n"/>
      <c r="X39" s="84" t="n"/>
      <c r="Y39" s="85" t="n"/>
    </row>
    <row r="40">
      <c r="C40" s="1" t="n"/>
      <c r="D40" s="14" t="n"/>
      <c r="E40" s="54" t="n">
        <v>46113</v>
      </c>
      <c r="F40" s="51" t="n">
        <v>46143</v>
      </c>
      <c r="G40" s="51" t="n">
        <v>46174</v>
      </c>
      <c r="H40" s="51" t="n">
        <v>46204</v>
      </c>
      <c r="I40" s="51" t="n">
        <v>46235</v>
      </c>
      <c r="J40" s="51" t="n">
        <v>46266</v>
      </c>
      <c r="K40" s="52" t="inlineStr">
        <is>
          <t>合計</t>
        </is>
      </c>
      <c r="L40" s="48" t="n">
        <v>46113</v>
      </c>
      <c r="M40" s="51" t="n">
        <v>46143</v>
      </c>
      <c r="N40" s="51" t="n">
        <v>46174</v>
      </c>
      <c r="O40" s="51" t="n">
        <v>46204</v>
      </c>
      <c r="P40" s="51" t="n">
        <v>46235</v>
      </c>
      <c r="Q40" s="51" t="n">
        <v>46266</v>
      </c>
      <c r="R40" s="52" t="inlineStr">
        <is>
          <t>合計</t>
        </is>
      </c>
      <c r="S40" s="48" t="n">
        <v>46113</v>
      </c>
      <c r="T40" s="51" t="n">
        <v>46143</v>
      </c>
      <c r="U40" s="51" t="n">
        <v>46174</v>
      </c>
      <c r="V40" s="51" t="n">
        <v>46204</v>
      </c>
      <c r="W40" s="51" t="n">
        <v>46235</v>
      </c>
      <c r="X40" s="51" t="n">
        <v>46266</v>
      </c>
      <c r="Y40" s="52" t="inlineStr">
        <is>
          <t>合計</t>
        </is>
      </c>
    </row>
    <row r="41">
      <c r="C41" s="2" t="inlineStr">
        <is>
          <t>0021 集計</t>
        </is>
      </c>
      <c r="D41" s="15" t="inlineStr">
        <is>
          <t>高橋所長</t>
        </is>
      </c>
      <c r="E41" s="2">
        <f>全体!E41-機械!E41</f>
        <v/>
      </c>
      <c r="F41" s="3">
        <f>全体!F41-機械!F41</f>
        <v/>
      </c>
      <c r="G41" s="3">
        <f>全体!G41-機械!G41</f>
        <v/>
      </c>
      <c r="H41" s="3">
        <f>全体!H41-機械!H41</f>
        <v/>
      </c>
      <c r="I41" s="3">
        <f>全体!I41-機械!I41</f>
        <v/>
      </c>
      <c r="J41" s="3">
        <f>全体!J41-機械!J41</f>
        <v/>
      </c>
      <c r="K41" s="56">
        <f>SUM(E41:J41)</f>
        <v/>
      </c>
      <c r="L41" s="2">
        <f>全体!L41-機械!L41</f>
        <v/>
      </c>
      <c r="M41" s="3">
        <f>全体!M41-機械!M41</f>
        <v/>
      </c>
      <c r="N41" s="3">
        <f>全体!N41-機械!N41</f>
        <v/>
      </c>
      <c r="O41" s="3">
        <f>全体!O41-機械!O41</f>
        <v/>
      </c>
      <c r="P41" s="3">
        <f>全体!P41-機械!P41</f>
        <v/>
      </c>
      <c r="Q41" s="3">
        <f>全体!Q41-機械!Q41</f>
        <v/>
      </c>
      <c r="R41" s="56">
        <f>SUM(L41:Q41)</f>
        <v/>
      </c>
      <c r="S41" s="103">
        <f>IF(E41=0,"***",L41/E41)</f>
        <v/>
      </c>
      <c r="T41" s="104">
        <f>IF(F41=0,"***",M41/F41)</f>
        <v/>
      </c>
      <c r="U41" s="104">
        <f>IF(G41=0,"***",N41/G41)</f>
        <v/>
      </c>
      <c r="V41" s="104">
        <f>IF(H41=0,"***",O41/H41)</f>
        <v/>
      </c>
      <c r="W41" s="104">
        <f>IF(I41=0,"***",P41/I41)</f>
        <v/>
      </c>
      <c r="X41" s="104">
        <f>IF(J41=0,"***",Q41/J41)</f>
        <v/>
      </c>
      <c r="Y41" s="105">
        <f>IF(K41=0,"***",R41/K41)</f>
        <v/>
      </c>
    </row>
    <row r="42">
      <c r="C42" s="2" t="inlineStr">
        <is>
          <t>0024 集計</t>
        </is>
      </c>
      <c r="D42" s="15" t="inlineStr">
        <is>
          <t>東野</t>
        </is>
      </c>
      <c r="E42" s="2">
        <f>全体!E42-機械!E42</f>
        <v/>
      </c>
      <c r="F42" s="3">
        <f>全体!F42-機械!F42</f>
        <v/>
      </c>
      <c r="G42" s="3">
        <f>全体!G42-機械!G42</f>
        <v/>
      </c>
      <c r="H42" s="3">
        <f>全体!H42-機械!H42</f>
        <v/>
      </c>
      <c r="I42" s="3">
        <f>全体!I42-機械!I42</f>
        <v/>
      </c>
      <c r="J42" s="3">
        <f>全体!J42-機械!J42</f>
        <v/>
      </c>
      <c r="K42" s="56">
        <f>SUM(E42:J42)</f>
        <v/>
      </c>
      <c r="L42" s="2">
        <f>全体!L42-機械!L42</f>
        <v/>
      </c>
      <c r="M42" s="3">
        <f>全体!M42-機械!M42</f>
        <v/>
      </c>
      <c r="N42" s="3">
        <f>全体!N42-機械!N42</f>
        <v/>
      </c>
      <c r="O42" s="3">
        <f>全体!O42-機械!O42</f>
        <v/>
      </c>
      <c r="P42" s="3">
        <f>全体!P42-機械!P42</f>
        <v/>
      </c>
      <c r="Q42" s="3">
        <f>全体!Q42-機械!Q42</f>
        <v/>
      </c>
      <c r="R42" s="56">
        <f>SUM(L42:Q42)</f>
        <v/>
      </c>
      <c r="S42" s="103">
        <f>IF(E42=0,"***",L42/E42)</f>
        <v/>
      </c>
      <c r="T42" s="104">
        <f>IF(F42=0,"***",M42/F42)</f>
        <v/>
      </c>
      <c r="U42" s="104">
        <f>IF(G42=0,"***",N42/G42)</f>
        <v/>
      </c>
      <c r="V42" s="104">
        <f>IF(H42=0,"***",O42/H42)</f>
        <v/>
      </c>
      <c r="W42" s="104">
        <f>IF(I42=0,"***",P42/I42)</f>
        <v/>
      </c>
      <c r="X42" s="104">
        <f>IF(J42=0,"***",Q42/J42)</f>
        <v/>
      </c>
      <c r="Y42" s="105">
        <f>IF(K42=0,"***",R42/K42)</f>
        <v/>
      </c>
    </row>
    <row r="43">
      <c r="C43" s="2" t="inlineStr">
        <is>
          <t>0025 集計</t>
        </is>
      </c>
      <c r="D43" s="15" t="inlineStr">
        <is>
          <t>橋本課長</t>
        </is>
      </c>
      <c r="E43" s="2">
        <f>全体!E43-機械!E43</f>
        <v/>
      </c>
      <c r="F43" s="3">
        <f>全体!F43-機械!F43</f>
        <v/>
      </c>
      <c r="G43" s="3">
        <f>全体!G43-機械!G43</f>
        <v/>
      </c>
      <c r="H43" s="3">
        <f>全体!H43-機械!H43</f>
        <v/>
      </c>
      <c r="I43" s="3">
        <f>全体!I43-機械!I43</f>
        <v/>
      </c>
      <c r="J43" s="3">
        <f>全体!J43-機械!J43</f>
        <v/>
      </c>
      <c r="K43" s="56">
        <f>SUM(E43:J43)</f>
        <v/>
      </c>
      <c r="L43" s="2">
        <f>全体!L43-機械!L43</f>
        <v/>
      </c>
      <c r="M43" s="3">
        <f>全体!M43-機械!M43</f>
        <v/>
      </c>
      <c r="N43" s="3">
        <f>全体!N43-機械!N43</f>
        <v/>
      </c>
      <c r="O43" s="3">
        <f>全体!O43-機械!O43</f>
        <v/>
      </c>
      <c r="P43" s="3">
        <f>全体!P43-機械!P43</f>
        <v/>
      </c>
      <c r="Q43" s="3">
        <f>全体!Q43-機械!Q43</f>
        <v/>
      </c>
      <c r="R43" s="56">
        <f>SUM(L43:Q43)</f>
        <v/>
      </c>
      <c r="S43" s="103">
        <f>IF(E43=0,"***",L43/E43)</f>
        <v/>
      </c>
      <c r="T43" s="104">
        <f>IF(F43=0,"***",M43/F43)</f>
        <v/>
      </c>
      <c r="U43" s="104">
        <f>IF(G43=0,"***",N43/G43)</f>
        <v/>
      </c>
      <c r="V43" s="104">
        <f>IF(H43=0,"***",O43/H43)</f>
        <v/>
      </c>
      <c r="W43" s="104">
        <f>IF(I43=0,"***",P43/I43)</f>
        <v/>
      </c>
      <c r="X43" s="104">
        <f>IF(J43=0,"***",Q43/J43)</f>
        <v/>
      </c>
      <c r="Y43" s="105">
        <f>IF(K43=0,"***",R43/K43)</f>
        <v/>
      </c>
    </row>
    <row r="44">
      <c r="C44" s="2" t="inlineStr">
        <is>
          <t>0026 集計</t>
        </is>
      </c>
      <c r="D44" s="15" t="inlineStr">
        <is>
          <t>井上課長</t>
        </is>
      </c>
      <c r="E44" s="2">
        <f>全体!E44-機械!E44</f>
        <v/>
      </c>
      <c r="F44" s="3">
        <f>全体!F44-機械!F44</f>
        <v/>
      </c>
      <c r="G44" s="3">
        <f>全体!G44-機械!G44</f>
        <v/>
      </c>
      <c r="H44" s="3">
        <f>全体!H44-機械!H44</f>
        <v/>
      </c>
      <c r="I44" s="3">
        <f>全体!I44-機械!I44</f>
        <v/>
      </c>
      <c r="J44" s="3">
        <f>全体!J44-機械!J44</f>
        <v/>
      </c>
      <c r="K44" s="56">
        <f>SUM(E44:J44)</f>
        <v/>
      </c>
      <c r="L44" s="2">
        <f>全体!L44-機械!L44</f>
        <v/>
      </c>
      <c r="M44" s="3">
        <f>全体!M44-機械!M44</f>
        <v/>
      </c>
      <c r="N44" s="3">
        <f>全体!N44-機械!N44</f>
        <v/>
      </c>
      <c r="O44" s="3">
        <f>全体!O44-機械!O44</f>
        <v/>
      </c>
      <c r="P44" s="3">
        <f>全体!P44-機械!P44</f>
        <v/>
      </c>
      <c r="Q44" s="3">
        <f>全体!Q44-機械!Q44</f>
        <v/>
      </c>
      <c r="R44" s="56">
        <f>SUM(L44:Q44)</f>
        <v/>
      </c>
      <c r="S44" s="103">
        <f>IF(E44=0,"***",L44/E44)</f>
        <v/>
      </c>
      <c r="T44" s="104">
        <f>IF(F44=0,"***",M44/F44)</f>
        <v/>
      </c>
      <c r="U44" s="104">
        <f>IF(G44=0,"***",N44/G44)</f>
        <v/>
      </c>
      <c r="V44" s="104">
        <f>IF(H44=0,"***",O44/H44)</f>
        <v/>
      </c>
      <c r="W44" s="104">
        <f>IF(I44=0,"***",P44/I44)</f>
        <v/>
      </c>
      <c r="X44" s="104">
        <f>IF(J44=0,"***",Q44/J44)</f>
        <v/>
      </c>
      <c r="Y44" s="105">
        <f>IF(K44=0,"***",R44/K44)</f>
        <v/>
      </c>
    </row>
    <row r="45">
      <c r="C45" s="2" t="inlineStr">
        <is>
          <t>0027 集計</t>
        </is>
      </c>
      <c r="D45" s="15" t="inlineStr">
        <is>
          <t>中国</t>
        </is>
      </c>
      <c r="E45" s="2">
        <f>全体!E45-機械!E45</f>
        <v/>
      </c>
      <c r="F45" s="3">
        <f>全体!F45-機械!F45</f>
        <v/>
      </c>
      <c r="G45" s="3">
        <f>全体!G45-機械!G45</f>
        <v/>
      </c>
      <c r="H45" s="3">
        <f>全体!H45-機械!H45</f>
        <v/>
      </c>
      <c r="I45" s="3">
        <f>全体!I45-機械!I45</f>
        <v/>
      </c>
      <c r="J45" s="3">
        <f>全体!J45-機械!J45</f>
        <v/>
      </c>
      <c r="K45" s="56">
        <f>SUM(E45:J45)</f>
        <v/>
      </c>
      <c r="L45" s="62">
        <f>全体!L45-機械!L45</f>
        <v/>
      </c>
      <c r="M45" s="62">
        <f>全体!M45-機械!M45</f>
        <v/>
      </c>
      <c r="N45" s="62">
        <f>全体!N45-機械!N45</f>
        <v/>
      </c>
      <c r="O45" s="62">
        <f>全体!O45-機械!O45</f>
        <v/>
      </c>
      <c r="P45" s="62">
        <f>全体!P45-機械!P45</f>
        <v/>
      </c>
      <c r="Q45" s="62">
        <f>全体!Q45-機械!Q45</f>
        <v/>
      </c>
      <c r="R45" s="56">
        <f>SUM(L45:Q45)</f>
        <v/>
      </c>
      <c r="S45" s="103">
        <f>IF(E45=0,"***",L45/E45)</f>
        <v/>
      </c>
      <c r="T45" s="104">
        <f>IF(F45=0,"***",M45/F45)</f>
        <v/>
      </c>
      <c r="U45" s="104">
        <f>IF(G45=0,"***",N45/G45)</f>
        <v/>
      </c>
      <c r="V45" s="104">
        <f>IF(H45=0,"***",O45/H45)</f>
        <v/>
      </c>
      <c r="W45" s="104">
        <f>IF(I45=0,"***",P45/I45)</f>
        <v/>
      </c>
      <c r="X45" s="104">
        <f>IF(J45=0,"***",Q45/J45)</f>
        <v/>
      </c>
      <c r="Y45" s="105">
        <f>IF(K45=0,"***",R45/K45)</f>
        <v/>
      </c>
    </row>
    <row r="46">
      <c r="C46" s="71" t="inlineStr">
        <is>
          <t>0028 集計</t>
        </is>
      </c>
      <c r="D46" s="15" t="inlineStr">
        <is>
          <t>自治体</t>
        </is>
      </c>
      <c r="E46" s="2">
        <f>全体!E46-機械!E46</f>
        <v/>
      </c>
      <c r="F46" s="3">
        <f>全体!F46-機械!F46</f>
        <v/>
      </c>
      <c r="G46" s="3">
        <f>全体!G46-機械!G46</f>
        <v/>
      </c>
      <c r="H46" s="3">
        <f>全体!H46-機械!H46</f>
        <v/>
      </c>
      <c r="I46" s="3">
        <f>全体!I46-機械!I46</f>
        <v/>
      </c>
      <c r="J46" s="3">
        <f>全体!J46-機械!J46</f>
        <v/>
      </c>
      <c r="K46" s="56">
        <f>SUM(E46:J46)</f>
        <v/>
      </c>
      <c r="L46" s="62">
        <f>全体!L46-機械!L46</f>
        <v/>
      </c>
      <c r="M46" s="62">
        <f>全体!M46-機械!M46</f>
        <v/>
      </c>
      <c r="N46" s="62">
        <f>全体!N46-機械!N46</f>
        <v/>
      </c>
      <c r="O46" s="62">
        <f>全体!O46-機械!O46</f>
        <v/>
      </c>
      <c r="P46" s="62">
        <f>全体!P46-機械!P46</f>
        <v/>
      </c>
      <c r="Q46" s="62">
        <f>全体!Q46-機械!Q46</f>
        <v/>
      </c>
      <c r="R46" s="56">
        <f>SUM(L46:Q46)</f>
        <v/>
      </c>
      <c r="S46" s="103">
        <f>IF(E46=0,"***",L46/E46)</f>
        <v/>
      </c>
      <c r="T46" s="104">
        <f>IF(F46=0,"***",M46/F46)</f>
        <v/>
      </c>
      <c r="U46" s="104">
        <f>IF(G46=0,"***",N46/G46)</f>
        <v/>
      </c>
      <c r="V46" s="104">
        <f>IF(H46=0,"***",O46/H46)</f>
        <v/>
      </c>
      <c r="W46" s="104">
        <f>IF(I46=0,"***",P46/I46)</f>
        <v/>
      </c>
      <c r="X46" s="104">
        <f>IF(J46=0,"***",Q46/J46)</f>
        <v/>
      </c>
      <c r="Y46" s="105">
        <f>IF(K46=0,"***",R46/K46)</f>
        <v/>
      </c>
    </row>
    <row r="47">
      <c r="C47" s="2" t="inlineStr">
        <is>
          <t>0029 集計</t>
        </is>
      </c>
      <c r="D47" s="15" t="inlineStr">
        <is>
          <t>その他</t>
        </is>
      </c>
      <c r="E47" s="2">
        <f>全体!E47-機械!E47</f>
        <v/>
      </c>
      <c r="F47" s="3">
        <f>全体!F47-機械!F47</f>
        <v/>
      </c>
      <c r="G47" s="3">
        <f>全体!G47-機械!G47</f>
        <v/>
      </c>
      <c r="H47" s="3">
        <f>全体!H47-機械!H47</f>
        <v/>
      </c>
      <c r="I47" s="3">
        <f>全体!I47-機械!I47</f>
        <v/>
      </c>
      <c r="J47" s="3">
        <f>全体!J47-機械!J47</f>
        <v/>
      </c>
      <c r="K47" s="56">
        <f>SUM(E47:J47)</f>
        <v/>
      </c>
      <c r="L47" s="2">
        <f>全体!L47-機械!L47</f>
        <v/>
      </c>
      <c r="M47" s="3">
        <f>全体!M47-機械!M47</f>
        <v/>
      </c>
      <c r="N47" s="3">
        <f>全体!N47-機械!N47</f>
        <v/>
      </c>
      <c r="O47" s="3">
        <f>全体!O47-機械!O47</f>
        <v/>
      </c>
      <c r="P47" s="3">
        <f>全体!P47-機械!P47</f>
        <v/>
      </c>
      <c r="Q47" s="3">
        <f>全体!Q47-機械!Q47</f>
        <v/>
      </c>
      <c r="R47" s="56">
        <f>SUM(L47:Q47)</f>
        <v/>
      </c>
      <c r="S47" s="103">
        <f>IF(E47=0,"***",L47/E47)</f>
        <v/>
      </c>
      <c r="T47" s="104">
        <f>IF(F47=0,"***",M47/F47)</f>
        <v/>
      </c>
      <c r="U47" s="104">
        <f>IF(G47=0,"***",N47/G47)</f>
        <v/>
      </c>
      <c r="V47" s="104">
        <f>IF(H47=0,"***",O47/H47)</f>
        <v/>
      </c>
      <c r="W47" s="104">
        <f>IF(I47=0,"***",P47/I47)</f>
        <v/>
      </c>
      <c r="X47" s="104">
        <f>IF(J47=0,"***",Q47/J47)</f>
        <v/>
      </c>
      <c r="Y47" s="105">
        <f>IF(K47=0,"***",R47/K47)</f>
        <v/>
      </c>
    </row>
    <row r="48">
      <c r="C48" s="4" t="inlineStr">
        <is>
          <t>合計</t>
        </is>
      </c>
      <c r="D48" s="16" t="n"/>
      <c r="E48" s="49">
        <f>SUM(E41:E47)</f>
        <v/>
      </c>
      <c r="F48" s="6">
        <f>SUM(F41:F47)</f>
        <v/>
      </c>
      <c r="G48" s="6">
        <f>SUM(G41:G47)</f>
        <v/>
      </c>
      <c r="H48" s="6">
        <f>SUM(H41:H47)</f>
        <v/>
      </c>
      <c r="I48" s="6">
        <f>SUM(I41:I47)</f>
        <v/>
      </c>
      <c r="J48" s="6">
        <f>SUM(J41:J47)</f>
        <v/>
      </c>
      <c r="K48" s="50">
        <f>SUM(E48:J48)</f>
        <v/>
      </c>
      <c r="L48" s="49">
        <f>SUM(L41:L47)</f>
        <v/>
      </c>
      <c r="M48" s="6">
        <f>SUM(M41:M47)</f>
        <v/>
      </c>
      <c r="N48" s="6">
        <f>SUM(N41:N47)</f>
        <v/>
      </c>
      <c r="O48" s="6">
        <f>SUM(O41:O47)</f>
        <v/>
      </c>
      <c r="P48" s="6">
        <f>SUM(P41:P47)</f>
        <v/>
      </c>
      <c r="Q48" s="6">
        <f>SUM(Q41:Q47)</f>
        <v/>
      </c>
      <c r="R48" s="50">
        <f>SUM(L48:Q48)</f>
        <v/>
      </c>
      <c r="S48" s="106">
        <f>IF(E48=0,"***",L48/E48)</f>
        <v/>
      </c>
      <c r="T48" s="107">
        <f>IF(F48=0,"***",M48/F48)</f>
        <v/>
      </c>
      <c r="U48" s="107">
        <f>IF(G48=0,"***",N48/G48)</f>
        <v/>
      </c>
      <c r="V48" s="107">
        <f>IF(H48=0,"***",O48/H48)</f>
        <v/>
      </c>
      <c r="W48" s="107">
        <f>IF(I48=0,"***",P48/I48)</f>
        <v/>
      </c>
      <c r="X48" s="107">
        <f>IF(J48=0,"***",Q48/J48)</f>
        <v/>
      </c>
      <c r="Y48" s="108">
        <f>IF(K48=0,"***",R48/K48)</f>
        <v/>
      </c>
    </row>
    <row r="49" hidden="1" s="93">
      <c r="C49" s="12" t="n"/>
      <c r="E49" s="110" t="n"/>
      <c r="F49" s="110" t="n"/>
      <c r="G49" s="110" t="n"/>
      <c r="H49" s="110" t="n"/>
      <c r="I49" s="110" t="n"/>
      <c r="J49" s="110" t="n"/>
      <c r="K49" s="12" t="n"/>
      <c r="L49" s="110" t="n"/>
      <c r="M49" s="110" t="n"/>
      <c r="N49" s="110" t="n"/>
      <c r="O49" s="110" t="n"/>
      <c r="P49" s="110" t="n"/>
      <c r="Q49" s="110" t="n"/>
      <c r="R49" s="12" t="n"/>
      <c r="S49" s="109" t="n"/>
      <c r="T49" s="109" t="n"/>
      <c r="U49" s="109" t="n"/>
      <c r="V49" s="109" t="n"/>
      <c r="W49" s="109" t="n"/>
      <c r="X49" s="109" t="n"/>
      <c r="Y49" s="109" t="n"/>
    </row>
    <row r="50" hidden="1" s="93">
      <c r="C50" s="12" t="inlineStr">
        <is>
          <t>５．前期比</t>
        </is>
      </c>
    </row>
    <row r="51" hidden="1" s="93">
      <c r="C51" s="86" t="n"/>
      <c r="D51" s="85" t="n"/>
      <c r="E51" s="86" t="inlineStr">
        <is>
          <t>売上</t>
        </is>
      </c>
      <c r="F51" s="84" t="n"/>
      <c r="G51" s="84" t="n"/>
      <c r="H51" s="84" t="n"/>
      <c r="I51" s="84" t="n"/>
      <c r="J51" s="84" t="n"/>
      <c r="K51" s="85" t="n"/>
      <c r="L51" s="87" t="inlineStr">
        <is>
          <t>粗利益</t>
        </is>
      </c>
      <c r="M51" s="84" t="n"/>
      <c r="N51" s="84" t="n"/>
      <c r="O51" s="84" t="n"/>
      <c r="P51" s="84" t="n"/>
      <c r="Q51" s="84" t="n"/>
      <c r="R51" s="85" t="n"/>
      <c r="S51" s="87" t="inlineStr">
        <is>
          <t>粗利益率</t>
        </is>
      </c>
      <c r="T51" s="84" t="n"/>
      <c r="U51" s="84" t="n"/>
      <c r="V51" s="84" t="n"/>
      <c r="W51" s="84" t="n"/>
      <c r="X51" s="84" t="n"/>
      <c r="Y51" s="85" t="n"/>
    </row>
    <row r="52" hidden="1" s="93">
      <c r="C52" s="1" t="n"/>
      <c r="D52" s="14" t="n"/>
      <c r="E52" s="54" t="n">
        <v>46113</v>
      </c>
      <c r="F52" s="51" t="n">
        <v>46143</v>
      </c>
      <c r="G52" s="51" t="n">
        <v>46174</v>
      </c>
      <c r="H52" s="51" t="n">
        <v>46204</v>
      </c>
      <c r="I52" s="51" t="n">
        <v>46235</v>
      </c>
      <c r="J52" s="51" t="n">
        <v>46266</v>
      </c>
      <c r="K52" s="52" t="inlineStr">
        <is>
          <t>合計</t>
        </is>
      </c>
      <c r="L52" s="48" t="n">
        <v>46113</v>
      </c>
      <c r="M52" s="51" t="n">
        <v>46143</v>
      </c>
      <c r="N52" s="51" t="n">
        <v>46174</v>
      </c>
      <c r="O52" s="51" t="n">
        <v>46204</v>
      </c>
      <c r="P52" s="51" t="n">
        <v>46235</v>
      </c>
      <c r="Q52" s="51" t="n">
        <v>46266</v>
      </c>
      <c r="R52" s="52" t="inlineStr">
        <is>
          <t>合計</t>
        </is>
      </c>
      <c r="S52" s="48" t="n">
        <v>46113</v>
      </c>
      <c r="T52" s="51" t="n">
        <v>46143</v>
      </c>
      <c r="U52" s="51" t="n">
        <v>46174</v>
      </c>
      <c r="V52" s="51" t="n">
        <v>46204</v>
      </c>
      <c r="W52" s="51" t="n">
        <v>46235</v>
      </c>
      <c r="X52" s="51" t="n">
        <v>46266</v>
      </c>
      <c r="Y52" s="52" t="inlineStr">
        <is>
          <t>合計</t>
        </is>
      </c>
    </row>
    <row r="53" hidden="1" s="93">
      <c r="C53" s="2" t="inlineStr">
        <is>
          <t>0021 集計</t>
        </is>
      </c>
      <c r="D53" s="15" t="inlineStr">
        <is>
          <t>高橋所長</t>
        </is>
      </c>
      <c r="E53" s="2">
        <f>E41-E17</f>
        <v/>
      </c>
      <c r="F53" s="3">
        <f>F41-F17</f>
        <v/>
      </c>
      <c r="G53" s="3">
        <f>G41-G17</f>
        <v/>
      </c>
      <c r="H53" s="3">
        <f>H41-H17</f>
        <v/>
      </c>
      <c r="I53" s="3">
        <f>I41-I17</f>
        <v/>
      </c>
      <c r="J53" s="3">
        <f>J41-J17</f>
        <v/>
      </c>
      <c r="K53" s="56">
        <f>SUM(E53:J53)</f>
        <v/>
      </c>
      <c r="L53" s="2">
        <f>L41-L17</f>
        <v/>
      </c>
      <c r="M53" s="3">
        <f>M41-M17</f>
        <v/>
      </c>
      <c r="N53" s="3">
        <f>N41-N17</f>
        <v/>
      </c>
      <c r="O53" s="3">
        <f>O41-O17</f>
        <v/>
      </c>
      <c r="P53" s="3">
        <f>P41-P17</f>
        <v/>
      </c>
      <c r="Q53" s="3">
        <f>Q41-Q17</f>
        <v/>
      </c>
      <c r="R53" s="56">
        <f>SUM(L53:Q53)</f>
        <v/>
      </c>
      <c r="S53" s="103">
        <f>S41-S17</f>
        <v/>
      </c>
      <c r="T53" s="104">
        <f>T41-T17</f>
        <v/>
      </c>
      <c r="U53" s="104">
        <f>U41-U17</f>
        <v/>
      </c>
      <c r="V53" s="104">
        <f>V41-V17</f>
        <v/>
      </c>
      <c r="W53" s="104">
        <f>W41-W17</f>
        <v/>
      </c>
      <c r="X53" s="104">
        <f>X41-X17</f>
        <v/>
      </c>
      <c r="Y53" s="105">
        <f>Y41-Y17</f>
        <v/>
      </c>
    </row>
    <row r="54" hidden="1" s="93">
      <c r="C54" s="2" t="inlineStr">
        <is>
          <t>0024 集計</t>
        </is>
      </c>
      <c r="D54" s="15" t="inlineStr">
        <is>
          <t>東野</t>
        </is>
      </c>
      <c r="E54" s="2">
        <f>E42-E18</f>
        <v/>
      </c>
      <c r="F54" s="3">
        <f>F42-F18</f>
        <v/>
      </c>
      <c r="G54" s="3">
        <f>G42-G18</f>
        <v/>
      </c>
      <c r="H54" s="3">
        <f>H42-H18</f>
        <v/>
      </c>
      <c r="I54" s="3">
        <f>I42-I18</f>
        <v/>
      </c>
      <c r="J54" s="3">
        <f>J42-J18</f>
        <v/>
      </c>
      <c r="K54" s="56">
        <f>SUM(E54:J54)</f>
        <v/>
      </c>
      <c r="L54" s="2">
        <f>L42-L18</f>
        <v/>
      </c>
      <c r="M54" s="3">
        <f>M42-M18</f>
        <v/>
      </c>
      <c r="N54" s="3">
        <f>N42-N18</f>
        <v/>
      </c>
      <c r="O54" s="3">
        <f>O42-O18</f>
        <v/>
      </c>
      <c r="P54" s="3">
        <f>P42-P18</f>
        <v/>
      </c>
      <c r="Q54" s="3">
        <f>Q42-Q18</f>
        <v/>
      </c>
      <c r="R54" s="56">
        <f>SUM(L54:Q54)</f>
        <v/>
      </c>
      <c r="S54" s="103">
        <f>S42-S18</f>
        <v/>
      </c>
      <c r="T54" s="104">
        <f>T42-T18</f>
        <v/>
      </c>
      <c r="U54" s="104">
        <f>U42-U18</f>
        <v/>
      </c>
      <c r="V54" s="104">
        <f>V42-V18</f>
        <v/>
      </c>
      <c r="W54" s="104">
        <f>W42-W18</f>
        <v/>
      </c>
      <c r="X54" s="104">
        <f>X42-X18</f>
        <v/>
      </c>
      <c r="Y54" s="105">
        <f>Y42-Y18</f>
        <v/>
      </c>
    </row>
    <row r="55" hidden="1" s="93">
      <c r="C55" s="2" t="inlineStr">
        <is>
          <t>0025 集計</t>
        </is>
      </c>
      <c r="D55" s="15" t="inlineStr">
        <is>
          <t>橋本課長</t>
        </is>
      </c>
      <c r="E55" s="2">
        <f>E43-E19</f>
        <v/>
      </c>
      <c r="F55" s="3">
        <f>F43-F19</f>
        <v/>
      </c>
      <c r="G55" s="3">
        <f>G43-G19</f>
        <v/>
      </c>
      <c r="H55" s="3">
        <f>H43-H19</f>
        <v/>
      </c>
      <c r="I55" s="3">
        <f>I43-I19</f>
        <v/>
      </c>
      <c r="J55" s="3">
        <f>J43-J19</f>
        <v/>
      </c>
      <c r="K55" s="56">
        <f>SUM(E55:J55)</f>
        <v/>
      </c>
      <c r="L55" s="2">
        <f>L43-L19</f>
        <v/>
      </c>
      <c r="M55" s="3">
        <f>M43-M19</f>
        <v/>
      </c>
      <c r="N55" s="3">
        <f>N43-N19</f>
        <v/>
      </c>
      <c r="O55" s="3">
        <f>O43-O19</f>
        <v/>
      </c>
      <c r="P55" s="3">
        <f>P43-P19</f>
        <v/>
      </c>
      <c r="Q55" s="3">
        <f>Q43-Q19</f>
        <v/>
      </c>
      <c r="R55" s="56">
        <f>SUM(L55:Q55)</f>
        <v/>
      </c>
      <c r="S55" s="103">
        <f>S43-S19</f>
        <v/>
      </c>
      <c r="T55" s="104">
        <f>T43-T19</f>
        <v/>
      </c>
      <c r="U55" s="104">
        <f>U43-U19</f>
        <v/>
      </c>
      <c r="V55" s="104">
        <f>V43-V19</f>
        <v/>
      </c>
      <c r="W55" s="104">
        <f>W43-W19</f>
        <v/>
      </c>
      <c r="X55" s="104">
        <f>X43-X19</f>
        <v/>
      </c>
      <c r="Y55" s="105">
        <f>Y43-Y19</f>
        <v/>
      </c>
    </row>
    <row r="56" hidden="1" s="93">
      <c r="C56" s="2" t="inlineStr">
        <is>
          <t>0026 集計</t>
        </is>
      </c>
      <c r="D56" s="15" t="inlineStr">
        <is>
          <t>井上課長</t>
        </is>
      </c>
      <c r="E56" s="2">
        <f>E44-E20</f>
        <v/>
      </c>
      <c r="F56" s="3">
        <f>F44-F20</f>
        <v/>
      </c>
      <c r="G56" s="3">
        <f>G44-G20</f>
        <v/>
      </c>
      <c r="H56" s="3">
        <f>H44-H20</f>
        <v/>
      </c>
      <c r="I56" s="3">
        <f>I44-I20</f>
        <v/>
      </c>
      <c r="J56" s="3">
        <f>J44-J20</f>
        <v/>
      </c>
      <c r="K56" s="56">
        <f>SUM(E56:J56)</f>
        <v/>
      </c>
      <c r="L56" s="2">
        <f>L44-L20</f>
        <v/>
      </c>
      <c r="M56" s="3">
        <f>M44-M20</f>
        <v/>
      </c>
      <c r="N56" s="3">
        <f>N44-N20</f>
        <v/>
      </c>
      <c r="O56" s="3">
        <f>O44-O20</f>
        <v/>
      </c>
      <c r="P56" s="3">
        <f>P44-P20</f>
        <v/>
      </c>
      <c r="Q56" s="3">
        <f>Q44-Q20</f>
        <v/>
      </c>
      <c r="R56" s="56">
        <f>SUM(L56:Q56)</f>
        <v/>
      </c>
      <c r="S56" s="103">
        <f>S44-S20</f>
        <v/>
      </c>
      <c r="T56" s="104">
        <f>T44-T20</f>
        <v/>
      </c>
      <c r="U56" s="104">
        <f>U44-U20</f>
        <v/>
      </c>
      <c r="V56" s="104">
        <f>V44-V20</f>
        <v/>
      </c>
      <c r="W56" s="104">
        <f>W44-W20</f>
        <v/>
      </c>
      <c r="X56" s="104">
        <f>X44-X20</f>
        <v/>
      </c>
      <c r="Y56" s="105">
        <f>Y44-Y20</f>
        <v/>
      </c>
    </row>
    <row r="57" hidden="1" s="93">
      <c r="C57" s="2" t="inlineStr">
        <is>
          <t>0027 集計</t>
        </is>
      </c>
      <c r="D57" s="15" t="inlineStr">
        <is>
          <t>中国</t>
        </is>
      </c>
      <c r="E57" s="2">
        <f>E45-E21</f>
        <v/>
      </c>
      <c r="F57" s="3">
        <f>F45-F21</f>
        <v/>
      </c>
      <c r="G57" s="3">
        <f>G45-G21</f>
        <v/>
      </c>
      <c r="H57" s="3">
        <f>H45-H21</f>
        <v/>
      </c>
      <c r="I57" s="3">
        <f>I45-I21</f>
        <v/>
      </c>
      <c r="J57" s="3">
        <f>J45-J21</f>
        <v/>
      </c>
      <c r="K57" s="56">
        <f>SUM(E57:J57)</f>
        <v/>
      </c>
      <c r="L57" s="2">
        <f>L45-L21</f>
        <v/>
      </c>
      <c r="M57" s="3">
        <f>M45-M21</f>
        <v/>
      </c>
      <c r="N57" s="3">
        <f>N45-N21</f>
        <v/>
      </c>
      <c r="O57" s="3">
        <f>O45-O21</f>
        <v/>
      </c>
      <c r="P57" s="3">
        <f>P45-P21</f>
        <v/>
      </c>
      <c r="Q57" s="3">
        <f>Q45-Q21</f>
        <v/>
      </c>
      <c r="R57" s="56">
        <f>SUM(L57:Q57)</f>
        <v/>
      </c>
      <c r="S57" s="103" t="n"/>
      <c r="T57" s="104" t="n"/>
      <c r="U57" s="104" t="n"/>
      <c r="V57" s="104" t="n"/>
      <c r="W57" s="104" t="n"/>
      <c r="X57" s="104" t="n"/>
      <c r="Y57" s="105" t="n"/>
    </row>
    <row r="58" hidden="1" s="93">
      <c r="C58" s="71" t="inlineStr">
        <is>
          <t>0028 集計</t>
        </is>
      </c>
      <c r="D58" s="15" t="inlineStr">
        <is>
          <t>自治体</t>
        </is>
      </c>
      <c r="E58" s="2">
        <f>E46-E22</f>
        <v/>
      </c>
      <c r="F58" s="3">
        <f>F46-F22</f>
        <v/>
      </c>
      <c r="G58" s="3">
        <f>G46-G22</f>
        <v/>
      </c>
      <c r="H58" s="3">
        <f>H46-H22</f>
        <v/>
      </c>
      <c r="I58" s="3">
        <f>I46-I22</f>
        <v/>
      </c>
      <c r="J58" s="3">
        <f>J46-J22</f>
        <v/>
      </c>
      <c r="K58" s="56">
        <f>SUM(E58:J58)</f>
        <v/>
      </c>
      <c r="L58" s="2">
        <f>L46-L22</f>
        <v/>
      </c>
      <c r="M58" s="3">
        <f>M46-M22</f>
        <v/>
      </c>
      <c r="N58" s="3">
        <f>N46-N22</f>
        <v/>
      </c>
      <c r="O58" s="3">
        <f>O46-O22</f>
        <v/>
      </c>
      <c r="P58" s="3">
        <f>P46-P22</f>
        <v/>
      </c>
      <c r="Q58" s="3">
        <f>Q46-Q22</f>
        <v/>
      </c>
      <c r="R58" s="56">
        <f>SUM(L58:Q58)</f>
        <v/>
      </c>
      <c r="S58" s="103" t="n"/>
      <c r="T58" s="104" t="n"/>
      <c r="U58" s="104" t="n"/>
      <c r="V58" s="104" t="n"/>
      <c r="W58" s="104" t="n"/>
      <c r="X58" s="104" t="n"/>
      <c r="Y58" s="105" t="n"/>
    </row>
    <row r="59" hidden="1" s="93">
      <c r="C59" s="2" t="inlineStr">
        <is>
          <t>0029 集計</t>
        </is>
      </c>
      <c r="D59" s="15" t="inlineStr">
        <is>
          <t>その他</t>
        </is>
      </c>
      <c r="E59" s="2">
        <f>E47-E23</f>
        <v/>
      </c>
      <c r="F59" s="3">
        <f>F47-F23</f>
        <v/>
      </c>
      <c r="G59" s="3">
        <f>G47-G23</f>
        <v/>
      </c>
      <c r="H59" s="3">
        <f>H47-H23</f>
        <v/>
      </c>
      <c r="I59" s="3">
        <f>I47-I23</f>
        <v/>
      </c>
      <c r="J59" s="3">
        <f>J47-J23</f>
        <v/>
      </c>
      <c r="K59" s="56">
        <f>SUM(E59:J59)</f>
        <v/>
      </c>
      <c r="L59" s="2">
        <f>L47-L23</f>
        <v/>
      </c>
      <c r="M59" s="3">
        <f>M47-M23</f>
        <v/>
      </c>
      <c r="N59" s="3">
        <f>N47-N23</f>
        <v/>
      </c>
      <c r="O59" s="3">
        <f>O47-O23</f>
        <v/>
      </c>
      <c r="P59" s="3">
        <f>P47-P23</f>
        <v/>
      </c>
      <c r="Q59" s="3">
        <f>Q47-Q23</f>
        <v/>
      </c>
      <c r="R59" s="56">
        <f>SUM(L59:Q59)</f>
        <v/>
      </c>
      <c r="S59" s="103" t="n"/>
      <c r="T59" s="104" t="n"/>
      <c r="U59" s="104" t="n"/>
      <c r="V59" s="104" t="n"/>
      <c r="W59" s="104" t="n"/>
      <c r="X59" s="104" t="n"/>
      <c r="Y59" s="105" t="n"/>
    </row>
    <row r="60" hidden="1" s="93">
      <c r="C60" s="4" t="inlineStr">
        <is>
          <t>合計</t>
        </is>
      </c>
      <c r="D60" s="16" t="n"/>
      <c r="E60" s="49">
        <f>SUM(E53:E59)</f>
        <v/>
      </c>
      <c r="F60" s="6">
        <f>SUM(F53:F59)</f>
        <v/>
      </c>
      <c r="G60" s="6">
        <f>SUM(G53:G59)</f>
        <v/>
      </c>
      <c r="H60" s="6">
        <f>SUM(H53:H59)</f>
        <v/>
      </c>
      <c r="I60" s="6">
        <f>SUM(I53:I59)</f>
        <v/>
      </c>
      <c r="J60" s="6">
        <f>SUM(J53:J59)</f>
        <v/>
      </c>
      <c r="K60" s="50">
        <f>SUM(E60:J60)</f>
        <v/>
      </c>
      <c r="L60" s="49">
        <f>SUM(L53:L59)</f>
        <v/>
      </c>
      <c r="M60" s="6">
        <f>SUM(M53:M59)</f>
        <v/>
      </c>
      <c r="N60" s="6">
        <f>SUM(N53:N59)</f>
        <v/>
      </c>
      <c r="O60" s="6">
        <f>SUM(O53:O59)</f>
        <v/>
      </c>
      <c r="P60" s="6">
        <f>SUM(P53:P59)</f>
        <v/>
      </c>
      <c r="Q60" s="6">
        <f>SUM(Q53:Q59)</f>
        <v/>
      </c>
      <c r="R60" s="50">
        <f>SUM(L60:Q60)</f>
        <v/>
      </c>
      <c r="S60" s="106">
        <f>S48-S24</f>
        <v/>
      </c>
      <c r="T60" s="107">
        <f>T48-T24</f>
        <v/>
      </c>
      <c r="U60" s="107">
        <f>U48-U24</f>
        <v/>
      </c>
      <c r="V60" s="107">
        <f>V48-V24</f>
        <v/>
      </c>
      <c r="W60" s="107">
        <f>W48-W24</f>
        <v/>
      </c>
      <c r="X60" s="107">
        <f>X48-X24</f>
        <v/>
      </c>
      <c r="Y60" s="108">
        <f>Y48-Y24</f>
        <v/>
      </c>
    </row>
    <row r="61" hidden="1" s="93"/>
    <row r="62" hidden="1" s="93">
      <c r="C62" s="12" t="inlineStr">
        <is>
          <t>6．過年度平均比</t>
        </is>
      </c>
    </row>
    <row r="63" hidden="1" s="93">
      <c r="C63" s="86" t="n"/>
      <c r="D63" s="85" t="n"/>
      <c r="E63" s="86" t="inlineStr">
        <is>
          <t>売上</t>
        </is>
      </c>
      <c r="F63" s="84" t="n"/>
      <c r="G63" s="84" t="n"/>
      <c r="H63" s="84" t="n"/>
      <c r="I63" s="84" t="n"/>
      <c r="J63" s="84" t="n"/>
      <c r="K63" s="85" t="n"/>
      <c r="L63" s="87" t="inlineStr">
        <is>
          <t>粗利益</t>
        </is>
      </c>
      <c r="M63" s="84" t="n"/>
      <c r="N63" s="84" t="n"/>
      <c r="O63" s="84" t="n"/>
      <c r="P63" s="84" t="n"/>
      <c r="Q63" s="84" t="n"/>
      <c r="R63" s="85" t="n"/>
      <c r="S63" s="87" t="inlineStr">
        <is>
          <t>粗利益率</t>
        </is>
      </c>
      <c r="T63" s="84" t="n"/>
      <c r="U63" s="84" t="n"/>
      <c r="V63" s="84" t="n"/>
      <c r="W63" s="84" t="n"/>
      <c r="X63" s="84" t="n"/>
      <c r="Y63" s="85" t="n"/>
    </row>
    <row r="64" hidden="1" s="93">
      <c r="C64" s="1" t="n"/>
      <c r="D64" s="14" t="n"/>
      <c r="E64" s="54" t="n">
        <v>46113</v>
      </c>
      <c r="F64" s="51" t="n">
        <v>46143</v>
      </c>
      <c r="G64" s="51" t="n">
        <v>46174</v>
      </c>
      <c r="H64" s="51" t="n">
        <v>46204</v>
      </c>
      <c r="I64" s="51" t="n">
        <v>46235</v>
      </c>
      <c r="J64" s="51" t="n">
        <v>46266</v>
      </c>
      <c r="K64" s="52" t="inlineStr">
        <is>
          <t>合計</t>
        </is>
      </c>
      <c r="L64" s="48" t="n">
        <v>46113</v>
      </c>
      <c r="M64" s="51" t="n">
        <v>46143</v>
      </c>
      <c r="N64" s="51" t="n">
        <v>46174</v>
      </c>
      <c r="O64" s="51" t="n">
        <v>46204</v>
      </c>
      <c r="P64" s="51" t="n">
        <v>46235</v>
      </c>
      <c r="Q64" s="51" t="n">
        <v>46266</v>
      </c>
      <c r="R64" s="52" t="inlineStr">
        <is>
          <t>合計</t>
        </is>
      </c>
      <c r="S64" s="48" t="n">
        <v>46113</v>
      </c>
      <c r="T64" s="51" t="n">
        <v>46143</v>
      </c>
      <c r="U64" s="51" t="n">
        <v>46174</v>
      </c>
      <c r="V64" s="51" t="n">
        <v>46204</v>
      </c>
      <c r="W64" s="51" t="n">
        <v>46235</v>
      </c>
      <c r="X64" s="51" t="n">
        <v>46266</v>
      </c>
      <c r="Y64" s="52" t="inlineStr">
        <is>
          <t>合計</t>
        </is>
      </c>
    </row>
    <row r="65" hidden="1" s="93">
      <c r="C65" s="2" t="inlineStr">
        <is>
          <t>0021 集計</t>
        </is>
      </c>
      <c r="D65" s="15" t="inlineStr">
        <is>
          <t>高橋所長</t>
        </is>
      </c>
      <c r="E65" s="2">
        <f>E41-E29</f>
        <v/>
      </c>
      <c r="F65" s="3">
        <f>F41-F29</f>
        <v/>
      </c>
      <c r="G65" s="3">
        <f>G41-G29</f>
        <v/>
      </c>
      <c r="H65" s="3">
        <f>H41-H29</f>
        <v/>
      </c>
      <c r="I65" s="3">
        <f>I41-I29</f>
        <v/>
      </c>
      <c r="J65" s="3">
        <f>J41-J29</f>
        <v/>
      </c>
      <c r="K65" s="56">
        <f>SUM(E65:J65)</f>
        <v/>
      </c>
      <c r="L65" s="2">
        <f>L41-L29</f>
        <v/>
      </c>
      <c r="M65" s="3">
        <f>M41-M29</f>
        <v/>
      </c>
      <c r="N65" s="3">
        <f>N41-N29</f>
        <v/>
      </c>
      <c r="O65" s="3">
        <f>O41-O29</f>
        <v/>
      </c>
      <c r="P65" s="3">
        <f>P41-P29</f>
        <v/>
      </c>
      <c r="Q65" s="3">
        <f>Q41-Q29</f>
        <v/>
      </c>
      <c r="R65" s="56">
        <f>SUM(L65:Q65)</f>
        <v/>
      </c>
      <c r="S65" s="103">
        <f>S41-S29</f>
        <v/>
      </c>
      <c r="T65" s="104">
        <f>T41-T29</f>
        <v/>
      </c>
      <c r="U65" s="104">
        <f>U41-U29</f>
        <v/>
      </c>
      <c r="V65" s="104">
        <f>V41-V29</f>
        <v/>
      </c>
      <c r="W65" s="104">
        <f>W41-W29</f>
        <v/>
      </c>
      <c r="X65" s="104">
        <f>X41-X29</f>
        <v/>
      </c>
      <c r="Y65" s="105">
        <f>Y41-Y29</f>
        <v/>
      </c>
    </row>
    <row r="66" hidden="1" s="93">
      <c r="C66" s="2" t="inlineStr">
        <is>
          <t>0024 集計</t>
        </is>
      </c>
      <c r="D66" s="15" t="inlineStr">
        <is>
          <t>東野</t>
        </is>
      </c>
      <c r="E66" s="2">
        <f>E42-E30</f>
        <v/>
      </c>
      <c r="F66" s="3">
        <f>F42-F30</f>
        <v/>
      </c>
      <c r="G66" s="3">
        <f>G42-G30</f>
        <v/>
      </c>
      <c r="H66" s="3">
        <f>H42-H30</f>
        <v/>
      </c>
      <c r="I66" s="3">
        <f>I42-I30</f>
        <v/>
      </c>
      <c r="J66" s="3">
        <f>J42-J30</f>
        <v/>
      </c>
      <c r="K66" s="56">
        <f>SUM(E66:J66)</f>
        <v/>
      </c>
      <c r="L66" s="2">
        <f>L42-L30</f>
        <v/>
      </c>
      <c r="M66" s="3">
        <f>M42-M30</f>
        <v/>
      </c>
      <c r="N66" s="3">
        <f>N42-N30</f>
        <v/>
      </c>
      <c r="O66" s="3">
        <f>O42-O30</f>
        <v/>
      </c>
      <c r="P66" s="3">
        <f>P42-P30</f>
        <v/>
      </c>
      <c r="Q66" s="3">
        <f>Q42-Q30</f>
        <v/>
      </c>
      <c r="R66" s="56">
        <f>SUM(L66:Q66)</f>
        <v/>
      </c>
      <c r="S66" s="103">
        <f>S42-S30</f>
        <v/>
      </c>
      <c r="T66" s="104">
        <f>T42-T30</f>
        <v/>
      </c>
      <c r="U66" s="104">
        <f>U42-U30</f>
        <v/>
      </c>
      <c r="V66" s="104">
        <f>V42-V30</f>
        <v/>
      </c>
      <c r="W66" s="104">
        <f>W42-W30</f>
        <v/>
      </c>
      <c r="X66" s="104">
        <f>X42-X30</f>
        <v/>
      </c>
      <c r="Y66" s="105">
        <f>Y42-Y30</f>
        <v/>
      </c>
    </row>
    <row r="67" hidden="1" s="93">
      <c r="C67" s="2" t="inlineStr">
        <is>
          <t>0025 集計</t>
        </is>
      </c>
      <c r="D67" s="15" t="inlineStr">
        <is>
          <t>橋本課長</t>
        </is>
      </c>
      <c r="E67" s="2">
        <f>E43-E31</f>
        <v/>
      </c>
      <c r="F67" s="3">
        <f>F43-F31</f>
        <v/>
      </c>
      <c r="G67" s="3">
        <f>G43-G31</f>
        <v/>
      </c>
      <c r="H67" s="3">
        <f>H43-H31</f>
        <v/>
      </c>
      <c r="I67" s="3">
        <f>I43-I31</f>
        <v/>
      </c>
      <c r="J67" s="3">
        <f>J43-J31</f>
        <v/>
      </c>
      <c r="K67" s="56">
        <f>SUM(E67:J67)</f>
        <v/>
      </c>
      <c r="L67" s="2">
        <f>L43-L31</f>
        <v/>
      </c>
      <c r="M67" s="3">
        <f>M43-M31</f>
        <v/>
      </c>
      <c r="N67" s="3">
        <f>N43-N31</f>
        <v/>
      </c>
      <c r="O67" s="3">
        <f>O43-O31</f>
        <v/>
      </c>
      <c r="P67" s="3">
        <f>P43-P31</f>
        <v/>
      </c>
      <c r="Q67" s="3">
        <f>Q43-Q31</f>
        <v/>
      </c>
      <c r="R67" s="56">
        <f>SUM(L67:Q67)</f>
        <v/>
      </c>
      <c r="S67" s="103">
        <f>S43-S31</f>
        <v/>
      </c>
      <c r="T67" s="104">
        <f>T43-T31</f>
        <v/>
      </c>
      <c r="U67" s="104">
        <f>U43-U31</f>
        <v/>
      </c>
      <c r="V67" s="104">
        <f>V43-V31</f>
        <v/>
      </c>
      <c r="W67" s="104">
        <f>W43-W31</f>
        <v/>
      </c>
      <c r="X67" s="104">
        <f>X43-X31</f>
        <v/>
      </c>
      <c r="Y67" s="105">
        <f>Y43-Y31</f>
        <v/>
      </c>
    </row>
    <row r="68" hidden="1" s="93">
      <c r="C68" s="2" t="inlineStr">
        <is>
          <t>0026 集計</t>
        </is>
      </c>
      <c r="D68" s="15" t="inlineStr">
        <is>
          <t>井上課長</t>
        </is>
      </c>
      <c r="E68" s="2">
        <f>E44-E32</f>
        <v/>
      </c>
      <c r="F68" s="3">
        <f>F44-F32</f>
        <v/>
      </c>
      <c r="G68" s="3">
        <f>G44-G32</f>
        <v/>
      </c>
      <c r="H68" s="3">
        <f>H44-H32</f>
        <v/>
      </c>
      <c r="I68" s="3">
        <f>I44-I32</f>
        <v/>
      </c>
      <c r="J68" s="3">
        <f>J44-J32</f>
        <v/>
      </c>
      <c r="K68" s="56">
        <f>SUM(E68:J68)</f>
        <v/>
      </c>
      <c r="L68" s="2">
        <f>L44-L32</f>
        <v/>
      </c>
      <c r="M68" s="3">
        <f>M44-M32</f>
        <v/>
      </c>
      <c r="N68" s="3">
        <f>N44-N32</f>
        <v/>
      </c>
      <c r="O68" s="3">
        <f>O44-O32</f>
        <v/>
      </c>
      <c r="P68" s="3">
        <f>P44-P32</f>
        <v/>
      </c>
      <c r="Q68" s="3">
        <f>Q44-Q32</f>
        <v/>
      </c>
      <c r="R68" s="56">
        <f>SUM(L68:Q68)</f>
        <v/>
      </c>
      <c r="S68" s="103">
        <f>S44-S32</f>
        <v/>
      </c>
      <c r="T68" s="104">
        <f>T44-T32</f>
        <v/>
      </c>
      <c r="U68" s="104">
        <f>U44-U32</f>
        <v/>
      </c>
      <c r="V68" s="104">
        <f>V44-V32</f>
        <v/>
      </c>
      <c r="W68" s="104">
        <f>W44-W32</f>
        <v/>
      </c>
      <c r="X68" s="104">
        <f>X44-X32</f>
        <v/>
      </c>
      <c r="Y68" s="105">
        <f>Y44-Y32</f>
        <v/>
      </c>
    </row>
    <row r="69" hidden="1" s="93">
      <c r="C69" s="2" t="inlineStr">
        <is>
          <t>0027 集計</t>
        </is>
      </c>
      <c r="D69" s="15" t="inlineStr">
        <is>
          <t>中国</t>
        </is>
      </c>
      <c r="E69" s="2">
        <f>E45-E33</f>
        <v/>
      </c>
      <c r="F69" s="3">
        <f>F45-F33</f>
        <v/>
      </c>
      <c r="G69" s="3">
        <f>G45-G33</f>
        <v/>
      </c>
      <c r="H69" s="3">
        <f>H45-H33</f>
        <v/>
      </c>
      <c r="I69" s="3">
        <f>I45-I33</f>
        <v/>
      </c>
      <c r="J69" s="3">
        <f>J45-J33</f>
        <v/>
      </c>
      <c r="K69" s="56">
        <f>SUM(E69:J69)</f>
        <v/>
      </c>
      <c r="L69" s="2">
        <f>L45-L33</f>
        <v/>
      </c>
      <c r="M69" s="3">
        <f>M45-M33</f>
        <v/>
      </c>
      <c r="N69" s="3">
        <f>N45-N33</f>
        <v/>
      </c>
      <c r="O69" s="3">
        <f>O45-O33</f>
        <v/>
      </c>
      <c r="P69" s="3">
        <f>P45-P33</f>
        <v/>
      </c>
      <c r="Q69" s="3">
        <f>Q45-Q33</f>
        <v/>
      </c>
      <c r="R69" s="56">
        <f>SUM(L69:Q69)</f>
        <v/>
      </c>
      <c r="S69" s="103">
        <f>S45-S33</f>
        <v/>
      </c>
      <c r="T69" s="104">
        <f>T45-T33</f>
        <v/>
      </c>
      <c r="U69" s="104">
        <f>U45-U33</f>
        <v/>
      </c>
      <c r="V69" s="104">
        <f>V45-V33</f>
        <v/>
      </c>
      <c r="W69" s="104">
        <f>W45-W33</f>
        <v/>
      </c>
      <c r="X69" s="104">
        <f>X45-X33</f>
        <v/>
      </c>
      <c r="Y69" s="105">
        <f>Y45-Y33</f>
        <v/>
      </c>
    </row>
    <row r="70" hidden="1" s="93">
      <c r="C70" s="71" t="inlineStr">
        <is>
          <t>0028 集計</t>
        </is>
      </c>
      <c r="D70" s="15" t="inlineStr">
        <is>
          <t>自治体</t>
        </is>
      </c>
      <c r="E70" s="2">
        <f>E46-E34</f>
        <v/>
      </c>
      <c r="F70" s="3">
        <f>F46-F34</f>
        <v/>
      </c>
      <c r="G70" s="3">
        <f>G46-G34</f>
        <v/>
      </c>
      <c r="H70" s="3">
        <f>H46-H34</f>
        <v/>
      </c>
      <c r="I70" s="3">
        <f>I46-I34</f>
        <v/>
      </c>
      <c r="J70" s="3">
        <f>J46-J34</f>
        <v/>
      </c>
      <c r="K70" s="56">
        <f>SUM(E70:J70)</f>
        <v/>
      </c>
      <c r="L70" s="2">
        <f>L46-L34</f>
        <v/>
      </c>
      <c r="M70" s="3">
        <f>M46-M34</f>
        <v/>
      </c>
      <c r="N70" s="3">
        <f>N46-N34</f>
        <v/>
      </c>
      <c r="O70" s="3">
        <f>O46-O34</f>
        <v/>
      </c>
      <c r="P70" s="3">
        <f>P46-P34</f>
        <v/>
      </c>
      <c r="Q70" s="3">
        <f>Q46-Q34</f>
        <v/>
      </c>
      <c r="R70" s="56">
        <f>SUM(L70:Q70)</f>
        <v/>
      </c>
      <c r="S70" s="103" t="n"/>
      <c r="T70" s="104" t="n"/>
      <c r="U70" s="104" t="n"/>
      <c r="V70" s="104" t="n"/>
      <c r="W70" s="104" t="n"/>
      <c r="X70" s="104" t="n"/>
      <c r="Y70" s="105" t="n"/>
    </row>
    <row r="71" hidden="1" s="93">
      <c r="C71" s="2" t="inlineStr">
        <is>
          <t>0029 集計</t>
        </is>
      </c>
      <c r="D71" s="15" t="inlineStr">
        <is>
          <t>その他</t>
        </is>
      </c>
      <c r="E71" s="2">
        <f>E47-E35</f>
        <v/>
      </c>
      <c r="F71" s="3">
        <f>F47-F35</f>
        <v/>
      </c>
      <c r="G71" s="3">
        <f>G47-G35</f>
        <v/>
      </c>
      <c r="H71" s="3">
        <f>H47-H35</f>
        <v/>
      </c>
      <c r="I71" s="3">
        <f>I47-I35</f>
        <v/>
      </c>
      <c r="J71" s="3">
        <f>J47-J35</f>
        <v/>
      </c>
      <c r="K71" s="56">
        <f>SUM(E71:J71)</f>
        <v/>
      </c>
      <c r="L71" s="2">
        <f>L47-L35</f>
        <v/>
      </c>
      <c r="M71" s="3">
        <f>M47-M35</f>
        <v/>
      </c>
      <c r="N71" s="3">
        <f>N47-N35</f>
        <v/>
      </c>
      <c r="O71" s="3">
        <f>O47-O35</f>
        <v/>
      </c>
      <c r="P71" s="3">
        <f>P47-P35</f>
        <v/>
      </c>
      <c r="Q71" s="3">
        <f>Q47-Q35</f>
        <v/>
      </c>
      <c r="R71" s="56">
        <f>SUM(L71:Q71)</f>
        <v/>
      </c>
      <c r="S71" s="103">
        <f>S47-S35</f>
        <v/>
      </c>
      <c r="T71" s="104">
        <f>T47-T35</f>
        <v/>
      </c>
      <c r="U71" s="104">
        <f>U47-U35</f>
        <v/>
      </c>
      <c r="V71" s="104">
        <f>V47-V35</f>
        <v/>
      </c>
      <c r="W71" s="104">
        <f>W47-W35</f>
        <v/>
      </c>
      <c r="X71" s="104">
        <f>X47-X35</f>
        <v/>
      </c>
      <c r="Y71" s="105">
        <f>Y47-Y35</f>
        <v/>
      </c>
    </row>
    <row r="72" hidden="1" s="93">
      <c r="C72" s="4" t="inlineStr">
        <is>
          <t>合計</t>
        </is>
      </c>
      <c r="D72" s="16" t="n"/>
      <c r="E72" s="49">
        <f>SUM(E65:E71)</f>
        <v/>
      </c>
      <c r="F72" s="6">
        <f>SUM(F65:F71)</f>
        <v/>
      </c>
      <c r="G72" s="6">
        <f>SUM(G65:G71)</f>
        <v/>
      </c>
      <c r="H72" s="6">
        <f>SUM(H65:H71)</f>
        <v/>
      </c>
      <c r="I72" s="6">
        <f>SUM(I65:I71)</f>
        <v/>
      </c>
      <c r="J72" s="6">
        <f>SUM(J65:J71)</f>
        <v/>
      </c>
      <c r="K72" s="50">
        <f>SUM(E72:J72)</f>
        <v/>
      </c>
      <c r="L72" s="49">
        <f>SUM(L65:L71)</f>
        <v/>
      </c>
      <c r="M72" s="6">
        <f>SUM(M65:M71)</f>
        <v/>
      </c>
      <c r="N72" s="6">
        <f>SUM(N65:N71)</f>
        <v/>
      </c>
      <c r="O72" s="6">
        <f>SUM(O65:O71)</f>
        <v/>
      </c>
      <c r="P72" s="6">
        <f>SUM(P65:P71)</f>
        <v/>
      </c>
      <c r="Q72" s="6">
        <f>SUM(Q65:Q71)</f>
        <v/>
      </c>
      <c r="R72" s="50">
        <f>SUM(L72:Q72)</f>
        <v/>
      </c>
      <c r="S72" s="106">
        <f>S48-S36</f>
        <v/>
      </c>
      <c r="T72" s="107">
        <f>T48-T36</f>
        <v/>
      </c>
      <c r="U72" s="107">
        <f>U48-U36</f>
        <v/>
      </c>
      <c r="V72" s="107">
        <f>V48-V36</f>
        <v/>
      </c>
      <c r="W72" s="107">
        <f>W48-W36</f>
        <v/>
      </c>
      <c r="X72" s="107">
        <f>X48-X36</f>
        <v/>
      </c>
      <c r="Y72" s="108">
        <f>Y48-Y36</f>
        <v/>
      </c>
    </row>
    <row r="73">
      <c r="C73" s="12" t="n"/>
      <c r="E73" s="11" t="n"/>
      <c r="F73" s="11" t="n"/>
      <c r="G73" s="11" t="n"/>
      <c r="H73" s="11" t="n"/>
      <c r="I73" s="11" t="n"/>
      <c r="J73" s="11" t="n"/>
      <c r="K73" s="12" t="n"/>
      <c r="L73" s="11" t="n"/>
      <c r="M73" s="11" t="n"/>
      <c r="N73" s="11" t="n"/>
      <c r="O73" s="11" t="n"/>
      <c r="P73" s="11" t="n"/>
      <c r="Q73" s="11" t="n"/>
      <c r="R73" s="12" t="n"/>
      <c r="S73" s="109" t="n"/>
      <c r="T73" s="109" t="n"/>
      <c r="U73" s="109" t="n"/>
      <c r="V73" s="109" t="n"/>
      <c r="W73" s="109" t="n"/>
      <c r="X73" s="109" t="n"/>
      <c r="Y73" s="109" t="n"/>
    </row>
    <row r="74">
      <c r="C74" s="12" t="inlineStr">
        <is>
          <t>7．実績</t>
        </is>
      </c>
    </row>
    <row r="75">
      <c r="C75" s="86" t="n"/>
      <c r="D75" s="85" t="n"/>
      <c r="E75" s="86" t="inlineStr">
        <is>
          <t>売上</t>
        </is>
      </c>
      <c r="F75" s="84" t="n"/>
      <c r="G75" s="84" t="n"/>
      <c r="H75" s="84" t="n"/>
      <c r="I75" s="84" t="n"/>
      <c r="J75" s="84" t="n"/>
      <c r="K75" s="85" t="n"/>
      <c r="L75" s="87" t="inlineStr">
        <is>
          <t>粗利益</t>
        </is>
      </c>
      <c r="M75" s="84" t="n"/>
      <c r="N75" s="84" t="n"/>
      <c r="O75" s="84" t="n"/>
      <c r="P75" s="84" t="n"/>
      <c r="Q75" s="84" t="n"/>
      <c r="R75" s="85" t="n"/>
      <c r="S75" s="87" t="inlineStr">
        <is>
          <t>粗利益率</t>
        </is>
      </c>
      <c r="T75" s="84" t="n"/>
      <c r="U75" s="84" t="n"/>
      <c r="V75" s="84" t="n"/>
      <c r="W75" s="84" t="n"/>
      <c r="X75" s="84" t="n"/>
      <c r="Y75" s="85" t="n"/>
    </row>
    <row r="76">
      <c r="C76" s="1" t="n"/>
      <c r="D76" s="14" t="n"/>
      <c r="E76" s="54" t="n">
        <v>46113</v>
      </c>
      <c r="F76" s="51" t="n">
        <v>46143</v>
      </c>
      <c r="G76" s="51" t="n">
        <v>46174</v>
      </c>
      <c r="H76" s="51" t="n">
        <v>46204</v>
      </c>
      <c r="I76" s="51" t="n">
        <v>46235</v>
      </c>
      <c r="J76" s="51" t="n">
        <v>46266</v>
      </c>
      <c r="K76" s="52" t="inlineStr">
        <is>
          <t>合計</t>
        </is>
      </c>
      <c r="L76" s="48" t="n">
        <v>46113</v>
      </c>
      <c r="M76" s="51" t="n">
        <v>46143</v>
      </c>
      <c r="N76" s="51" t="n">
        <v>46174</v>
      </c>
      <c r="O76" s="51" t="n">
        <v>46204</v>
      </c>
      <c r="P76" s="51" t="n">
        <v>46235</v>
      </c>
      <c r="Q76" s="51" t="n">
        <v>46266</v>
      </c>
      <c r="R76" s="52" t="inlineStr">
        <is>
          <t>合計</t>
        </is>
      </c>
      <c r="S76" s="48" t="n">
        <v>46113</v>
      </c>
      <c r="T76" s="51" t="n">
        <v>46143</v>
      </c>
      <c r="U76" s="51" t="n">
        <v>46174</v>
      </c>
      <c r="V76" s="51" t="n">
        <v>46204</v>
      </c>
      <c r="W76" s="51" t="n">
        <v>46235</v>
      </c>
      <c r="X76" s="51" t="n">
        <v>46266</v>
      </c>
      <c r="Y76" s="52" t="inlineStr">
        <is>
          <t>合計</t>
        </is>
      </c>
    </row>
    <row r="77">
      <c r="C77" s="2" t="inlineStr">
        <is>
          <t>0021 集計</t>
        </is>
      </c>
      <c r="D77" s="15" t="inlineStr">
        <is>
          <t>高橋所長</t>
        </is>
      </c>
      <c r="E77" s="2">
        <f>全体!E77-機械!E77</f>
        <v/>
      </c>
      <c r="F77" s="3">
        <f>全体!F77-機械!F77</f>
        <v/>
      </c>
      <c r="G77" s="80">
        <f>全体!G77-機械!G77</f>
        <v/>
      </c>
      <c r="H77" s="3">
        <f>全体!H77-機械!H77</f>
        <v/>
      </c>
      <c r="I77" s="3">
        <f>全体!I77-機械!I77</f>
        <v/>
      </c>
      <c r="J77" s="3">
        <f>全体!J77-機械!J77</f>
        <v/>
      </c>
      <c r="K77" s="56">
        <f>SUM(E77:J77)</f>
        <v/>
      </c>
      <c r="L77" s="2">
        <f>全体!L77-機械!L77</f>
        <v/>
      </c>
      <c r="M77" s="80">
        <f>全体!M77-機械!M77</f>
        <v/>
      </c>
      <c r="N77" s="80">
        <f>全体!N77-機械!N77</f>
        <v/>
      </c>
      <c r="O77" s="3">
        <f>全体!O77-機械!O77</f>
        <v/>
      </c>
      <c r="P77" s="3">
        <f>全体!P77-機械!P77</f>
        <v/>
      </c>
      <c r="Q77" s="3">
        <f>全体!Q77-機械!Q77</f>
        <v/>
      </c>
      <c r="R77" s="56">
        <f>SUM(L77:Q77)</f>
        <v/>
      </c>
      <c r="S77" s="103">
        <f>IF(E77=0,"***",L77/E77)</f>
        <v/>
      </c>
      <c r="T77" s="104">
        <f>IF(F77=0,"***",全体!M77/F77)</f>
        <v/>
      </c>
      <c r="U77" s="104">
        <f>IF(G77=0,"***",N77/G77)</f>
        <v/>
      </c>
      <c r="V77" s="104">
        <f>IF(H77=0,"***",O77/H77)</f>
        <v/>
      </c>
      <c r="W77" s="104">
        <f>IF(I77=0,"***",P77/I77)</f>
        <v/>
      </c>
      <c r="X77" s="104">
        <f>IF(J77=0,"***",Q77/J77)</f>
        <v/>
      </c>
      <c r="Y77" s="105">
        <f>IF(K77=0,"***",R77/K77)</f>
        <v/>
      </c>
    </row>
    <row r="78">
      <c r="C78" s="2" t="inlineStr">
        <is>
          <t>0024 集計</t>
        </is>
      </c>
      <c r="D78" s="15" t="inlineStr">
        <is>
          <t>東野</t>
        </is>
      </c>
      <c r="E78" s="2">
        <f>全体!E78-機械!E78</f>
        <v/>
      </c>
      <c r="F78" s="3">
        <f>全体!F78-機械!F78</f>
        <v/>
      </c>
      <c r="G78" s="80">
        <f>全体!G78-機械!G78</f>
        <v/>
      </c>
      <c r="H78" s="3">
        <f>全体!H78-機械!H78</f>
        <v/>
      </c>
      <c r="I78" s="3">
        <f>全体!I78-機械!I78</f>
        <v/>
      </c>
      <c r="J78" s="3">
        <f>全体!J78-機械!J78</f>
        <v/>
      </c>
      <c r="K78" s="56">
        <f>SUM(E78:J78)</f>
        <v/>
      </c>
      <c r="L78" s="2">
        <f>全体!L78-機械!L78</f>
        <v/>
      </c>
      <c r="M78" s="80">
        <f>全体!M78-機械!M78</f>
        <v/>
      </c>
      <c r="N78" s="80">
        <f>全体!N78-機械!N78</f>
        <v/>
      </c>
      <c r="O78" s="3">
        <f>全体!O78-機械!O78</f>
        <v/>
      </c>
      <c r="P78" s="3">
        <f>全体!P78-機械!P78</f>
        <v/>
      </c>
      <c r="Q78" s="3">
        <f>全体!Q78-機械!Q78</f>
        <v/>
      </c>
      <c r="R78" s="56">
        <f>SUM(L78:Q78)</f>
        <v/>
      </c>
      <c r="S78" s="103">
        <f>IF(E78=0,"***",L78/E78)</f>
        <v/>
      </c>
      <c r="T78" s="104">
        <f>IF(F78=0,"***",全体!M78/F78)</f>
        <v/>
      </c>
      <c r="U78" s="104">
        <f>IF(G78=0,"***",N78/G78)</f>
        <v/>
      </c>
      <c r="V78" s="104">
        <f>IF(H78=0,"***",O78/H78)</f>
        <v/>
      </c>
      <c r="W78" s="104">
        <f>IF(I78=0,"***",P78/I78)</f>
        <v/>
      </c>
      <c r="X78" s="104">
        <f>IF(J78=0,"***",Q78/J78)</f>
        <v/>
      </c>
      <c r="Y78" s="105">
        <f>IF(K78=0,"***",R78/K78)</f>
        <v/>
      </c>
    </row>
    <row r="79">
      <c r="C79" s="2" t="inlineStr">
        <is>
          <t>0025 集計</t>
        </is>
      </c>
      <c r="D79" s="15" t="inlineStr">
        <is>
          <t>橋本課長</t>
        </is>
      </c>
      <c r="E79" s="2">
        <f>全体!E79-機械!E79</f>
        <v/>
      </c>
      <c r="F79" s="3">
        <f>全体!F79-機械!F79</f>
        <v/>
      </c>
      <c r="G79" s="80">
        <f>全体!G79-機械!G79</f>
        <v/>
      </c>
      <c r="H79" s="3">
        <f>全体!H79-機械!H79</f>
        <v/>
      </c>
      <c r="I79" s="3">
        <f>全体!I79-機械!I79</f>
        <v/>
      </c>
      <c r="J79" s="3">
        <f>全体!J79-機械!J79</f>
        <v/>
      </c>
      <c r="K79" s="56">
        <f>SUM(E79:J79)</f>
        <v/>
      </c>
      <c r="L79" s="2">
        <f>全体!L79-機械!L79</f>
        <v/>
      </c>
      <c r="M79" s="80">
        <f>全体!M79-機械!M79</f>
        <v/>
      </c>
      <c r="N79" s="80">
        <f>全体!N79-機械!N79</f>
        <v/>
      </c>
      <c r="O79" s="3">
        <f>全体!O79-機械!O79</f>
        <v/>
      </c>
      <c r="P79" s="3">
        <f>全体!P79-機械!P79</f>
        <v/>
      </c>
      <c r="Q79" s="3">
        <f>全体!Q79-機械!Q79</f>
        <v/>
      </c>
      <c r="R79" s="56">
        <f>SUM(L79:Q79)</f>
        <v/>
      </c>
      <c r="S79" s="103">
        <f>IF(E79=0,"***",L79/E79)</f>
        <v/>
      </c>
      <c r="T79" s="104">
        <f>IF(F79=0,"***",全体!M79/F79)</f>
        <v/>
      </c>
      <c r="U79" s="104">
        <f>IF(G79=0,"***",N79/G79)</f>
        <v/>
      </c>
      <c r="V79" s="104">
        <f>IF(H79=0,"***",O79/H79)</f>
        <v/>
      </c>
      <c r="W79" s="104">
        <f>IF(I79=0,"***",P79/I79)</f>
        <v/>
      </c>
      <c r="X79" s="104">
        <f>IF(J79=0,"***",Q79/J79)</f>
        <v/>
      </c>
      <c r="Y79" s="105">
        <f>IF(K79=0,"***",R79/K79)</f>
        <v/>
      </c>
    </row>
    <row r="80">
      <c r="C80" s="2" t="inlineStr">
        <is>
          <t>0026 集計</t>
        </is>
      </c>
      <c r="D80" s="15" t="inlineStr">
        <is>
          <t>井上課長</t>
        </is>
      </c>
      <c r="E80" s="2">
        <f>全体!E80-機械!E80</f>
        <v/>
      </c>
      <c r="F80" s="3">
        <f>全体!F80-機械!F80</f>
        <v/>
      </c>
      <c r="G80" s="80">
        <f>全体!G80-機械!G80</f>
        <v/>
      </c>
      <c r="H80" s="3">
        <f>全体!H80-機械!H80</f>
        <v/>
      </c>
      <c r="I80" s="3">
        <f>全体!I80-機械!I80</f>
        <v/>
      </c>
      <c r="J80" s="3">
        <f>全体!J80-機械!J80</f>
        <v/>
      </c>
      <c r="K80" s="56">
        <f>SUM(E80:J80)</f>
        <v/>
      </c>
      <c r="L80" s="2">
        <f>全体!L80-機械!L80</f>
        <v/>
      </c>
      <c r="M80" s="80">
        <f>全体!M80-機械!M80</f>
        <v/>
      </c>
      <c r="N80" s="80">
        <f>全体!N80-機械!N80</f>
        <v/>
      </c>
      <c r="O80" s="3">
        <f>全体!O80-機械!O80</f>
        <v/>
      </c>
      <c r="P80" s="3">
        <f>全体!P80-機械!P80</f>
        <v/>
      </c>
      <c r="Q80" s="3">
        <f>全体!Q80-機械!Q80</f>
        <v/>
      </c>
      <c r="R80" s="56">
        <f>SUM(L80:Q80)</f>
        <v/>
      </c>
      <c r="S80" s="103">
        <f>IF(E80=0,"***",L80/E80)</f>
        <v/>
      </c>
      <c r="T80" s="104">
        <f>IF(F80=0,"***",全体!M80/F80)</f>
        <v/>
      </c>
      <c r="U80" s="104">
        <f>IF(G80=0,"***",N80/G80)</f>
        <v/>
      </c>
      <c r="V80" s="104">
        <f>IF(H80=0,"***",O80/H80)</f>
        <v/>
      </c>
      <c r="W80" s="104">
        <f>IF(I80=0,"***",P80/I80)</f>
        <v/>
      </c>
      <c r="X80" s="104">
        <f>IF(J80=0,"***",Q80/J80)</f>
        <v/>
      </c>
      <c r="Y80" s="105">
        <f>IF(K80=0,"***",R80/K80)</f>
        <v/>
      </c>
    </row>
    <row r="81">
      <c r="C81" s="2" t="inlineStr">
        <is>
          <t>0027 集計</t>
        </is>
      </c>
      <c r="D81" s="15" t="inlineStr">
        <is>
          <t>中国</t>
        </is>
      </c>
      <c r="E81" s="82">
        <f>全体!E81-機械!E81</f>
        <v/>
      </c>
      <c r="F81" s="80">
        <f>全体!F81-機械!F81</f>
        <v/>
      </c>
      <c r="G81" s="80">
        <f>全体!G81-機械!G81</f>
        <v/>
      </c>
      <c r="H81" s="3">
        <f>全体!H81-機械!H81</f>
        <v/>
      </c>
      <c r="I81" s="3">
        <f>全体!I81-機械!I81</f>
        <v/>
      </c>
      <c r="J81" s="3">
        <f>全体!J81-機械!J81</f>
        <v/>
      </c>
      <c r="K81" s="56">
        <f>SUM(E81:J81)</f>
        <v/>
      </c>
      <c r="L81" s="82">
        <f>全体!L81-機械!L81</f>
        <v/>
      </c>
      <c r="M81" s="80">
        <f>全体!M81-機械!M81</f>
        <v/>
      </c>
      <c r="N81" s="80">
        <f>全体!N81-機械!N81</f>
        <v/>
      </c>
      <c r="O81" s="3">
        <f>全体!O81-機械!O81</f>
        <v/>
      </c>
      <c r="P81" s="3">
        <f>全体!P81-機械!P81</f>
        <v/>
      </c>
      <c r="Q81" s="3">
        <f>全体!Q81-機械!Q81</f>
        <v/>
      </c>
      <c r="R81" s="56">
        <f>SUM(L81:Q81)</f>
        <v/>
      </c>
      <c r="S81" s="103">
        <f>IF(E81=0,"***",L81/E81)</f>
        <v/>
      </c>
      <c r="T81" s="104">
        <f>IF(F81=0,"***",M81/F81)</f>
        <v/>
      </c>
      <c r="U81" s="104">
        <f>IF(G81=0,"***",N81/G81)</f>
        <v/>
      </c>
      <c r="V81" s="104">
        <f>IF(H81=0,"***",O81/H81)</f>
        <v/>
      </c>
      <c r="W81" s="104">
        <f>IF(I81=0,"***",P81/I81)</f>
        <v/>
      </c>
      <c r="X81" s="104">
        <f>IF(J81=0,"***",Q81/J81)</f>
        <v/>
      </c>
      <c r="Y81" s="105">
        <f>IF(K81=0,"***",R81/K81)</f>
        <v/>
      </c>
    </row>
    <row r="82">
      <c r="C82" s="71" t="inlineStr">
        <is>
          <t>0028 集計</t>
        </is>
      </c>
      <c r="D82" s="15" t="inlineStr">
        <is>
          <t>自治体</t>
        </is>
      </c>
      <c r="E82" s="82">
        <f>全体!E82-機械!E82</f>
        <v/>
      </c>
      <c r="F82" s="80">
        <f>全体!F82-機械!F82</f>
        <v/>
      </c>
      <c r="G82" s="80">
        <f>全体!G82-機械!G82</f>
        <v/>
      </c>
      <c r="H82" s="3">
        <f>全体!H82-機械!H82</f>
        <v/>
      </c>
      <c r="I82" s="3">
        <f>全体!I82-機械!I82</f>
        <v/>
      </c>
      <c r="J82" s="3">
        <f>全体!J82-機械!J82</f>
        <v/>
      </c>
      <c r="K82" s="63">
        <f>SUM(E82:J82)</f>
        <v/>
      </c>
      <c r="L82" s="82">
        <f>全体!L82-機械!L82</f>
        <v/>
      </c>
      <c r="M82" s="80">
        <f>全体!M82-機械!M82</f>
        <v/>
      </c>
      <c r="N82" s="80">
        <f>全体!N82-機械!N82</f>
        <v/>
      </c>
      <c r="O82" s="3">
        <f>全体!O82-機械!O82</f>
        <v/>
      </c>
      <c r="P82" s="3">
        <f>全体!P82-機械!P82</f>
        <v/>
      </c>
      <c r="Q82" s="3">
        <f>全体!Q82-機械!Q82</f>
        <v/>
      </c>
      <c r="R82" s="62">
        <f>SUM(L82:Q82)</f>
        <v/>
      </c>
      <c r="S82" s="103" t="n"/>
      <c r="T82" s="104" t="n"/>
      <c r="U82" s="104" t="n"/>
      <c r="V82" s="104" t="n"/>
      <c r="W82" s="104" t="n"/>
      <c r="X82" s="104" t="n"/>
      <c r="Y82" s="105" t="n"/>
    </row>
    <row r="83">
      <c r="C83" s="2" t="inlineStr">
        <is>
          <t>0029 集計</t>
        </is>
      </c>
      <c r="D83" s="15" t="inlineStr">
        <is>
          <t>その他</t>
        </is>
      </c>
      <c r="E83" s="82">
        <f>全体!E83-機械!E83</f>
        <v/>
      </c>
      <c r="F83" s="80">
        <f>全体!F83-機械!F83</f>
        <v/>
      </c>
      <c r="G83" s="80">
        <f>全体!G83-機械!G83</f>
        <v/>
      </c>
      <c r="H83" s="3">
        <f>全体!H83-機械!H83</f>
        <v/>
      </c>
      <c r="I83" s="3">
        <f>全体!I83-機械!I83</f>
        <v/>
      </c>
      <c r="J83" s="3">
        <f>全体!J83-機械!J83</f>
        <v/>
      </c>
      <c r="K83" s="56">
        <f>SUM(E83:J83)</f>
        <v/>
      </c>
      <c r="L83" s="82">
        <f>全体!L83-機械!L83</f>
        <v/>
      </c>
      <c r="M83" s="80">
        <f>全体!M83-機械!M83</f>
        <v/>
      </c>
      <c r="N83" s="80">
        <f>全体!N83-機械!N83</f>
        <v/>
      </c>
      <c r="O83" s="3">
        <f>全体!O83-機械!O83</f>
        <v/>
      </c>
      <c r="P83" s="3">
        <f>全体!P83-機械!P83</f>
        <v/>
      </c>
      <c r="Q83" s="3">
        <f>全体!Q83-機械!Q83</f>
        <v/>
      </c>
      <c r="R83" s="56">
        <f>SUM(L83:Q83)</f>
        <v/>
      </c>
      <c r="S83" s="103">
        <f>IF(E83=0,"***",L83/E83)</f>
        <v/>
      </c>
      <c r="T83" s="104">
        <f>IF(F83=0,"***",M83/F83)</f>
        <v/>
      </c>
      <c r="U83" s="104">
        <f>IF(G83=0,"***",N83/G83)</f>
        <v/>
      </c>
      <c r="V83" s="104">
        <f>IF(H83=0,"***",O83/H83)</f>
        <v/>
      </c>
      <c r="W83" s="104">
        <f>IF(I83=0,"***",P83/I83)</f>
        <v/>
      </c>
      <c r="X83" s="104">
        <f>IF(J83=0,"***",Q83/J83)</f>
        <v/>
      </c>
      <c r="Y83" s="105">
        <f>IF(K83=0,"***",R83/K83)</f>
        <v/>
      </c>
    </row>
    <row r="84">
      <c r="C84" s="4" t="inlineStr">
        <is>
          <t>合計</t>
        </is>
      </c>
      <c r="D84" s="16" t="n"/>
      <c r="E84" s="49">
        <f>SUM(E77:E83)</f>
        <v/>
      </c>
      <c r="F84" s="6">
        <f>SUM(F77:F83)</f>
        <v/>
      </c>
      <c r="G84" s="6">
        <f>SUM(G77:G83)</f>
        <v/>
      </c>
      <c r="H84" s="6">
        <f>SUM(H77:H83)</f>
        <v/>
      </c>
      <c r="I84" s="6">
        <f>SUM(I77:I83)</f>
        <v/>
      </c>
      <c r="J84" s="6">
        <f>SUM(J77:J83)</f>
        <v/>
      </c>
      <c r="K84" s="50">
        <f>SUM(E84:J84)</f>
        <v/>
      </c>
      <c r="L84" s="49">
        <f>SUM(L77:L83)</f>
        <v/>
      </c>
      <c r="M84" s="6">
        <f>SUM(M77:M83)</f>
        <v/>
      </c>
      <c r="N84" s="6">
        <f>SUM(N77:N83)</f>
        <v/>
      </c>
      <c r="O84" s="6">
        <f>SUM(O77:O83)</f>
        <v/>
      </c>
      <c r="P84" s="6">
        <f>SUM(P77:P83)</f>
        <v/>
      </c>
      <c r="Q84" s="6">
        <f>SUM(Q77:Q83)</f>
        <v/>
      </c>
      <c r="R84" s="50">
        <f>SUM(L84:Q84)</f>
        <v/>
      </c>
      <c r="S84" s="106">
        <f>IF(E84=0,"***",L84/E84)</f>
        <v/>
      </c>
      <c r="T84" s="107">
        <f>IF(F84=0,"***",M84/F84)</f>
        <v/>
      </c>
      <c r="U84" s="107">
        <f>IF(G84=0,"***",N84/G84)</f>
        <v/>
      </c>
      <c r="V84" s="107">
        <f>IF(H84=0,"***",O84/H84)</f>
        <v/>
      </c>
      <c r="W84" s="107">
        <f>IF(I84=0,"***",P84/I84)</f>
        <v/>
      </c>
      <c r="X84" s="107">
        <f>IF(J84=0,"***",Q84/J84)</f>
        <v/>
      </c>
      <c r="Y84" s="108">
        <f>IF(K84=0,"***",R84/K84)</f>
        <v/>
      </c>
    </row>
    <row r="85">
      <c r="C85" s="12" t="n"/>
      <c r="E85" s="11" t="n"/>
      <c r="F85" s="11" t="n"/>
      <c r="G85" s="11" t="n"/>
      <c r="H85" s="11" t="n"/>
      <c r="I85" s="11" t="n"/>
      <c r="J85" s="11" t="n"/>
      <c r="K85" s="12" t="n"/>
      <c r="L85" s="11" t="n"/>
      <c r="M85" s="11" t="n"/>
      <c r="N85" s="11" t="n"/>
      <c r="O85" s="11" t="n"/>
      <c r="P85" s="11" t="n"/>
      <c r="Q85" s="11" t="n"/>
      <c r="R85" s="12" t="n"/>
      <c r="S85" s="109" t="n"/>
      <c r="T85" s="109" t="n"/>
      <c r="U85" s="109" t="n"/>
      <c r="V85" s="109" t="n"/>
      <c r="W85" s="109" t="n"/>
      <c r="X85" s="109" t="n"/>
      <c r="Y85" s="109" t="n"/>
    </row>
    <row r="86">
      <c r="C86" s="12" t="inlineStr">
        <is>
          <t>８．計画比</t>
        </is>
      </c>
    </row>
    <row r="87">
      <c r="C87" s="86" t="n"/>
      <c r="D87" s="85" t="n"/>
      <c r="E87" s="86" t="inlineStr">
        <is>
          <t>売上</t>
        </is>
      </c>
      <c r="F87" s="84" t="n"/>
      <c r="G87" s="84" t="n"/>
      <c r="H87" s="84" t="n"/>
      <c r="I87" s="84" t="n"/>
      <c r="J87" s="84" t="n"/>
      <c r="K87" s="85" t="n"/>
      <c r="L87" s="87" t="inlineStr">
        <is>
          <t>粗利益</t>
        </is>
      </c>
      <c r="M87" s="84" t="n"/>
      <c r="N87" s="84" t="n"/>
      <c r="O87" s="84" t="n"/>
      <c r="P87" s="84" t="n"/>
      <c r="Q87" s="84" t="n"/>
      <c r="R87" s="85" t="n"/>
      <c r="S87" s="87" t="inlineStr">
        <is>
          <t>粗利益率</t>
        </is>
      </c>
      <c r="T87" s="84" t="n"/>
      <c r="U87" s="84" t="n"/>
      <c r="V87" s="84" t="n"/>
      <c r="W87" s="84" t="n"/>
      <c r="X87" s="84" t="n"/>
      <c r="Y87" s="85" t="n"/>
    </row>
    <row r="88">
      <c r="C88" s="1" t="n"/>
      <c r="D88" s="14" t="n"/>
      <c r="E88" s="54" t="n">
        <v>46113</v>
      </c>
      <c r="F88" s="51" t="n">
        <v>46143</v>
      </c>
      <c r="G88" s="51" t="n">
        <v>46174</v>
      </c>
      <c r="H88" s="51" t="n">
        <v>46204</v>
      </c>
      <c r="I88" s="51" t="n">
        <v>46235</v>
      </c>
      <c r="J88" s="51" t="n">
        <v>46266</v>
      </c>
      <c r="K88" s="52" t="inlineStr">
        <is>
          <t>合計</t>
        </is>
      </c>
      <c r="L88" s="48" t="n">
        <v>46113</v>
      </c>
      <c r="M88" s="51" t="n">
        <v>46143</v>
      </c>
      <c r="N88" s="51" t="n">
        <v>46174</v>
      </c>
      <c r="O88" s="51" t="n">
        <v>46204</v>
      </c>
      <c r="P88" s="51" t="n">
        <v>46235</v>
      </c>
      <c r="Q88" s="51" t="n">
        <v>46266</v>
      </c>
      <c r="R88" s="52" t="inlineStr">
        <is>
          <t>合計</t>
        </is>
      </c>
      <c r="S88" s="48" t="n">
        <v>46113</v>
      </c>
      <c r="T88" s="51" t="n">
        <v>46143</v>
      </c>
      <c r="U88" s="51" t="n">
        <v>46174</v>
      </c>
      <c r="V88" s="51" t="n">
        <v>46204</v>
      </c>
      <c r="W88" s="51" t="n">
        <v>46235</v>
      </c>
      <c r="X88" s="51" t="n">
        <v>46266</v>
      </c>
      <c r="Y88" s="52" t="inlineStr">
        <is>
          <t>合計</t>
        </is>
      </c>
    </row>
    <row r="89">
      <c r="C89" s="2" t="inlineStr">
        <is>
          <t>0021 集計</t>
        </is>
      </c>
      <c r="D89" s="15" t="inlineStr">
        <is>
          <t>高橋所長</t>
        </is>
      </c>
      <c r="E89" s="2">
        <f>E77-E41</f>
        <v/>
      </c>
      <c r="F89" s="3">
        <f>F77-F41</f>
        <v/>
      </c>
      <c r="G89" s="80">
        <f>G77-G41</f>
        <v/>
      </c>
      <c r="H89" s="3">
        <f>H77-H41</f>
        <v/>
      </c>
      <c r="I89" s="3">
        <f>I77-I41</f>
        <v/>
      </c>
      <c r="J89" s="3">
        <f>J77-J41</f>
        <v/>
      </c>
      <c r="K89" s="56">
        <f>SUM(E89:J89)</f>
        <v/>
      </c>
      <c r="L89" s="62">
        <f>L77-L41</f>
        <v/>
      </c>
      <c r="M89" s="62">
        <f>M77-M41</f>
        <v/>
      </c>
      <c r="N89" s="81">
        <f>N77-N41</f>
        <v/>
      </c>
      <c r="O89" s="62">
        <f>O77-O41</f>
        <v/>
      </c>
      <c r="P89" s="62">
        <f>P77-P41</f>
        <v/>
      </c>
      <c r="Q89" s="62">
        <f>Q77-Q41</f>
        <v/>
      </c>
      <c r="R89" s="56">
        <f>SUM(L89:Q89)</f>
        <v/>
      </c>
      <c r="S89" s="103">
        <f>S77-S41</f>
        <v/>
      </c>
      <c r="T89" s="104">
        <f>T77-T41</f>
        <v/>
      </c>
      <c r="U89" s="104">
        <f>U77-U41</f>
        <v/>
      </c>
      <c r="V89" s="104">
        <f>V77-V41</f>
        <v/>
      </c>
      <c r="W89" s="104">
        <f>W77-W41</f>
        <v/>
      </c>
      <c r="X89" s="104">
        <f>X77-X41</f>
        <v/>
      </c>
      <c r="Y89" s="105">
        <f>Y77-Y41</f>
        <v/>
      </c>
    </row>
    <row r="90">
      <c r="C90" s="2" t="inlineStr">
        <is>
          <t>0024 集計</t>
        </is>
      </c>
      <c r="D90" s="15" t="inlineStr">
        <is>
          <t>東野</t>
        </is>
      </c>
      <c r="E90" s="2">
        <f>E78-E42</f>
        <v/>
      </c>
      <c r="F90" s="3">
        <f>F78-F42</f>
        <v/>
      </c>
      <c r="G90" s="80">
        <f>G78-G42</f>
        <v/>
      </c>
      <c r="H90" s="3">
        <f>H78-H42</f>
        <v/>
      </c>
      <c r="I90" s="3">
        <f>I78-I42</f>
        <v/>
      </c>
      <c r="J90" s="3">
        <f>J78-J42</f>
        <v/>
      </c>
      <c r="K90" s="56">
        <f>SUM(E90:J90)</f>
        <v/>
      </c>
      <c r="L90" s="62">
        <f>L78-L42</f>
        <v/>
      </c>
      <c r="M90" s="62">
        <f>M78-M42</f>
        <v/>
      </c>
      <c r="N90" s="81">
        <f>N78-N42</f>
        <v/>
      </c>
      <c r="O90" s="62">
        <f>O78-O42</f>
        <v/>
      </c>
      <c r="P90" s="62">
        <f>P78-P42</f>
        <v/>
      </c>
      <c r="Q90" s="62">
        <f>Q78-Q42</f>
        <v/>
      </c>
      <c r="R90" s="56">
        <f>SUM(L90:Q90)</f>
        <v/>
      </c>
      <c r="S90" s="103">
        <f>S78-S42</f>
        <v/>
      </c>
      <c r="T90" s="104">
        <f>T78-T42</f>
        <v/>
      </c>
      <c r="U90" s="104">
        <f>U78-U42</f>
        <v/>
      </c>
      <c r="V90" s="104">
        <f>V78-V42</f>
        <v/>
      </c>
      <c r="W90" s="104">
        <f>W78-W42</f>
        <v/>
      </c>
      <c r="X90" s="104">
        <f>X78-X42</f>
        <v/>
      </c>
      <c r="Y90" s="105">
        <f>Y78-Y42</f>
        <v/>
      </c>
    </row>
    <row r="91">
      <c r="C91" s="2" t="inlineStr">
        <is>
          <t>0025 集計</t>
        </is>
      </c>
      <c r="D91" s="15" t="inlineStr">
        <is>
          <t>橋本課長</t>
        </is>
      </c>
      <c r="E91" s="2">
        <f>E79-E43</f>
        <v/>
      </c>
      <c r="F91" s="3">
        <f>F79-F43</f>
        <v/>
      </c>
      <c r="G91" s="80">
        <f>G79-G43</f>
        <v/>
      </c>
      <c r="H91" s="3">
        <f>H79-H43</f>
        <v/>
      </c>
      <c r="I91" s="3">
        <f>I79-I43</f>
        <v/>
      </c>
      <c r="J91" s="3">
        <f>J79-J43</f>
        <v/>
      </c>
      <c r="K91" s="56">
        <f>SUM(E91:J91)</f>
        <v/>
      </c>
      <c r="L91" s="62">
        <f>L79-L43</f>
        <v/>
      </c>
      <c r="M91" s="62">
        <f>M79-M43</f>
        <v/>
      </c>
      <c r="N91" s="81">
        <f>N79-N43</f>
        <v/>
      </c>
      <c r="O91" s="62">
        <f>O79-O43</f>
        <v/>
      </c>
      <c r="P91" s="62">
        <f>P79-P43</f>
        <v/>
      </c>
      <c r="Q91" s="62">
        <f>Q79-Q43</f>
        <v/>
      </c>
      <c r="R91" s="56">
        <f>SUM(L91:Q91)</f>
        <v/>
      </c>
      <c r="S91" s="103">
        <f>S79-S43</f>
        <v/>
      </c>
      <c r="T91" s="104">
        <f>T79-T43</f>
        <v/>
      </c>
      <c r="U91" s="104">
        <f>U79-U43</f>
        <v/>
      </c>
      <c r="V91" s="104">
        <f>V79-V43</f>
        <v/>
      </c>
      <c r="W91" s="104">
        <f>W79-W43</f>
        <v/>
      </c>
      <c r="X91" s="104">
        <f>X79-X43</f>
        <v/>
      </c>
      <c r="Y91" s="105">
        <f>Y79-Y43</f>
        <v/>
      </c>
    </row>
    <row r="92">
      <c r="C92" s="2" t="inlineStr">
        <is>
          <t>0026 集計</t>
        </is>
      </c>
      <c r="D92" s="15" t="inlineStr">
        <is>
          <t>井上課長</t>
        </is>
      </c>
      <c r="E92" s="2">
        <f>E80-E44</f>
        <v/>
      </c>
      <c r="F92" s="3">
        <f>F80-F44</f>
        <v/>
      </c>
      <c r="G92" s="80">
        <f>G80-G44</f>
        <v/>
      </c>
      <c r="H92" s="3">
        <f>H80-H44</f>
        <v/>
      </c>
      <c r="I92" s="3">
        <f>I80-I44</f>
        <v/>
      </c>
      <c r="J92" s="3">
        <f>J80-J44</f>
        <v/>
      </c>
      <c r="K92" s="56">
        <f>SUM(E92:J92)</f>
        <v/>
      </c>
      <c r="L92" s="62">
        <f>L80-L44</f>
        <v/>
      </c>
      <c r="M92" s="62">
        <f>M80-M44</f>
        <v/>
      </c>
      <c r="N92" s="81">
        <f>N80-N44</f>
        <v/>
      </c>
      <c r="O92" s="62">
        <f>O80-O44</f>
        <v/>
      </c>
      <c r="P92" s="62">
        <f>P80-P44</f>
        <v/>
      </c>
      <c r="Q92" s="62">
        <f>Q80-Q44</f>
        <v/>
      </c>
      <c r="R92" s="56">
        <f>SUM(L92:Q92)</f>
        <v/>
      </c>
      <c r="S92" s="103">
        <f>S80-S44</f>
        <v/>
      </c>
      <c r="T92" s="104">
        <f>T80-T44</f>
        <v/>
      </c>
      <c r="U92" s="104">
        <f>U80-U44</f>
        <v/>
      </c>
      <c r="V92" s="104">
        <f>V80-V44</f>
        <v/>
      </c>
      <c r="W92" s="104">
        <f>W80-W44</f>
        <v/>
      </c>
      <c r="X92" s="104">
        <f>X80-X44</f>
        <v/>
      </c>
      <c r="Y92" s="105">
        <f>Y80-Y44</f>
        <v/>
      </c>
    </row>
    <row r="93">
      <c r="C93" s="2" t="inlineStr">
        <is>
          <t>0027 集計</t>
        </is>
      </c>
      <c r="D93" s="15" t="inlineStr">
        <is>
          <t>中国</t>
        </is>
      </c>
      <c r="E93" s="69">
        <f>E81-E45</f>
        <v/>
      </c>
      <c r="F93" s="3">
        <f>F81-F45</f>
        <v/>
      </c>
      <c r="G93" s="80">
        <f>G81-G45</f>
        <v/>
      </c>
      <c r="H93" s="3">
        <f>H81-H45</f>
        <v/>
      </c>
      <c r="I93" s="3">
        <f>I81-I45</f>
        <v/>
      </c>
      <c r="J93" s="3">
        <f>J81-J45</f>
        <v/>
      </c>
      <c r="K93" s="56">
        <f>SUM(E93:J93)</f>
        <v/>
      </c>
      <c r="L93" s="62">
        <f>L81-L45</f>
        <v/>
      </c>
      <c r="M93" s="62">
        <f>M81-M45</f>
        <v/>
      </c>
      <c r="N93" s="81">
        <f>N81-N45</f>
        <v/>
      </c>
      <c r="O93" s="62">
        <f>O81-O45</f>
        <v/>
      </c>
      <c r="P93" s="62">
        <f>P81-P45</f>
        <v/>
      </c>
      <c r="Q93" s="62">
        <f>Q81-Q45</f>
        <v/>
      </c>
      <c r="R93" s="56">
        <f>SUM(L93:Q93)</f>
        <v/>
      </c>
      <c r="S93" s="103">
        <f>S81-S45</f>
        <v/>
      </c>
      <c r="T93" s="104">
        <f>T81-T45</f>
        <v/>
      </c>
      <c r="U93" s="104">
        <f>U81-U45</f>
        <v/>
      </c>
      <c r="V93" s="104">
        <f>V81-V45</f>
        <v/>
      </c>
      <c r="W93" s="104">
        <f>W81-W45</f>
        <v/>
      </c>
      <c r="X93" s="104">
        <f>X81-X45</f>
        <v/>
      </c>
      <c r="Y93" s="105">
        <f>Y81-Y45</f>
        <v/>
      </c>
    </row>
    <row r="94">
      <c r="C94" s="71" t="inlineStr">
        <is>
          <t>0028 集計</t>
        </is>
      </c>
      <c r="D94" s="15" t="inlineStr">
        <is>
          <t>自治体</t>
        </is>
      </c>
      <c r="E94" s="69">
        <f>E82-E46</f>
        <v/>
      </c>
      <c r="F94" s="3">
        <f>F82-F46</f>
        <v/>
      </c>
      <c r="G94" s="80">
        <f>G82-G46</f>
        <v/>
      </c>
      <c r="H94" s="3">
        <f>H82-H46</f>
        <v/>
      </c>
      <c r="I94" s="3">
        <f>I82-I46</f>
        <v/>
      </c>
      <c r="J94" s="3">
        <f>J82-J46</f>
        <v/>
      </c>
      <c r="K94" s="56">
        <f>SUM(E94:J94)</f>
        <v/>
      </c>
      <c r="L94" s="62">
        <f>L82-L46</f>
        <v/>
      </c>
      <c r="M94" s="62">
        <f>M82-M46</f>
        <v/>
      </c>
      <c r="N94" s="81">
        <f>N82-N46</f>
        <v/>
      </c>
      <c r="O94" s="62">
        <f>O82-O46</f>
        <v/>
      </c>
      <c r="P94" s="62">
        <f>P82-P46</f>
        <v/>
      </c>
      <c r="Q94" s="62">
        <f>Q82-Q46</f>
        <v/>
      </c>
      <c r="R94" s="56">
        <f>SUM(L94:Q94)</f>
        <v/>
      </c>
      <c r="S94" s="103" t="n"/>
      <c r="T94" s="104" t="n"/>
      <c r="U94" s="104" t="n"/>
      <c r="V94" s="104" t="n"/>
      <c r="W94" s="104" t="n"/>
      <c r="X94" s="104" t="n"/>
      <c r="Y94" s="105" t="n"/>
    </row>
    <row r="95">
      <c r="C95" s="2" t="inlineStr">
        <is>
          <t>0029 集計</t>
        </is>
      </c>
      <c r="D95" s="15" t="inlineStr">
        <is>
          <t>その他</t>
        </is>
      </c>
      <c r="E95" s="2">
        <f>E83-E47</f>
        <v/>
      </c>
      <c r="F95" s="3">
        <f>F83-F47</f>
        <v/>
      </c>
      <c r="G95" s="80">
        <f>G83-G47</f>
        <v/>
      </c>
      <c r="H95" s="3">
        <f>H83-H47</f>
        <v/>
      </c>
      <c r="I95" s="3">
        <f>I83-I47</f>
        <v/>
      </c>
      <c r="J95" s="3">
        <f>J83-J47</f>
        <v/>
      </c>
      <c r="K95" s="56">
        <f>SUM(E95:J95)</f>
        <v/>
      </c>
      <c r="L95" s="2">
        <f>L83-L47</f>
        <v/>
      </c>
      <c r="M95" s="3">
        <f>M83-M47</f>
        <v/>
      </c>
      <c r="N95" s="3">
        <f>N83-N47</f>
        <v/>
      </c>
      <c r="O95" s="3">
        <f>O83-O47</f>
        <v/>
      </c>
      <c r="P95" s="3">
        <f>P83-P47</f>
        <v/>
      </c>
      <c r="Q95" s="3">
        <f>Q83-Q47</f>
        <v/>
      </c>
      <c r="R95" s="56">
        <f>SUM(L95:Q95)</f>
        <v/>
      </c>
      <c r="S95" s="103">
        <f>S83-S47</f>
        <v/>
      </c>
      <c r="T95" s="104">
        <f>T83-T47</f>
        <v/>
      </c>
      <c r="U95" s="104">
        <f>U83-U47</f>
        <v/>
      </c>
      <c r="V95" s="104">
        <f>V83-V47</f>
        <v/>
      </c>
      <c r="W95" s="104">
        <f>W83-W47</f>
        <v/>
      </c>
      <c r="X95" s="104">
        <f>X83-X47</f>
        <v/>
      </c>
      <c r="Y95" s="105">
        <f>Y83-Y47</f>
        <v/>
      </c>
    </row>
    <row r="96">
      <c r="C96" s="4" t="inlineStr">
        <is>
          <t>合計</t>
        </is>
      </c>
      <c r="D96" s="16" t="n"/>
      <c r="E96" s="49">
        <f>SUM(E89:E95)</f>
        <v/>
      </c>
      <c r="F96" s="6">
        <f>SUM(F89:F95)</f>
        <v/>
      </c>
      <c r="G96" s="6">
        <f>SUM(G89:G95)</f>
        <v/>
      </c>
      <c r="H96" s="6">
        <f>SUM(H89:H95)</f>
        <v/>
      </c>
      <c r="I96" s="6">
        <f>SUM(I89:I95)</f>
        <v/>
      </c>
      <c r="J96" s="6">
        <f>SUM(J89:J95)</f>
        <v/>
      </c>
      <c r="K96" s="50">
        <f>SUM(E96:J96)</f>
        <v/>
      </c>
      <c r="L96" s="49">
        <f>SUM(L89:L95)</f>
        <v/>
      </c>
      <c r="M96" s="6">
        <f>SUM(M89:M95)</f>
        <v/>
      </c>
      <c r="N96" s="6">
        <f>SUM(N89:N95)</f>
        <v/>
      </c>
      <c r="O96" s="6">
        <f>SUM(O89:O95)</f>
        <v/>
      </c>
      <c r="P96" s="6">
        <f>SUM(P89:P95)</f>
        <v/>
      </c>
      <c r="Q96" s="6">
        <f>SUM(Q89:Q95)</f>
        <v/>
      </c>
      <c r="R96" s="50">
        <f>SUM(L96:Q96)</f>
        <v/>
      </c>
      <c r="S96" s="106">
        <f>S84-S48</f>
        <v/>
      </c>
      <c r="T96" s="107">
        <f>T84-T48</f>
        <v/>
      </c>
      <c r="U96" s="107">
        <f>U84-U48</f>
        <v/>
      </c>
      <c r="V96" s="107">
        <f>V84-V48</f>
        <v/>
      </c>
      <c r="W96" s="107">
        <f>W84-W48</f>
        <v/>
      </c>
      <c r="X96" s="107">
        <f>X84-X48</f>
        <v/>
      </c>
      <c r="Y96" s="108">
        <f>Y84-Y48</f>
        <v/>
      </c>
    </row>
    <row r="97">
      <c r="C97" s="12" t="n"/>
      <c r="E97" s="11" t="n"/>
      <c r="F97" s="11" t="n"/>
      <c r="G97" s="11" t="n"/>
      <c r="H97" s="11" t="n"/>
      <c r="I97" s="11" t="n"/>
      <c r="J97" s="11" t="n"/>
      <c r="K97" s="12" t="n"/>
      <c r="L97" s="11" t="n"/>
      <c r="M97" s="11" t="n"/>
      <c r="N97" s="11" t="n"/>
      <c r="O97" s="11" t="n"/>
      <c r="P97" s="11" t="n"/>
      <c r="Q97" s="11" t="n"/>
      <c r="R97" s="12" t="n"/>
      <c r="S97" s="109" t="n"/>
      <c r="T97" s="109" t="n"/>
      <c r="U97" s="109" t="n"/>
      <c r="V97" s="109" t="n"/>
      <c r="W97" s="109" t="n"/>
      <c r="X97" s="109" t="n"/>
      <c r="Y97" s="109" t="n"/>
    </row>
    <row r="98">
      <c r="C98" s="12" t="inlineStr">
        <is>
          <t>9．前期比</t>
        </is>
      </c>
    </row>
    <row r="99">
      <c r="C99" s="86" t="n"/>
      <c r="D99" s="85" t="n"/>
      <c r="E99" s="86" t="inlineStr">
        <is>
          <t>売上</t>
        </is>
      </c>
      <c r="F99" s="84" t="n"/>
      <c r="G99" s="84" t="n"/>
      <c r="H99" s="84" t="n"/>
      <c r="I99" s="84" t="n"/>
      <c r="J99" s="84" t="n"/>
      <c r="K99" s="85" t="n"/>
      <c r="L99" s="87" t="inlineStr">
        <is>
          <t>粗利益</t>
        </is>
      </c>
      <c r="M99" s="84" t="n"/>
      <c r="N99" s="84" t="n"/>
      <c r="O99" s="84" t="n"/>
      <c r="P99" s="84" t="n"/>
      <c r="Q99" s="84" t="n"/>
      <c r="R99" s="85" t="n"/>
      <c r="S99" s="87" t="inlineStr">
        <is>
          <t>粗利益率</t>
        </is>
      </c>
      <c r="T99" s="84" t="n"/>
      <c r="U99" s="84" t="n"/>
      <c r="V99" s="84" t="n"/>
      <c r="W99" s="84" t="n"/>
      <c r="X99" s="84" t="n"/>
      <c r="Y99" s="85" t="n"/>
    </row>
    <row r="100">
      <c r="C100" s="1" t="n"/>
      <c r="D100" s="14" t="n"/>
      <c r="E100" s="54" t="n">
        <v>46113</v>
      </c>
      <c r="F100" s="51" t="n">
        <v>46143</v>
      </c>
      <c r="G100" s="51" t="n">
        <v>46174</v>
      </c>
      <c r="H100" s="51" t="n">
        <v>46204</v>
      </c>
      <c r="I100" s="51" t="n">
        <v>46235</v>
      </c>
      <c r="J100" s="51" t="n">
        <v>46266</v>
      </c>
      <c r="K100" s="52" t="inlineStr">
        <is>
          <t>合計</t>
        </is>
      </c>
      <c r="L100" s="48" t="n">
        <v>46113</v>
      </c>
      <c r="M100" s="51" t="n">
        <v>46143</v>
      </c>
      <c r="N100" s="51" t="n">
        <v>46174</v>
      </c>
      <c r="O100" s="51" t="n">
        <v>46204</v>
      </c>
      <c r="P100" s="51" t="n">
        <v>46235</v>
      </c>
      <c r="Q100" s="51" t="n">
        <v>46266</v>
      </c>
      <c r="R100" s="52" t="inlineStr">
        <is>
          <t>合計</t>
        </is>
      </c>
      <c r="S100" s="48" t="n">
        <v>46113</v>
      </c>
      <c r="T100" s="51" t="n">
        <v>46143</v>
      </c>
      <c r="U100" s="51" t="n">
        <v>46174</v>
      </c>
      <c r="V100" s="51" t="n">
        <v>46204</v>
      </c>
      <c r="W100" s="51" t="n">
        <v>46235</v>
      </c>
      <c r="X100" s="51" t="n">
        <v>46266</v>
      </c>
      <c r="Y100" s="52" t="inlineStr">
        <is>
          <t>合計</t>
        </is>
      </c>
    </row>
    <row r="101">
      <c r="C101" s="2" t="inlineStr">
        <is>
          <t>0021 集計</t>
        </is>
      </c>
      <c r="D101" s="15" t="inlineStr">
        <is>
          <t>高橋所長</t>
        </is>
      </c>
      <c r="E101" s="2">
        <f>E77-E17</f>
        <v/>
      </c>
      <c r="F101" s="3">
        <f>F77-F17</f>
        <v/>
      </c>
      <c r="G101" s="80">
        <f>G77-G17</f>
        <v/>
      </c>
      <c r="H101" s="3">
        <f>H77-H17</f>
        <v/>
      </c>
      <c r="I101" s="3">
        <f>I77-I17</f>
        <v/>
      </c>
      <c r="J101" s="3">
        <f>J77-J17</f>
        <v/>
      </c>
      <c r="K101" s="56">
        <f>SUM(E101:J101)</f>
        <v/>
      </c>
      <c r="L101" s="62">
        <f>L77-L17</f>
        <v/>
      </c>
      <c r="M101" s="62">
        <f>M77-M17</f>
        <v/>
      </c>
      <c r="N101" s="81">
        <f>N77-N17</f>
        <v/>
      </c>
      <c r="O101" s="62">
        <f>O77-O17</f>
        <v/>
      </c>
      <c r="P101" s="62">
        <f>P77-P17</f>
        <v/>
      </c>
      <c r="Q101" s="62">
        <f>Q77-Q17</f>
        <v/>
      </c>
      <c r="R101" s="56">
        <f>SUM(L101:Q101)</f>
        <v/>
      </c>
      <c r="S101" s="103">
        <f>S77-S17</f>
        <v/>
      </c>
      <c r="T101" s="104">
        <f>T77-T17</f>
        <v/>
      </c>
      <c r="U101" s="104">
        <f>U77-U17</f>
        <v/>
      </c>
      <c r="V101" s="104">
        <f>V77-V17</f>
        <v/>
      </c>
      <c r="W101" s="104">
        <f>W77-W17</f>
        <v/>
      </c>
      <c r="X101" s="104">
        <f>X77-X17</f>
        <v/>
      </c>
      <c r="Y101" s="111">
        <f>Y77-Y17</f>
        <v/>
      </c>
    </row>
    <row r="102">
      <c r="C102" s="2" t="inlineStr">
        <is>
          <t>0024 集計</t>
        </is>
      </c>
      <c r="D102" s="15" t="inlineStr">
        <is>
          <t>東野</t>
        </is>
      </c>
      <c r="E102" s="2">
        <f>E78-E18</f>
        <v/>
      </c>
      <c r="F102" s="3">
        <f>F78-F18</f>
        <v/>
      </c>
      <c r="G102" s="80">
        <f>G78-G18</f>
        <v/>
      </c>
      <c r="H102" s="3">
        <f>H78-H18</f>
        <v/>
      </c>
      <c r="I102" s="3">
        <f>I78-I18</f>
        <v/>
      </c>
      <c r="J102" s="3">
        <f>J78-J18</f>
        <v/>
      </c>
      <c r="K102" s="56">
        <f>SUM(E102:J102)</f>
        <v/>
      </c>
      <c r="L102" s="62">
        <f>L78-L18</f>
        <v/>
      </c>
      <c r="M102" s="62">
        <f>M78-M18</f>
        <v/>
      </c>
      <c r="N102" s="81">
        <f>N78-N18</f>
        <v/>
      </c>
      <c r="O102" s="62">
        <f>O78-O18</f>
        <v/>
      </c>
      <c r="P102" s="62">
        <f>P78-P18</f>
        <v/>
      </c>
      <c r="Q102" s="62">
        <f>Q78-Q18</f>
        <v/>
      </c>
      <c r="R102" s="56">
        <f>SUM(L102:Q102)</f>
        <v/>
      </c>
      <c r="S102" s="103">
        <f>S78-S18</f>
        <v/>
      </c>
      <c r="T102" s="104">
        <f>T78-T18</f>
        <v/>
      </c>
      <c r="U102" s="104">
        <f>U78-U18</f>
        <v/>
      </c>
      <c r="V102" s="104">
        <f>V78-V18</f>
        <v/>
      </c>
      <c r="W102" s="104">
        <f>W78-W18</f>
        <v/>
      </c>
      <c r="X102" s="104">
        <f>X78-X18</f>
        <v/>
      </c>
      <c r="Y102" s="111">
        <f>Y78-Y18</f>
        <v/>
      </c>
    </row>
    <row r="103">
      <c r="C103" s="2" t="inlineStr">
        <is>
          <t>0025 集計</t>
        </is>
      </c>
      <c r="D103" s="15" t="inlineStr">
        <is>
          <t>橋本課長</t>
        </is>
      </c>
      <c r="E103" s="2">
        <f>E79-E19</f>
        <v/>
      </c>
      <c r="F103" s="3">
        <f>F79-F19</f>
        <v/>
      </c>
      <c r="G103" s="80">
        <f>G79-G19</f>
        <v/>
      </c>
      <c r="H103" s="3">
        <f>H79-H19</f>
        <v/>
      </c>
      <c r="I103" s="3">
        <f>I79-I19</f>
        <v/>
      </c>
      <c r="J103" s="3">
        <f>J79-J19</f>
        <v/>
      </c>
      <c r="K103" s="56">
        <f>SUM(E103:J103)</f>
        <v/>
      </c>
      <c r="L103" s="62">
        <f>L79-L19</f>
        <v/>
      </c>
      <c r="M103" s="62">
        <f>M79-M19</f>
        <v/>
      </c>
      <c r="N103" s="81">
        <f>N79-N19</f>
        <v/>
      </c>
      <c r="O103" s="62">
        <f>O79-O19</f>
        <v/>
      </c>
      <c r="P103" s="62">
        <f>P79-P19</f>
        <v/>
      </c>
      <c r="Q103" s="62">
        <f>Q79-Q19</f>
        <v/>
      </c>
      <c r="R103" s="56">
        <f>SUM(L103:Q103)</f>
        <v/>
      </c>
      <c r="S103" s="103">
        <f>S79-S19</f>
        <v/>
      </c>
      <c r="T103" s="104">
        <f>T79-T19</f>
        <v/>
      </c>
      <c r="U103" s="104">
        <f>U79-U19</f>
        <v/>
      </c>
      <c r="V103" s="104">
        <f>V79-V19</f>
        <v/>
      </c>
      <c r="W103" s="104">
        <f>W79-W19</f>
        <v/>
      </c>
      <c r="X103" s="104">
        <f>X79-X19</f>
        <v/>
      </c>
      <c r="Y103" s="111">
        <f>Y79-Y19</f>
        <v/>
      </c>
    </row>
    <row r="104">
      <c r="C104" s="2" t="inlineStr">
        <is>
          <t>0026 集計</t>
        </is>
      </c>
      <c r="D104" s="15" t="inlineStr">
        <is>
          <t>井上課長</t>
        </is>
      </c>
      <c r="E104" s="2">
        <f>E80-E20</f>
        <v/>
      </c>
      <c r="F104" s="3">
        <f>F80-F20</f>
        <v/>
      </c>
      <c r="G104" s="80">
        <f>G80-G20</f>
        <v/>
      </c>
      <c r="H104" s="3">
        <f>H80-H20</f>
        <v/>
      </c>
      <c r="I104" s="3">
        <f>I80-I20</f>
        <v/>
      </c>
      <c r="J104" s="3">
        <f>J80-J20</f>
        <v/>
      </c>
      <c r="K104" s="56">
        <f>SUM(E104:J104)</f>
        <v/>
      </c>
      <c r="L104" s="62">
        <f>L80-L20</f>
        <v/>
      </c>
      <c r="M104" s="62">
        <f>M80-M20</f>
        <v/>
      </c>
      <c r="N104" s="81">
        <f>N80-N20</f>
        <v/>
      </c>
      <c r="O104" s="62">
        <f>O80-O20</f>
        <v/>
      </c>
      <c r="P104" s="62">
        <f>P80-P20</f>
        <v/>
      </c>
      <c r="Q104" s="62">
        <f>Q80-Q20</f>
        <v/>
      </c>
      <c r="R104" s="56">
        <f>SUM(L104:Q104)</f>
        <v/>
      </c>
      <c r="S104" s="103">
        <f>S80-S20</f>
        <v/>
      </c>
      <c r="T104" s="104">
        <f>T80-T20</f>
        <v/>
      </c>
      <c r="U104" s="104">
        <f>U80-U20</f>
        <v/>
      </c>
      <c r="V104" s="104">
        <f>V80-V20</f>
        <v/>
      </c>
      <c r="W104" s="104">
        <f>W80-W20</f>
        <v/>
      </c>
      <c r="X104" s="104">
        <f>X80-X20</f>
        <v/>
      </c>
      <c r="Y104" s="111">
        <f>Y80-Y20</f>
        <v/>
      </c>
    </row>
    <row r="105">
      <c r="C105" s="2" t="inlineStr">
        <is>
          <t>0027 集計</t>
        </is>
      </c>
      <c r="D105" s="15" t="inlineStr">
        <is>
          <t>中国</t>
        </is>
      </c>
      <c r="E105" s="2">
        <f>E81-E21</f>
        <v/>
      </c>
      <c r="F105" s="70">
        <f>F81-F21</f>
        <v/>
      </c>
      <c r="G105" s="80">
        <f>G81-G21</f>
        <v/>
      </c>
      <c r="H105" s="3">
        <f>H81-H21</f>
        <v/>
      </c>
      <c r="I105" s="3">
        <f>I81-I21</f>
        <v/>
      </c>
      <c r="J105" s="3">
        <f>J81-J21</f>
        <v/>
      </c>
      <c r="K105" s="56">
        <f>SUM(E105:J105)</f>
        <v/>
      </c>
      <c r="L105" s="62">
        <f>L81-L21</f>
        <v/>
      </c>
      <c r="M105" s="62">
        <f>M81-M21</f>
        <v/>
      </c>
      <c r="N105" s="81">
        <f>N81-N21</f>
        <v/>
      </c>
      <c r="O105" s="62">
        <f>O81-O21</f>
        <v/>
      </c>
      <c r="P105" s="62">
        <f>P81-P21</f>
        <v/>
      </c>
      <c r="Q105" s="62">
        <f>Q81-Q21</f>
        <v/>
      </c>
      <c r="R105" s="56">
        <f>SUM(L105:Q105)</f>
        <v/>
      </c>
      <c r="S105" s="103">
        <f>S81-S21</f>
        <v/>
      </c>
      <c r="T105" s="104">
        <f>T81-T21</f>
        <v/>
      </c>
      <c r="U105" s="104">
        <f>U81-U21</f>
        <v/>
      </c>
      <c r="V105" s="104">
        <f>V81-V21</f>
        <v/>
      </c>
      <c r="W105" s="104">
        <f>W81-W21</f>
        <v/>
      </c>
      <c r="X105" s="104">
        <f>X81-X21</f>
        <v/>
      </c>
      <c r="Y105" s="111">
        <f>Y81-Y21</f>
        <v/>
      </c>
    </row>
    <row r="106">
      <c r="C106" s="71" t="inlineStr">
        <is>
          <t>0028 集計</t>
        </is>
      </c>
      <c r="D106" s="15" t="inlineStr">
        <is>
          <t>自治体</t>
        </is>
      </c>
      <c r="E106" s="2">
        <f>E82-E22</f>
        <v/>
      </c>
      <c r="F106" s="70">
        <f>F82-F22</f>
        <v/>
      </c>
      <c r="G106" s="80">
        <f>G82-G22</f>
        <v/>
      </c>
      <c r="H106" s="3">
        <f>H82-H22</f>
        <v/>
      </c>
      <c r="I106" s="3">
        <f>I82-I22</f>
        <v/>
      </c>
      <c r="J106" s="3">
        <f>J82-J22</f>
        <v/>
      </c>
      <c r="K106" s="56">
        <f>SUM(E106:J106)</f>
        <v/>
      </c>
      <c r="L106" s="62">
        <f>L82-L22</f>
        <v/>
      </c>
      <c r="M106" s="62">
        <f>M82-M22</f>
        <v/>
      </c>
      <c r="N106" s="81">
        <f>N82-N22</f>
        <v/>
      </c>
      <c r="O106" s="62">
        <f>O82-O22</f>
        <v/>
      </c>
      <c r="P106" s="62">
        <f>P82-P22</f>
        <v/>
      </c>
      <c r="Q106" s="62">
        <f>Q82-Q22</f>
        <v/>
      </c>
      <c r="R106" s="56">
        <f>SUM(L106:Q106)</f>
        <v/>
      </c>
      <c r="S106" s="103" t="n"/>
      <c r="T106" s="104" t="n"/>
      <c r="U106" s="104" t="n"/>
      <c r="V106" s="104" t="n"/>
      <c r="W106" s="104" t="n"/>
      <c r="X106" s="104" t="n"/>
      <c r="Y106" s="111" t="n"/>
    </row>
    <row r="107">
      <c r="C107" s="2" t="inlineStr">
        <is>
          <t>0029 集計</t>
        </is>
      </c>
      <c r="D107" s="15" t="inlineStr">
        <is>
          <t>その他</t>
        </is>
      </c>
      <c r="E107" s="2">
        <f>E83-E23</f>
        <v/>
      </c>
      <c r="F107" s="3">
        <f>F83-F23</f>
        <v/>
      </c>
      <c r="G107" s="80">
        <f>G83-G23</f>
        <v/>
      </c>
      <c r="H107" s="3">
        <f>H83-H23</f>
        <v/>
      </c>
      <c r="I107" s="3">
        <f>I83-I23</f>
        <v/>
      </c>
      <c r="J107" s="3">
        <f>J83-J23</f>
        <v/>
      </c>
      <c r="K107" s="56">
        <f>SUM(E107:J107)</f>
        <v/>
      </c>
      <c r="L107" s="2">
        <f>L83-L23</f>
        <v/>
      </c>
      <c r="M107" s="3">
        <f>M83-M23</f>
        <v/>
      </c>
      <c r="N107" s="80">
        <f>N83-N23</f>
        <v/>
      </c>
      <c r="O107" s="3">
        <f>O83-O23</f>
        <v/>
      </c>
      <c r="P107" s="3">
        <f>P83-P23</f>
        <v/>
      </c>
      <c r="Q107" s="3">
        <f>Q83-Q23</f>
        <v/>
      </c>
      <c r="R107" s="56">
        <f>SUM(L107:Q107)</f>
        <v/>
      </c>
      <c r="S107" s="103">
        <f>S83-S23</f>
        <v/>
      </c>
      <c r="T107" s="104">
        <f>T83-T23</f>
        <v/>
      </c>
      <c r="U107" s="104">
        <f>U83-U23</f>
        <v/>
      </c>
      <c r="V107" s="104">
        <f>V83-V23</f>
        <v/>
      </c>
      <c r="W107" s="104">
        <f>W83-W23</f>
        <v/>
      </c>
      <c r="X107" s="104">
        <f>X83-X23</f>
        <v/>
      </c>
      <c r="Y107" s="111">
        <f>Y83-Y23</f>
        <v/>
      </c>
    </row>
    <row r="108">
      <c r="C108" s="4" t="inlineStr">
        <is>
          <t>合計</t>
        </is>
      </c>
      <c r="D108" s="16" t="n"/>
      <c r="E108" s="49">
        <f>SUM(E101:E107)</f>
        <v/>
      </c>
      <c r="F108" s="6">
        <f>SUM(F101:F107)</f>
        <v/>
      </c>
      <c r="G108" s="6">
        <f>SUM(G101:G107)</f>
        <v/>
      </c>
      <c r="H108" s="6">
        <f>SUM(H101:H107)</f>
        <v/>
      </c>
      <c r="I108" s="6">
        <f>SUM(I101:I107)</f>
        <v/>
      </c>
      <c r="J108" s="6">
        <f>SUM(J101:J107)</f>
        <v/>
      </c>
      <c r="K108" s="50">
        <f>SUM(E108:J108)</f>
        <v/>
      </c>
      <c r="L108" s="49">
        <f>SUM(L101:L107)</f>
        <v/>
      </c>
      <c r="M108" s="6">
        <f>SUM(M101:M107)</f>
        <v/>
      </c>
      <c r="N108" s="6">
        <f>SUM(N101:N107)</f>
        <v/>
      </c>
      <c r="O108" s="6">
        <f>SUM(O101:O107)</f>
        <v/>
      </c>
      <c r="P108" s="6">
        <f>SUM(P101:P107)</f>
        <v/>
      </c>
      <c r="Q108" s="6">
        <f>SUM(Q101:Q107)</f>
        <v/>
      </c>
      <c r="R108" s="50">
        <f>SUM(L108:Q108)</f>
        <v/>
      </c>
      <c r="S108" s="106">
        <f>S84-S24</f>
        <v/>
      </c>
      <c r="T108" s="107">
        <f>T84-T24</f>
        <v/>
      </c>
      <c r="U108" s="107">
        <f>U84-U24</f>
        <v/>
      </c>
      <c r="V108" s="107">
        <f>V84-V24</f>
        <v/>
      </c>
      <c r="W108" s="107">
        <f>W84-W24</f>
        <v/>
      </c>
      <c r="X108" s="107">
        <f>X84-X24</f>
        <v/>
      </c>
      <c r="Y108" s="112">
        <f>Y84-Y24</f>
        <v/>
      </c>
    </row>
  </sheetData>
  <mergeCells count="36">
    <mergeCell ref="S99:Y99"/>
    <mergeCell ref="L63:R63"/>
    <mergeCell ref="C15:D15"/>
    <mergeCell ref="L99:R99"/>
    <mergeCell ref="S63:Y63"/>
    <mergeCell ref="E75:K75"/>
    <mergeCell ref="L27:R27"/>
    <mergeCell ref="C63:D63"/>
    <mergeCell ref="E3:K3"/>
    <mergeCell ref="S75:Y75"/>
    <mergeCell ref="S51:Y51"/>
    <mergeCell ref="C99:D99"/>
    <mergeCell ref="C75:D75"/>
    <mergeCell ref="E39:K39"/>
    <mergeCell ref="L75:R75"/>
    <mergeCell ref="S27:Y27"/>
    <mergeCell ref="S3:Y3"/>
    <mergeCell ref="C51:D51"/>
    <mergeCell ref="C27:D27"/>
    <mergeCell ref="L87:R87"/>
    <mergeCell ref="S39:Y39"/>
    <mergeCell ref="L3:R3"/>
    <mergeCell ref="E51:K51"/>
    <mergeCell ref="E87:K87"/>
    <mergeCell ref="L15:R15"/>
    <mergeCell ref="C39:D39"/>
    <mergeCell ref="E63:K63"/>
    <mergeCell ref="L39:R39"/>
    <mergeCell ref="S87:Y8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60"/>
</worksheet>
</file>

<file path=xl/worksheets/sheet2.xml><?xml version="1.0" encoding="utf-8"?>
<worksheet xmlns="http://schemas.openxmlformats.org/spreadsheetml/2006/main">
  <sheetPr>
    <tabColor theme="8" tint="-0.249977111117893"/>
    <outlinePr summaryBelow="1" summaryRight="1"/>
    <pageSetUpPr fitToPage="1"/>
  </sheetPr>
  <dimension ref="C1:Y108"/>
  <sheetViews>
    <sheetView tabSelected="1" zoomScaleNormal="100" workbookViewId="0">
      <pane xSplit="4" ySplit="1" topLeftCell="E2" activePane="bottomRight" state="frozen"/>
      <selection activeCell="E89" sqref="E89"/>
      <selection pane="topRight" activeCell="E89" sqref="E89"/>
      <selection pane="bottomLeft" activeCell="E89" sqref="E89"/>
      <selection pane="bottomRight" activeCell="L8" sqref="L8"/>
    </sheetView>
  </sheetViews>
  <sheetFormatPr baseColWidth="8" defaultRowHeight="18.75"/>
  <cols>
    <col width="9.75" bestFit="1" customWidth="1" style="93" min="3" max="3"/>
    <col width="10.125" customWidth="1" style="93" min="5" max="25"/>
  </cols>
  <sheetData>
    <row r="1">
      <c r="C1" s="17" t="inlineStr">
        <is>
          <t>下関営業所機械</t>
        </is>
      </c>
    </row>
    <row r="2">
      <c r="C2" s="94" t="inlineStr">
        <is>
          <t>1．2024年</t>
        </is>
      </c>
    </row>
    <row r="3">
      <c r="C3" s="86" t="n"/>
      <c r="D3" s="85" t="n"/>
      <c r="E3" s="88" t="inlineStr">
        <is>
          <t>売上</t>
        </is>
      </c>
      <c r="F3" s="84" t="n"/>
      <c r="G3" s="84" t="n"/>
      <c r="H3" s="84" t="n"/>
      <c r="I3" s="84" t="n"/>
      <c r="J3" s="84" t="n"/>
      <c r="K3" s="84" t="n"/>
      <c r="L3" s="83" t="inlineStr">
        <is>
          <t>粗利益</t>
        </is>
      </c>
      <c r="M3" s="84" t="n"/>
      <c r="N3" s="84" t="n"/>
      <c r="O3" s="84" t="n"/>
      <c r="P3" s="84" t="n"/>
      <c r="Q3" s="84" t="n"/>
      <c r="R3" s="85" t="n"/>
      <c r="S3" s="87" t="inlineStr">
        <is>
          <t>粗利益率</t>
        </is>
      </c>
      <c r="T3" s="84" t="n"/>
      <c r="U3" s="84" t="n"/>
      <c r="V3" s="84" t="n"/>
      <c r="W3" s="84" t="n"/>
      <c r="X3" s="84" t="n"/>
      <c r="Y3" s="85" t="n"/>
    </row>
    <row r="4">
      <c r="C4" s="1" t="n"/>
      <c r="D4" s="14" t="n"/>
      <c r="E4" s="51" t="n">
        <v>45383</v>
      </c>
      <c r="F4" s="51" t="n">
        <v>45413</v>
      </c>
      <c r="G4" s="51" t="n">
        <v>45444</v>
      </c>
      <c r="H4" s="51" t="n">
        <v>45474</v>
      </c>
      <c r="I4" s="51" t="n">
        <v>45505</v>
      </c>
      <c r="J4" s="51" t="n">
        <v>45536</v>
      </c>
      <c r="K4" s="55" t="inlineStr">
        <is>
          <t>合計</t>
        </is>
      </c>
      <c r="L4" s="54" t="n">
        <v>45383</v>
      </c>
      <c r="M4" s="51" t="n">
        <v>45413</v>
      </c>
      <c r="N4" s="51" t="n">
        <v>45444</v>
      </c>
      <c r="O4" s="51" t="n">
        <v>45474</v>
      </c>
      <c r="P4" s="51" t="n">
        <v>45505</v>
      </c>
      <c r="Q4" s="51" t="n">
        <v>45536</v>
      </c>
      <c r="R4" s="52" t="inlineStr">
        <is>
          <t>合計</t>
        </is>
      </c>
      <c r="S4" s="48" t="n">
        <v>45017</v>
      </c>
      <c r="T4" s="51" t="n">
        <v>45047</v>
      </c>
      <c r="U4" s="51" t="n">
        <v>45078</v>
      </c>
      <c r="V4" s="51" t="n">
        <v>45108</v>
      </c>
      <c r="W4" s="51" t="n">
        <v>45139</v>
      </c>
      <c r="X4" s="51" t="n">
        <v>45170</v>
      </c>
      <c r="Y4" s="52" t="inlineStr">
        <is>
          <t>合計</t>
        </is>
      </c>
    </row>
    <row r="5">
      <c r="C5" s="2" t="inlineStr">
        <is>
          <t>0021 集計</t>
        </is>
      </c>
      <c r="D5" s="15" t="inlineStr">
        <is>
          <t>高橋所長</t>
        </is>
      </c>
      <c r="E5" s="3" t="n">
        <v>114</v>
      </c>
      <c r="F5" s="3" t="n">
        <v>827</v>
      </c>
      <c r="G5" s="3" t="n">
        <v>107</v>
      </c>
      <c r="H5" s="3" t="n">
        <v>107</v>
      </c>
      <c r="I5" s="3" t="n">
        <v>93</v>
      </c>
      <c r="J5" s="3" t="n">
        <v>44</v>
      </c>
      <c r="K5" s="59">
        <f>SUM(E5:J5)</f>
        <v/>
      </c>
      <c r="L5" s="2" t="n">
        <v>17</v>
      </c>
      <c r="M5" s="3" t="n">
        <v>195</v>
      </c>
      <c r="N5" s="3" t="n">
        <v>15</v>
      </c>
      <c r="O5" s="3" t="n">
        <v>15</v>
      </c>
      <c r="P5" s="3" t="n">
        <v>17</v>
      </c>
      <c r="Q5" s="3" t="n">
        <v>22</v>
      </c>
      <c r="R5" s="56">
        <f>SUM(L5:Q5)</f>
        <v/>
      </c>
      <c r="S5" s="103">
        <f>IF(E5=0,"***",L5/E5)</f>
        <v/>
      </c>
      <c r="T5" s="104">
        <f>IF(F5=0,"***",M5/F5)</f>
        <v/>
      </c>
      <c r="U5" s="104">
        <f>IF(G5=0,"***",N5/G5)</f>
        <v/>
      </c>
      <c r="V5" s="104">
        <f>IF(H5=0,"***",O5/H5)</f>
        <v/>
      </c>
      <c r="W5" s="104">
        <f>IF(I5=0,"***",P5/I5)</f>
        <v/>
      </c>
      <c r="X5" s="104">
        <f>IF(J5=0,"***",Q5/J5)</f>
        <v/>
      </c>
      <c r="Y5" s="105">
        <f>IF(K5=0,"***",R5/K5)</f>
        <v/>
      </c>
    </row>
    <row r="6">
      <c r="C6" s="2" t="inlineStr">
        <is>
          <t>0024 集計</t>
        </is>
      </c>
      <c r="D6" s="15" t="inlineStr">
        <is>
          <t>東野</t>
        </is>
      </c>
      <c r="E6" s="3" t="n">
        <v>225</v>
      </c>
      <c r="F6" s="3" t="n">
        <v>66</v>
      </c>
      <c r="G6" s="3" t="n">
        <v>68</v>
      </c>
      <c r="H6" s="3" t="n">
        <v>94</v>
      </c>
      <c r="I6" s="3" t="n">
        <v>0</v>
      </c>
      <c r="J6" s="3" t="n">
        <v>60</v>
      </c>
      <c r="K6" s="59">
        <f>SUM(E6:J6)</f>
        <v/>
      </c>
      <c r="L6" s="2" t="n">
        <v>42</v>
      </c>
      <c r="M6" s="3" t="n">
        <v>10</v>
      </c>
      <c r="N6" s="3" t="n">
        <v>-56</v>
      </c>
      <c r="O6" s="3" t="n">
        <v>6</v>
      </c>
      <c r="P6" s="3" t="n">
        <v>0</v>
      </c>
      <c r="Q6" s="3" t="n">
        <v>12</v>
      </c>
      <c r="R6" s="56">
        <f>SUM(L6:Q6)</f>
        <v/>
      </c>
      <c r="S6" s="103">
        <f>IF(E6=0,"***",L6/E6)</f>
        <v/>
      </c>
      <c r="T6" s="104">
        <f>IF(F6=0,"***",M6/F6)</f>
        <v/>
      </c>
      <c r="U6" s="104">
        <f>IF(G6=0,"***",N6/G6)</f>
        <v/>
      </c>
      <c r="V6" s="104">
        <f>IF(H6=0,"***",O6/H6)</f>
        <v/>
      </c>
      <c r="W6" s="104">
        <f>IF(I6=0,"***",P6/I6)</f>
        <v/>
      </c>
      <c r="X6" s="104">
        <f>IF(J6=0,"***",Q6/J6)</f>
        <v/>
      </c>
      <c r="Y6" s="105">
        <f>IF(K6=0,"***",R6/K6)</f>
        <v/>
      </c>
    </row>
    <row r="7">
      <c r="C7" s="2" t="inlineStr">
        <is>
          <t>0025 集計</t>
        </is>
      </c>
      <c r="D7" s="15" t="inlineStr">
        <is>
          <t>橋本課長</t>
        </is>
      </c>
      <c r="E7" s="3" t="n">
        <v>60</v>
      </c>
      <c r="F7" s="3" t="n">
        <v>844</v>
      </c>
      <c r="G7" s="3" t="n">
        <v>0</v>
      </c>
      <c r="H7" s="3" t="n">
        <v>0</v>
      </c>
      <c r="I7" s="3" t="n">
        <v>38</v>
      </c>
      <c r="J7" s="3" t="n">
        <v>4</v>
      </c>
      <c r="K7" s="59">
        <f>SUM(E7:J7)</f>
        <v/>
      </c>
      <c r="L7" s="2" t="n">
        <v>12</v>
      </c>
      <c r="M7" s="3" t="n">
        <v>113</v>
      </c>
      <c r="N7" s="3" t="n">
        <v>0</v>
      </c>
      <c r="O7" s="3" t="n">
        <v>0</v>
      </c>
      <c r="P7" s="3" t="n">
        <v>5</v>
      </c>
      <c r="Q7" s="3" t="n">
        <v>1</v>
      </c>
      <c r="R7" s="56">
        <f>SUM(L7:Q7)</f>
        <v/>
      </c>
      <c r="S7" s="103">
        <f>IF(E7=0,"***",L7/E7)</f>
        <v/>
      </c>
      <c r="T7" s="104">
        <f>IF(F7=0,"***",M7/F7)</f>
        <v/>
      </c>
      <c r="U7" s="104">
        <f>IF(G7=0,"***",N7/G7)</f>
        <v/>
      </c>
      <c r="V7" s="104">
        <f>IF(H7=0,"***",O7/H7)</f>
        <v/>
      </c>
      <c r="W7" s="104">
        <f>IF(I7=0,"***",P7/I7)</f>
        <v/>
      </c>
      <c r="X7" s="104">
        <f>IF(J7=0,"***",Q7/J7)</f>
        <v/>
      </c>
      <c r="Y7" s="105">
        <f>IF(K7=0,"***",R7/K7)</f>
        <v/>
      </c>
    </row>
    <row r="8">
      <c r="C8" s="2" t="inlineStr">
        <is>
          <t>0026 集計</t>
        </is>
      </c>
      <c r="D8" s="15" t="inlineStr">
        <is>
          <t>井上課長</t>
        </is>
      </c>
      <c r="E8" s="3" t="n">
        <v>66</v>
      </c>
      <c r="F8" s="3" t="n">
        <v>67</v>
      </c>
      <c r="G8" s="3" t="n">
        <v>50</v>
      </c>
      <c r="H8" s="3" t="n">
        <v>241</v>
      </c>
      <c r="I8" s="3" t="n">
        <v>42</v>
      </c>
      <c r="J8" s="3" t="n">
        <v>259</v>
      </c>
      <c r="K8" s="59">
        <f>SUM(E8:J8)</f>
        <v/>
      </c>
      <c r="L8" s="2" t="n">
        <v>10</v>
      </c>
      <c r="M8" s="3" t="n">
        <v>16</v>
      </c>
      <c r="N8" s="3" t="n">
        <v>8</v>
      </c>
      <c r="O8" s="3" t="n">
        <v>51</v>
      </c>
      <c r="P8" s="3" t="n">
        <v>6</v>
      </c>
      <c r="Q8" s="3" t="n">
        <v>38</v>
      </c>
      <c r="R8" s="56">
        <f>SUM(L8:Q8)</f>
        <v/>
      </c>
      <c r="S8" s="103">
        <f>IF(E8=0,"***",L8/E8)</f>
        <v/>
      </c>
      <c r="T8" s="104">
        <f>IF(F8=0,"***",M8/F8)</f>
        <v/>
      </c>
      <c r="U8" s="104">
        <f>IF(G8=0,"***",N8/G8)</f>
        <v/>
      </c>
      <c r="V8" s="104">
        <f>IF(H8=0,"***",O8/H8)</f>
        <v/>
      </c>
      <c r="W8" s="104">
        <f>IF(I8=0,"***",P8/I8)</f>
        <v/>
      </c>
      <c r="X8" s="104">
        <f>IF(J8=0,"***",Q8/J8)</f>
        <v/>
      </c>
      <c r="Y8" s="105">
        <f>IF(K8=0,"***",R8/K8)</f>
        <v/>
      </c>
    </row>
    <row r="9">
      <c r="C9" s="2" t="inlineStr">
        <is>
          <t>0027 集計</t>
        </is>
      </c>
      <c r="D9" s="15" t="inlineStr">
        <is>
          <t>中国</t>
        </is>
      </c>
      <c r="E9" s="3" t="n"/>
      <c r="F9" s="3" t="n"/>
      <c r="G9" s="3" t="n"/>
      <c r="H9" s="3" t="n"/>
      <c r="I9" s="3" t="n"/>
      <c r="J9" s="3" t="n"/>
      <c r="K9" s="59">
        <f>SUM(E9:J9)</f>
        <v/>
      </c>
      <c r="L9" s="2" t="n"/>
      <c r="M9" s="3" t="n"/>
      <c r="N9" s="3" t="n"/>
      <c r="O9" s="3" t="n"/>
      <c r="P9" s="3" t="n"/>
      <c r="Q9" s="3" t="n"/>
      <c r="R9" s="56">
        <f>SUM(L9:Q9)</f>
        <v/>
      </c>
      <c r="S9" s="103">
        <f>IF(E9=0,"***",L9/E9)</f>
        <v/>
      </c>
      <c r="T9" s="104">
        <f>IF(F9=0,"***",M9/F9)</f>
        <v/>
      </c>
      <c r="U9" s="104">
        <f>IF(G9=0,"***",N9/G9)</f>
        <v/>
      </c>
      <c r="V9" s="104">
        <f>IF(H9=0,"***",O9/H9)</f>
        <v/>
      </c>
      <c r="W9" s="104">
        <f>IF(I9=0,"***",P9/I9)</f>
        <v/>
      </c>
      <c r="X9" s="104">
        <f>IF(J9=0,"***",Q9/J9)</f>
        <v/>
      </c>
      <c r="Y9" s="105">
        <f>IF(K9=0,"***",R9/K9)</f>
        <v/>
      </c>
    </row>
    <row r="10">
      <c r="C10" s="71" t="inlineStr">
        <is>
          <t>0028 集計</t>
        </is>
      </c>
      <c r="D10" s="15" t="inlineStr">
        <is>
          <t>自治体</t>
        </is>
      </c>
      <c r="E10" s="3" t="n"/>
      <c r="F10" s="3" t="n"/>
      <c r="G10" s="3" t="n"/>
      <c r="H10" s="3" t="n"/>
      <c r="I10" s="3" t="n"/>
      <c r="J10" s="3" t="n"/>
      <c r="K10" s="59" t="n"/>
      <c r="L10" s="2" t="n"/>
      <c r="M10" s="3" t="n"/>
      <c r="N10" s="3" t="n"/>
      <c r="O10" s="3" t="n"/>
      <c r="P10" s="3" t="n"/>
      <c r="Q10" s="3" t="n"/>
      <c r="R10" s="56" t="n"/>
      <c r="S10" s="103" t="n"/>
      <c r="T10" s="104" t="n"/>
      <c r="U10" s="104" t="n"/>
      <c r="V10" s="104" t="n"/>
      <c r="W10" s="104" t="n"/>
      <c r="X10" s="104" t="n"/>
      <c r="Y10" s="105" t="n"/>
    </row>
    <row r="11">
      <c r="C11" s="2" t="inlineStr">
        <is>
          <t>0029 集計</t>
        </is>
      </c>
      <c r="D11" s="15" t="inlineStr">
        <is>
          <t>その他</t>
        </is>
      </c>
      <c r="E11" s="3" t="n"/>
      <c r="F11" s="3" t="n"/>
      <c r="G11" s="3" t="n"/>
      <c r="H11" s="3" t="n"/>
      <c r="I11" s="3" t="n"/>
      <c r="J11" s="3" t="n"/>
      <c r="K11" s="59">
        <f>SUM(E11:J11)</f>
        <v/>
      </c>
      <c r="L11" s="2" t="n"/>
      <c r="M11" s="3" t="n"/>
      <c r="N11" s="3" t="n"/>
      <c r="O11" s="3" t="n"/>
      <c r="P11" s="3" t="n"/>
      <c r="Q11" s="3" t="n"/>
      <c r="R11" s="56">
        <f>SUM(L11:Q11)</f>
        <v/>
      </c>
      <c r="S11" s="103">
        <f>IF(E11=0,"***",L11/E11)</f>
        <v/>
      </c>
      <c r="T11" s="104">
        <f>IF(F11=0,"***",M11/F11)</f>
        <v/>
      </c>
      <c r="U11" s="104">
        <f>IF(G11=0,"***",N11/G11)</f>
        <v/>
      </c>
      <c r="V11" s="104">
        <f>IF(H11=0,"***",O11/H11)</f>
        <v/>
      </c>
      <c r="W11" s="104">
        <f>IF(I11=0,"***",P11/I11)</f>
        <v/>
      </c>
      <c r="X11" s="104">
        <f>IF(J11=0,"***",Q11/J11)</f>
        <v/>
      </c>
      <c r="Y11" s="105">
        <f>IF(K11=0,"***",R11/K11)</f>
        <v/>
      </c>
    </row>
    <row r="12">
      <c r="C12" s="4" t="inlineStr">
        <is>
          <t>合計</t>
        </is>
      </c>
      <c r="D12" s="16" t="n"/>
      <c r="E12" s="6">
        <f>SUM(E5:E11)</f>
        <v/>
      </c>
      <c r="F12" s="6">
        <f>SUM(F5:F11)</f>
        <v/>
      </c>
      <c r="G12" s="6">
        <f>SUM(G5:G11)</f>
        <v/>
      </c>
      <c r="H12" s="6">
        <f>SUM(H5:H11)</f>
        <v/>
      </c>
      <c r="I12" s="6">
        <f>SUM(I5:I11)</f>
        <v/>
      </c>
      <c r="J12" s="6">
        <f>SUM(J5:J11)</f>
        <v/>
      </c>
      <c r="K12" s="60">
        <f>SUM(E12:J12)</f>
        <v/>
      </c>
      <c r="L12" s="49">
        <f>SUM(L5:L11)</f>
        <v/>
      </c>
      <c r="M12" s="6">
        <f>SUM(M5:M11)</f>
        <v/>
      </c>
      <c r="N12" s="6">
        <f>SUM(N5:N11)</f>
        <v/>
      </c>
      <c r="O12" s="6">
        <f>SUM(O5:O11)</f>
        <v/>
      </c>
      <c r="P12" s="6">
        <f>SUM(P5:P11)</f>
        <v/>
      </c>
      <c r="Q12" s="6">
        <f>SUM(Q5:Q11)</f>
        <v/>
      </c>
      <c r="R12" s="50">
        <f>SUM(L12:Q12)</f>
        <v/>
      </c>
      <c r="S12" s="106">
        <f>IF(E12=0,"***",L12/E12)</f>
        <v/>
      </c>
      <c r="T12" s="107">
        <f>IF(F12=0,"***",M12/F12)</f>
        <v/>
      </c>
      <c r="U12" s="107">
        <f>IF(G12=0,"***",N12/G12)</f>
        <v/>
      </c>
      <c r="V12" s="107">
        <f>IF(H12=0,"***",O12/H12)</f>
        <v/>
      </c>
      <c r="W12" s="107">
        <f>IF(I12=0,"***",P12/I12)</f>
        <v/>
      </c>
      <c r="X12" s="107">
        <f>IF(J12=0,"***",Q12/J12)</f>
        <v/>
      </c>
      <c r="Y12" s="108">
        <f>IF(K12=0,"***",R12/K12)</f>
        <v/>
      </c>
    </row>
    <row r="13">
      <c r="C13" s="12" t="n"/>
      <c r="E13" s="11" t="n"/>
      <c r="F13" s="11" t="n"/>
      <c r="G13" s="11" t="n"/>
      <c r="H13" s="11" t="n"/>
      <c r="I13" s="11" t="n"/>
      <c r="J13" s="11" t="n"/>
      <c r="K13" s="12" t="n"/>
      <c r="L13" s="11" t="n"/>
      <c r="M13" s="11" t="n"/>
      <c r="N13" s="11" t="n"/>
      <c r="O13" s="11" t="n"/>
      <c r="P13" s="11" t="n"/>
      <c r="Q13" s="11" t="n"/>
      <c r="R13" s="12" t="n"/>
      <c r="S13" s="109" t="n"/>
      <c r="T13" s="109" t="n"/>
      <c r="U13" s="109" t="n"/>
      <c r="V13" s="109" t="n"/>
      <c r="W13" s="109" t="n"/>
      <c r="X13" s="109" t="n"/>
      <c r="Y13" s="109" t="n"/>
    </row>
    <row r="14">
      <c r="C14" s="12" t="inlineStr">
        <is>
          <t>2．2025年</t>
        </is>
      </c>
    </row>
    <row r="15">
      <c r="C15" s="86" t="n"/>
      <c r="D15" s="85" t="n"/>
      <c r="E15" s="88" t="inlineStr">
        <is>
          <t>売上</t>
        </is>
      </c>
      <c r="F15" s="84" t="n"/>
      <c r="G15" s="84" t="n"/>
      <c r="H15" s="84" t="n"/>
      <c r="I15" s="84" t="n"/>
      <c r="J15" s="84" t="n"/>
      <c r="K15" s="84" t="n"/>
      <c r="L15" s="83" t="inlineStr">
        <is>
          <t>粗利益</t>
        </is>
      </c>
      <c r="M15" s="84" t="n"/>
      <c r="N15" s="84" t="n"/>
      <c r="O15" s="84" t="n"/>
      <c r="P15" s="84" t="n"/>
      <c r="Q15" s="84" t="n"/>
      <c r="R15" s="85" t="n"/>
      <c r="S15" s="87" t="inlineStr">
        <is>
          <t>粗利益率</t>
        </is>
      </c>
      <c r="T15" s="84" t="n"/>
      <c r="U15" s="84" t="n"/>
      <c r="V15" s="84" t="n"/>
      <c r="W15" s="84" t="n"/>
      <c r="X15" s="84" t="n"/>
      <c r="Y15" s="85" t="n"/>
    </row>
    <row r="16">
      <c r="C16" s="1" t="n"/>
      <c r="D16" s="14" t="n"/>
      <c r="E16" s="51" t="n">
        <v>45748</v>
      </c>
      <c r="F16" s="51" t="n">
        <v>45778</v>
      </c>
      <c r="G16" s="51" t="n">
        <v>45809</v>
      </c>
      <c r="H16" s="51" t="n">
        <v>45839</v>
      </c>
      <c r="I16" s="51" t="n">
        <v>45870</v>
      </c>
      <c r="J16" s="51" t="n">
        <v>45901</v>
      </c>
      <c r="K16" s="55" t="inlineStr">
        <is>
          <t>合計</t>
        </is>
      </c>
      <c r="L16" s="54" t="n">
        <v>45748</v>
      </c>
      <c r="M16" s="51" t="n">
        <v>45778</v>
      </c>
      <c r="N16" s="51" t="n">
        <v>45809</v>
      </c>
      <c r="O16" s="51" t="n">
        <v>45839</v>
      </c>
      <c r="P16" s="51" t="n">
        <v>45870</v>
      </c>
      <c r="Q16" s="51" t="n">
        <v>45901</v>
      </c>
      <c r="R16" s="52" t="inlineStr">
        <is>
          <t>合計</t>
        </is>
      </c>
      <c r="S16" s="48" t="n">
        <v>45748</v>
      </c>
      <c r="T16" s="51" t="n">
        <v>45778</v>
      </c>
      <c r="U16" s="51" t="n">
        <v>45809</v>
      </c>
      <c r="V16" s="51" t="n">
        <v>45839</v>
      </c>
      <c r="W16" s="51" t="n">
        <v>45870</v>
      </c>
      <c r="X16" s="51" t="n">
        <v>45901</v>
      </c>
      <c r="Y16" s="52" t="inlineStr">
        <is>
          <t>合計</t>
        </is>
      </c>
    </row>
    <row r="17">
      <c r="C17" s="2" t="inlineStr">
        <is>
          <t>0021 集計</t>
        </is>
      </c>
      <c r="D17" s="15" t="inlineStr">
        <is>
          <t>高橋所長</t>
        </is>
      </c>
      <c r="E17" s="72" t="n">
        <v>88</v>
      </c>
      <c r="F17" s="68" t="n">
        <v>12</v>
      </c>
      <c r="G17" s="68" t="n">
        <v>12</v>
      </c>
      <c r="H17" s="68" t="n">
        <v>284</v>
      </c>
      <c r="I17" s="68" t="n">
        <v>12</v>
      </c>
      <c r="J17" s="68" t="n">
        <v>0</v>
      </c>
      <c r="K17" s="59">
        <f>SUM(E17:J17)</f>
        <v/>
      </c>
      <c r="L17" s="72" t="n">
        <v>16</v>
      </c>
      <c r="M17" s="68" t="n">
        <v>1</v>
      </c>
      <c r="N17" s="68" t="n">
        <v>1</v>
      </c>
      <c r="O17" s="68" t="n">
        <v>49</v>
      </c>
      <c r="P17" s="68" t="n">
        <v>1</v>
      </c>
      <c r="Q17" s="68" t="n">
        <v>0</v>
      </c>
      <c r="R17" s="56">
        <f>SUM(L17:Q17)</f>
        <v/>
      </c>
      <c r="S17" s="103">
        <f>IF(E17=0,"***",L17/E17)</f>
        <v/>
      </c>
      <c r="T17" s="104">
        <f>IF(F17=0,"***",M17/F17)</f>
        <v/>
      </c>
      <c r="U17" s="104">
        <f>IF(G17=0,"***",N17/G17)</f>
        <v/>
      </c>
      <c r="V17" s="104">
        <f>IF(H17=0,"***",O17/H17)</f>
        <v/>
      </c>
      <c r="W17" s="104">
        <f>IF(I17=0,"***",P17/I17)</f>
        <v/>
      </c>
      <c r="X17" s="104">
        <f>IF(J17=0,"***",Q17/J17)</f>
        <v/>
      </c>
      <c r="Y17" s="105">
        <f>IF(K17=0,"***",R17/K17)</f>
        <v/>
      </c>
    </row>
    <row r="18">
      <c r="C18" s="2" t="inlineStr">
        <is>
          <t>0024 集計</t>
        </is>
      </c>
      <c r="D18" s="15" t="inlineStr">
        <is>
          <t>東野</t>
        </is>
      </c>
      <c r="E18" s="72" t="n">
        <v>103</v>
      </c>
      <c r="F18" s="68" t="n">
        <v>182</v>
      </c>
      <c r="G18" s="68" t="n">
        <v>53</v>
      </c>
      <c r="H18" s="68" t="n">
        <v>119</v>
      </c>
      <c r="I18" s="68" t="n">
        <v>78</v>
      </c>
      <c r="J18" s="68" t="n">
        <v>36</v>
      </c>
      <c r="K18" s="59">
        <f>SUM(E18:J18)</f>
        <v/>
      </c>
      <c r="L18" s="72" t="n">
        <v>23</v>
      </c>
      <c r="M18" s="68" t="n">
        <v>37</v>
      </c>
      <c r="N18" s="68" t="n">
        <v>7</v>
      </c>
      <c r="O18" s="68" t="n">
        <v>108</v>
      </c>
      <c r="P18" s="68" t="n">
        <v>17</v>
      </c>
      <c r="Q18" s="68" t="n">
        <v>4</v>
      </c>
      <c r="R18" s="56">
        <f>SUM(L18:Q18)</f>
        <v/>
      </c>
      <c r="S18" s="103">
        <f>IF(E18=0,"***",L18/E18)</f>
        <v/>
      </c>
      <c r="T18" s="104">
        <f>IF(F18=0,"***",M18/F18)</f>
        <v/>
      </c>
      <c r="U18" s="104">
        <f>IF(G18=0,"***",N18/G18)</f>
        <v/>
      </c>
      <c r="V18" s="104">
        <f>IF(H18=0,"***",O18/H18)</f>
        <v/>
      </c>
      <c r="W18" s="104">
        <f>IF(I18=0,"***",P18/I18)</f>
        <v/>
      </c>
      <c r="X18" s="104">
        <f>IF(J18=0,"***",Q18/J18)</f>
        <v/>
      </c>
      <c r="Y18" s="105">
        <f>IF(K18=0,"***",R18/K18)</f>
        <v/>
      </c>
    </row>
    <row r="19">
      <c r="C19" s="2" t="inlineStr">
        <is>
          <t>0025 集計</t>
        </is>
      </c>
      <c r="D19" s="15" t="inlineStr">
        <is>
          <t>橋本課長</t>
        </is>
      </c>
      <c r="E19" s="72" t="n">
        <v>1916</v>
      </c>
      <c r="F19" s="68" t="n">
        <v>18</v>
      </c>
      <c r="G19" s="68" t="n">
        <v>54</v>
      </c>
      <c r="H19" s="68" t="n">
        <v>0</v>
      </c>
      <c r="I19" s="68" t="n">
        <v>0</v>
      </c>
      <c r="J19" s="68" t="n">
        <v>108</v>
      </c>
      <c r="K19" s="59">
        <f>SUM(E19:J19)</f>
        <v/>
      </c>
      <c r="L19" s="72" t="n">
        <v>196</v>
      </c>
      <c r="M19" s="68" t="n">
        <v>3</v>
      </c>
      <c r="N19" s="68" t="n">
        <v>5</v>
      </c>
      <c r="O19" s="68" t="n">
        <v>0</v>
      </c>
      <c r="P19" s="68" t="n">
        <v>0</v>
      </c>
      <c r="Q19" s="68" t="n">
        <v>22</v>
      </c>
      <c r="R19" s="56">
        <f>SUM(L19:Q19)</f>
        <v/>
      </c>
      <c r="S19" s="103">
        <f>IF(E19=0,"***",L19/E19)</f>
        <v/>
      </c>
      <c r="T19" s="104">
        <f>IF(F19=0,"***",M19/F19)</f>
        <v/>
      </c>
      <c r="U19" s="104">
        <f>IF(G19=0,"***",N19/G19)</f>
        <v/>
      </c>
      <c r="V19" s="104">
        <f>IF(H19=0,"***",O19/H19)</f>
        <v/>
      </c>
      <c r="W19" s="104">
        <f>IF(I19=0,"***",P19/I19)</f>
        <v/>
      </c>
      <c r="X19" s="104">
        <f>IF(J19=0,"***",Q19/J19)</f>
        <v/>
      </c>
      <c r="Y19" s="105">
        <f>IF(K19=0,"***",R19/K19)</f>
        <v/>
      </c>
    </row>
    <row r="20">
      <c r="C20" s="2" t="inlineStr">
        <is>
          <t>0026 集計</t>
        </is>
      </c>
      <c r="D20" s="15" t="inlineStr">
        <is>
          <t>井上課長</t>
        </is>
      </c>
      <c r="E20" s="72" t="n">
        <v>538</v>
      </c>
      <c r="F20" s="68" t="n">
        <v>86</v>
      </c>
      <c r="G20" s="68" t="n">
        <v>147</v>
      </c>
      <c r="H20" s="68" t="n">
        <v>116</v>
      </c>
      <c r="I20" s="68" t="n">
        <v>94</v>
      </c>
      <c r="J20" s="68" t="n">
        <v>311</v>
      </c>
      <c r="K20" s="59">
        <f>SUM(E20:J20)</f>
        <v/>
      </c>
      <c r="L20" s="72" t="n">
        <v>55</v>
      </c>
      <c r="M20" s="68" t="n">
        <v>10</v>
      </c>
      <c r="N20" s="68" t="n">
        <v>27</v>
      </c>
      <c r="O20" s="68" t="n">
        <v>15</v>
      </c>
      <c r="P20" s="68" t="n">
        <v>9</v>
      </c>
      <c r="Q20" s="68" t="n">
        <v>17</v>
      </c>
      <c r="R20" s="56">
        <f>SUM(L20:Q20)</f>
        <v/>
      </c>
      <c r="S20" s="103">
        <f>IF(E20=0,"***",L20/E20)</f>
        <v/>
      </c>
      <c r="T20" s="104">
        <f>IF(F20=0,"***",M20/F20)</f>
        <v/>
      </c>
      <c r="U20" s="104">
        <f>IF(G20=0,"***",N20/G20)</f>
        <v/>
      </c>
      <c r="V20" s="104">
        <f>IF(H20=0,"***",O20/H20)</f>
        <v/>
      </c>
      <c r="W20" s="104">
        <f>IF(I20=0,"***",P20/I20)</f>
        <v/>
      </c>
      <c r="X20" s="104">
        <f>IF(J20=0,"***",Q20/J20)</f>
        <v/>
      </c>
      <c r="Y20" s="105">
        <f>IF(K20=0,"***",R20/K20)</f>
        <v/>
      </c>
    </row>
    <row r="21">
      <c r="C21" s="2" t="inlineStr">
        <is>
          <t>0027 集計</t>
        </is>
      </c>
      <c r="D21" s="15" t="inlineStr">
        <is>
          <t>中国</t>
        </is>
      </c>
      <c r="E21" s="3" t="n"/>
      <c r="F21" s="3" t="n"/>
      <c r="G21" s="3" t="n"/>
      <c r="H21" s="3" t="n"/>
      <c r="I21" s="3" t="n"/>
      <c r="J21" s="3" t="n"/>
      <c r="K21" s="59">
        <f>SUM(E21:J21)</f>
        <v/>
      </c>
      <c r="L21" s="2" t="n"/>
      <c r="M21" s="3" t="n"/>
      <c r="N21" s="3" t="n"/>
      <c r="O21" s="3" t="n"/>
      <c r="P21" s="3" t="n"/>
      <c r="Q21" s="3" t="n"/>
      <c r="R21" s="56">
        <f>SUM(L21:Q21)</f>
        <v/>
      </c>
      <c r="S21" s="103">
        <f>IF(E21=0,"***",L21/E21)</f>
        <v/>
      </c>
      <c r="T21" s="104">
        <f>IF(F21=0,"***",M21/F21)</f>
        <v/>
      </c>
      <c r="U21" s="104">
        <f>IF(G21=0,"***",N21/G21)</f>
        <v/>
      </c>
      <c r="V21" s="104">
        <f>IF(H21=0,"***",O21/H21)</f>
        <v/>
      </c>
      <c r="W21" s="104">
        <f>IF(I21=0,"***",P21/I21)</f>
        <v/>
      </c>
      <c r="X21" s="104">
        <f>IF(J21=0,"***",Q21/J21)</f>
        <v/>
      </c>
      <c r="Y21" s="105">
        <f>IF(K21=0,"***",R21/K21)</f>
        <v/>
      </c>
    </row>
    <row r="22">
      <c r="C22" s="71" t="inlineStr">
        <is>
          <t>0028 集計</t>
        </is>
      </c>
      <c r="D22" s="15" t="inlineStr">
        <is>
          <t>自治体</t>
        </is>
      </c>
      <c r="E22" s="3" t="n"/>
      <c r="F22" s="3" t="n"/>
      <c r="G22" s="3" t="n"/>
      <c r="H22" s="3" t="n"/>
      <c r="I22" s="3" t="n"/>
      <c r="J22" s="3" t="n"/>
      <c r="K22" s="59">
        <f>SUM(E22:J22)</f>
        <v/>
      </c>
      <c r="L22" s="2" t="n"/>
      <c r="M22" s="3" t="n"/>
      <c r="N22" s="3" t="n"/>
      <c r="O22" s="3" t="n"/>
      <c r="P22" s="3" t="n"/>
      <c r="Q22" s="3" t="n"/>
      <c r="R22" s="56">
        <f>SUM(L22:Q22)</f>
        <v/>
      </c>
      <c r="S22" s="103" t="n"/>
      <c r="T22" s="104" t="n"/>
      <c r="U22" s="104" t="n"/>
      <c r="V22" s="104" t="n"/>
      <c r="W22" s="104" t="n"/>
      <c r="X22" s="104" t="n"/>
      <c r="Y22" s="105" t="n"/>
    </row>
    <row r="23">
      <c r="C23" s="2" t="inlineStr">
        <is>
          <t>0029 集計</t>
        </is>
      </c>
      <c r="D23" s="15" t="inlineStr">
        <is>
          <t>その他</t>
        </is>
      </c>
      <c r="E23" s="3" t="n"/>
      <c r="F23" s="3" t="n"/>
      <c r="G23" s="3" t="n"/>
      <c r="H23" s="3" t="n"/>
      <c r="I23" s="3" t="n"/>
      <c r="J23" s="3" t="n"/>
      <c r="K23" s="59">
        <f>SUM(E23:J23)</f>
        <v/>
      </c>
      <c r="L23" s="2" t="n"/>
      <c r="M23" s="3" t="n"/>
      <c r="N23" s="3" t="n"/>
      <c r="O23" s="3" t="n"/>
      <c r="P23" s="3" t="n"/>
      <c r="Q23" s="3" t="n"/>
      <c r="R23" s="56">
        <f>SUM(L23:Q23)</f>
        <v/>
      </c>
      <c r="S23" s="103">
        <f>IF(E23=0,"***",L23/E23)</f>
        <v/>
      </c>
      <c r="T23" s="104">
        <f>IF(F23=0,"***",M23/F23)</f>
        <v/>
      </c>
      <c r="U23" s="104">
        <f>IF(G23=0,"***",N23/G23)</f>
        <v/>
      </c>
      <c r="V23" s="104">
        <f>IF(H23=0,"***",O23/H23)</f>
        <v/>
      </c>
      <c r="W23" s="104">
        <f>IF(I23=0,"***",P23/I23)</f>
        <v/>
      </c>
      <c r="X23" s="104">
        <f>IF(J23=0,"***",Q23/J23)</f>
        <v/>
      </c>
      <c r="Y23" s="105">
        <f>IF(K23=0,"***",R23/K23)</f>
        <v/>
      </c>
    </row>
    <row r="24">
      <c r="C24" s="4" t="inlineStr">
        <is>
          <t>合計</t>
        </is>
      </c>
      <c r="D24" s="16" t="n"/>
      <c r="E24" s="6">
        <f>SUM(E17:E23)</f>
        <v/>
      </c>
      <c r="F24" s="6">
        <f>SUM(F17:F23)</f>
        <v/>
      </c>
      <c r="G24" s="6">
        <f>SUM(G17:G23)</f>
        <v/>
      </c>
      <c r="H24" s="6">
        <f>SUM(H17:H23)</f>
        <v/>
      </c>
      <c r="I24" s="6">
        <f>SUM(I17:I23)</f>
        <v/>
      </c>
      <c r="J24" s="6">
        <f>SUM(J17:J23)</f>
        <v/>
      </c>
      <c r="K24" s="60">
        <f>SUM(E24:J24)</f>
        <v/>
      </c>
      <c r="L24" s="49">
        <f>SUM(L17:L23)</f>
        <v/>
      </c>
      <c r="M24" s="6">
        <f>SUM(M17:M23)</f>
        <v/>
      </c>
      <c r="N24" s="6">
        <f>SUM(N17:N23)</f>
        <v/>
      </c>
      <c r="O24" s="6">
        <f>SUM(O17:O23)</f>
        <v/>
      </c>
      <c r="P24" s="6">
        <f>SUM(P17:P23)</f>
        <v/>
      </c>
      <c r="Q24" s="6">
        <f>SUM(Q17:Q23)</f>
        <v/>
      </c>
      <c r="R24" s="50">
        <f>SUM(L24:Q24)</f>
        <v/>
      </c>
      <c r="S24" s="106">
        <f>IF(E24=0,"***",L24/E24)</f>
        <v/>
      </c>
      <c r="T24" s="107">
        <f>IF(F24=0,"***",M24/F24)</f>
        <v/>
      </c>
      <c r="U24" s="107">
        <f>IF(G24=0,"***",N24/G24)</f>
        <v/>
      </c>
      <c r="V24" s="107">
        <f>IF(H24=0,"***",O24/H24)</f>
        <v/>
      </c>
      <c r="W24" s="107">
        <f>IF(I24=0,"***",P24/I24)</f>
        <v/>
      </c>
      <c r="X24" s="107">
        <f>IF(J24=0,"***",Q24/J24)</f>
        <v/>
      </c>
      <c r="Y24" s="108">
        <f>IF(K24=0,"***",R24/K24)</f>
        <v/>
      </c>
    </row>
    <row r="25">
      <c r="C25" s="12" t="n"/>
      <c r="E25" s="11" t="n"/>
      <c r="F25" s="11" t="n"/>
      <c r="G25" s="11" t="n"/>
      <c r="H25" s="11" t="n"/>
      <c r="I25" s="11" t="n"/>
      <c r="J25" s="11" t="n"/>
      <c r="K25" s="12" t="n"/>
      <c r="L25" s="11" t="n"/>
      <c r="M25" s="11" t="n"/>
      <c r="N25" s="11" t="n"/>
      <c r="O25" s="11" t="n"/>
      <c r="P25" s="11" t="n"/>
      <c r="Q25" s="11" t="n"/>
      <c r="R25" s="12" t="n"/>
      <c r="S25" s="109" t="n"/>
      <c r="T25" s="109" t="n"/>
      <c r="U25" s="109" t="n"/>
      <c r="V25" s="109" t="n"/>
      <c r="W25" s="109" t="n"/>
      <c r="X25" s="109" t="n"/>
      <c r="Y25" s="109" t="n"/>
    </row>
    <row r="26">
      <c r="C26" s="12" t="inlineStr">
        <is>
          <t>3．過年度平均</t>
        </is>
      </c>
    </row>
    <row r="27">
      <c r="C27" s="86" t="n"/>
      <c r="D27" s="85" t="n"/>
      <c r="E27" s="88" t="inlineStr">
        <is>
          <t>売上</t>
        </is>
      </c>
      <c r="F27" s="84" t="n"/>
      <c r="G27" s="84" t="n"/>
      <c r="H27" s="84" t="n"/>
      <c r="I27" s="84" t="n"/>
      <c r="J27" s="84" t="n"/>
      <c r="K27" s="84" t="n"/>
      <c r="L27" s="83" t="inlineStr">
        <is>
          <t>粗利益</t>
        </is>
      </c>
      <c r="M27" s="84" t="n"/>
      <c r="N27" s="84" t="n"/>
      <c r="O27" s="84" t="n"/>
      <c r="P27" s="84" t="n"/>
      <c r="Q27" s="84" t="n"/>
      <c r="R27" s="85" t="n"/>
      <c r="S27" s="87" t="inlineStr">
        <is>
          <t>粗利益率</t>
        </is>
      </c>
      <c r="T27" s="84" t="n"/>
      <c r="U27" s="84" t="n"/>
      <c r="V27" s="84" t="n"/>
      <c r="W27" s="84" t="n"/>
      <c r="X27" s="84" t="n"/>
      <c r="Y27" s="85" t="n"/>
    </row>
    <row r="28">
      <c r="C28" s="1" t="n"/>
      <c r="D28" s="14" t="n"/>
      <c r="E28" s="51" t="n">
        <v>45748</v>
      </c>
      <c r="F28" s="51" t="n">
        <v>45778</v>
      </c>
      <c r="G28" s="51" t="n">
        <v>45809</v>
      </c>
      <c r="H28" s="51" t="n">
        <v>45839</v>
      </c>
      <c r="I28" s="51" t="n">
        <v>45870</v>
      </c>
      <c r="J28" s="51" t="n">
        <v>45901</v>
      </c>
      <c r="K28" s="55" t="inlineStr">
        <is>
          <t>合計</t>
        </is>
      </c>
      <c r="L28" s="54" t="n">
        <v>45748</v>
      </c>
      <c r="M28" s="51" t="n">
        <v>45778</v>
      </c>
      <c r="N28" s="51" t="n">
        <v>45809</v>
      </c>
      <c r="O28" s="51" t="n">
        <v>45839</v>
      </c>
      <c r="P28" s="51" t="n">
        <v>45870</v>
      </c>
      <c r="Q28" s="51" t="n">
        <v>45901</v>
      </c>
      <c r="R28" s="52" t="inlineStr">
        <is>
          <t>合計</t>
        </is>
      </c>
      <c r="S28" s="48" t="n">
        <v>45748</v>
      </c>
      <c r="T28" s="51" t="n">
        <v>45778</v>
      </c>
      <c r="U28" s="51" t="n">
        <v>45809</v>
      </c>
      <c r="V28" s="51" t="n">
        <v>45839</v>
      </c>
      <c r="W28" s="51" t="n">
        <v>45870</v>
      </c>
      <c r="X28" s="51" t="n">
        <v>45901</v>
      </c>
      <c r="Y28" s="52" t="inlineStr">
        <is>
          <t>合計</t>
        </is>
      </c>
    </row>
    <row r="29">
      <c r="C29" s="2" t="inlineStr">
        <is>
          <t>0021 集計</t>
        </is>
      </c>
      <c r="D29" s="15" t="inlineStr">
        <is>
          <t>高橋所長</t>
        </is>
      </c>
      <c r="E29" s="3">
        <f>(E17+E5)/2</f>
        <v/>
      </c>
      <c r="F29" s="3">
        <f>(F17+F5)/2</f>
        <v/>
      </c>
      <c r="G29" s="3">
        <f>(G17+G5)/2</f>
        <v/>
      </c>
      <c r="H29" s="3">
        <f>(H17+H5)/2</f>
        <v/>
      </c>
      <c r="I29" s="3">
        <f>(I17+I5)/2</f>
        <v/>
      </c>
      <c r="J29" s="3">
        <f>(J17+J5)/2</f>
        <v/>
      </c>
      <c r="K29" s="59">
        <f>SUM(E29:J29)</f>
        <v/>
      </c>
      <c r="L29" s="2">
        <f>(L17+L5)/2</f>
        <v/>
      </c>
      <c r="M29" s="3">
        <f>(M17+M5)/2</f>
        <v/>
      </c>
      <c r="N29" s="3">
        <f>(N17+N5)/2</f>
        <v/>
      </c>
      <c r="O29" s="3">
        <f>(O17+O5)/2</f>
        <v/>
      </c>
      <c r="P29" s="3">
        <f>(P17+P5)/2</f>
        <v/>
      </c>
      <c r="Q29" s="3">
        <f>(Q17+Q5)/2</f>
        <v/>
      </c>
      <c r="R29" s="56">
        <f>SUM(L29:Q29)</f>
        <v/>
      </c>
      <c r="S29" s="103">
        <f>IF(E29=0,"***",L29/E29)</f>
        <v/>
      </c>
      <c r="T29" s="104">
        <f>IF(F29=0,"***",M29/F29)</f>
        <v/>
      </c>
      <c r="U29" s="104">
        <f>IF(G29=0,"***",N29/G29)</f>
        <v/>
      </c>
      <c r="V29" s="104">
        <f>IF(H29=0,"***",O29/H29)</f>
        <v/>
      </c>
      <c r="W29" s="104">
        <f>IF(I29=0,"***",P29/I29)</f>
        <v/>
      </c>
      <c r="X29" s="104">
        <f>IF(J29=0,"***",Q29/J29)</f>
        <v/>
      </c>
      <c r="Y29" s="105">
        <f>IF(K29=0,"***",R29/K29)</f>
        <v/>
      </c>
    </row>
    <row r="30">
      <c r="C30" s="2" t="inlineStr">
        <is>
          <t>0024 集計</t>
        </is>
      </c>
      <c r="D30" s="15" t="inlineStr">
        <is>
          <t>東野</t>
        </is>
      </c>
      <c r="E30" s="3">
        <f>(E18+E6)/2</f>
        <v/>
      </c>
      <c r="F30" s="3">
        <f>(F18+F6)/2</f>
        <v/>
      </c>
      <c r="G30" s="3">
        <f>(G18+G6)/2</f>
        <v/>
      </c>
      <c r="H30" s="3">
        <f>(H18+H6)/2</f>
        <v/>
      </c>
      <c r="I30" s="3">
        <f>(I18+I6)/2</f>
        <v/>
      </c>
      <c r="J30" s="3">
        <f>(J18+J6)/2</f>
        <v/>
      </c>
      <c r="K30" s="59">
        <f>SUM(E30:J30)</f>
        <v/>
      </c>
      <c r="L30" s="2">
        <f>(L18+L6)/2</f>
        <v/>
      </c>
      <c r="M30" s="3">
        <f>(M18+M6)/2</f>
        <v/>
      </c>
      <c r="N30" s="3">
        <f>(N18+N6)/2</f>
        <v/>
      </c>
      <c r="O30" s="3">
        <f>(O18+O6)/2</f>
        <v/>
      </c>
      <c r="P30" s="3">
        <f>(P18+P6)/2</f>
        <v/>
      </c>
      <c r="Q30" s="3">
        <f>(Q18+Q6)/2</f>
        <v/>
      </c>
      <c r="R30" s="56">
        <f>SUM(L30:Q30)</f>
        <v/>
      </c>
      <c r="S30" s="103">
        <f>IF(E30=0,"***",L30/E30)</f>
        <v/>
      </c>
      <c r="T30" s="104">
        <f>IF(F30=0,"***",M30/F30)</f>
        <v/>
      </c>
      <c r="U30" s="104">
        <f>IF(G30=0,"***",N30/G30)</f>
        <v/>
      </c>
      <c r="V30" s="104">
        <f>IF(H30=0,"***",O30/H30)</f>
        <v/>
      </c>
      <c r="W30" s="104">
        <f>IF(I30=0,"***",P30/I30)</f>
        <v/>
      </c>
      <c r="X30" s="104">
        <f>IF(J30=0,"***",Q30/J30)</f>
        <v/>
      </c>
      <c r="Y30" s="105">
        <f>IF(K30=0,"***",R30/K30)</f>
        <v/>
      </c>
    </row>
    <row r="31">
      <c r="C31" s="2" t="inlineStr">
        <is>
          <t>0025 集計</t>
        </is>
      </c>
      <c r="D31" s="15" t="inlineStr">
        <is>
          <t>橋本課長</t>
        </is>
      </c>
      <c r="E31" s="3">
        <f>(E19+E7)/2</f>
        <v/>
      </c>
      <c r="F31" s="3">
        <f>(F19+F7)/2</f>
        <v/>
      </c>
      <c r="G31" s="3">
        <f>(G19+G7)/2</f>
        <v/>
      </c>
      <c r="H31" s="3">
        <f>(H19+H7)/2</f>
        <v/>
      </c>
      <c r="I31" s="3">
        <f>(I19+I7)/2</f>
        <v/>
      </c>
      <c r="J31" s="3">
        <f>(J19+J7)/2</f>
        <v/>
      </c>
      <c r="K31" s="59">
        <f>SUM(E31:J31)</f>
        <v/>
      </c>
      <c r="L31" s="2">
        <f>(L19+L7)/2</f>
        <v/>
      </c>
      <c r="M31" s="3">
        <f>(M19+M7)/2</f>
        <v/>
      </c>
      <c r="N31" s="3">
        <f>(N19+N7)/2</f>
        <v/>
      </c>
      <c r="O31" s="3">
        <f>(O19+O7)/2</f>
        <v/>
      </c>
      <c r="P31" s="3">
        <f>(P19+P7)/2</f>
        <v/>
      </c>
      <c r="Q31" s="3">
        <f>(Q19+Q7)/2</f>
        <v/>
      </c>
      <c r="R31" s="56">
        <f>SUM(L31:Q31)</f>
        <v/>
      </c>
      <c r="S31" s="103">
        <f>IF(E31=0,"***",L31/E31)</f>
        <v/>
      </c>
      <c r="T31" s="104">
        <f>IF(F31=0,"***",M31/F31)</f>
        <v/>
      </c>
      <c r="U31" s="104">
        <f>IF(G31=0,"***",N31/G31)</f>
        <v/>
      </c>
      <c r="V31" s="104">
        <f>IF(H31=0,"***",O31/H31)</f>
        <v/>
      </c>
      <c r="W31" s="104">
        <f>IF(I31=0,"***",P31/I31)</f>
        <v/>
      </c>
      <c r="X31" s="104">
        <f>IF(J31=0,"***",Q31/J31)</f>
        <v/>
      </c>
      <c r="Y31" s="105">
        <f>IF(K31=0,"***",R31/K31)</f>
        <v/>
      </c>
    </row>
    <row r="32">
      <c r="C32" s="2" t="inlineStr">
        <is>
          <t>0026 集計</t>
        </is>
      </c>
      <c r="D32" s="15" t="inlineStr">
        <is>
          <t>井上課長</t>
        </is>
      </c>
      <c r="E32" s="3">
        <f>(E20+E8)/2</f>
        <v/>
      </c>
      <c r="F32" s="3">
        <f>(F20+F8)/2</f>
        <v/>
      </c>
      <c r="G32" s="3">
        <f>(G20+G8)/2</f>
        <v/>
      </c>
      <c r="H32" s="3">
        <f>(H20+H8)/2</f>
        <v/>
      </c>
      <c r="I32" s="3">
        <f>(I20+I8)/2</f>
        <v/>
      </c>
      <c r="J32" s="3">
        <f>(J20+J8)/2</f>
        <v/>
      </c>
      <c r="K32" s="59">
        <f>SUM(E32:J32)</f>
        <v/>
      </c>
      <c r="L32" s="2">
        <f>(L20+L8)/2</f>
        <v/>
      </c>
      <c r="M32" s="3">
        <f>(M20+M8)/2</f>
        <v/>
      </c>
      <c r="N32" s="3">
        <f>(N20+N8)/2</f>
        <v/>
      </c>
      <c r="O32" s="3">
        <f>(O20+O8)/2</f>
        <v/>
      </c>
      <c r="P32" s="3">
        <f>(P20+P8)/2</f>
        <v/>
      </c>
      <c r="Q32" s="3">
        <f>(Q20+Q8)/2</f>
        <v/>
      </c>
      <c r="R32" s="56">
        <f>SUM(L32:Q32)</f>
        <v/>
      </c>
      <c r="S32" s="103">
        <f>IF(E32=0,"***",L32/E32)</f>
        <v/>
      </c>
      <c r="T32" s="104">
        <f>IF(F32=0,"***",M32/F32)</f>
        <v/>
      </c>
      <c r="U32" s="104">
        <f>IF(G32=0,"***",N32/G32)</f>
        <v/>
      </c>
      <c r="V32" s="104">
        <f>IF(H32=0,"***",O32/H32)</f>
        <v/>
      </c>
      <c r="W32" s="104">
        <f>IF(I32=0,"***",P32/I32)</f>
        <v/>
      </c>
      <c r="X32" s="104">
        <f>IF(J32=0,"***",Q32/J32)</f>
        <v/>
      </c>
      <c r="Y32" s="105">
        <f>IF(K32=0,"***",R32/K32)</f>
        <v/>
      </c>
    </row>
    <row r="33">
      <c r="C33" s="2" t="inlineStr">
        <is>
          <t>0027 集計</t>
        </is>
      </c>
      <c r="D33" s="15" t="inlineStr">
        <is>
          <t>中国</t>
        </is>
      </c>
      <c r="E33" s="3">
        <f>(E21+E9)/2</f>
        <v/>
      </c>
      <c r="F33" s="3">
        <f>(F21+F9)/2</f>
        <v/>
      </c>
      <c r="G33" s="3">
        <f>(G21+G9)/2</f>
        <v/>
      </c>
      <c r="H33" s="3">
        <f>(H21+H9)/2</f>
        <v/>
      </c>
      <c r="I33" s="3">
        <f>(I21+I9)/2</f>
        <v/>
      </c>
      <c r="J33" s="3">
        <f>(J21+J9)/2</f>
        <v/>
      </c>
      <c r="K33" s="59">
        <f>SUM(E33:J33)</f>
        <v/>
      </c>
      <c r="L33" s="2">
        <f>(L21+L9)/2</f>
        <v/>
      </c>
      <c r="M33" s="3">
        <f>(M21+M9)/2</f>
        <v/>
      </c>
      <c r="N33" s="3">
        <f>(N21+N9)/2</f>
        <v/>
      </c>
      <c r="O33" s="3">
        <f>(O21+O9)/2</f>
        <v/>
      </c>
      <c r="P33" s="3">
        <f>(P21+P9)/2</f>
        <v/>
      </c>
      <c r="Q33" s="3">
        <f>(Q21+Q9)/2</f>
        <v/>
      </c>
      <c r="R33" s="56">
        <f>SUM(L33:Q33)</f>
        <v/>
      </c>
      <c r="S33" s="103">
        <f>IF(E33=0,"***",L33/E33)</f>
        <v/>
      </c>
      <c r="T33" s="104">
        <f>IF(F33=0,"***",M33/F33)</f>
        <v/>
      </c>
      <c r="U33" s="104">
        <f>IF(G33=0,"***",N33/G33)</f>
        <v/>
      </c>
      <c r="V33" s="104">
        <f>IF(H33=0,"***",O33/H33)</f>
        <v/>
      </c>
      <c r="W33" s="104">
        <f>IF(I33=0,"***",P33/I33)</f>
        <v/>
      </c>
      <c r="X33" s="104">
        <f>IF(J33=0,"***",Q33/J33)</f>
        <v/>
      </c>
      <c r="Y33" s="105">
        <f>IF(K33=0,"***",R33/K33)</f>
        <v/>
      </c>
    </row>
    <row r="34">
      <c r="C34" s="71" t="inlineStr">
        <is>
          <t>0028 集計</t>
        </is>
      </c>
      <c r="D34" s="15" t="inlineStr">
        <is>
          <t>自治体</t>
        </is>
      </c>
      <c r="E34" s="3" t="n"/>
      <c r="F34" s="3" t="n"/>
      <c r="G34" s="3" t="n"/>
      <c r="H34" s="3" t="n"/>
      <c r="I34" s="3" t="n"/>
      <c r="J34" s="3" t="n"/>
      <c r="K34" s="59" t="n"/>
      <c r="L34" s="2" t="n"/>
      <c r="M34" s="3" t="n"/>
      <c r="N34" s="3" t="n"/>
      <c r="O34" s="3" t="n"/>
      <c r="P34" s="3" t="n"/>
      <c r="Q34" s="3" t="n"/>
      <c r="R34" s="56" t="n"/>
      <c r="S34" s="103" t="n"/>
      <c r="T34" s="104" t="n"/>
      <c r="U34" s="104" t="n"/>
      <c r="V34" s="104" t="n"/>
      <c r="W34" s="104" t="n"/>
      <c r="X34" s="104" t="n"/>
      <c r="Y34" s="105" t="n"/>
    </row>
    <row r="35">
      <c r="C35" s="2" t="inlineStr">
        <is>
          <t>0029 集計</t>
        </is>
      </c>
      <c r="D35" s="15" t="inlineStr">
        <is>
          <t>その他</t>
        </is>
      </c>
      <c r="E35" s="3">
        <f>(E23+E11)/2</f>
        <v/>
      </c>
      <c r="F35" s="3">
        <f>(F23+F11)/2</f>
        <v/>
      </c>
      <c r="G35" s="3">
        <f>(G23+G11)/2</f>
        <v/>
      </c>
      <c r="H35" s="3">
        <f>(H23+H11)/2</f>
        <v/>
      </c>
      <c r="I35" s="3">
        <f>(I23+I11)/2</f>
        <v/>
      </c>
      <c r="J35" s="3">
        <f>(J23+J11)/2</f>
        <v/>
      </c>
      <c r="K35" s="59">
        <f>SUM(E35:J35)</f>
        <v/>
      </c>
      <c r="L35" s="2">
        <f>(L23+L11)/2</f>
        <v/>
      </c>
      <c r="M35" s="3">
        <f>(M23+M11)/2</f>
        <v/>
      </c>
      <c r="N35" s="3">
        <f>(N23+N11)/2</f>
        <v/>
      </c>
      <c r="O35" s="3">
        <f>(O23+O11)/2</f>
        <v/>
      </c>
      <c r="P35" s="3">
        <f>(P23+P11)/2</f>
        <v/>
      </c>
      <c r="Q35" s="3">
        <f>(Q23+Q11)/2</f>
        <v/>
      </c>
      <c r="R35" s="56">
        <f>SUM(L35:Q35)</f>
        <v/>
      </c>
      <c r="S35" s="103">
        <f>IF(E35=0,"***",L35/E35)</f>
        <v/>
      </c>
      <c r="T35" s="104">
        <f>IF(F35=0,"***",M35/F35)</f>
        <v/>
      </c>
      <c r="U35" s="104">
        <f>IF(G35=0,"***",N35/G35)</f>
        <v/>
      </c>
      <c r="V35" s="104">
        <f>IF(H35=0,"***",O35/H35)</f>
        <v/>
      </c>
      <c r="W35" s="104">
        <f>IF(I35=0,"***",P35/I35)</f>
        <v/>
      </c>
      <c r="X35" s="104">
        <f>IF(J35=0,"***",Q35/J35)</f>
        <v/>
      </c>
      <c r="Y35" s="105">
        <f>IF(K35=0,"***",R35/K35)</f>
        <v/>
      </c>
    </row>
    <row r="36">
      <c r="C36" s="4" t="inlineStr">
        <is>
          <t>合計</t>
        </is>
      </c>
      <c r="D36" s="16" t="n"/>
      <c r="E36" s="6">
        <f>SUM(E29:E35)</f>
        <v/>
      </c>
      <c r="F36" s="6">
        <f>SUM(F29:F35)</f>
        <v/>
      </c>
      <c r="G36" s="6">
        <f>SUM(G29:G35)</f>
        <v/>
      </c>
      <c r="H36" s="6">
        <f>SUM(H29:H35)</f>
        <v/>
      </c>
      <c r="I36" s="6">
        <f>SUM(I29:I35)</f>
        <v/>
      </c>
      <c r="J36" s="6">
        <f>SUM(J29:J35)</f>
        <v/>
      </c>
      <c r="K36" s="60">
        <f>SUM(E36:J36)</f>
        <v/>
      </c>
      <c r="L36" s="49">
        <f>SUM(L29:L35)</f>
        <v/>
      </c>
      <c r="M36" s="6">
        <f>SUM(M29:M35)</f>
        <v/>
      </c>
      <c r="N36" s="6">
        <f>SUM(N29:N35)</f>
        <v/>
      </c>
      <c r="O36" s="6">
        <f>SUM(O29:O35)</f>
        <v/>
      </c>
      <c r="P36" s="6">
        <f>SUM(P29:P35)</f>
        <v/>
      </c>
      <c r="Q36" s="6">
        <f>SUM(Q29:Q35)</f>
        <v/>
      </c>
      <c r="R36" s="50">
        <f>SUM(L36:Q36)</f>
        <v/>
      </c>
      <c r="S36" s="106">
        <f>IF(E36=0,"***",L36/E36)</f>
        <v/>
      </c>
      <c r="T36" s="107">
        <f>IF(F36=0,"***",M36/F36)</f>
        <v/>
      </c>
      <c r="U36" s="107">
        <f>IF(G36=0,"***",N36/G36)</f>
        <v/>
      </c>
      <c r="V36" s="107">
        <f>IF(H36=0,"***",O36/H36)</f>
        <v/>
      </c>
      <c r="W36" s="107">
        <f>IF(I36=0,"***",P36/I36)</f>
        <v/>
      </c>
      <c r="X36" s="107">
        <f>IF(J36=0,"***",Q36/J36)</f>
        <v/>
      </c>
      <c r="Y36" s="108">
        <f>IF(K36=0,"***",R36/K36)</f>
        <v/>
      </c>
    </row>
    <row r="37">
      <c r="C37" s="12" t="n"/>
      <c r="E37" s="11" t="n"/>
      <c r="F37" s="11" t="n"/>
      <c r="G37" s="11" t="n"/>
      <c r="H37" s="11" t="n"/>
      <c r="I37" s="11" t="n"/>
      <c r="J37" s="11" t="n"/>
      <c r="K37" s="12" t="n"/>
      <c r="L37" s="11" t="n"/>
      <c r="M37" s="11" t="n"/>
      <c r="N37" s="11" t="n"/>
      <c r="O37" s="11" t="n"/>
      <c r="P37" s="11" t="n"/>
      <c r="Q37" s="11" t="n"/>
      <c r="R37" s="12" t="n"/>
      <c r="S37" s="109" t="n"/>
      <c r="T37" s="109" t="n"/>
      <c r="U37" s="109" t="n"/>
      <c r="V37" s="109" t="n"/>
      <c r="W37" s="109" t="n"/>
      <c r="X37" s="109" t="n"/>
      <c r="Y37" s="109" t="n"/>
    </row>
    <row r="38">
      <c r="C38" s="12" t="inlineStr">
        <is>
          <t>4．計画</t>
        </is>
      </c>
    </row>
    <row r="39">
      <c r="C39" s="86" t="n"/>
      <c r="D39" s="85" t="n"/>
      <c r="E39" s="86" t="inlineStr">
        <is>
          <t>売上</t>
        </is>
      </c>
      <c r="F39" s="84" t="n"/>
      <c r="G39" s="84" t="n"/>
      <c r="H39" s="84" t="n"/>
      <c r="I39" s="84" t="n"/>
      <c r="J39" s="84" t="n"/>
      <c r="K39" s="85" t="n"/>
      <c r="L39" s="87" t="inlineStr">
        <is>
          <t>粗利益</t>
        </is>
      </c>
      <c r="M39" s="84" t="n"/>
      <c r="N39" s="84" t="n"/>
      <c r="O39" s="84" t="n"/>
      <c r="P39" s="84" t="n"/>
      <c r="Q39" s="84" t="n"/>
      <c r="R39" s="85" t="n"/>
      <c r="S39" s="87" t="inlineStr">
        <is>
          <t>粗利益率</t>
        </is>
      </c>
      <c r="T39" s="84" t="n"/>
      <c r="U39" s="84" t="n"/>
      <c r="V39" s="84" t="n"/>
      <c r="W39" s="84" t="n"/>
      <c r="X39" s="84" t="n"/>
      <c r="Y39" s="85" t="n"/>
    </row>
    <row r="40">
      <c r="C40" s="1" t="n"/>
      <c r="D40" s="14" t="n"/>
      <c r="E40" s="54" t="n">
        <v>46113</v>
      </c>
      <c r="F40" s="51" t="n">
        <v>46143</v>
      </c>
      <c r="G40" s="51" t="n">
        <v>46174</v>
      </c>
      <c r="H40" s="51" t="n">
        <v>46204</v>
      </c>
      <c r="I40" s="51" t="n">
        <v>46235</v>
      </c>
      <c r="J40" s="51" t="n">
        <v>46266</v>
      </c>
      <c r="K40" s="52" t="inlineStr">
        <is>
          <t>合計</t>
        </is>
      </c>
      <c r="L40" s="48" t="n">
        <v>46113</v>
      </c>
      <c r="M40" s="51" t="n">
        <v>46143</v>
      </c>
      <c r="N40" s="51" t="n">
        <v>46174</v>
      </c>
      <c r="O40" s="51" t="n">
        <v>46204</v>
      </c>
      <c r="P40" s="51" t="n">
        <v>46235</v>
      </c>
      <c r="Q40" s="51" t="n">
        <v>46266</v>
      </c>
      <c r="R40" s="52" t="inlineStr">
        <is>
          <t>合計</t>
        </is>
      </c>
      <c r="S40" s="48" t="n">
        <v>46113</v>
      </c>
      <c r="T40" s="51" t="n">
        <v>46143</v>
      </c>
      <c r="U40" s="51" t="n">
        <v>46174</v>
      </c>
      <c r="V40" s="51" t="n">
        <v>46204</v>
      </c>
      <c r="W40" s="51" t="n">
        <v>46235</v>
      </c>
      <c r="X40" s="51" t="n">
        <v>46266</v>
      </c>
      <c r="Y40" s="52" t="inlineStr">
        <is>
          <t>合計</t>
        </is>
      </c>
    </row>
    <row r="41">
      <c r="C41" s="2" t="inlineStr">
        <is>
          <t>0021 集計</t>
        </is>
      </c>
      <c r="D41" s="15" t="inlineStr">
        <is>
          <t>高橋所長</t>
        </is>
      </c>
      <c r="E41" s="3" t="n">
        <v>150</v>
      </c>
      <c r="F41" s="3" t="n">
        <v>150</v>
      </c>
      <c r="G41" s="3" t="n">
        <v>150</v>
      </c>
      <c r="H41" s="3" t="n">
        <v>150</v>
      </c>
      <c r="I41" s="3" t="n">
        <v>150</v>
      </c>
      <c r="J41" s="3" t="n">
        <v>150</v>
      </c>
      <c r="K41" s="59">
        <f>SUM(E41:J41)</f>
        <v/>
      </c>
      <c r="L41" s="2" t="n">
        <v>25</v>
      </c>
      <c r="M41" s="3" t="n">
        <v>25</v>
      </c>
      <c r="N41" s="3" t="n">
        <v>25</v>
      </c>
      <c r="O41" s="3" t="n">
        <v>25</v>
      </c>
      <c r="P41" s="3" t="n">
        <v>25</v>
      </c>
      <c r="Q41" s="3" t="n">
        <v>25</v>
      </c>
      <c r="R41" s="56">
        <f>SUM(L41:Q41)</f>
        <v/>
      </c>
      <c r="S41" s="103">
        <f>IF(E41=0,"***",L41/E41)</f>
        <v/>
      </c>
      <c r="T41" s="104">
        <f>IF(F41=0,"***",M41/F41)</f>
        <v/>
      </c>
      <c r="U41" s="104">
        <f>IF(G41=0,"***",N41/G41)</f>
        <v/>
      </c>
      <c r="V41" s="104">
        <f>IF(H41=0,"***",O41/H41)</f>
        <v/>
      </c>
      <c r="W41" s="104">
        <f>IF(I41=0,"***",P41/I41)</f>
        <v/>
      </c>
      <c r="X41" s="104">
        <f>IF(J41=0,"***",Q41/J41)</f>
        <v/>
      </c>
      <c r="Y41" s="105">
        <f>IF(K41=0,"***",R41/K41)</f>
        <v/>
      </c>
    </row>
    <row r="42">
      <c r="C42" s="2" t="inlineStr">
        <is>
          <t>0024 集計</t>
        </is>
      </c>
      <c r="D42" s="15" t="inlineStr">
        <is>
          <t>東野</t>
        </is>
      </c>
      <c r="E42" s="3" t="n">
        <v>3240</v>
      </c>
      <c r="F42" s="3" t="n"/>
      <c r="G42" s="3" t="n"/>
      <c r="H42" s="3" t="n"/>
      <c r="I42" s="3" t="n"/>
      <c r="J42" s="3" t="n"/>
      <c r="K42" s="59">
        <f>SUM(E42:J42)</f>
        <v/>
      </c>
      <c r="L42" s="2" t="n">
        <v>430</v>
      </c>
      <c r="M42" s="3" t="n"/>
      <c r="N42" s="3" t="n"/>
      <c r="O42" s="3" t="n"/>
      <c r="P42" s="3" t="n"/>
      <c r="Q42" s="3" t="n"/>
      <c r="R42" s="56">
        <f>SUM(L42:Q42)</f>
        <v/>
      </c>
      <c r="S42" s="103">
        <f>IF(E42=0,"***",L42/E42)</f>
        <v/>
      </c>
      <c r="T42" s="104">
        <f>IF(F42=0,"***",M42/F42)</f>
        <v/>
      </c>
      <c r="U42" s="104">
        <f>IF(G42=0,"***",N42/G42)</f>
        <v/>
      </c>
      <c r="V42" s="104">
        <f>IF(H42=0,"***",O42/H42)</f>
        <v/>
      </c>
      <c r="W42" s="104">
        <f>IF(I42=0,"***",P42/I42)</f>
        <v/>
      </c>
      <c r="X42" s="104">
        <f>IF(J42=0,"***",Q42/J42)</f>
        <v/>
      </c>
      <c r="Y42" s="105">
        <f>IF(K42=0,"***",R42/K42)</f>
        <v/>
      </c>
    </row>
    <row r="43">
      <c r="C43" s="2" t="inlineStr">
        <is>
          <t>0025 集計</t>
        </is>
      </c>
      <c r="D43" s="15" t="inlineStr">
        <is>
          <t>橋本課長</t>
        </is>
      </c>
      <c r="E43" s="3" t="n">
        <v>150</v>
      </c>
      <c r="F43" s="3" t="n">
        <v>150</v>
      </c>
      <c r="G43" s="3" t="n">
        <v>150</v>
      </c>
      <c r="H43" s="3" t="n">
        <v>150</v>
      </c>
      <c r="I43" s="3" t="n">
        <v>150</v>
      </c>
      <c r="J43" s="3" t="n">
        <v>150</v>
      </c>
      <c r="K43" s="59">
        <f>SUM(E43:J43)</f>
        <v/>
      </c>
      <c r="L43" s="2" t="n">
        <v>25</v>
      </c>
      <c r="M43" s="3" t="n">
        <v>25</v>
      </c>
      <c r="N43" s="3" t="n">
        <v>25</v>
      </c>
      <c r="O43" s="3" t="n">
        <v>25</v>
      </c>
      <c r="P43" s="3" t="n">
        <v>25</v>
      </c>
      <c r="Q43" s="3" t="n">
        <v>25</v>
      </c>
      <c r="R43" s="56">
        <f>SUM(L43:Q43)</f>
        <v/>
      </c>
      <c r="S43" s="103">
        <f>IF(E43=0,"***",L43/E43)</f>
        <v/>
      </c>
      <c r="T43" s="104">
        <f>IF(F43=0,"***",M43/F43)</f>
        <v/>
      </c>
      <c r="U43" s="104">
        <f>IF(G43=0,"***",N43/G43)</f>
        <v/>
      </c>
      <c r="V43" s="104">
        <f>IF(H43=0,"***",O43/H43)</f>
        <v/>
      </c>
      <c r="W43" s="104">
        <f>IF(I43=0,"***",P43/I43)</f>
        <v/>
      </c>
      <c r="X43" s="104">
        <f>IF(J43=0,"***",Q43/J43)</f>
        <v/>
      </c>
      <c r="Y43" s="105">
        <f>IF(K43=0,"***",R43/K43)</f>
        <v/>
      </c>
    </row>
    <row r="44">
      <c r="C44" s="2" t="inlineStr">
        <is>
          <t>0026 集計</t>
        </is>
      </c>
      <c r="D44" s="15" t="inlineStr">
        <is>
          <t>井上課長</t>
        </is>
      </c>
      <c r="E44" s="3" t="n">
        <v>200</v>
      </c>
      <c r="F44" s="3" t="n">
        <v>200</v>
      </c>
      <c r="G44" s="3" t="n"/>
      <c r="H44" s="3" t="n"/>
      <c r="I44" s="3" t="n"/>
      <c r="J44" s="3" t="n">
        <v>10000</v>
      </c>
      <c r="K44" s="59">
        <f>SUM(E44:J44)</f>
        <v/>
      </c>
      <c r="L44" s="2" t="n">
        <v>40</v>
      </c>
      <c r="M44" s="3" t="n">
        <v>40</v>
      </c>
      <c r="N44" s="3" t="n"/>
      <c r="O44" s="3" t="n"/>
      <c r="P44" s="3" t="n"/>
      <c r="Q44" s="3" t="n">
        <v>1430</v>
      </c>
      <c r="R44" s="56">
        <f>SUM(L44:Q44)</f>
        <v/>
      </c>
      <c r="S44" s="103">
        <f>IF(E44=0,"***",L44/E44)</f>
        <v/>
      </c>
      <c r="T44" s="104">
        <f>IF(F44=0,"***",M44/F44)</f>
        <v/>
      </c>
      <c r="U44" s="104">
        <f>IF(G44=0,"***",N44/G44)</f>
        <v/>
      </c>
      <c r="V44" s="104">
        <f>IF(H44=0,"***",O44/H44)</f>
        <v/>
      </c>
      <c r="W44" s="104">
        <f>IF(I44=0,"***",P44/I44)</f>
        <v/>
      </c>
      <c r="X44" s="104">
        <f>IF(J44=0,"***",Q44/J44)</f>
        <v/>
      </c>
      <c r="Y44" s="105">
        <f>IF(K44=0,"***",R44/K44)</f>
        <v/>
      </c>
    </row>
    <row r="45">
      <c r="C45" s="2" t="inlineStr">
        <is>
          <t>0027 集計</t>
        </is>
      </c>
      <c r="D45" s="15" t="inlineStr">
        <is>
          <t>中国</t>
        </is>
      </c>
      <c r="E45" s="3" t="n"/>
      <c r="F45" s="3" t="n"/>
      <c r="G45" s="3" t="n"/>
      <c r="H45" s="3" t="n"/>
      <c r="I45" s="3" t="n"/>
      <c r="J45" s="3" t="n"/>
      <c r="K45" s="59">
        <f>SUM(E45:J45)</f>
        <v/>
      </c>
      <c r="L45" s="2" t="n"/>
      <c r="M45" s="3" t="n"/>
      <c r="N45" s="3" t="n"/>
      <c r="O45" s="3" t="n"/>
      <c r="P45" s="3" t="n"/>
      <c r="Q45" s="3" t="n"/>
      <c r="R45" s="56">
        <f>SUM(L45:Q45)</f>
        <v/>
      </c>
      <c r="S45" s="103">
        <f>IF(E45=0,"***",L45/E45)</f>
        <v/>
      </c>
      <c r="T45" s="104">
        <f>IF(F45=0,"***",M45/F45)</f>
        <v/>
      </c>
      <c r="U45" s="104">
        <f>IF(G45=0,"***",N45/G45)</f>
        <v/>
      </c>
      <c r="V45" s="104">
        <f>IF(H45=0,"***",O45/H45)</f>
        <v/>
      </c>
      <c r="W45" s="104">
        <f>IF(I45=0,"***",P45/I45)</f>
        <v/>
      </c>
      <c r="X45" s="104">
        <f>IF(J45=0,"***",Q45/J45)</f>
        <v/>
      </c>
      <c r="Y45" s="105">
        <f>IF(K45=0,"***",R45/K45)</f>
        <v/>
      </c>
    </row>
    <row r="46">
      <c r="C46" s="71" t="inlineStr">
        <is>
          <t>0028 集計</t>
        </is>
      </c>
      <c r="D46" s="15" t="inlineStr">
        <is>
          <t>自治体</t>
        </is>
      </c>
      <c r="E46" s="3" t="n"/>
      <c r="F46" s="3" t="n"/>
      <c r="G46" s="3" t="n">
        <v>100</v>
      </c>
      <c r="H46" s="3" t="n"/>
      <c r="I46" s="3" t="n"/>
      <c r="J46" s="3" t="n">
        <v>100</v>
      </c>
      <c r="K46" s="59">
        <f>SUM(E46:J46)</f>
        <v/>
      </c>
      <c r="L46" s="2" t="n"/>
      <c r="M46" s="3" t="n"/>
      <c r="N46" s="3" t="n">
        <v>10</v>
      </c>
      <c r="O46" s="3" t="n"/>
      <c r="P46" s="3" t="n"/>
      <c r="Q46" s="3" t="n">
        <v>10</v>
      </c>
      <c r="R46" s="56">
        <f>SUM(L46:Q46)</f>
        <v/>
      </c>
      <c r="S46" s="103">
        <f>IF(E46=0,"***",L46/E46)</f>
        <v/>
      </c>
      <c r="T46" s="104">
        <f>IF(F46=0,"***",M46/F46)</f>
        <v/>
      </c>
      <c r="U46" s="104">
        <f>IF(G46=0,"***",N46/G46)</f>
        <v/>
      </c>
      <c r="V46" s="104">
        <f>IF(H46=0,"***",O46/H46)</f>
        <v/>
      </c>
      <c r="W46" s="104">
        <f>IF(I46=0,"***",P46/I46)</f>
        <v/>
      </c>
      <c r="X46" s="104">
        <f>IF(J46=0,"***",Q46/J46)</f>
        <v/>
      </c>
      <c r="Y46" s="105">
        <f>IF(K46=0,"***",R46/K46)</f>
        <v/>
      </c>
    </row>
    <row r="47">
      <c r="C47" s="2" t="inlineStr">
        <is>
          <t>0029 集計</t>
        </is>
      </c>
      <c r="D47" s="15" t="inlineStr">
        <is>
          <t>その他</t>
        </is>
      </c>
      <c r="E47" s="3" t="n"/>
      <c r="F47" s="3" t="n"/>
      <c r="G47" s="3" t="n"/>
      <c r="H47" s="3" t="n"/>
      <c r="I47" s="3" t="n"/>
      <c r="J47" s="3" t="n"/>
      <c r="K47" s="59">
        <f>SUM(E47:J47)</f>
        <v/>
      </c>
      <c r="L47" s="2" t="n"/>
      <c r="M47" s="3" t="n"/>
      <c r="N47" s="3" t="n"/>
      <c r="O47" s="3" t="n"/>
      <c r="P47" s="3" t="n"/>
      <c r="Q47" s="3" t="n"/>
      <c r="R47" s="56">
        <f>SUM(L47:Q47)</f>
        <v/>
      </c>
      <c r="S47" s="103">
        <f>IF(E47=0,"***",L47/E47)</f>
        <v/>
      </c>
      <c r="T47" s="104">
        <f>IF(F47=0,"***",M47/F47)</f>
        <v/>
      </c>
      <c r="U47" s="104">
        <f>IF(G47=0,"***",N47/G47)</f>
        <v/>
      </c>
      <c r="V47" s="104">
        <f>IF(H47=0,"***",O47/H47)</f>
        <v/>
      </c>
      <c r="W47" s="104">
        <f>IF(I47=0,"***",P47/I47)</f>
        <v/>
      </c>
      <c r="X47" s="104">
        <f>IF(J47=0,"***",Q47/J47)</f>
        <v/>
      </c>
      <c r="Y47" s="105">
        <f>IF(K47=0,"***",R47/K47)</f>
        <v/>
      </c>
    </row>
    <row r="48">
      <c r="C48" s="4" t="inlineStr">
        <is>
          <t>合計</t>
        </is>
      </c>
      <c r="D48" s="16" t="n"/>
      <c r="E48" s="6">
        <f>SUM(E41:E47)</f>
        <v/>
      </c>
      <c r="F48" s="6">
        <f>SUM(F41:F47)</f>
        <v/>
      </c>
      <c r="G48" s="6">
        <f>SUM(G41:G47)</f>
        <v/>
      </c>
      <c r="H48" s="6">
        <f>SUM(H41:H47)</f>
        <v/>
      </c>
      <c r="I48" s="6">
        <f>SUM(I41:I47)</f>
        <v/>
      </c>
      <c r="J48" s="6">
        <f>SUM(J41:J47)</f>
        <v/>
      </c>
      <c r="K48" s="60">
        <f>SUM(E48:J48)</f>
        <v/>
      </c>
      <c r="L48" s="49">
        <f>SUM(L41:L47)</f>
        <v/>
      </c>
      <c r="M48" s="6">
        <f>SUM(M41:M47)</f>
        <v/>
      </c>
      <c r="N48" s="6">
        <f>SUM(N41:N47)</f>
        <v/>
      </c>
      <c r="O48" s="6">
        <f>SUM(O41:O47)</f>
        <v/>
      </c>
      <c r="P48" s="6">
        <f>SUM(P41:P47)</f>
        <v/>
      </c>
      <c r="Q48" s="6">
        <f>SUM(Q41:Q47)</f>
        <v/>
      </c>
      <c r="R48" s="50">
        <f>SUM(L48:Q48)</f>
        <v/>
      </c>
      <c r="S48" s="106">
        <f>IF(E48=0,"***",L48/E48)</f>
        <v/>
      </c>
      <c r="T48" s="107">
        <f>IF(F48=0,"***",M48/F48)</f>
        <v/>
      </c>
      <c r="U48" s="107">
        <f>IF(G48=0,"***",N48/G48)</f>
        <v/>
      </c>
      <c r="V48" s="107">
        <f>IF(H48=0,"***",O48/H48)</f>
        <v/>
      </c>
      <c r="W48" s="107">
        <f>IF(I48=0,"***",P48/I48)</f>
        <v/>
      </c>
      <c r="X48" s="107">
        <f>IF(J48=0,"***",Q48/J48)</f>
        <v/>
      </c>
      <c r="Y48" s="108">
        <f>IF(K48=0,"***",R48/K48)</f>
        <v/>
      </c>
    </row>
    <row r="49" hidden="1" s="93">
      <c r="C49" s="12" t="n"/>
      <c r="E49" s="11" t="n"/>
      <c r="F49" s="11" t="n"/>
      <c r="G49" s="11" t="n"/>
      <c r="H49" s="11" t="n"/>
      <c r="I49" s="11" t="n"/>
      <c r="J49" s="11" t="n"/>
      <c r="K49" s="12" t="n"/>
      <c r="L49" s="11" t="n"/>
      <c r="M49" s="11" t="n"/>
      <c r="N49" s="11" t="n"/>
      <c r="O49" s="11" t="n"/>
      <c r="P49" s="11" t="n"/>
      <c r="Q49" s="11" t="n"/>
      <c r="R49" s="12" t="n"/>
      <c r="S49" s="109" t="n"/>
      <c r="T49" s="109" t="n"/>
      <c r="U49" s="109" t="n"/>
      <c r="V49" s="109" t="n"/>
      <c r="W49" s="109" t="n"/>
      <c r="X49" s="109" t="n"/>
      <c r="Y49" s="109" t="n"/>
    </row>
    <row r="50" hidden="1" s="93">
      <c r="C50" s="12" t="inlineStr">
        <is>
          <t>５．前期比</t>
        </is>
      </c>
    </row>
    <row r="51" hidden="1" s="93">
      <c r="C51" s="86" t="n"/>
      <c r="D51" s="85" t="n"/>
      <c r="E51" s="86" t="inlineStr">
        <is>
          <t>売上</t>
        </is>
      </c>
      <c r="F51" s="84" t="n"/>
      <c r="G51" s="84" t="n"/>
      <c r="H51" s="84" t="n"/>
      <c r="I51" s="84" t="n"/>
      <c r="J51" s="84" t="n"/>
      <c r="K51" s="85" t="n"/>
      <c r="L51" s="87" t="inlineStr">
        <is>
          <t>粗利益</t>
        </is>
      </c>
      <c r="M51" s="84" t="n"/>
      <c r="N51" s="84" t="n"/>
      <c r="O51" s="84" t="n"/>
      <c r="P51" s="84" t="n"/>
      <c r="Q51" s="84" t="n"/>
      <c r="R51" s="85" t="n"/>
      <c r="S51" s="87" t="inlineStr">
        <is>
          <t>粗利益率</t>
        </is>
      </c>
      <c r="T51" s="84" t="n"/>
      <c r="U51" s="84" t="n"/>
      <c r="V51" s="84" t="n"/>
      <c r="W51" s="84" t="n"/>
      <c r="X51" s="84" t="n"/>
      <c r="Y51" s="85" t="n"/>
    </row>
    <row r="52" hidden="1" s="93">
      <c r="C52" s="1" t="n"/>
      <c r="D52" s="14" t="n"/>
      <c r="E52" s="54" t="n">
        <v>46113</v>
      </c>
      <c r="F52" s="51" t="n">
        <v>46143</v>
      </c>
      <c r="G52" s="51" t="n">
        <v>46174</v>
      </c>
      <c r="H52" s="51" t="n">
        <v>46204</v>
      </c>
      <c r="I52" s="51" t="n">
        <v>46235</v>
      </c>
      <c r="J52" s="51" t="n">
        <v>46266</v>
      </c>
      <c r="K52" s="52" t="inlineStr">
        <is>
          <t>合計</t>
        </is>
      </c>
      <c r="L52" s="48" t="n">
        <v>46113</v>
      </c>
      <c r="M52" s="51" t="n">
        <v>46143</v>
      </c>
      <c r="N52" s="51" t="n">
        <v>46174</v>
      </c>
      <c r="O52" s="51" t="n">
        <v>46204</v>
      </c>
      <c r="P52" s="51" t="n">
        <v>46235</v>
      </c>
      <c r="Q52" s="51" t="n">
        <v>46266</v>
      </c>
      <c r="R52" s="52" t="inlineStr">
        <is>
          <t>合計</t>
        </is>
      </c>
      <c r="S52" s="48" t="n">
        <v>46113</v>
      </c>
      <c r="T52" s="51" t="n">
        <v>46143</v>
      </c>
      <c r="U52" s="51" t="n">
        <v>46174</v>
      </c>
      <c r="V52" s="51" t="n">
        <v>46204</v>
      </c>
      <c r="W52" s="51" t="n">
        <v>46235</v>
      </c>
      <c r="X52" s="51" t="n">
        <v>46266</v>
      </c>
      <c r="Y52" s="52" t="inlineStr">
        <is>
          <t>合計</t>
        </is>
      </c>
    </row>
    <row r="53" hidden="1" s="93">
      <c r="C53" s="2" t="inlineStr">
        <is>
          <t>0021 集計</t>
        </is>
      </c>
      <c r="D53" s="15" t="inlineStr">
        <is>
          <t>高橋所長</t>
        </is>
      </c>
      <c r="E53" s="3">
        <f>E41-E17</f>
        <v/>
      </c>
      <c r="F53" s="3">
        <f>F41-F17</f>
        <v/>
      </c>
      <c r="G53" s="3">
        <f>G41-G17</f>
        <v/>
      </c>
      <c r="H53" s="3">
        <f>H41-H17</f>
        <v/>
      </c>
      <c r="I53" s="3">
        <f>I41-I17</f>
        <v/>
      </c>
      <c r="J53" s="3">
        <f>J41-J17</f>
        <v/>
      </c>
      <c r="K53" s="59">
        <f>SUM(E53:J53)</f>
        <v/>
      </c>
      <c r="L53" s="2">
        <f>L41-L17</f>
        <v/>
      </c>
      <c r="M53" s="3">
        <f>M41-M17</f>
        <v/>
      </c>
      <c r="N53" s="3">
        <f>N41-N17</f>
        <v/>
      </c>
      <c r="O53" s="3">
        <f>O41-O17</f>
        <v/>
      </c>
      <c r="P53" s="3">
        <f>P41-P17</f>
        <v/>
      </c>
      <c r="Q53" s="3">
        <f>Q41-Q17</f>
        <v/>
      </c>
      <c r="R53" s="56">
        <f>SUM(L53:Q53)</f>
        <v/>
      </c>
      <c r="S53" s="103">
        <f>S41-S17</f>
        <v/>
      </c>
      <c r="T53" s="104">
        <f>T41-T17</f>
        <v/>
      </c>
      <c r="U53" s="104">
        <f>U41-U17</f>
        <v/>
      </c>
      <c r="V53" s="104">
        <f>V41-V17</f>
        <v/>
      </c>
      <c r="W53" s="104">
        <f>W41-W17</f>
        <v/>
      </c>
      <c r="X53" s="104">
        <f>X41-X17</f>
        <v/>
      </c>
      <c r="Y53" s="105">
        <f>Y41-Y17</f>
        <v/>
      </c>
    </row>
    <row r="54" hidden="1" s="93">
      <c r="C54" s="2" t="inlineStr">
        <is>
          <t>0024 集計</t>
        </is>
      </c>
      <c r="D54" s="15" t="inlineStr">
        <is>
          <t>東野</t>
        </is>
      </c>
      <c r="E54" s="3">
        <f>E42-E18</f>
        <v/>
      </c>
      <c r="F54" s="3">
        <f>F42-F18</f>
        <v/>
      </c>
      <c r="G54" s="3">
        <f>G42-G18</f>
        <v/>
      </c>
      <c r="H54" s="3">
        <f>H42-H18</f>
        <v/>
      </c>
      <c r="I54" s="3">
        <f>I42-I18</f>
        <v/>
      </c>
      <c r="J54" s="3">
        <f>J42-J18</f>
        <v/>
      </c>
      <c r="K54" s="59">
        <f>SUM(E54:J54)</f>
        <v/>
      </c>
      <c r="L54" s="2">
        <f>L42-L18</f>
        <v/>
      </c>
      <c r="M54" s="3">
        <f>M42-M18</f>
        <v/>
      </c>
      <c r="N54" s="3">
        <f>N42-N18</f>
        <v/>
      </c>
      <c r="O54" s="3">
        <f>O42-O18</f>
        <v/>
      </c>
      <c r="P54" s="3">
        <f>P42-P18</f>
        <v/>
      </c>
      <c r="Q54" s="3">
        <f>Q42-Q18</f>
        <v/>
      </c>
      <c r="R54" s="56">
        <f>SUM(L54:Q54)</f>
        <v/>
      </c>
      <c r="S54" s="103">
        <f>S42-S18</f>
        <v/>
      </c>
      <c r="T54" s="104">
        <f>T42-T18</f>
        <v/>
      </c>
      <c r="U54" s="104">
        <f>U42-U18</f>
        <v/>
      </c>
      <c r="V54" s="104">
        <f>V42-V18</f>
        <v/>
      </c>
      <c r="W54" s="104">
        <f>W42-W18</f>
        <v/>
      </c>
      <c r="X54" s="104">
        <f>X42-X18</f>
        <v/>
      </c>
      <c r="Y54" s="105">
        <f>Y42-Y18</f>
        <v/>
      </c>
    </row>
    <row r="55" hidden="1" s="93">
      <c r="C55" s="2" t="inlineStr">
        <is>
          <t>0025 集計</t>
        </is>
      </c>
      <c r="D55" s="15" t="inlineStr">
        <is>
          <t>橋本課長</t>
        </is>
      </c>
      <c r="E55" s="3">
        <f>E43-E19</f>
        <v/>
      </c>
      <c r="F55" s="3">
        <f>F43-F19</f>
        <v/>
      </c>
      <c r="G55" s="3">
        <f>G43-G19</f>
        <v/>
      </c>
      <c r="H55" s="3">
        <f>H43-H19</f>
        <v/>
      </c>
      <c r="I55" s="3">
        <f>I43-I19</f>
        <v/>
      </c>
      <c r="J55" s="3">
        <f>J43-J19</f>
        <v/>
      </c>
      <c r="K55" s="59">
        <f>SUM(E55:J55)</f>
        <v/>
      </c>
      <c r="L55" s="2">
        <f>L43-L19</f>
        <v/>
      </c>
      <c r="M55" s="3">
        <f>M43-M19</f>
        <v/>
      </c>
      <c r="N55" s="3">
        <f>N43-N19</f>
        <v/>
      </c>
      <c r="O55" s="3">
        <f>O43-O19</f>
        <v/>
      </c>
      <c r="P55" s="3">
        <f>P43-P19</f>
        <v/>
      </c>
      <c r="Q55" s="3">
        <f>Q43-Q19</f>
        <v/>
      </c>
      <c r="R55" s="56">
        <f>SUM(L55:Q55)</f>
        <v/>
      </c>
      <c r="S55" s="103">
        <f>S43-S19</f>
        <v/>
      </c>
      <c r="T55" s="104">
        <f>T43-T19</f>
        <v/>
      </c>
      <c r="U55" s="104">
        <f>U43-U19</f>
        <v/>
      </c>
      <c r="V55" s="104">
        <f>V43-V19</f>
        <v/>
      </c>
      <c r="W55" s="104">
        <f>W43-W19</f>
        <v/>
      </c>
      <c r="X55" s="104">
        <f>X43-X19</f>
        <v/>
      </c>
      <c r="Y55" s="105">
        <f>Y43-Y19</f>
        <v/>
      </c>
    </row>
    <row r="56" hidden="1" s="93">
      <c r="C56" s="2" t="inlineStr">
        <is>
          <t>0026 集計</t>
        </is>
      </c>
      <c r="D56" s="15" t="inlineStr">
        <is>
          <t>井上課長</t>
        </is>
      </c>
      <c r="E56" s="3">
        <f>E44-E20</f>
        <v/>
      </c>
      <c r="F56" s="3">
        <f>F44-F20</f>
        <v/>
      </c>
      <c r="G56" s="3">
        <f>G44-G20</f>
        <v/>
      </c>
      <c r="H56" s="3">
        <f>H44-H20</f>
        <v/>
      </c>
      <c r="I56" s="3">
        <f>I44-I20</f>
        <v/>
      </c>
      <c r="J56" s="3">
        <f>J44-J20</f>
        <v/>
      </c>
      <c r="K56" s="59">
        <f>SUM(E56:J56)</f>
        <v/>
      </c>
      <c r="L56" s="2">
        <f>L44-L20</f>
        <v/>
      </c>
      <c r="M56" s="3">
        <f>M44-M20</f>
        <v/>
      </c>
      <c r="N56" s="3">
        <f>N44-N20</f>
        <v/>
      </c>
      <c r="O56" s="3">
        <f>O44-O20</f>
        <v/>
      </c>
      <c r="P56" s="3">
        <f>P44-P20</f>
        <v/>
      </c>
      <c r="Q56" s="3">
        <f>Q44-Q20</f>
        <v/>
      </c>
      <c r="R56" s="56">
        <f>SUM(L56:Q56)</f>
        <v/>
      </c>
      <c r="S56" s="103">
        <f>S44-S20</f>
        <v/>
      </c>
      <c r="T56" s="104">
        <f>T44-T20</f>
        <v/>
      </c>
      <c r="U56" s="104">
        <f>U44-U20</f>
        <v/>
      </c>
      <c r="V56" s="104">
        <f>V44-V20</f>
        <v/>
      </c>
      <c r="W56" s="104">
        <f>W44-W20</f>
        <v/>
      </c>
      <c r="X56" s="104">
        <f>X44-X20</f>
        <v/>
      </c>
      <c r="Y56" s="105">
        <f>Y44-Y20</f>
        <v/>
      </c>
    </row>
    <row r="57" hidden="1" s="93">
      <c r="C57" s="2" t="inlineStr">
        <is>
          <t>0027 集計</t>
        </is>
      </c>
      <c r="D57" s="15" t="inlineStr">
        <is>
          <t>中国</t>
        </is>
      </c>
      <c r="E57" s="3">
        <f>E45-E21</f>
        <v/>
      </c>
      <c r="F57" s="3">
        <f>F45-F21</f>
        <v/>
      </c>
      <c r="G57" s="3">
        <f>G45-G21</f>
        <v/>
      </c>
      <c r="H57" s="3">
        <f>H45-H21</f>
        <v/>
      </c>
      <c r="I57" s="3">
        <f>I45-I21</f>
        <v/>
      </c>
      <c r="J57" s="3">
        <f>J45-J21</f>
        <v/>
      </c>
      <c r="K57" s="59">
        <f>SUM(E57:J57)</f>
        <v/>
      </c>
      <c r="L57" s="2">
        <f>L45-L21</f>
        <v/>
      </c>
      <c r="M57" s="3">
        <f>M45-M21</f>
        <v/>
      </c>
      <c r="N57" s="3">
        <f>N45-N21</f>
        <v/>
      </c>
      <c r="O57" s="3">
        <f>O45-O21</f>
        <v/>
      </c>
      <c r="P57" s="3">
        <f>P45-P21</f>
        <v/>
      </c>
      <c r="Q57" s="3">
        <f>Q45-Q21</f>
        <v/>
      </c>
      <c r="R57" s="56">
        <f>SUM(L57:Q57)</f>
        <v/>
      </c>
      <c r="S57" s="103">
        <f>S45-S21</f>
        <v/>
      </c>
      <c r="T57" s="104">
        <f>T45-T21</f>
        <v/>
      </c>
      <c r="U57" s="104">
        <f>U45-U21</f>
        <v/>
      </c>
      <c r="V57" s="104">
        <f>V45-V21</f>
        <v/>
      </c>
      <c r="W57" s="104">
        <f>W45-W21</f>
        <v/>
      </c>
      <c r="X57" s="104">
        <f>X45-X21</f>
        <v/>
      </c>
      <c r="Y57" s="105">
        <f>Y45-Y21</f>
        <v/>
      </c>
    </row>
    <row r="58" hidden="1" s="93">
      <c r="C58" s="71" t="inlineStr">
        <is>
          <t>0028 集計</t>
        </is>
      </c>
      <c r="D58" s="15" t="inlineStr">
        <is>
          <t>自治体</t>
        </is>
      </c>
      <c r="E58" s="3" t="n"/>
      <c r="F58" s="3" t="n"/>
      <c r="G58" s="3" t="n"/>
      <c r="H58" s="3" t="n"/>
      <c r="I58" s="3" t="n"/>
      <c r="J58" s="3" t="n"/>
      <c r="K58" s="59" t="n"/>
      <c r="L58" s="2" t="n"/>
      <c r="M58" s="3" t="n"/>
      <c r="N58" s="3" t="n"/>
      <c r="O58" s="3" t="n"/>
      <c r="P58" s="3" t="n"/>
      <c r="Q58" s="3" t="n"/>
      <c r="R58" s="56" t="n"/>
      <c r="S58" s="103" t="n"/>
      <c r="T58" s="104" t="n"/>
      <c r="U58" s="104" t="n"/>
      <c r="V58" s="104" t="n"/>
      <c r="W58" s="104" t="n"/>
      <c r="X58" s="104" t="n"/>
      <c r="Y58" s="105" t="n"/>
    </row>
    <row r="59" hidden="1" s="93">
      <c r="C59" s="2" t="inlineStr">
        <is>
          <t>0029 集計</t>
        </is>
      </c>
      <c r="D59" s="15" t="inlineStr">
        <is>
          <t>その他</t>
        </is>
      </c>
      <c r="E59" s="3">
        <f>E47-E23</f>
        <v/>
      </c>
      <c r="F59" s="3">
        <f>F47-F23</f>
        <v/>
      </c>
      <c r="G59" s="3">
        <f>G47-G23</f>
        <v/>
      </c>
      <c r="H59" s="3">
        <f>H47-H23</f>
        <v/>
      </c>
      <c r="I59" s="3">
        <f>I47-I23</f>
        <v/>
      </c>
      <c r="J59" s="3">
        <f>J47-J23</f>
        <v/>
      </c>
      <c r="K59" s="59">
        <f>SUM(E59:J59)</f>
        <v/>
      </c>
      <c r="L59" s="2">
        <f>L47-L23</f>
        <v/>
      </c>
      <c r="M59" s="3">
        <f>M47-M23</f>
        <v/>
      </c>
      <c r="N59" s="3">
        <f>N47-N23</f>
        <v/>
      </c>
      <c r="O59" s="3">
        <f>O47-O23</f>
        <v/>
      </c>
      <c r="P59" s="3">
        <f>P47-P23</f>
        <v/>
      </c>
      <c r="Q59" s="3">
        <f>Q47-Q23</f>
        <v/>
      </c>
      <c r="R59" s="56">
        <f>SUM(L59:Q59)</f>
        <v/>
      </c>
      <c r="S59" s="103">
        <f>S47-S23</f>
        <v/>
      </c>
      <c r="T59" s="104">
        <f>T47-T23</f>
        <v/>
      </c>
      <c r="U59" s="104">
        <f>U47-U23</f>
        <v/>
      </c>
      <c r="V59" s="104">
        <f>V47-V23</f>
        <v/>
      </c>
      <c r="W59" s="104">
        <f>W47-W23</f>
        <v/>
      </c>
      <c r="X59" s="104">
        <f>X47-X23</f>
        <v/>
      </c>
      <c r="Y59" s="105">
        <f>Y47-Y23</f>
        <v/>
      </c>
    </row>
    <row r="60" hidden="1" s="93">
      <c r="C60" s="4" t="inlineStr">
        <is>
          <t>合計</t>
        </is>
      </c>
      <c r="D60" s="16" t="n"/>
      <c r="E60" s="6">
        <f>SUM(E53:E59)</f>
        <v/>
      </c>
      <c r="F60" s="6">
        <f>SUM(F53:F59)</f>
        <v/>
      </c>
      <c r="G60" s="6">
        <f>SUM(G53:G59)</f>
        <v/>
      </c>
      <c r="H60" s="6">
        <f>SUM(H53:H59)</f>
        <v/>
      </c>
      <c r="I60" s="6">
        <f>SUM(I53:I59)</f>
        <v/>
      </c>
      <c r="J60" s="6">
        <f>SUM(J53:J59)</f>
        <v/>
      </c>
      <c r="K60" s="60">
        <f>SUM(E60:J60)</f>
        <v/>
      </c>
      <c r="L60" s="49">
        <f>SUM(L53:L59)</f>
        <v/>
      </c>
      <c r="M60" s="6">
        <f>SUM(M53:M59)</f>
        <v/>
      </c>
      <c r="N60" s="6">
        <f>SUM(N53:N59)</f>
        <v/>
      </c>
      <c r="O60" s="6">
        <f>SUM(O53:O59)</f>
        <v/>
      </c>
      <c r="P60" s="6">
        <f>SUM(P53:P59)</f>
        <v/>
      </c>
      <c r="Q60" s="6">
        <f>SUM(Q53:Q59)</f>
        <v/>
      </c>
      <c r="R60" s="50">
        <f>SUM(L60:Q60)</f>
        <v/>
      </c>
      <c r="S60" s="106">
        <f>S48-S24</f>
        <v/>
      </c>
      <c r="T60" s="107">
        <f>T48-T24</f>
        <v/>
      </c>
      <c r="U60" s="107">
        <f>U48-U24</f>
        <v/>
      </c>
      <c r="V60" s="107">
        <f>V48-V24</f>
        <v/>
      </c>
      <c r="W60" s="107">
        <f>W48-W24</f>
        <v/>
      </c>
      <c r="X60" s="107">
        <f>X48-X24</f>
        <v/>
      </c>
      <c r="Y60" s="108">
        <f>Y48-Y24</f>
        <v/>
      </c>
    </row>
    <row r="61" hidden="1" s="93"/>
    <row r="62" hidden="1" s="93">
      <c r="C62" s="12" t="inlineStr">
        <is>
          <t>6．過年度平均比</t>
        </is>
      </c>
    </row>
    <row r="63" hidden="1" s="93">
      <c r="C63" s="86" t="n"/>
      <c r="D63" s="85" t="n"/>
      <c r="E63" s="86" t="inlineStr">
        <is>
          <t>売上</t>
        </is>
      </c>
      <c r="F63" s="84" t="n"/>
      <c r="G63" s="84" t="n"/>
      <c r="H63" s="84" t="n"/>
      <c r="I63" s="84" t="n"/>
      <c r="J63" s="84" t="n"/>
      <c r="K63" s="85" t="n"/>
      <c r="L63" s="87" t="inlineStr">
        <is>
          <t>粗利益</t>
        </is>
      </c>
      <c r="M63" s="84" t="n"/>
      <c r="N63" s="84" t="n"/>
      <c r="O63" s="84" t="n"/>
      <c r="P63" s="84" t="n"/>
      <c r="Q63" s="84" t="n"/>
      <c r="R63" s="85" t="n"/>
      <c r="S63" s="87" t="inlineStr">
        <is>
          <t>粗利益率</t>
        </is>
      </c>
      <c r="T63" s="84" t="n"/>
      <c r="U63" s="84" t="n"/>
      <c r="V63" s="84" t="n"/>
      <c r="W63" s="84" t="n"/>
      <c r="X63" s="84" t="n"/>
      <c r="Y63" s="85" t="n"/>
    </row>
    <row r="64" hidden="1" s="93">
      <c r="C64" s="1" t="n"/>
      <c r="D64" s="14" t="n"/>
      <c r="E64" s="54" t="n">
        <v>46113</v>
      </c>
      <c r="F64" s="51" t="n">
        <v>46143</v>
      </c>
      <c r="G64" s="51" t="n">
        <v>46174</v>
      </c>
      <c r="H64" s="51" t="n">
        <v>46204</v>
      </c>
      <c r="I64" s="51" t="n">
        <v>46235</v>
      </c>
      <c r="J64" s="51" t="n">
        <v>46266</v>
      </c>
      <c r="K64" s="52" t="inlineStr">
        <is>
          <t>合計</t>
        </is>
      </c>
      <c r="L64" s="48" t="n">
        <v>46113</v>
      </c>
      <c r="M64" s="51" t="n">
        <v>46143</v>
      </c>
      <c r="N64" s="51" t="n">
        <v>46174</v>
      </c>
      <c r="O64" s="51" t="n">
        <v>46204</v>
      </c>
      <c r="P64" s="51" t="n">
        <v>46235</v>
      </c>
      <c r="Q64" s="51" t="n">
        <v>46266</v>
      </c>
      <c r="R64" s="52" t="inlineStr">
        <is>
          <t>合計</t>
        </is>
      </c>
      <c r="S64" s="48" t="n">
        <v>46113</v>
      </c>
      <c r="T64" s="51" t="n">
        <v>46143</v>
      </c>
      <c r="U64" s="51" t="n">
        <v>46174</v>
      </c>
      <c r="V64" s="51" t="n">
        <v>46204</v>
      </c>
      <c r="W64" s="51" t="n">
        <v>46235</v>
      </c>
      <c r="X64" s="51" t="n">
        <v>46266</v>
      </c>
      <c r="Y64" s="52" t="inlineStr">
        <is>
          <t>合計</t>
        </is>
      </c>
    </row>
    <row r="65" hidden="1" s="93">
      <c r="C65" s="2" t="inlineStr">
        <is>
          <t>0021 集計</t>
        </is>
      </c>
      <c r="D65" s="15" t="inlineStr">
        <is>
          <t>高橋所長</t>
        </is>
      </c>
      <c r="E65" s="3">
        <f>E41-E29</f>
        <v/>
      </c>
      <c r="F65" s="3">
        <f>F41-F29</f>
        <v/>
      </c>
      <c r="G65" s="3">
        <f>G41-G29</f>
        <v/>
      </c>
      <c r="H65" s="3">
        <f>H41-H29</f>
        <v/>
      </c>
      <c r="I65" s="3">
        <f>I41-I29</f>
        <v/>
      </c>
      <c r="J65" s="3">
        <f>J41-J29</f>
        <v/>
      </c>
      <c r="K65" s="59">
        <f>SUM(E65:J65)</f>
        <v/>
      </c>
      <c r="L65" s="2">
        <f>L41-L29</f>
        <v/>
      </c>
      <c r="M65" s="3">
        <f>M41-M29</f>
        <v/>
      </c>
      <c r="N65" s="3">
        <f>N41-N29</f>
        <v/>
      </c>
      <c r="O65" s="3">
        <f>O41-O29</f>
        <v/>
      </c>
      <c r="P65" s="3">
        <f>P41-P29</f>
        <v/>
      </c>
      <c r="Q65" s="3">
        <f>Q41-Q29</f>
        <v/>
      </c>
      <c r="R65" s="56">
        <f>SUM(L65:Q65)</f>
        <v/>
      </c>
      <c r="S65" s="103">
        <f>S41-S29</f>
        <v/>
      </c>
      <c r="T65" s="104">
        <f>T41-T29</f>
        <v/>
      </c>
      <c r="U65" s="104">
        <f>U41-U29</f>
        <v/>
      </c>
      <c r="V65" s="104">
        <f>V41-V29</f>
        <v/>
      </c>
      <c r="W65" s="104">
        <f>W41-W29</f>
        <v/>
      </c>
      <c r="X65" s="104">
        <f>X41-X29</f>
        <v/>
      </c>
      <c r="Y65" s="105">
        <f>Y41-Y29</f>
        <v/>
      </c>
    </row>
    <row r="66" hidden="1" s="93">
      <c r="C66" s="2" t="inlineStr">
        <is>
          <t>0024 集計</t>
        </is>
      </c>
      <c r="D66" s="15" t="inlineStr">
        <is>
          <t>東野</t>
        </is>
      </c>
      <c r="E66" s="3">
        <f>E42-E30</f>
        <v/>
      </c>
      <c r="F66" s="3">
        <f>F42-F30</f>
        <v/>
      </c>
      <c r="G66" s="3">
        <f>G42-G30</f>
        <v/>
      </c>
      <c r="H66" s="3">
        <f>H42-H30</f>
        <v/>
      </c>
      <c r="I66" s="3">
        <f>I42-I30</f>
        <v/>
      </c>
      <c r="J66" s="3">
        <f>J42-J30</f>
        <v/>
      </c>
      <c r="K66" s="59">
        <f>SUM(E66:J66)</f>
        <v/>
      </c>
      <c r="L66" s="2">
        <f>L42-L30</f>
        <v/>
      </c>
      <c r="M66" s="3">
        <f>M42-M30</f>
        <v/>
      </c>
      <c r="N66" s="3">
        <f>N42-N30</f>
        <v/>
      </c>
      <c r="O66" s="3">
        <f>O42-O30</f>
        <v/>
      </c>
      <c r="P66" s="3">
        <f>P42-P30</f>
        <v/>
      </c>
      <c r="Q66" s="3">
        <f>Q42-Q30</f>
        <v/>
      </c>
      <c r="R66" s="56">
        <f>SUM(L66:Q66)</f>
        <v/>
      </c>
      <c r="S66" s="103">
        <f>S42-S30</f>
        <v/>
      </c>
      <c r="T66" s="104">
        <f>T42-T30</f>
        <v/>
      </c>
      <c r="U66" s="104">
        <f>U42-U30</f>
        <v/>
      </c>
      <c r="V66" s="104">
        <f>V42-V30</f>
        <v/>
      </c>
      <c r="W66" s="104">
        <f>W42-W30</f>
        <v/>
      </c>
      <c r="X66" s="104">
        <f>X42-X30</f>
        <v/>
      </c>
      <c r="Y66" s="105">
        <f>Y42-Y30</f>
        <v/>
      </c>
    </row>
    <row r="67" hidden="1" s="93">
      <c r="C67" s="2" t="inlineStr">
        <is>
          <t>0025 集計</t>
        </is>
      </c>
      <c r="D67" s="15" t="inlineStr">
        <is>
          <t>橋本課長</t>
        </is>
      </c>
      <c r="E67" s="3">
        <f>E43-E31</f>
        <v/>
      </c>
      <c r="F67" s="3">
        <f>F43-F31</f>
        <v/>
      </c>
      <c r="G67" s="3">
        <f>G43-G31</f>
        <v/>
      </c>
      <c r="H67" s="3">
        <f>H43-H31</f>
        <v/>
      </c>
      <c r="I67" s="3">
        <f>I43-I31</f>
        <v/>
      </c>
      <c r="J67" s="3">
        <f>J43-J31</f>
        <v/>
      </c>
      <c r="K67" s="59">
        <f>SUM(E67:J67)</f>
        <v/>
      </c>
      <c r="L67" s="2">
        <f>L43-L31</f>
        <v/>
      </c>
      <c r="M67" s="3">
        <f>M43-M31</f>
        <v/>
      </c>
      <c r="N67" s="3">
        <f>N43-N31</f>
        <v/>
      </c>
      <c r="O67" s="3">
        <f>O43-O31</f>
        <v/>
      </c>
      <c r="P67" s="3">
        <f>P43-P31</f>
        <v/>
      </c>
      <c r="Q67" s="3">
        <f>Q43-Q31</f>
        <v/>
      </c>
      <c r="R67" s="56">
        <f>SUM(L67:Q67)</f>
        <v/>
      </c>
      <c r="S67" s="103">
        <f>S43-S31</f>
        <v/>
      </c>
      <c r="T67" s="104">
        <f>T43-T31</f>
        <v/>
      </c>
      <c r="U67" s="104">
        <f>U43-U31</f>
        <v/>
      </c>
      <c r="V67" s="104">
        <f>V43-V31</f>
        <v/>
      </c>
      <c r="W67" s="104">
        <f>W43-W31</f>
        <v/>
      </c>
      <c r="X67" s="104">
        <f>X43-X31</f>
        <v/>
      </c>
      <c r="Y67" s="105">
        <f>Y43-Y31</f>
        <v/>
      </c>
    </row>
    <row r="68" hidden="1" s="93">
      <c r="C68" s="2" t="inlineStr">
        <is>
          <t>0026 集計</t>
        </is>
      </c>
      <c r="D68" s="15" t="inlineStr">
        <is>
          <t>井上課長</t>
        </is>
      </c>
      <c r="E68" s="3">
        <f>E44-E32</f>
        <v/>
      </c>
      <c r="F68" s="3">
        <f>F44-F32</f>
        <v/>
      </c>
      <c r="G68" s="3">
        <f>G44-G32</f>
        <v/>
      </c>
      <c r="H68" s="3">
        <f>H44-H32</f>
        <v/>
      </c>
      <c r="I68" s="3">
        <f>I44-I32</f>
        <v/>
      </c>
      <c r="J68" s="3">
        <f>J44-J32</f>
        <v/>
      </c>
      <c r="K68" s="59">
        <f>SUM(E68:J68)</f>
        <v/>
      </c>
      <c r="L68" s="2">
        <f>L44-L32</f>
        <v/>
      </c>
      <c r="M68" s="3">
        <f>M44-M32</f>
        <v/>
      </c>
      <c r="N68" s="3">
        <f>N44-N32</f>
        <v/>
      </c>
      <c r="O68" s="3">
        <f>O44-O32</f>
        <v/>
      </c>
      <c r="P68" s="3">
        <f>P44-P32</f>
        <v/>
      </c>
      <c r="Q68" s="3">
        <f>Q44-Q32</f>
        <v/>
      </c>
      <c r="R68" s="56">
        <f>SUM(L68:Q68)</f>
        <v/>
      </c>
      <c r="S68" s="103">
        <f>S44-S32</f>
        <v/>
      </c>
      <c r="T68" s="104">
        <f>T44-T32</f>
        <v/>
      </c>
      <c r="U68" s="104">
        <f>U44-U32</f>
        <v/>
      </c>
      <c r="V68" s="104">
        <f>V44-V32</f>
        <v/>
      </c>
      <c r="W68" s="104">
        <f>W44-W32</f>
        <v/>
      </c>
      <c r="X68" s="104">
        <f>X44-X32</f>
        <v/>
      </c>
      <c r="Y68" s="105">
        <f>Y44-Y32</f>
        <v/>
      </c>
    </row>
    <row r="69" hidden="1" s="93">
      <c r="C69" s="2" t="inlineStr">
        <is>
          <t>0027 集計</t>
        </is>
      </c>
      <c r="D69" s="15" t="inlineStr">
        <is>
          <t>中国</t>
        </is>
      </c>
      <c r="E69" s="3">
        <f>E45-E33</f>
        <v/>
      </c>
      <c r="F69" s="3">
        <f>F45-F33</f>
        <v/>
      </c>
      <c r="G69" s="3">
        <f>G45-G33</f>
        <v/>
      </c>
      <c r="H69" s="3">
        <f>H45-H33</f>
        <v/>
      </c>
      <c r="I69" s="3">
        <f>I45-I33</f>
        <v/>
      </c>
      <c r="J69" s="3">
        <f>J45-J33</f>
        <v/>
      </c>
      <c r="K69" s="59">
        <f>SUM(E69:J69)</f>
        <v/>
      </c>
      <c r="L69" s="2">
        <f>L45-L33</f>
        <v/>
      </c>
      <c r="M69" s="3">
        <f>M45-M33</f>
        <v/>
      </c>
      <c r="N69" s="3">
        <f>N45-N33</f>
        <v/>
      </c>
      <c r="O69" s="3">
        <f>O45-O33</f>
        <v/>
      </c>
      <c r="P69" s="3">
        <f>P45-P33</f>
        <v/>
      </c>
      <c r="Q69" s="3">
        <f>Q45-Q33</f>
        <v/>
      </c>
      <c r="R69" s="56">
        <f>SUM(L69:Q69)</f>
        <v/>
      </c>
      <c r="S69" s="103">
        <f>S45-S33</f>
        <v/>
      </c>
      <c r="T69" s="104">
        <f>T45-T33</f>
        <v/>
      </c>
      <c r="U69" s="104">
        <f>U45-U33</f>
        <v/>
      </c>
      <c r="V69" s="104">
        <f>V45-V33</f>
        <v/>
      </c>
      <c r="W69" s="104">
        <f>W45-W33</f>
        <v/>
      </c>
      <c r="X69" s="104">
        <f>X45-X33</f>
        <v/>
      </c>
      <c r="Y69" s="105">
        <f>Y45-Y33</f>
        <v/>
      </c>
    </row>
    <row r="70" hidden="1" s="93">
      <c r="C70" s="71" t="inlineStr">
        <is>
          <t>0028 集計</t>
        </is>
      </c>
      <c r="D70" s="15" t="inlineStr">
        <is>
          <t>自治体</t>
        </is>
      </c>
      <c r="E70" s="3" t="n"/>
      <c r="F70" s="3" t="n"/>
      <c r="G70" s="3" t="n"/>
      <c r="H70" s="3" t="n"/>
      <c r="I70" s="3" t="n"/>
      <c r="J70" s="3" t="n"/>
      <c r="K70" s="59" t="n"/>
      <c r="L70" s="2" t="n"/>
      <c r="M70" s="3" t="n"/>
      <c r="N70" s="3" t="n"/>
      <c r="O70" s="3" t="n"/>
      <c r="P70" s="3" t="n"/>
      <c r="Q70" s="3" t="n"/>
      <c r="R70" s="56" t="n"/>
      <c r="S70" s="103" t="n"/>
      <c r="T70" s="104" t="n"/>
      <c r="U70" s="104" t="n"/>
      <c r="V70" s="104" t="n"/>
      <c r="W70" s="104" t="n"/>
      <c r="X70" s="104" t="n"/>
      <c r="Y70" s="105" t="n"/>
    </row>
    <row r="71" hidden="1" s="93">
      <c r="C71" s="2" t="inlineStr">
        <is>
          <t>0029 集計</t>
        </is>
      </c>
      <c r="D71" s="15" t="inlineStr">
        <is>
          <t>その他</t>
        </is>
      </c>
      <c r="E71" s="3">
        <f>E47-E35</f>
        <v/>
      </c>
      <c r="F71" s="3">
        <f>F47-F35</f>
        <v/>
      </c>
      <c r="G71" s="3">
        <f>G47-G35</f>
        <v/>
      </c>
      <c r="H71" s="3">
        <f>H47-H35</f>
        <v/>
      </c>
      <c r="I71" s="3">
        <f>I47-I35</f>
        <v/>
      </c>
      <c r="J71" s="3">
        <f>J47-J35</f>
        <v/>
      </c>
      <c r="K71" s="59">
        <f>SUM(E71:J71)</f>
        <v/>
      </c>
      <c r="L71" s="2">
        <f>L47-L35</f>
        <v/>
      </c>
      <c r="M71" s="3">
        <f>M47-M35</f>
        <v/>
      </c>
      <c r="N71" s="3">
        <f>N47-N35</f>
        <v/>
      </c>
      <c r="O71" s="3">
        <f>O47-O35</f>
        <v/>
      </c>
      <c r="P71" s="3">
        <f>P47-P35</f>
        <v/>
      </c>
      <c r="Q71" s="3">
        <f>Q47-Q35</f>
        <v/>
      </c>
      <c r="R71" s="56">
        <f>SUM(L71:Q71)</f>
        <v/>
      </c>
      <c r="S71" s="103">
        <f>S47-S35</f>
        <v/>
      </c>
      <c r="T71" s="104">
        <f>T47-T35</f>
        <v/>
      </c>
      <c r="U71" s="104">
        <f>U47-U35</f>
        <v/>
      </c>
      <c r="V71" s="104">
        <f>V47-V35</f>
        <v/>
      </c>
      <c r="W71" s="104">
        <f>W47-W35</f>
        <v/>
      </c>
      <c r="X71" s="104">
        <f>X47-X35</f>
        <v/>
      </c>
      <c r="Y71" s="105">
        <f>Y47-Y35</f>
        <v/>
      </c>
    </row>
    <row r="72" hidden="1" s="93">
      <c r="C72" s="4" t="inlineStr">
        <is>
          <t>合計</t>
        </is>
      </c>
      <c r="D72" s="16" t="n"/>
      <c r="E72" s="6">
        <f>SUM(E65:E71)</f>
        <v/>
      </c>
      <c r="F72" s="6">
        <f>SUM(F65:F71)</f>
        <v/>
      </c>
      <c r="G72" s="6">
        <f>SUM(G65:G71)</f>
        <v/>
      </c>
      <c r="H72" s="6">
        <f>SUM(H65:H71)</f>
        <v/>
      </c>
      <c r="I72" s="6">
        <f>SUM(I65:I71)</f>
        <v/>
      </c>
      <c r="J72" s="6">
        <f>SUM(J65:J71)</f>
        <v/>
      </c>
      <c r="K72" s="60">
        <f>SUM(E72:J72)</f>
        <v/>
      </c>
      <c r="L72" s="49">
        <f>SUM(L65:L71)</f>
        <v/>
      </c>
      <c r="M72" s="6">
        <f>SUM(M65:M71)</f>
        <v/>
      </c>
      <c r="N72" s="6">
        <f>SUM(N65:N71)</f>
        <v/>
      </c>
      <c r="O72" s="6">
        <f>SUM(O65:O71)</f>
        <v/>
      </c>
      <c r="P72" s="6">
        <f>SUM(P65:P71)</f>
        <v/>
      </c>
      <c r="Q72" s="6">
        <f>SUM(Q65:Q71)</f>
        <v/>
      </c>
      <c r="R72" s="50">
        <f>SUM(L72:Q72)</f>
        <v/>
      </c>
      <c r="S72" s="106">
        <f>S48-S36</f>
        <v/>
      </c>
      <c r="T72" s="107">
        <f>T48-T36</f>
        <v/>
      </c>
      <c r="U72" s="107">
        <f>U48-U36</f>
        <v/>
      </c>
      <c r="V72" s="107">
        <f>V48-V36</f>
        <v/>
      </c>
      <c r="W72" s="107">
        <f>W48-W36</f>
        <v/>
      </c>
      <c r="X72" s="107">
        <f>X48-X36</f>
        <v/>
      </c>
      <c r="Y72" s="108">
        <f>Y48-Y36</f>
        <v/>
      </c>
    </row>
    <row r="73">
      <c r="C73" s="12" t="n"/>
      <c r="E73" s="11" t="n"/>
      <c r="F73" s="11" t="n"/>
      <c r="G73" s="11" t="n"/>
      <c r="H73" s="11" t="n"/>
      <c r="I73" s="11" t="n"/>
      <c r="J73" s="11" t="n"/>
      <c r="K73" s="12" t="n"/>
      <c r="L73" s="11" t="n"/>
      <c r="M73" s="11" t="n"/>
      <c r="N73" s="11" t="n"/>
      <c r="O73" s="11" t="n"/>
      <c r="P73" s="11" t="n"/>
      <c r="Q73" s="11" t="n"/>
      <c r="R73" s="12" t="n"/>
      <c r="S73" s="109" t="n"/>
      <c r="T73" s="109" t="n"/>
      <c r="U73" s="109" t="n"/>
      <c r="V73" s="109" t="n"/>
      <c r="W73" s="109" t="n"/>
      <c r="X73" s="109" t="n"/>
      <c r="Y73" s="109" t="n"/>
    </row>
    <row r="74">
      <c r="C74" s="12" t="inlineStr">
        <is>
          <t>7．実績</t>
        </is>
      </c>
    </row>
    <row r="75">
      <c r="C75" s="86" t="n"/>
      <c r="D75" s="85" t="n"/>
      <c r="E75" s="86" t="inlineStr">
        <is>
          <t>売上</t>
        </is>
      </c>
      <c r="F75" s="84" t="n"/>
      <c r="G75" s="84" t="n"/>
      <c r="H75" s="84" t="n"/>
      <c r="I75" s="84" t="n"/>
      <c r="J75" s="84" t="n"/>
      <c r="K75" s="85" t="n"/>
      <c r="L75" s="87" t="inlineStr">
        <is>
          <t>粗利益</t>
        </is>
      </c>
      <c r="M75" s="84" t="n"/>
      <c r="N75" s="84" t="n"/>
      <c r="O75" s="84" t="n"/>
      <c r="P75" s="84" t="n"/>
      <c r="Q75" s="84" t="n"/>
      <c r="R75" s="85" t="n"/>
      <c r="S75" s="87" t="inlineStr">
        <is>
          <t>粗利益率</t>
        </is>
      </c>
      <c r="T75" s="84" t="n"/>
      <c r="U75" s="84" t="n"/>
      <c r="V75" s="84" t="n"/>
      <c r="W75" s="84" t="n"/>
      <c r="X75" s="84" t="n"/>
      <c r="Y75" s="85" t="n"/>
    </row>
    <row r="76">
      <c r="C76" s="1" t="n"/>
      <c r="D76" s="14" t="n"/>
      <c r="E76" s="54" t="n">
        <v>46113</v>
      </c>
      <c r="F76" s="51" t="n">
        <v>46143</v>
      </c>
      <c r="G76" s="51" t="n">
        <v>46174</v>
      </c>
      <c r="H76" s="51" t="n">
        <v>46204</v>
      </c>
      <c r="I76" s="51" t="n">
        <v>46235</v>
      </c>
      <c r="J76" s="51" t="n">
        <v>46266</v>
      </c>
      <c r="K76" s="52" t="inlineStr">
        <is>
          <t>合計</t>
        </is>
      </c>
      <c r="L76" s="48" t="n">
        <v>46113</v>
      </c>
      <c r="M76" s="51" t="n">
        <v>46143</v>
      </c>
      <c r="N76" s="51" t="n">
        <v>46174</v>
      </c>
      <c r="O76" s="51" t="n">
        <v>46204</v>
      </c>
      <c r="P76" s="51" t="n">
        <v>46235</v>
      </c>
      <c r="Q76" s="51" t="n">
        <v>46266</v>
      </c>
      <c r="R76" s="52" t="inlineStr">
        <is>
          <t>合計</t>
        </is>
      </c>
      <c r="S76" s="48" t="n">
        <v>46113</v>
      </c>
      <c r="T76" s="51" t="n">
        <v>46143</v>
      </c>
      <c r="U76" s="51" t="n">
        <v>46174</v>
      </c>
      <c r="V76" s="51" t="n">
        <v>46204</v>
      </c>
      <c r="W76" s="51" t="n">
        <v>46235</v>
      </c>
      <c r="X76" s="51" t="n">
        <v>46266</v>
      </c>
      <c r="Y76" s="52" t="inlineStr">
        <is>
          <t>合計</t>
        </is>
      </c>
    </row>
    <row r="77">
      <c r="C77" s="2" t="inlineStr">
        <is>
          <t>0021 集計</t>
        </is>
      </c>
      <c r="D77" s="15" t="inlineStr">
        <is>
          <t>高橋所長</t>
        </is>
      </c>
      <c r="E77" s="3" t="n">
        <v>87.5</v>
      </c>
      <c r="F77" s="3" t="n">
        <v>27</v>
      </c>
      <c r="G77" s="80" t="n">
        <v>68.3</v>
      </c>
      <c r="H77" s="3" t="n">
        <v>93.3</v>
      </c>
      <c r="I77" s="3" t="n">
        <v>39.5</v>
      </c>
      <c r="J77" s="3" t="n">
        <v>53.547</v>
      </c>
      <c r="K77" s="59">
        <f>SUM(E77:J77)</f>
        <v/>
      </c>
      <c r="L77" s="2" t="n">
        <v>13</v>
      </c>
      <c r="M77" s="3" t="n">
        <v>4.05</v>
      </c>
      <c r="N77" s="80" t="n">
        <v>11.37</v>
      </c>
      <c r="O77" s="3" t="n">
        <v>17.735</v>
      </c>
      <c r="P77" s="3" t="n">
        <v>8.25</v>
      </c>
      <c r="Q77" s="3" t="n">
        <v>11.197</v>
      </c>
      <c r="R77" s="56">
        <f>SUM(L77:Q77)</f>
        <v/>
      </c>
      <c r="S77" s="103">
        <f>IF(E77=0,"***",L77/E77)</f>
        <v/>
      </c>
      <c r="T77" s="104">
        <f>IF(F77=0,"***",M77/F77)</f>
        <v/>
      </c>
      <c r="U77" s="104">
        <f>IF(G77=0,"***",N77/G77)</f>
        <v/>
      </c>
      <c r="V77" s="104">
        <f>IF(H77=0,"***",O77/H77)</f>
        <v/>
      </c>
      <c r="W77" s="104">
        <f>IF(I77=0,"***",P77/I77)</f>
        <v/>
      </c>
      <c r="X77" s="104">
        <f>IF(J77=0,"***",Q77/J77)</f>
        <v/>
      </c>
      <c r="Y77" s="105">
        <f>IF(K77=0,"***",R77/K77)</f>
        <v/>
      </c>
    </row>
    <row r="78">
      <c r="C78" s="2" t="inlineStr">
        <is>
          <t>0024 集計</t>
        </is>
      </c>
      <c r="D78" s="15" t="inlineStr">
        <is>
          <t>東野</t>
        </is>
      </c>
      <c r="E78" s="3" t="n">
        <v>29.8</v>
      </c>
      <c r="F78" s="3" t="n">
        <v>3381.3</v>
      </c>
      <c r="G78" s="80" t="n">
        <v>49.6</v>
      </c>
      <c r="H78" s="3" t="n">
        <v>583.3200000000001</v>
      </c>
      <c r="I78" s="3" t="n">
        <v>313</v>
      </c>
      <c r="J78" s="3" t="n">
        <v>106.2</v>
      </c>
      <c r="K78" s="59">
        <f>SUM(E78:J78)</f>
        <v/>
      </c>
      <c r="L78" s="2" t="n">
        <v>1.49</v>
      </c>
      <c r="M78" s="3" t="n">
        <v>444.769</v>
      </c>
      <c r="N78" s="80" t="n">
        <v>7.94</v>
      </c>
      <c r="O78" s="3" t="n">
        <v>64.078</v>
      </c>
      <c r="P78" s="3" t="n">
        <v>61.68</v>
      </c>
      <c r="Q78" s="3" t="n">
        <v>13.29</v>
      </c>
      <c r="R78" s="56">
        <f>SUM(L78:Q78)</f>
        <v/>
      </c>
      <c r="S78" s="103">
        <f>IF(E78=0,"***",L78/E78)</f>
        <v/>
      </c>
      <c r="T78" s="104">
        <f>IF(F78=0,"***",M78/F78)</f>
        <v/>
      </c>
      <c r="U78" s="104">
        <f>IF(G78=0,"***",N78/G78)</f>
        <v/>
      </c>
      <c r="V78" s="104">
        <f>IF(H78=0,"***",O78/H78)</f>
        <v/>
      </c>
      <c r="W78" s="104">
        <f>IF(I78=0,"***",P78/I78)</f>
        <v/>
      </c>
      <c r="X78" s="104">
        <f>IF(J78=0,"***",Q78/J78)</f>
        <v/>
      </c>
      <c r="Y78" s="105">
        <f>IF(K78=0,"***",R78/K78)</f>
        <v/>
      </c>
    </row>
    <row r="79">
      <c r="C79" s="2" t="inlineStr">
        <is>
          <t>0025 集計</t>
        </is>
      </c>
      <c r="D79" s="15" t="inlineStr">
        <is>
          <t>橋本課長</t>
        </is>
      </c>
      <c r="E79" s="3" t="n"/>
      <c r="F79" s="3" t="n">
        <v>81</v>
      </c>
      <c r="G79" s="3" t="n"/>
      <c r="H79" s="3" t="n">
        <v>54</v>
      </c>
      <c r="I79" s="3" t="n">
        <v>0</v>
      </c>
      <c r="J79" s="3" t="n">
        <v>148.7</v>
      </c>
      <c r="K79" s="59">
        <f>SUM(E79:J79)</f>
        <v/>
      </c>
      <c r="L79" s="2" t="n"/>
      <c r="M79" s="3" t="n">
        <v>12.96</v>
      </c>
      <c r="N79" s="3" t="n"/>
      <c r="O79" s="3" t="n">
        <v>5</v>
      </c>
      <c r="P79" s="3" t="n">
        <v>0</v>
      </c>
      <c r="Q79" s="3" t="n">
        <v>18.43</v>
      </c>
      <c r="R79" s="56">
        <f>SUM(L79:Q79)</f>
        <v/>
      </c>
      <c r="S79" s="103">
        <f>IF(E79=0,"***",L79/E79)</f>
        <v/>
      </c>
      <c r="T79" s="104">
        <f>IF(F79=0,"***",M79/F79)</f>
        <v/>
      </c>
      <c r="U79" s="104">
        <f>IF(G79=0,"***",N79/G79)</f>
        <v/>
      </c>
      <c r="V79" s="104">
        <f>IF(H79=0,"***",O79/H79)</f>
        <v/>
      </c>
      <c r="W79" s="104">
        <f>IF(I79=0,"***",P79/I79)</f>
        <v/>
      </c>
      <c r="X79" s="104">
        <f>IF(J79=0,"***",Q79/J79)</f>
        <v/>
      </c>
      <c r="Y79" s="105">
        <f>IF(K79=0,"***",R79/K79)</f>
        <v/>
      </c>
    </row>
    <row r="80">
      <c r="C80" s="2" t="inlineStr">
        <is>
          <t>0026 集計</t>
        </is>
      </c>
      <c r="D80" s="15" t="inlineStr">
        <is>
          <t>井上課長</t>
        </is>
      </c>
      <c r="E80" s="3" t="n">
        <v>568.65</v>
      </c>
      <c r="F80" s="3" t="n">
        <v>195.37</v>
      </c>
      <c r="G80" s="80" t="n">
        <v>52.05</v>
      </c>
      <c r="H80" s="3" t="n">
        <v>450.75</v>
      </c>
      <c r="I80" s="3" t="n">
        <v>249.91</v>
      </c>
      <c r="J80" s="3" t="n">
        <v>669.73</v>
      </c>
      <c r="K80" s="59">
        <f>SUM(E80:J80)</f>
        <v/>
      </c>
      <c r="L80" s="2" t="n">
        <v>90</v>
      </c>
      <c r="M80" s="3" t="n">
        <v>15.69</v>
      </c>
      <c r="N80" s="80" t="n">
        <v>9.51</v>
      </c>
      <c r="O80" s="3" t="n">
        <v>84.63</v>
      </c>
      <c r="P80" s="3" t="n">
        <v>40.47</v>
      </c>
      <c r="Q80" s="3" t="n">
        <v>120.8</v>
      </c>
      <c r="R80" s="56">
        <f>SUM(L80:Q80)</f>
        <v/>
      </c>
      <c r="S80" s="103">
        <f>IF(E80=0,"***",L80/E80)</f>
        <v/>
      </c>
      <c r="T80" s="104">
        <f>IF(F80=0,"***",M80/F80)</f>
        <v/>
      </c>
      <c r="U80" s="104">
        <f>IF(G80=0,"***",N80/G80)</f>
        <v/>
      </c>
      <c r="V80" s="104">
        <f>IF(H80=0,"***",O80/H80)</f>
        <v/>
      </c>
      <c r="W80" s="104">
        <f>IF(I80=0,"***",P80/I80)</f>
        <v/>
      </c>
      <c r="X80" s="104">
        <f>IF(J80=0,"***",Q80/J80)</f>
        <v/>
      </c>
      <c r="Y80" s="105">
        <f>IF(K80=0,"***",R80/K80)</f>
        <v/>
      </c>
    </row>
    <row r="81">
      <c r="C81" s="2" t="inlineStr">
        <is>
          <t>0027 集計</t>
        </is>
      </c>
      <c r="D81" s="15" t="inlineStr">
        <is>
          <t>中国</t>
        </is>
      </c>
      <c r="E81" s="3" t="n"/>
      <c r="F81" s="3" t="n"/>
      <c r="G81" s="3" t="n"/>
      <c r="H81" s="3" t="n"/>
      <c r="I81" s="3" t="n">
        <v>0</v>
      </c>
      <c r="J81" s="3" t="n">
        <v>0</v>
      </c>
      <c r="K81" s="59">
        <f>SUM(E81:J81)</f>
        <v/>
      </c>
      <c r="L81" s="2" t="n"/>
      <c r="M81" s="3" t="n"/>
      <c r="N81" s="3" t="n"/>
      <c r="O81" s="3" t="n"/>
      <c r="P81" s="3" t="n">
        <v>0</v>
      </c>
      <c r="Q81" s="3" t="n">
        <v>0</v>
      </c>
      <c r="R81" s="56">
        <f>SUM(L81:Q81)</f>
        <v/>
      </c>
      <c r="S81" s="103">
        <f>IF(E81=0,"***",L81/E81)</f>
        <v/>
      </c>
      <c r="T81" s="104">
        <f>IF(F81=0,"***",M81/F81)</f>
        <v/>
      </c>
      <c r="U81" s="104">
        <f>IF(G81=0,"***",N81/G81)</f>
        <v/>
      </c>
      <c r="V81" s="104">
        <f>IF(H81=0,"***",O81/H81)</f>
        <v/>
      </c>
      <c r="W81" s="104">
        <f>IF(I81=0,"***",P81/I81)</f>
        <v/>
      </c>
      <c r="X81" s="104">
        <f>IF(J81=0,"***",Q81/J81)</f>
        <v/>
      </c>
      <c r="Y81" s="105">
        <f>IF(K81=0,"***",R81/K81)</f>
        <v/>
      </c>
    </row>
    <row r="82">
      <c r="C82" s="71" t="inlineStr">
        <is>
          <t>0028 集計</t>
        </is>
      </c>
      <c r="D82" s="15" t="inlineStr">
        <is>
          <t>自治体</t>
        </is>
      </c>
      <c r="E82" s="3" t="n"/>
      <c r="F82" s="3" t="n"/>
      <c r="G82" s="3" t="n"/>
      <c r="H82" s="3" t="n"/>
      <c r="I82" s="3" t="n">
        <v>0</v>
      </c>
      <c r="J82" s="3" t="n">
        <v>0</v>
      </c>
      <c r="K82" s="3">
        <f>SUM(E82:J82)</f>
        <v/>
      </c>
      <c r="L82" s="2" t="n"/>
      <c r="M82" s="3" t="n"/>
      <c r="N82" s="3" t="n"/>
      <c r="O82" s="3" t="n"/>
      <c r="P82" s="3" t="n">
        <v>0</v>
      </c>
      <c r="Q82" s="3" t="n">
        <v>0</v>
      </c>
      <c r="R82" s="3">
        <f>SUM(L82:Q82)</f>
        <v/>
      </c>
      <c r="S82" s="103" t="n"/>
      <c r="T82" s="104" t="n"/>
      <c r="U82" s="104" t="n"/>
      <c r="V82" s="104" t="n"/>
      <c r="W82" s="104" t="n"/>
      <c r="X82" s="104" t="n"/>
      <c r="Y82" s="105" t="n"/>
    </row>
    <row r="83">
      <c r="C83" s="2" t="inlineStr">
        <is>
          <t>0029 集計</t>
        </is>
      </c>
      <c r="D83" s="15" t="inlineStr">
        <is>
          <t>その他</t>
        </is>
      </c>
      <c r="E83" s="3" t="n"/>
      <c r="F83" s="3" t="n"/>
      <c r="G83" s="3" t="n"/>
      <c r="H83" s="3" t="n"/>
      <c r="I83" s="3" t="n">
        <v>0</v>
      </c>
      <c r="J83" s="3" t="n">
        <v>0</v>
      </c>
      <c r="K83" s="59">
        <f>SUM(E83:J83)</f>
        <v/>
      </c>
      <c r="L83" s="2" t="n"/>
      <c r="M83" s="3" t="n"/>
      <c r="N83" s="3" t="n"/>
      <c r="O83" s="3" t="n"/>
      <c r="P83" s="3" t="n">
        <v>0</v>
      </c>
      <c r="Q83" s="3" t="n">
        <v>0</v>
      </c>
      <c r="R83" s="56">
        <f>SUM(L83:Q83)</f>
        <v/>
      </c>
      <c r="S83" s="103">
        <f>IF(E83=0,"***",L83/E83)</f>
        <v/>
      </c>
      <c r="T83" s="104">
        <f>IF(F83=0,"***",M83/F83)</f>
        <v/>
      </c>
      <c r="U83" s="104">
        <f>IF(G83=0,"***",N83/G83)</f>
        <v/>
      </c>
      <c r="V83" s="104">
        <f>IF(H83=0,"***",O83/H83)</f>
        <v/>
      </c>
      <c r="W83" s="104">
        <f>IF(I83=0,"***",P83/I83)</f>
        <v/>
      </c>
      <c r="X83" s="104">
        <f>IF(J83=0,"***",Q83/J83)</f>
        <v/>
      </c>
      <c r="Y83" s="105">
        <f>IF(K83=0,"***",R83/K83)</f>
        <v/>
      </c>
    </row>
    <row r="84">
      <c r="C84" s="4" t="inlineStr">
        <is>
          <t>合計</t>
        </is>
      </c>
      <c r="D84" s="16" t="n"/>
      <c r="E84" s="6">
        <f>SUM(E77:E83)</f>
        <v/>
      </c>
      <c r="F84" s="6">
        <f>SUM(F77:F83)</f>
        <v/>
      </c>
      <c r="G84" s="6">
        <f>SUM(G77:G83)</f>
        <v/>
      </c>
      <c r="H84" s="6">
        <f>SUM(H77:H83)</f>
        <v/>
      </c>
      <c r="I84" s="6">
        <f>SUM(I77:I83)</f>
        <v/>
      </c>
      <c r="J84" s="6">
        <f>SUM(J77:J83)</f>
        <v/>
      </c>
      <c r="K84" s="60">
        <f>SUM(E84:J84)</f>
        <v/>
      </c>
      <c r="L84" s="49">
        <f>SUM(L77:L83)</f>
        <v/>
      </c>
      <c r="M84" s="6">
        <f>SUM(M77:M83)</f>
        <v/>
      </c>
      <c r="N84" s="6">
        <f>SUM(N77:N83)</f>
        <v/>
      </c>
      <c r="O84" s="6">
        <f>SUM(O77:O83)</f>
        <v/>
      </c>
      <c r="P84" s="6">
        <f>SUM(P77:P83)</f>
        <v/>
      </c>
      <c r="Q84" s="6">
        <f>SUM(Q77:Q83)</f>
        <v/>
      </c>
      <c r="R84" s="50">
        <f>SUM(L84:Q84)</f>
        <v/>
      </c>
      <c r="S84" s="106">
        <f>IF(E84=0,"***",L84/E84)</f>
        <v/>
      </c>
      <c r="T84" s="107">
        <f>IF(F84=0,"***",M84/F84)</f>
        <v/>
      </c>
      <c r="U84" s="107">
        <f>IF(G84=0,"***",N84/G84)</f>
        <v/>
      </c>
      <c r="V84" s="107">
        <f>IF(H84=0,"***",O84/H84)</f>
        <v/>
      </c>
      <c r="W84" s="107">
        <f>IF(I84=0,"***",P84/I84)</f>
        <v/>
      </c>
      <c r="X84" s="107">
        <f>IF(J84=0,"***",Q84/J84)</f>
        <v/>
      </c>
      <c r="Y84" s="108">
        <f>IF(K84=0,"***",R84/K84)</f>
        <v/>
      </c>
    </row>
    <row r="85">
      <c r="C85" s="12" t="n"/>
      <c r="E85" s="11" t="n"/>
      <c r="F85" s="11" t="n"/>
      <c r="G85" s="11" t="n"/>
      <c r="H85" s="11" t="n"/>
      <c r="I85" s="11" t="n"/>
      <c r="J85" s="11" t="n"/>
      <c r="K85" s="12" t="n"/>
      <c r="L85" s="11" t="n"/>
      <c r="M85" s="11" t="n"/>
      <c r="N85" s="11" t="n"/>
      <c r="O85" s="11" t="n"/>
      <c r="P85" s="11" t="n"/>
      <c r="Q85" s="11" t="n"/>
      <c r="R85" s="12" t="n"/>
      <c r="S85" s="109" t="n"/>
      <c r="T85" s="109" t="n"/>
      <c r="U85" s="109" t="n"/>
      <c r="V85" s="109" t="n"/>
      <c r="W85" s="109" t="n"/>
      <c r="X85" s="109" t="n"/>
      <c r="Y85" s="109" t="n"/>
    </row>
    <row r="86">
      <c r="C86" s="12" t="inlineStr">
        <is>
          <t>８．計画比</t>
        </is>
      </c>
    </row>
    <row r="87">
      <c r="C87" s="86" t="n"/>
      <c r="D87" s="85" t="n"/>
      <c r="E87" s="86" t="inlineStr">
        <is>
          <t>売上</t>
        </is>
      </c>
      <c r="F87" s="84" t="n"/>
      <c r="G87" s="84" t="n"/>
      <c r="H87" s="84" t="n"/>
      <c r="I87" s="84" t="n"/>
      <c r="J87" s="84" t="n"/>
      <c r="K87" s="85" t="n"/>
      <c r="L87" s="87" t="inlineStr">
        <is>
          <t>粗利益</t>
        </is>
      </c>
      <c r="M87" s="84" t="n"/>
      <c r="N87" s="84" t="n"/>
      <c r="O87" s="84" t="n"/>
      <c r="P87" s="84" t="n"/>
      <c r="Q87" s="84" t="n"/>
      <c r="R87" s="85" t="n"/>
      <c r="S87" s="87" t="inlineStr">
        <is>
          <t>粗利益率</t>
        </is>
      </c>
      <c r="T87" s="84" t="n"/>
      <c r="U87" s="84" t="n"/>
      <c r="V87" s="84" t="n"/>
      <c r="W87" s="84" t="n"/>
      <c r="X87" s="84" t="n"/>
      <c r="Y87" s="85" t="n"/>
    </row>
    <row r="88">
      <c r="C88" s="1" t="n"/>
      <c r="D88" s="14" t="n"/>
      <c r="E88" s="54" t="n">
        <v>46113</v>
      </c>
      <c r="F88" s="51" t="n">
        <v>46143</v>
      </c>
      <c r="G88" s="51" t="n">
        <v>46174</v>
      </c>
      <c r="H88" s="51" t="n">
        <v>46204</v>
      </c>
      <c r="I88" s="51" t="n">
        <v>46235</v>
      </c>
      <c r="J88" s="51" t="n">
        <v>46266</v>
      </c>
      <c r="K88" s="52" t="inlineStr">
        <is>
          <t>合計</t>
        </is>
      </c>
      <c r="L88" s="48" t="n">
        <v>46113</v>
      </c>
      <c r="M88" s="51" t="n">
        <v>46143</v>
      </c>
      <c r="N88" s="51" t="n">
        <v>46174</v>
      </c>
      <c r="O88" s="51" t="n">
        <v>46204</v>
      </c>
      <c r="P88" s="51" t="n">
        <v>46235</v>
      </c>
      <c r="Q88" s="51" t="n">
        <v>46266</v>
      </c>
      <c r="R88" s="52" t="inlineStr">
        <is>
          <t>合計</t>
        </is>
      </c>
      <c r="S88" s="48" t="n">
        <v>46113</v>
      </c>
      <c r="T88" s="51" t="n">
        <v>46143</v>
      </c>
      <c r="U88" s="51" t="n">
        <v>46174</v>
      </c>
      <c r="V88" s="51" t="n">
        <v>46204</v>
      </c>
      <c r="W88" s="51" t="n">
        <v>46235</v>
      </c>
      <c r="X88" s="51" t="n">
        <v>46266</v>
      </c>
      <c r="Y88" s="52" t="inlineStr">
        <is>
          <t>合計</t>
        </is>
      </c>
    </row>
    <row r="89">
      <c r="C89" s="2" t="inlineStr">
        <is>
          <t>0021 集計</t>
        </is>
      </c>
      <c r="D89" s="15" t="inlineStr">
        <is>
          <t>高橋所長</t>
        </is>
      </c>
      <c r="E89" s="3">
        <f>E77-E41</f>
        <v/>
      </c>
      <c r="F89" s="3">
        <f>F77-F41</f>
        <v/>
      </c>
      <c r="G89" s="80">
        <f>G77-G41</f>
        <v/>
      </c>
      <c r="H89" s="3">
        <f>H77-H41</f>
        <v/>
      </c>
      <c r="I89" s="3">
        <f>I77-I41</f>
        <v/>
      </c>
      <c r="J89" s="3">
        <f>J77-J41</f>
        <v/>
      </c>
      <c r="K89" s="59">
        <f>SUM(E89:J89)</f>
        <v/>
      </c>
      <c r="L89" s="2">
        <f>L77-L41</f>
        <v/>
      </c>
      <c r="M89" s="3">
        <f>M77-M41</f>
        <v/>
      </c>
      <c r="N89" s="80">
        <f>N77-N41</f>
        <v/>
      </c>
      <c r="O89" s="3">
        <f>O77-O41</f>
        <v/>
      </c>
      <c r="P89" s="3">
        <f>P77-P41</f>
        <v/>
      </c>
      <c r="Q89" s="3">
        <f>Q77-Q41</f>
        <v/>
      </c>
      <c r="R89" s="56">
        <f>SUM(L89:Q89)</f>
        <v/>
      </c>
      <c r="S89" s="103">
        <f>S77-S41</f>
        <v/>
      </c>
      <c r="T89" s="104">
        <f>T77-T41</f>
        <v/>
      </c>
      <c r="U89" s="104">
        <f>U77-U41</f>
        <v/>
      </c>
      <c r="V89" s="104">
        <f>V77-V41</f>
        <v/>
      </c>
      <c r="W89" s="104">
        <f>W77-W41</f>
        <v/>
      </c>
      <c r="X89" s="104">
        <f>X77-X41</f>
        <v/>
      </c>
      <c r="Y89" s="105">
        <f>Y77-Y41</f>
        <v/>
      </c>
    </row>
    <row r="90">
      <c r="C90" s="2" t="inlineStr">
        <is>
          <t>0024 集計</t>
        </is>
      </c>
      <c r="D90" s="15" t="inlineStr">
        <is>
          <t>東野</t>
        </is>
      </c>
      <c r="E90" s="3">
        <f>E78-E42</f>
        <v/>
      </c>
      <c r="F90" s="3">
        <f>F78-F42</f>
        <v/>
      </c>
      <c r="G90" s="80">
        <f>G78-G42</f>
        <v/>
      </c>
      <c r="H90" s="3">
        <f>H78-H42</f>
        <v/>
      </c>
      <c r="I90" s="3">
        <f>I78-I42</f>
        <v/>
      </c>
      <c r="J90" s="3">
        <f>J78-J42</f>
        <v/>
      </c>
      <c r="K90" s="59">
        <f>SUM(E90:J90)</f>
        <v/>
      </c>
      <c r="L90" s="2">
        <f>L78-L42</f>
        <v/>
      </c>
      <c r="M90" s="3">
        <f>M78-M42</f>
        <v/>
      </c>
      <c r="N90" s="80">
        <f>N78-N42</f>
        <v/>
      </c>
      <c r="O90" s="3">
        <f>O78-O42</f>
        <v/>
      </c>
      <c r="P90" s="3">
        <f>P78-P42</f>
        <v/>
      </c>
      <c r="Q90" s="3">
        <f>Q78-Q42</f>
        <v/>
      </c>
      <c r="R90" s="56">
        <f>SUM(L90:Q90)</f>
        <v/>
      </c>
      <c r="S90" s="103">
        <f>S78-S42</f>
        <v/>
      </c>
      <c r="T90" s="104">
        <f>T78-T42</f>
        <v/>
      </c>
      <c r="U90" s="104">
        <f>U78-U42</f>
        <v/>
      </c>
      <c r="V90" s="104">
        <f>V78-V42</f>
        <v/>
      </c>
      <c r="W90" s="104">
        <f>W78-W42</f>
        <v/>
      </c>
      <c r="X90" s="104">
        <f>X78-X42</f>
        <v/>
      </c>
      <c r="Y90" s="105">
        <f>Y78-Y42</f>
        <v/>
      </c>
    </row>
    <row r="91">
      <c r="C91" s="2" t="inlineStr">
        <is>
          <t>0025 集計</t>
        </is>
      </c>
      <c r="D91" s="15" t="inlineStr">
        <is>
          <t>橋本課長</t>
        </is>
      </c>
      <c r="E91" s="3">
        <f>E79-E43</f>
        <v/>
      </c>
      <c r="F91" s="3">
        <f>F79-F43</f>
        <v/>
      </c>
      <c r="G91" s="80">
        <f>G79-G43</f>
        <v/>
      </c>
      <c r="H91" s="3">
        <f>H79-H43</f>
        <v/>
      </c>
      <c r="I91" s="3">
        <f>I79-I43</f>
        <v/>
      </c>
      <c r="J91" s="3">
        <f>J79-J43</f>
        <v/>
      </c>
      <c r="K91" s="59">
        <f>SUM(E91:J91)</f>
        <v/>
      </c>
      <c r="L91" s="2">
        <f>L79-L43</f>
        <v/>
      </c>
      <c r="M91" s="3">
        <f>M79-M43</f>
        <v/>
      </c>
      <c r="N91" s="80">
        <f>N79-N43</f>
        <v/>
      </c>
      <c r="O91" s="3">
        <f>O79-O43</f>
        <v/>
      </c>
      <c r="P91" s="3">
        <f>P79-P43</f>
        <v/>
      </c>
      <c r="Q91" s="3">
        <f>Q79-Q43</f>
        <v/>
      </c>
      <c r="R91" s="56">
        <f>SUM(L91:Q91)</f>
        <v/>
      </c>
      <c r="S91" s="103">
        <f>S79-S43</f>
        <v/>
      </c>
      <c r="T91" s="104">
        <f>T79-T43</f>
        <v/>
      </c>
      <c r="U91" s="104">
        <f>U79-U43</f>
        <v/>
      </c>
      <c r="V91" s="104">
        <f>V79-V43</f>
        <v/>
      </c>
      <c r="W91" s="104">
        <f>W79-W43</f>
        <v/>
      </c>
      <c r="X91" s="104">
        <f>X79-X43</f>
        <v/>
      </c>
      <c r="Y91" s="105">
        <f>Y79-Y43</f>
        <v/>
      </c>
    </row>
    <row r="92">
      <c r="C92" s="2" t="inlineStr">
        <is>
          <t>0026 集計</t>
        </is>
      </c>
      <c r="D92" s="15" t="inlineStr">
        <is>
          <t>井上課長</t>
        </is>
      </c>
      <c r="E92" s="3">
        <f>E80-E44</f>
        <v/>
      </c>
      <c r="F92" s="3">
        <f>F80-F44</f>
        <v/>
      </c>
      <c r="G92" s="80">
        <f>G80-G44</f>
        <v/>
      </c>
      <c r="H92" s="3">
        <f>H80-H44</f>
        <v/>
      </c>
      <c r="I92" s="3">
        <f>I80-I44</f>
        <v/>
      </c>
      <c r="J92" s="3">
        <f>J80-J44</f>
        <v/>
      </c>
      <c r="K92" s="59">
        <f>SUM(E92:J92)</f>
        <v/>
      </c>
      <c r="L92" s="2">
        <f>L80-L44</f>
        <v/>
      </c>
      <c r="M92" s="3">
        <f>M80-M44</f>
        <v/>
      </c>
      <c r="N92" s="80">
        <f>N80-N44</f>
        <v/>
      </c>
      <c r="O92" s="3">
        <f>O80-O44</f>
        <v/>
      </c>
      <c r="P92" s="3">
        <f>P80-P44</f>
        <v/>
      </c>
      <c r="Q92" s="3">
        <f>Q80-Q44</f>
        <v/>
      </c>
      <c r="R92" s="56">
        <f>SUM(L92:Q92)</f>
        <v/>
      </c>
      <c r="S92" s="103">
        <f>S80-S44</f>
        <v/>
      </c>
      <c r="T92" s="104">
        <f>T80-T44</f>
        <v/>
      </c>
      <c r="U92" s="104">
        <f>U80-U44</f>
        <v/>
      </c>
      <c r="V92" s="104">
        <f>V80-V44</f>
        <v/>
      </c>
      <c r="W92" s="104">
        <f>W80-W44</f>
        <v/>
      </c>
      <c r="X92" s="104">
        <f>X80-X44</f>
        <v/>
      </c>
      <c r="Y92" s="105">
        <f>Y80-Y44</f>
        <v/>
      </c>
    </row>
    <row r="93">
      <c r="C93" s="2" t="inlineStr">
        <is>
          <t>0027 集計</t>
        </is>
      </c>
      <c r="D93" s="15" t="inlineStr">
        <is>
          <t>中国</t>
        </is>
      </c>
      <c r="E93" s="3">
        <f>E81-E45</f>
        <v/>
      </c>
      <c r="F93" s="3">
        <f>F81-F45</f>
        <v/>
      </c>
      <c r="G93" s="80">
        <f>G81-G45</f>
        <v/>
      </c>
      <c r="H93" s="3">
        <f>H81-H45</f>
        <v/>
      </c>
      <c r="I93" s="3">
        <f>I81-I45</f>
        <v/>
      </c>
      <c r="J93" s="3">
        <f>J81-J45</f>
        <v/>
      </c>
      <c r="K93" s="59">
        <f>SUM(E93:J93)</f>
        <v/>
      </c>
      <c r="L93" s="2">
        <f>L81-L45</f>
        <v/>
      </c>
      <c r="M93" s="3">
        <f>M81-M45</f>
        <v/>
      </c>
      <c r="N93" s="80">
        <f>N81-N45</f>
        <v/>
      </c>
      <c r="O93" s="3">
        <f>O81-O45</f>
        <v/>
      </c>
      <c r="P93" s="3">
        <f>P81-P45</f>
        <v/>
      </c>
      <c r="Q93" s="3">
        <f>Q81-Q45</f>
        <v/>
      </c>
      <c r="R93" s="56">
        <f>SUM(L93:Q93)</f>
        <v/>
      </c>
      <c r="S93" s="103">
        <f>S81-S45</f>
        <v/>
      </c>
      <c r="T93" s="104">
        <f>T81-T45</f>
        <v/>
      </c>
      <c r="U93" s="104">
        <f>U81-U45</f>
        <v/>
      </c>
      <c r="V93" s="104">
        <f>V81-V45</f>
        <v/>
      </c>
      <c r="W93" s="104">
        <f>W81-W45</f>
        <v/>
      </c>
      <c r="X93" s="104">
        <f>X81-X45</f>
        <v/>
      </c>
      <c r="Y93" s="105">
        <f>Y81-Y45</f>
        <v/>
      </c>
    </row>
    <row r="94">
      <c r="C94" s="71" t="inlineStr">
        <is>
          <t>0028 集計</t>
        </is>
      </c>
      <c r="D94" s="15" t="inlineStr">
        <is>
          <t>自治体</t>
        </is>
      </c>
      <c r="E94" s="3">
        <f>E82-E46</f>
        <v/>
      </c>
      <c r="F94" s="3">
        <f>F82-F46</f>
        <v/>
      </c>
      <c r="G94" s="80">
        <f>G82-G46</f>
        <v/>
      </c>
      <c r="H94" s="3">
        <f>H82-H46</f>
        <v/>
      </c>
      <c r="I94" s="3">
        <f>I82-I46</f>
        <v/>
      </c>
      <c r="J94" s="3">
        <f>J82-J46</f>
        <v/>
      </c>
      <c r="K94" s="59">
        <f>SUM(E94:J94)</f>
        <v/>
      </c>
      <c r="L94" s="2">
        <f>L82-L46</f>
        <v/>
      </c>
      <c r="M94" s="3">
        <f>M82-M46</f>
        <v/>
      </c>
      <c r="N94" s="80">
        <f>N82-N46</f>
        <v/>
      </c>
      <c r="O94" s="3">
        <f>O82-O46</f>
        <v/>
      </c>
      <c r="P94" s="3">
        <f>P82-P46</f>
        <v/>
      </c>
      <c r="Q94" s="3">
        <f>Q82-Q46</f>
        <v/>
      </c>
      <c r="R94" s="56">
        <f>SUM(L94:Q94)</f>
        <v/>
      </c>
      <c r="S94" s="103" t="n"/>
      <c r="T94" s="104" t="n"/>
      <c r="U94" s="104" t="n"/>
      <c r="V94" s="104" t="n"/>
      <c r="W94" s="104" t="n"/>
      <c r="X94" s="104" t="n"/>
      <c r="Y94" s="105" t="n"/>
    </row>
    <row r="95">
      <c r="C95" s="2" t="inlineStr">
        <is>
          <t>0029 集計</t>
        </is>
      </c>
      <c r="D95" s="15" t="inlineStr">
        <is>
          <t>その他</t>
        </is>
      </c>
      <c r="E95" s="3">
        <f>E83-E47</f>
        <v/>
      </c>
      <c r="F95" s="3">
        <f>F83-F47</f>
        <v/>
      </c>
      <c r="G95" s="80">
        <f>G83-G47</f>
        <v/>
      </c>
      <c r="H95" s="3">
        <f>H83-H47</f>
        <v/>
      </c>
      <c r="I95" s="3">
        <f>I83-I47</f>
        <v/>
      </c>
      <c r="J95" s="3">
        <f>J83-J47</f>
        <v/>
      </c>
      <c r="K95" s="59">
        <f>SUM(E95:J95)</f>
        <v/>
      </c>
      <c r="L95" s="2">
        <f>L83-L47</f>
        <v/>
      </c>
      <c r="M95" s="3">
        <f>M83-M47</f>
        <v/>
      </c>
      <c r="N95" s="3">
        <f>N83-N47</f>
        <v/>
      </c>
      <c r="O95" s="3">
        <f>O83-O47</f>
        <v/>
      </c>
      <c r="P95" s="3">
        <f>P83-P47</f>
        <v/>
      </c>
      <c r="Q95" s="3">
        <f>Q83-Q47</f>
        <v/>
      </c>
      <c r="R95" s="56">
        <f>SUM(L95:Q95)</f>
        <v/>
      </c>
      <c r="S95" s="103">
        <f>S83-S47</f>
        <v/>
      </c>
      <c r="T95" s="104">
        <f>T83-T47</f>
        <v/>
      </c>
      <c r="U95" s="104">
        <f>U83-U47</f>
        <v/>
      </c>
      <c r="V95" s="104">
        <f>V83-V47</f>
        <v/>
      </c>
      <c r="W95" s="104">
        <f>W83-W47</f>
        <v/>
      </c>
      <c r="X95" s="104">
        <f>X83-X47</f>
        <v/>
      </c>
      <c r="Y95" s="105">
        <f>Y83-Y47</f>
        <v/>
      </c>
    </row>
    <row r="96">
      <c r="C96" s="4" t="inlineStr">
        <is>
          <t>合計</t>
        </is>
      </c>
      <c r="D96" s="16" t="n"/>
      <c r="E96" s="6">
        <f>SUM(E89:E95)</f>
        <v/>
      </c>
      <c r="F96" s="6">
        <f>SUM(F89:F95)</f>
        <v/>
      </c>
      <c r="G96" s="6">
        <f>SUM(G89:G95)</f>
        <v/>
      </c>
      <c r="H96" s="6">
        <f>SUM(H89:H95)</f>
        <v/>
      </c>
      <c r="I96" s="6">
        <f>SUM(I89:I95)</f>
        <v/>
      </c>
      <c r="J96" s="6">
        <f>SUM(J89:J95)</f>
        <v/>
      </c>
      <c r="K96" s="60">
        <f>SUM(E96:J96)</f>
        <v/>
      </c>
      <c r="L96" s="49">
        <f>SUM(L89:L95)</f>
        <v/>
      </c>
      <c r="M96" s="6">
        <f>SUM(M89:M95)</f>
        <v/>
      </c>
      <c r="N96" s="6">
        <f>SUM(N89:N95)</f>
        <v/>
      </c>
      <c r="O96" s="6">
        <f>SUM(O89:O95)</f>
        <v/>
      </c>
      <c r="P96" s="6">
        <f>SUM(P89:P95)</f>
        <v/>
      </c>
      <c r="Q96" s="6">
        <f>SUM(Q89:Q95)</f>
        <v/>
      </c>
      <c r="R96" s="50">
        <f>SUM(L96:Q96)</f>
        <v/>
      </c>
      <c r="S96" s="106">
        <f>S84-S48</f>
        <v/>
      </c>
      <c r="T96" s="107">
        <f>T84-T48</f>
        <v/>
      </c>
      <c r="U96" s="107">
        <f>U84-U48</f>
        <v/>
      </c>
      <c r="V96" s="107">
        <f>V84-V48</f>
        <v/>
      </c>
      <c r="W96" s="107">
        <f>W84-W48</f>
        <v/>
      </c>
      <c r="X96" s="107">
        <f>X84-X48</f>
        <v/>
      </c>
      <c r="Y96" s="108">
        <f>Y84-Y48</f>
        <v/>
      </c>
    </row>
    <row r="97">
      <c r="C97" s="12" t="n"/>
      <c r="E97" s="11" t="n"/>
      <c r="F97" s="11" t="n"/>
      <c r="G97" s="11" t="n"/>
      <c r="H97" s="11" t="n"/>
      <c r="I97" s="11" t="n"/>
      <c r="J97" s="11" t="n"/>
      <c r="K97" s="12" t="n"/>
      <c r="L97" s="11" t="n"/>
      <c r="M97" s="11" t="n"/>
      <c r="N97" s="11" t="n"/>
      <c r="O97" s="11" t="n"/>
      <c r="P97" s="11" t="n"/>
      <c r="Q97" s="11" t="n"/>
      <c r="R97" s="12" t="n"/>
      <c r="S97" s="109" t="n"/>
      <c r="T97" s="109" t="n"/>
      <c r="U97" s="109" t="n"/>
      <c r="V97" s="109" t="n"/>
      <c r="W97" s="109" t="n"/>
      <c r="X97" s="109" t="n"/>
      <c r="Y97" s="109" t="n"/>
    </row>
    <row r="98">
      <c r="C98" s="12" t="inlineStr">
        <is>
          <t>9．前期比</t>
        </is>
      </c>
    </row>
    <row r="99">
      <c r="C99" s="86" t="n"/>
      <c r="D99" s="85" t="n"/>
      <c r="E99" s="86" t="inlineStr">
        <is>
          <t>売上</t>
        </is>
      </c>
      <c r="F99" s="84" t="n"/>
      <c r="G99" s="84" t="n"/>
      <c r="H99" s="84" t="n"/>
      <c r="I99" s="84" t="n"/>
      <c r="J99" s="84" t="n"/>
      <c r="K99" s="85" t="n"/>
      <c r="L99" s="87" t="inlineStr">
        <is>
          <t>粗利益</t>
        </is>
      </c>
      <c r="M99" s="84" t="n"/>
      <c r="N99" s="84" t="n"/>
      <c r="O99" s="84" t="n"/>
      <c r="P99" s="84" t="n"/>
      <c r="Q99" s="84" t="n"/>
      <c r="R99" s="85" t="n"/>
      <c r="S99" s="87" t="inlineStr">
        <is>
          <t>粗利益率</t>
        </is>
      </c>
      <c r="T99" s="84" t="n"/>
      <c r="U99" s="84" t="n"/>
      <c r="V99" s="84" t="n"/>
      <c r="W99" s="84" t="n"/>
      <c r="X99" s="84" t="n"/>
      <c r="Y99" s="85" t="n"/>
    </row>
    <row r="100">
      <c r="C100" s="1" t="n"/>
      <c r="D100" s="14" t="n"/>
      <c r="E100" s="54" t="n">
        <v>46113</v>
      </c>
      <c r="F100" s="51" t="n">
        <v>46143</v>
      </c>
      <c r="G100" s="51" t="n">
        <v>46174</v>
      </c>
      <c r="H100" s="51" t="n">
        <v>46204</v>
      </c>
      <c r="I100" s="51" t="n">
        <v>46235</v>
      </c>
      <c r="J100" s="51" t="n">
        <v>46266</v>
      </c>
      <c r="K100" s="52" t="inlineStr">
        <is>
          <t>合計</t>
        </is>
      </c>
      <c r="L100" s="48" t="n">
        <v>46113</v>
      </c>
      <c r="M100" s="51" t="n">
        <v>46143</v>
      </c>
      <c r="N100" s="51" t="n">
        <v>46174</v>
      </c>
      <c r="O100" s="51" t="n">
        <v>46204</v>
      </c>
      <c r="P100" s="51" t="n">
        <v>46235</v>
      </c>
      <c r="Q100" s="51" t="n">
        <v>46266</v>
      </c>
      <c r="R100" s="52" t="inlineStr">
        <is>
          <t>合計</t>
        </is>
      </c>
      <c r="S100" s="48" t="n">
        <v>46113</v>
      </c>
      <c r="T100" s="51" t="n">
        <v>46143</v>
      </c>
      <c r="U100" s="51" t="n">
        <v>46174</v>
      </c>
      <c r="V100" s="51" t="n">
        <v>46204</v>
      </c>
      <c r="W100" s="51" t="n">
        <v>46235</v>
      </c>
      <c r="X100" s="51" t="n">
        <v>46266</v>
      </c>
      <c r="Y100" s="52" t="inlineStr">
        <is>
          <t>合計</t>
        </is>
      </c>
    </row>
    <row r="101">
      <c r="C101" s="2" t="inlineStr">
        <is>
          <t>0021 集計</t>
        </is>
      </c>
      <c r="D101" s="15" t="inlineStr">
        <is>
          <t>高橋所長</t>
        </is>
      </c>
      <c r="E101" s="3">
        <f>E77-E17</f>
        <v/>
      </c>
      <c r="F101" s="3">
        <f>F77-F17</f>
        <v/>
      </c>
      <c r="G101" s="80">
        <f>G77-G17</f>
        <v/>
      </c>
      <c r="H101" s="3">
        <f>H77-H17</f>
        <v/>
      </c>
      <c r="I101" s="3">
        <f>I77-I17</f>
        <v/>
      </c>
      <c r="J101" s="3">
        <f>J77-J17</f>
        <v/>
      </c>
      <c r="K101" s="59">
        <f>SUM(E101:J101)</f>
        <v/>
      </c>
      <c r="L101" s="2">
        <f>L77-L17</f>
        <v/>
      </c>
      <c r="M101" s="3">
        <f>M77-M17</f>
        <v/>
      </c>
      <c r="N101" s="80">
        <f>N77-N17</f>
        <v/>
      </c>
      <c r="O101" s="3">
        <f>O77-O17</f>
        <v/>
      </c>
      <c r="P101" s="3">
        <f>P77-P17</f>
        <v/>
      </c>
      <c r="Q101" s="3">
        <f>Q77-Q17</f>
        <v/>
      </c>
      <c r="R101" s="56">
        <f>SUM(L101:Q101)</f>
        <v/>
      </c>
      <c r="S101" s="103">
        <f>S77-S17</f>
        <v/>
      </c>
      <c r="T101" s="104">
        <f>T77-T17</f>
        <v/>
      </c>
      <c r="U101" s="104">
        <f>U77-U17</f>
        <v/>
      </c>
      <c r="V101" s="104">
        <f>V77-V17</f>
        <v/>
      </c>
      <c r="W101" s="104">
        <f>W77-W17</f>
        <v/>
      </c>
      <c r="X101" s="104">
        <f>X77-X17</f>
        <v/>
      </c>
      <c r="Y101" s="111">
        <f>Y77-Y17</f>
        <v/>
      </c>
    </row>
    <row r="102">
      <c r="C102" s="2" t="inlineStr">
        <is>
          <t>0024 集計</t>
        </is>
      </c>
      <c r="D102" s="15" t="inlineStr">
        <is>
          <t>東野</t>
        </is>
      </c>
      <c r="E102" s="3">
        <f>E78-E18</f>
        <v/>
      </c>
      <c r="F102" s="3">
        <f>F78-F18</f>
        <v/>
      </c>
      <c r="G102" s="80">
        <f>G78-G18</f>
        <v/>
      </c>
      <c r="H102" s="3">
        <f>H78-H18</f>
        <v/>
      </c>
      <c r="I102" s="3">
        <f>I78-I18</f>
        <v/>
      </c>
      <c r="J102" s="3">
        <f>J78-J18</f>
        <v/>
      </c>
      <c r="K102" s="59">
        <f>SUM(E102:J102)</f>
        <v/>
      </c>
      <c r="L102" s="2">
        <f>L78-L18</f>
        <v/>
      </c>
      <c r="M102" s="3">
        <f>M78-M18</f>
        <v/>
      </c>
      <c r="N102" s="80">
        <f>N78-N18</f>
        <v/>
      </c>
      <c r="O102" s="3">
        <f>O78-O18</f>
        <v/>
      </c>
      <c r="P102" s="3">
        <f>P78-P18</f>
        <v/>
      </c>
      <c r="Q102" s="3">
        <f>Q78-Q18</f>
        <v/>
      </c>
      <c r="R102" s="56">
        <f>SUM(L102:Q102)</f>
        <v/>
      </c>
      <c r="S102" s="103">
        <f>S78-S18</f>
        <v/>
      </c>
      <c r="T102" s="104">
        <f>T78-T18</f>
        <v/>
      </c>
      <c r="U102" s="104">
        <f>U78-U18</f>
        <v/>
      </c>
      <c r="V102" s="104">
        <f>V78-V18</f>
        <v/>
      </c>
      <c r="W102" s="104">
        <f>W78-W18</f>
        <v/>
      </c>
      <c r="X102" s="104">
        <f>X78-X18</f>
        <v/>
      </c>
      <c r="Y102" s="111">
        <f>Y78-Y18</f>
        <v/>
      </c>
    </row>
    <row r="103">
      <c r="C103" s="2" t="inlineStr">
        <is>
          <t>0025 集計</t>
        </is>
      </c>
      <c r="D103" s="15" t="inlineStr">
        <is>
          <t>橋本課長</t>
        </is>
      </c>
      <c r="E103" s="3">
        <f>E79-E19</f>
        <v/>
      </c>
      <c r="F103" s="3">
        <f>F79-F19</f>
        <v/>
      </c>
      <c r="G103" s="80">
        <f>G79-G19</f>
        <v/>
      </c>
      <c r="H103" s="3">
        <f>H79-H19</f>
        <v/>
      </c>
      <c r="I103" s="3">
        <f>I79-I19</f>
        <v/>
      </c>
      <c r="J103" s="3">
        <f>J79-J19</f>
        <v/>
      </c>
      <c r="K103" s="59">
        <f>SUM(E103:J103)</f>
        <v/>
      </c>
      <c r="L103" s="2">
        <f>L79-L19</f>
        <v/>
      </c>
      <c r="M103" s="3">
        <f>M79-M19</f>
        <v/>
      </c>
      <c r="N103" s="80">
        <f>N79-N19</f>
        <v/>
      </c>
      <c r="O103" s="3">
        <f>O79-O19</f>
        <v/>
      </c>
      <c r="P103" s="3">
        <f>P79-P19</f>
        <v/>
      </c>
      <c r="Q103" s="3">
        <f>Q79-Q19</f>
        <v/>
      </c>
      <c r="R103" s="56">
        <f>SUM(L103:Q103)</f>
        <v/>
      </c>
      <c r="S103" s="103">
        <f>S79-S19</f>
        <v/>
      </c>
      <c r="T103" s="104">
        <f>T79-T19</f>
        <v/>
      </c>
      <c r="U103" s="104">
        <f>U79-U19</f>
        <v/>
      </c>
      <c r="V103" s="104">
        <f>V79-V19</f>
        <v/>
      </c>
      <c r="W103" s="104">
        <f>W79-W19</f>
        <v/>
      </c>
      <c r="X103" s="104">
        <f>X79-X19</f>
        <v/>
      </c>
      <c r="Y103" s="111">
        <f>Y79-Y19</f>
        <v/>
      </c>
    </row>
    <row r="104">
      <c r="C104" s="2" t="inlineStr">
        <is>
          <t>0026 集計</t>
        </is>
      </c>
      <c r="D104" s="15" t="inlineStr">
        <is>
          <t>井上課長</t>
        </is>
      </c>
      <c r="E104" s="3">
        <f>E80-E20</f>
        <v/>
      </c>
      <c r="F104" s="3">
        <f>F80-F20</f>
        <v/>
      </c>
      <c r="G104" s="80">
        <f>G80-G20</f>
        <v/>
      </c>
      <c r="H104" s="3">
        <f>H80-H20</f>
        <v/>
      </c>
      <c r="I104" s="3">
        <f>I80-I20</f>
        <v/>
      </c>
      <c r="J104" s="3">
        <f>J80-J20</f>
        <v/>
      </c>
      <c r="K104" s="59">
        <f>SUM(E104:J104)</f>
        <v/>
      </c>
      <c r="L104" s="2">
        <f>L80-L20</f>
        <v/>
      </c>
      <c r="M104" s="3">
        <f>M80-M20</f>
        <v/>
      </c>
      <c r="N104" s="80">
        <f>N80-N20</f>
        <v/>
      </c>
      <c r="O104" s="3">
        <f>O80-O20</f>
        <v/>
      </c>
      <c r="P104" s="3">
        <f>P80-P20</f>
        <v/>
      </c>
      <c r="Q104" s="3">
        <f>Q80-Q20</f>
        <v/>
      </c>
      <c r="R104" s="56">
        <f>SUM(L104:Q104)</f>
        <v/>
      </c>
      <c r="S104" s="103">
        <f>S80-S20</f>
        <v/>
      </c>
      <c r="T104" s="104">
        <f>T80-T20</f>
        <v/>
      </c>
      <c r="U104" s="104">
        <f>U80-U20</f>
        <v/>
      </c>
      <c r="V104" s="104">
        <f>V80-V20</f>
        <v/>
      </c>
      <c r="W104" s="104">
        <f>W80-W20</f>
        <v/>
      </c>
      <c r="X104" s="104">
        <f>X80-X20</f>
        <v/>
      </c>
      <c r="Y104" s="111">
        <f>Y80-Y20</f>
        <v/>
      </c>
    </row>
    <row r="105">
      <c r="C105" s="2" t="inlineStr">
        <is>
          <t>0027 集計</t>
        </is>
      </c>
      <c r="D105" s="15" t="inlineStr">
        <is>
          <t>中国</t>
        </is>
      </c>
      <c r="E105" s="3">
        <f>E81-E21</f>
        <v/>
      </c>
      <c r="F105" s="3">
        <f>F81-F21</f>
        <v/>
      </c>
      <c r="G105" s="80">
        <f>G81-G21</f>
        <v/>
      </c>
      <c r="H105" s="3">
        <f>H81-H21</f>
        <v/>
      </c>
      <c r="I105" s="3">
        <f>I81-I21</f>
        <v/>
      </c>
      <c r="J105" s="3">
        <f>J81-J21</f>
        <v/>
      </c>
      <c r="K105" s="59">
        <f>SUM(E105:J105)</f>
        <v/>
      </c>
      <c r="L105" s="2">
        <f>L81-L21</f>
        <v/>
      </c>
      <c r="M105" s="3">
        <f>M81-M21</f>
        <v/>
      </c>
      <c r="N105" s="80">
        <f>N81-N21</f>
        <v/>
      </c>
      <c r="O105" s="3">
        <f>O81-O21</f>
        <v/>
      </c>
      <c r="P105" s="3">
        <f>P81-P21</f>
        <v/>
      </c>
      <c r="Q105" s="3">
        <f>Q81-Q21</f>
        <v/>
      </c>
      <c r="R105" s="56">
        <f>SUM(L105:Q105)</f>
        <v/>
      </c>
      <c r="S105" s="103">
        <f>S81-S21</f>
        <v/>
      </c>
      <c r="T105" s="104">
        <f>T81-T21</f>
        <v/>
      </c>
      <c r="U105" s="104">
        <f>U81-U21</f>
        <v/>
      </c>
      <c r="V105" s="104">
        <f>V81-V21</f>
        <v/>
      </c>
      <c r="W105" s="104">
        <f>W81-W21</f>
        <v/>
      </c>
      <c r="X105" s="104">
        <f>X81-X21</f>
        <v/>
      </c>
      <c r="Y105" s="111">
        <f>Y81-Y21</f>
        <v/>
      </c>
    </row>
    <row r="106">
      <c r="C106" s="71" t="inlineStr">
        <is>
          <t>0028 集計</t>
        </is>
      </c>
      <c r="D106" s="15" t="inlineStr">
        <is>
          <t>自治体</t>
        </is>
      </c>
      <c r="E106" s="3">
        <f>E82-E22</f>
        <v/>
      </c>
      <c r="F106" s="3">
        <f>F82-F22</f>
        <v/>
      </c>
      <c r="G106" s="80">
        <f>G82-G22</f>
        <v/>
      </c>
      <c r="H106" s="3">
        <f>H82-H22</f>
        <v/>
      </c>
      <c r="I106" s="3">
        <f>I82-I22</f>
        <v/>
      </c>
      <c r="J106" s="3">
        <f>J82-J22</f>
        <v/>
      </c>
      <c r="K106" s="59">
        <f>SUM(E106:J106)</f>
        <v/>
      </c>
      <c r="L106" s="2">
        <f>L82-L22</f>
        <v/>
      </c>
      <c r="M106" s="3">
        <f>M82-M22</f>
        <v/>
      </c>
      <c r="N106" s="80">
        <f>N82-N22</f>
        <v/>
      </c>
      <c r="O106" s="3">
        <f>O82-O22</f>
        <v/>
      </c>
      <c r="P106" s="3">
        <f>P82-P22</f>
        <v/>
      </c>
      <c r="Q106" s="3">
        <f>Q82-Q22</f>
        <v/>
      </c>
      <c r="R106" s="56">
        <f>SUM(L106:Q106)</f>
        <v/>
      </c>
      <c r="S106" s="103" t="n"/>
      <c r="T106" s="104" t="n"/>
      <c r="U106" s="104" t="n"/>
      <c r="V106" s="104" t="n"/>
      <c r="W106" s="104" t="n"/>
      <c r="X106" s="104" t="n"/>
      <c r="Y106" s="111" t="n"/>
    </row>
    <row r="107">
      <c r="C107" s="2" t="inlineStr">
        <is>
          <t>0029 集計</t>
        </is>
      </c>
      <c r="D107" s="15" t="inlineStr">
        <is>
          <t>その他</t>
        </is>
      </c>
      <c r="E107" s="3">
        <f>E83-E23</f>
        <v/>
      </c>
      <c r="F107" s="3">
        <f>F83-F23</f>
        <v/>
      </c>
      <c r="G107" s="80">
        <f>G83-G23</f>
        <v/>
      </c>
      <c r="H107" s="3">
        <f>H83-H23</f>
        <v/>
      </c>
      <c r="I107" s="3">
        <f>I83-I23</f>
        <v/>
      </c>
      <c r="J107" s="3">
        <f>J83-J23</f>
        <v/>
      </c>
      <c r="K107" s="59">
        <f>SUM(E107:J107)</f>
        <v/>
      </c>
      <c r="L107" s="2">
        <f>L83-L23</f>
        <v/>
      </c>
      <c r="M107" s="3">
        <f>M83-M23</f>
        <v/>
      </c>
      <c r="N107" s="80">
        <f>N83-N23</f>
        <v/>
      </c>
      <c r="O107" s="3">
        <f>O83-O23</f>
        <v/>
      </c>
      <c r="P107" s="3">
        <f>P83-P23</f>
        <v/>
      </c>
      <c r="Q107" s="3">
        <f>Q83-Q23</f>
        <v/>
      </c>
      <c r="R107" s="56">
        <f>SUM(L107:Q107)</f>
        <v/>
      </c>
      <c r="S107" s="103">
        <f>S83-S23</f>
        <v/>
      </c>
      <c r="T107" s="104">
        <f>T83-T23</f>
        <v/>
      </c>
      <c r="U107" s="104">
        <f>U83-U23</f>
        <v/>
      </c>
      <c r="V107" s="104">
        <f>V83-V23</f>
        <v/>
      </c>
      <c r="W107" s="104">
        <f>W83-W23</f>
        <v/>
      </c>
      <c r="X107" s="104">
        <f>X83-X23</f>
        <v/>
      </c>
      <c r="Y107" s="111">
        <f>Y83-Y23</f>
        <v/>
      </c>
    </row>
    <row r="108">
      <c r="C108" s="4" t="inlineStr">
        <is>
          <t>合計</t>
        </is>
      </c>
      <c r="D108" s="16" t="n"/>
      <c r="E108" s="6">
        <f>SUM(E101:E107)</f>
        <v/>
      </c>
      <c r="F108" s="6">
        <f>SUM(F101:F107)</f>
        <v/>
      </c>
      <c r="G108" s="6">
        <f>SUM(G101:G107)</f>
        <v/>
      </c>
      <c r="H108" s="6">
        <f>SUM(H101:H107)</f>
        <v/>
      </c>
      <c r="I108" s="6">
        <f>SUM(I101:I107)</f>
        <v/>
      </c>
      <c r="J108" s="6">
        <f>SUM(J101:J107)</f>
        <v/>
      </c>
      <c r="K108" s="60">
        <f>SUM(E108:J108)</f>
        <v/>
      </c>
      <c r="L108" s="49">
        <f>SUM(L101:L107)</f>
        <v/>
      </c>
      <c r="M108" s="6">
        <f>SUM(M101:M107)</f>
        <v/>
      </c>
      <c r="N108" s="6">
        <f>SUM(N101:N107)</f>
        <v/>
      </c>
      <c r="O108" s="6">
        <f>SUM(O101:O107)</f>
        <v/>
      </c>
      <c r="P108" s="6">
        <f>SUM(P101:P107)</f>
        <v/>
      </c>
      <c r="Q108" s="6">
        <f>SUM(Q101:Q107)</f>
        <v/>
      </c>
      <c r="R108" s="50">
        <f>SUM(L108:Q108)</f>
        <v/>
      </c>
      <c r="S108" s="106">
        <f>S84-S24</f>
        <v/>
      </c>
      <c r="T108" s="107">
        <f>T84-T24</f>
        <v/>
      </c>
      <c r="U108" s="107">
        <f>U84-U24</f>
        <v/>
      </c>
      <c r="V108" s="107">
        <f>V84-V24</f>
        <v/>
      </c>
      <c r="W108" s="107">
        <f>W84-W24</f>
        <v/>
      </c>
      <c r="X108" s="107">
        <f>X84-X24</f>
        <v/>
      </c>
      <c r="Y108" s="112">
        <f>Y84-Y24</f>
        <v/>
      </c>
    </row>
  </sheetData>
  <mergeCells count="36">
    <mergeCell ref="S99:Y99"/>
    <mergeCell ref="L63:R63"/>
    <mergeCell ref="C15:D15"/>
    <mergeCell ref="L99:R99"/>
    <mergeCell ref="S63:Y63"/>
    <mergeCell ref="E75:K75"/>
    <mergeCell ref="L27:R27"/>
    <mergeCell ref="S51:Y51"/>
    <mergeCell ref="E3:K3"/>
    <mergeCell ref="S75:Y75"/>
    <mergeCell ref="C63:D63"/>
    <mergeCell ref="C99:D99"/>
    <mergeCell ref="C75:D75"/>
    <mergeCell ref="E39:K39"/>
    <mergeCell ref="L75:R75"/>
    <mergeCell ref="S27:Y27"/>
    <mergeCell ref="S3:Y3"/>
    <mergeCell ref="C51:D51"/>
    <mergeCell ref="C27:D27"/>
    <mergeCell ref="L87:R87"/>
    <mergeCell ref="S39:Y39"/>
    <mergeCell ref="L3:R3"/>
    <mergeCell ref="E51:K51"/>
    <mergeCell ref="E87:K87"/>
    <mergeCell ref="L15:R15"/>
    <mergeCell ref="C39:D39"/>
    <mergeCell ref="E63:K63"/>
    <mergeCell ref="L39:R39"/>
    <mergeCell ref="S87:Y8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72"/>
</worksheet>
</file>

<file path=xl/worksheets/sheet3.xml><?xml version="1.0" encoding="utf-8"?>
<worksheet xmlns="http://schemas.openxmlformats.org/spreadsheetml/2006/main">
  <sheetPr>
    <outlinePr summaryBelow="1" summaryRight="1"/>
    <pageSetUpPr fitToPage="1"/>
  </sheetPr>
  <dimension ref="C1:Y108"/>
  <sheetViews>
    <sheetView topLeftCell="A43" zoomScaleNormal="100" workbookViewId="0">
      <pane xSplit="4" topLeftCell="E1" activePane="topRight" state="frozen"/>
      <selection activeCell="E89" sqref="E89"/>
      <selection pane="topRight" activeCell="N82" sqref="N82"/>
    </sheetView>
  </sheetViews>
  <sheetFormatPr baseColWidth="8" defaultRowHeight="18.75"/>
  <cols>
    <col width="9.75" bestFit="1" customWidth="1" style="93" min="3" max="3"/>
    <col width="10.125" customWidth="1" style="93" min="5" max="25"/>
  </cols>
  <sheetData>
    <row r="1" ht="24" customHeight="1" s="93">
      <c r="C1" s="17" t="inlineStr">
        <is>
          <t>下関営業所全体</t>
        </is>
      </c>
    </row>
    <row r="2">
      <c r="C2" s="94" t="inlineStr">
        <is>
          <t>1．2024年</t>
        </is>
      </c>
    </row>
    <row r="3">
      <c r="C3" s="86" t="n"/>
      <c r="D3" s="85" t="n"/>
      <c r="E3" s="88" t="inlineStr">
        <is>
          <t>売上</t>
        </is>
      </c>
      <c r="F3" s="84" t="n"/>
      <c r="G3" s="84" t="n"/>
      <c r="H3" s="84" t="n"/>
      <c r="I3" s="84" t="n"/>
      <c r="J3" s="84" t="n"/>
      <c r="K3" s="84" t="n"/>
      <c r="L3" s="83" t="inlineStr">
        <is>
          <t>粗利益</t>
        </is>
      </c>
      <c r="M3" s="84" t="n"/>
      <c r="N3" s="84" t="n"/>
      <c r="O3" s="84" t="n"/>
      <c r="P3" s="84" t="n"/>
      <c r="Q3" s="84" t="n"/>
      <c r="R3" s="85" t="n"/>
      <c r="S3" s="87" t="inlineStr">
        <is>
          <t>粗利益率</t>
        </is>
      </c>
      <c r="T3" s="84" t="n"/>
      <c r="U3" s="84" t="n"/>
      <c r="V3" s="84" t="n"/>
      <c r="W3" s="84" t="n"/>
      <c r="X3" s="84" t="n"/>
      <c r="Y3" s="85" t="n"/>
    </row>
    <row r="4">
      <c r="C4" s="1" t="n"/>
      <c r="D4" s="14" t="n"/>
      <c r="E4" s="51" t="n">
        <v>45383</v>
      </c>
      <c r="F4" s="51" t="n">
        <v>45413</v>
      </c>
      <c r="G4" s="51" t="n">
        <v>45444</v>
      </c>
      <c r="H4" s="51" t="n">
        <v>45474</v>
      </c>
      <c r="I4" s="51" t="n">
        <v>45505</v>
      </c>
      <c r="J4" s="51" t="n">
        <v>45536</v>
      </c>
      <c r="K4" s="55" t="inlineStr">
        <is>
          <t>合計</t>
        </is>
      </c>
      <c r="L4" s="54" t="n">
        <v>45383</v>
      </c>
      <c r="M4" s="51" t="n">
        <v>45413</v>
      </c>
      <c r="N4" s="51" t="n">
        <v>45444</v>
      </c>
      <c r="O4" s="51" t="n">
        <v>45474</v>
      </c>
      <c r="P4" s="51" t="n">
        <v>45505</v>
      </c>
      <c r="Q4" s="51" t="n">
        <v>45536</v>
      </c>
      <c r="R4" s="52" t="inlineStr">
        <is>
          <t>合計</t>
        </is>
      </c>
      <c r="S4" s="48" t="n">
        <v>45017</v>
      </c>
      <c r="T4" s="51" t="n">
        <v>45047</v>
      </c>
      <c r="U4" s="51" t="n">
        <v>45078</v>
      </c>
      <c r="V4" s="51" t="n">
        <v>45108</v>
      </c>
      <c r="W4" s="51" t="n">
        <v>45139</v>
      </c>
      <c r="X4" s="51" t="n">
        <v>45170</v>
      </c>
      <c r="Y4" s="52" t="inlineStr">
        <is>
          <t>合計</t>
        </is>
      </c>
    </row>
    <row r="5">
      <c r="C5" s="2" t="inlineStr">
        <is>
          <t>0021 集計</t>
        </is>
      </c>
      <c r="D5" s="15" t="inlineStr">
        <is>
          <t>高橋所長</t>
        </is>
      </c>
      <c r="E5" s="3" t="n">
        <v>11753.171</v>
      </c>
      <c r="F5" s="3" t="n">
        <v>10563.879</v>
      </c>
      <c r="G5" s="3" t="n">
        <v>9223.070000000002</v>
      </c>
      <c r="H5" s="3" t="n">
        <v>10595.855</v>
      </c>
      <c r="I5" s="3" t="n">
        <v>10776.385</v>
      </c>
      <c r="J5" s="3" t="n">
        <v>8638.655999999999</v>
      </c>
      <c r="K5" s="59">
        <f>SUM(E5:J5)</f>
        <v/>
      </c>
      <c r="L5" s="2" t="n">
        <v>2624.741</v>
      </c>
      <c r="M5" s="3" t="n">
        <v>2364.820999999999</v>
      </c>
      <c r="N5" s="3" t="n">
        <v>2014.608</v>
      </c>
      <c r="O5" s="3" t="n">
        <v>2326.429</v>
      </c>
      <c r="P5" s="3" t="n">
        <v>2387.037</v>
      </c>
      <c r="Q5" s="3" t="n">
        <v>2072.398</v>
      </c>
      <c r="R5" s="56">
        <f>SUM(L5:Q5)</f>
        <v/>
      </c>
      <c r="S5" s="103">
        <f>IF(E5=0,"***",L5/E5)</f>
        <v/>
      </c>
      <c r="T5" s="104">
        <f>IF(F5=0,"***",M5/F5)</f>
        <v/>
      </c>
      <c r="U5" s="104">
        <f>IF(G5=0,"***",N5/G5)</f>
        <v/>
      </c>
      <c r="V5" s="104">
        <f>IF(H5=0,"***",O5/H5)</f>
        <v/>
      </c>
      <c r="W5" s="104">
        <f>IF(I5=0,"***",P5/I5)</f>
        <v/>
      </c>
      <c r="X5" s="104">
        <f>IF(J5=0,"***",Q5/J5)</f>
        <v/>
      </c>
      <c r="Y5" s="105">
        <f>IF(K5=0,"***",R5/K5)</f>
        <v/>
      </c>
    </row>
    <row r="6">
      <c r="C6" s="2" t="inlineStr">
        <is>
          <t>0024 集計</t>
        </is>
      </c>
      <c r="D6" s="15" t="inlineStr">
        <is>
          <t>東野</t>
        </is>
      </c>
      <c r="E6" s="3" t="n">
        <v>13328.239</v>
      </c>
      <c r="F6" s="3" t="n">
        <v>10428.931</v>
      </c>
      <c r="G6" s="3" t="n">
        <v>11991.208</v>
      </c>
      <c r="H6" s="3" t="n">
        <v>13843.186</v>
      </c>
      <c r="I6" s="3" t="n">
        <v>11383.003</v>
      </c>
      <c r="J6" s="3" t="n">
        <v>14024.166</v>
      </c>
      <c r="K6" s="59">
        <f>SUM(E6:J6)</f>
        <v/>
      </c>
      <c r="L6" s="2" t="n">
        <v>2832.923</v>
      </c>
      <c r="M6" s="3" t="n">
        <v>2155.516</v>
      </c>
      <c r="N6" s="3" t="n">
        <v>2459.638</v>
      </c>
      <c r="O6" s="3" t="n">
        <v>2954.298</v>
      </c>
      <c r="P6" s="3" t="n">
        <v>2296.569</v>
      </c>
      <c r="Q6" s="3" t="n">
        <v>2908.856000000001</v>
      </c>
      <c r="R6" s="56">
        <f>SUM(L6:Q6)</f>
        <v/>
      </c>
      <c r="S6" s="103">
        <f>IF(E6=0,"***",L6/E6)</f>
        <v/>
      </c>
      <c r="T6" s="104">
        <f>IF(F6=0,"***",M6/F6)</f>
        <v/>
      </c>
      <c r="U6" s="104">
        <f>IF(G6=0,"***",N6/G6)</f>
        <v/>
      </c>
      <c r="V6" s="104">
        <f>IF(H6=0,"***",O6/H6)</f>
        <v/>
      </c>
      <c r="W6" s="104">
        <f>IF(I6=0,"***",P6/I6)</f>
        <v/>
      </c>
      <c r="X6" s="104">
        <f>IF(J6=0,"***",Q6/J6)</f>
        <v/>
      </c>
      <c r="Y6" s="105">
        <f>IF(K6=0,"***",R6/K6)</f>
        <v/>
      </c>
    </row>
    <row r="7">
      <c r="C7" s="2" t="inlineStr">
        <is>
          <t>0025 集計</t>
        </is>
      </c>
      <c r="D7" s="15" t="inlineStr">
        <is>
          <t>橋本課長</t>
        </is>
      </c>
      <c r="E7" s="3" t="n">
        <v>9755.117999999999</v>
      </c>
      <c r="F7" s="3" t="n">
        <v>8922.02</v>
      </c>
      <c r="G7" s="3" t="n">
        <v>7512.022999999999</v>
      </c>
      <c r="H7" s="3" t="n">
        <v>8068.27</v>
      </c>
      <c r="I7" s="3" t="n">
        <v>8839.392000000002</v>
      </c>
      <c r="J7" s="3" t="n">
        <v>9951.129000000001</v>
      </c>
      <c r="K7" s="59">
        <f>SUM(E7:J7)</f>
        <v/>
      </c>
      <c r="L7" s="2" t="n">
        <v>1820.776</v>
      </c>
      <c r="M7" s="3" t="n">
        <v>1584.587</v>
      </c>
      <c r="N7" s="3" t="n">
        <v>1260.419</v>
      </c>
      <c r="O7" s="3" t="n">
        <v>1425.398</v>
      </c>
      <c r="P7" s="3" t="n">
        <v>1569.458</v>
      </c>
      <c r="Q7" s="3" t="n">
        <v>1621.124</v>
      </c>
      <c r="R7" s="56">
        <f>SUM(L7:Q7)</f>
        <v/>
      </c>
      <c r="S7" s="103">
        <f>IF(E7=0,"***",L7/E7)</f>
        <v/>
      </c>
      <c r="T7" s="104">
        <f>IF(F7=0,"***",M7/F7)</f>
        <v/>
      </c>
      <c r="U7" s="104">
        <f>IF(G7=0,"***",N7/G7)</f>
        <v/>
      </c>
      <c r="V7" s="104">
        <f>IF(H7=0,"***",O7/H7)</f>
        <v/>
      </c>
      <c r="W7" s="104">
        <f>IF(I7=0,"***",P7/I7)</f>
        <v/>
      </c>
      <c r="X7" s="104">
        <f>IF(J7=0,"***",Q7/J7)</f>
        <v/>
      </c>
      <c r="Y7" s="105">
        <f>IF(K7=0,"***",R7/K7)</f>
        <v/>
      </c>
    </row>
    <row r="8">
      <c r="C8" s="2" t="inlineStr">
        <is>
          <t>0026 集計</t>
        </is>
      </c>
      <c r="D8" s="15" t="inlineStr">
        <is>
          <t>井上課長</t>
        </is>
      </c>
      <c r="E8" s="3" t="n">
        <v>13260.614</v>
      </c>
      <c r="F8" s="3" t="n">
        <v>11607.928</v>
      </c>
      <c r="G8" s="3" t="n">
        <v>11655.598</v>
      </c>
      <c r="H8" s="3" t="n">
        <v>12809.026</v>
      </c>
      <c r="I8" s="3" t="n">
        <v>11252.949</v>
      </c>
      <c r="J8" s="3" t="n">
        <v>11636.983</v>
      </c>
      <c r="K8" s="59">
        <f>SUM(E8:J8)</f>
        <v/>
      </c>
      <c r="L8" s="2" t="n">
        <v>2517.61</v>
      </c>
      <c r="M8" s="3" t="n">
        <v>2235.196</v>
      </c>
      <c r="N8" s="3" t="n">
        <v>2179.799</v>
      </c>
      <c r="O8" s="3" t="n">
        <v>2431.708</v>
      </c>
      <c r="P8" s="3" t="n">
        <v>2204.012</v>
      </c>
      <c r="Q8" s="3" t="n">
        <v>2268.755</v>
      </c>
      <c r="R8" s="56">
        <f>SUM(L8:Q8)</f>
        <v/>
      </c>
      <c r="S8" s="103">
        <f>IF(E8=0,"***",L8/E8)</f>
        <v/>
      </c>
      <c r="T8" s="104">
        <f>IF(F8=0,"***",M8/F8)</f>
        <v/>
      </c>
      <c r="U8" s="104">
        <f>IF(G8=0,"***",N8/G8)</f>
        <v/>
      </c>
      <c r="V8" s="104">
        <f>IF(H8=0,"***",O8/H8)</f>
        <v/>
      </c>
      <c r="W8" s="104">
        <f>IF(I8=0,"***",P8/I8)</f>
        <v/>
      </c>
      <c r="X8" s="104">
        <f>IF(J8=0,"***",Q8/J8)</f>
        <v/>
      </c>
      <c r="Y8" s="105">
        <f>IF(K8=0,"***",R8/K8)</f>
        <v/>
      </c>
    </row>
    <row r="9">
      <c r="C9" s="2" t="inlineStr">
        <is>
          <t>0027 集計</t>
        </is>
      </c>
      <c r="D9" s="15" t="inlineStr">
        <is>
          <t>中国</t>
        </is>
      </c>
      <c r="E9" s="3" t="n">
        <v>3244.418</v>
      </c>
      <c r="F9" s="3" t="n">
        <v>0</v>
      </c>
      <c r="G9" s="3" t="n">
        <v>0</v>
      </c>
      <c r="H9" s="3" t="n">
        <v>0</v>
      </c>
      <c r="I9" s="3" t="n">
        <v>0</v>
      </c>
      <c r="J9" s="3" t="n">
        <v>2238.475</v>
      </c>
      <c r="K9" s="59">
        <f>SUM(E9:J9)</f>
        <v/>
      </c>
      <c r="L9" s="2" t="n">
        <v>177.043</v>
      </c>
      <c r="M9" s="3" t="n">
        <v>0</v>
      </c>
      <c r="N9" s="3" t="n">
        <v>0</v>
      </c>
      <c r="O9" s="3" t="n">
        <v>0</v>
      </c>
      <c r="P9" s="3" t="n">
        <v>0</v>
      </c>
      <c r="Q9" s="3" t="n">
        <v>136.78</v>
      </c>
      <c r="R9" s="56">
        <f>SUM(L9:Q9)</f>
        <v/>
      </c>
      <c r="S9" s="103">
        <f>IF(E9=0,"***",L9/E9)</f>
        <v/>
      </c>
      <c r="T9" s="104">
        <f>IF(F9=0,"***",M9/F9)</f>
        <v/>
      </c>
      <c r="U9" s="104">
        <f>IF(G9=0,"***",N9/G9)</f>
        <v/>
      </c>
      <c r="V9" s="104">
        <f>IF(H9=0,"***",O9/H9)</f>
        <v/>
      </c>
      <c r="W9" s="104">
        <f>IF(I9=0,"***",P9/I9)</f>
        <v/>
      </c>
      <c r="X9" s="104">
        <f>IF(J9=0,"***",Q9/J9)</f>
        <v/>
      </c>
      <c r="Y9" s="105">
        <f>IF(K9=0,"***",R9/K9)</f>
        <v/>
      </c>
    </row>
    <row r="10">
      <c r="C10" s="71" t="inlineStr">
        <is>
          <t>0028 集計</t>
        </is>
      </c>
      <c r="D10" s="15" t="inlineStr">
        <is>
          <t>自治体</t>
        </is>
      </c>
      <c r="E10" s="3" t="n"/>
      <c r="F10" s="3" t="n"/>
      <c r="G10" s="3" t="n"/>
      <c r="H10" s="3" t="n"/>
      <c r="I10" s="3" t="n"/>
      <c r="J10" s="3" t="n"/>
      <c r="K10" s="59" t="n"/>
      <c r="L10" s="2" t="n"/>
      <c r="M10" s="3" t="n"/>
      <c r="N10" s="3" t="n"/>
      <c r="O10" s="3" t="n"/>
      <c r="P10" s="3" t="n"/>
      <c r="Q10" s="3" t="n"/>
      <c r="R10" s="56" t="n"/>
      <c r="S10" s="103" t="n"/>
      <c r="T10" s="104" t="n"/>
      <c r="U10" s="104" t="n"/>
      <c r="V10" s="104" t="n"/>
      <c r="W10" s="104" t="n"/>
      <c r="X10" s="104" t="n"/>
      <c r="Y10" s="105" t="n"/>
    </row>
    <row r="11">
      <c r="C11" s="2" t="inlineStr">
        <is>
          <t>0029 集計</t>
        </is>
      </c>
      <c r="D11" s="15" t="inlineStr">
        <is>
          <t>その他</t>
        </is>
      </c>
      <c r="E11" s="3" t="n">
        <v>75.2</v>
      </c>
      <c r="F11" s="3" t="n">
        <v>1.8</v>
      </c>
      <c r="G11" s="3" t="n">
        <v>0</v>
      </c>
      <c r="H11" s="3" t="n">
        <v>0</v>
      </c>
      <c r="I11" s="3" t="n">
        <v>0</v>
      </c>
      <c r="J11" s="3" t="n">
        <v>0</v>
      </c>
      <c r="K11" s="59">
        <f>SUM(E11:J11)</f>
        <v/>
      </c>
      <c r="L11" s="2" t="n">
        <v>16.72</v>
      </c>
      <c r="M11" s="3" t="n">
        <v>0.525</v>
      </c>
      <c r="N11" s="3" t="n">
        <v>0</v>
      </c>
      <c r="O11" s="3" t="n">
        <v>0</v>
      </c>
      <c r="P11" s="3" t="n">
        <v>0</v>
      </c>
      <c r="Q11" s="3" t="n">
        <v>0</v>
      </c>
      <c r="R11" s="56">
        <f>SUM(L11:Q11)</f>
        <v/>
      </c>
      <c r="S11" s="103">
        <f>IF(E11=0,"***",L11/E11)</f>
        <v/>
      </c>
      <c r="T11" s="104">
        <f>IF(F11=0,"***",M11/F11)</f>
        <v/>
      </c>
      <c r="U11" s="104">
        <f>IF(G11=0,"***",N11/G11)</f>
        <v/>
      </c>
      <c r="V11" s="104">
        <f>IF(H11=0,"***",O11/H11)</f>
        <v/>
      </c>
      <c r="W11" s="104">
        <f>IF(I11=0,"***",P11/I11)</f>
        <v/>
      </c>
      <c r="X11" s="104">
        <f>IF(J11=0,"***",Q11/J11)</f>
        <v/>
      </c>
      <c r="Y11" s="105">
        <f>IF(K11=0,"***",R11/K11)</f>
        <v/>
      </c>
    </row>
    <row r="12">
      <c r="C12" s="4" t="inlineStr">
        <is>
          <t>合計</t>
        </is>
      </c>
      <c r="D12" s="16" t="n"/>
      <c r="E12" s="6">
        <f>SUM(E5:E11)</f>
        <v/>
      </c>
      <c r="F12" s="6">
        <f>SUM(F5:F11)</f>
        <v/>
      </c>
      <c r="G12" s="6">
        <f>SUM(G5:G11)</f>
        <v/>
      </c>
      <c r="H12" s="6">
        <f>SUM(H5:H11)</f>
        <v/>
      </c>
      <c r="I12" s="6">
        <f>SUM(I5:I11)</f>
        <v/>
      </c>
      <c r="J12" s="6">
        <f>SUM(J5:J11)</f>
        <v/>
      </c>
      <c r="K12" s="60">
        <f>SUM(E12:J12)</f>
        <v/>
      </c>
      <c r="L12" s="49">
        <f>SUM(L5:L11)</f>
        <v/>
      </c>
      <c r="M12" s="6">
        <f>SUM(M5:M11)</f>
        <v/>
      </c>
      <c r="N12" s="6">
        <f>SUM(N5:N11)</f>
        <v/>
      </c>
      <c r="O12" s="6">
        <f>SUM(O5:O11)</f>
        <v/>
      </c>
      <c r="P12" s="6">
        <f>SUM(P5:P11)</f>
        <v/>
      </c>
      <c r="Q12" s="6">
        <f>SUM(Q5:Q11)</f>
        <v/>
      </c>
      <c r="R12" s="50">
        <f>SUM(L12:Q12)</f>
        <v/>
      </c>
      <c r="S12" s="106">
        <f>IF(E12=0,"***",L12/E12)</f>
        <v/>
      </c>
      <c r="T12" s="107">
        <f>IF(F12=0,"***",M12/F12)</f>
        <v/>
      </c>
      <c r="U12" s="107">
        <f>IF(G12=0,"***",N12/G12)</f>
        <v/>
      </c>
      <c r="V12" s="107">
        <f>IF(H12=0,"***",O12/H12)</f>
        <v/>
      </c>
      <c r="W12" s="107">
        <f>IF(I12=0,"***",P12/I12)</f>
        <v/>
      </c>
      <c r="X12" s="107">
        <f>IF(J12=0,"***",Q12/J12)</f>
        <v/>
      </c>
      <c r="Y12" s="108">
        <f>IF(K12=0,"***",R12/K12)</f>
        <v/>
      </c>
    </row>
    <row r="13">
      <c r="C13" s="12" t="n"/>
      <c r="E13" s="11" t="n"/>
      <c r="F13" s="11" t="n"/>
      <c r="G13" s="11" t="n"/>
      <c r="H13" s="11" t="n"/>
      <c r="I13" s="11" t="n"/>
      <c r="J13" s="11" t="n"/>
      <c r="K13" s="12" t="n"/>
      <c r="L13" s="11" t="n"/>
      <c r="M13" s="11" t="n"/>
      <c r="N13" s="11" t="n"/>
      <c r="O13" s="11" t="n"/>
      <c r="P13" s="11" t="n"/>
      <c r="Q13" s="11" t="n"/>
      <c r="R13" s="12" t="n"/>
      <c r="S13" s="109" t="n"/>
      <c r="T13" s="109" t="n"/>
      <c r="U13" s="109" t="n"/>
      <c r="V13" s="109" t="n"/>
      <c r="W13" s="109" t="n"/>
      <c r="X13" s="109" t="n"/>
      <c r="Y13" s="109" t="n"/>
    </row>
    <row r="14">
      <c r="C14" s="12" t="inlineStr">
        <is>
          <t>2．2025年</t>
        </is>
      </c>
    </row>
    <row r="15">
      <c r="C15" s="86" t="n"/>
      <c r="D15" s="85" t="n"/>
      <c r="E15" s="88" t="inlineStr">
        <is>
          <t>売上</t>
        </is>
      </c>
      <c r="F15" s="84" t="n"/>
      <c r="G15" s="84" t="n"/>
      <c r="H15" s="84" t="n"/>
      <c r="I15" s="84" t="n"/>
      <c r="J15" s="84" t="n"/>
      <c r="K15" s="84" t="n"/>
      <c r="L15" s="83" t="inlineStr">
        <is>
          <t>粗利益</t>
        </is>
      </c>
      <c r="M15" s="84" t="n"/>
      <c r="N15" s="84" t="n"/>
      <c r="O15" s="84" t="n"/>
      <c r="P15" s="84" t="n"/>
      <c r="Q15" s="84" t="n"/>
      <c r="R15" s="85" t="n"/>
      <c r="S15" s="87" t="inlineStr">
        <is>
          <t>粗利益率</t>
        </is>
      </c>
      <c r="T15" s="84" t="n"/>
      <c r="U15" s="84" t="n"/>
      <c r="V15" s="84" t="n"/>
      <c r="W15" s="84" t="n"/>
      <c r="X15" s="84" t="n"/>
      <c r="Y15" s="85" t="n"/>
    </row>
    <row r="16">
      <c r="C16" s="1" t="n"/>
      <c r="D16" s="14" t="n"/>
      <c r="E16" s="51" t="n">
        <v>45748</v>
      </c>
      <c r="F16" s="51" t="n">
        <v>45778</v>
      </c>
      <c r="G16" s="51" t="n">
        <v>45809</v>
      </c>
      <c r="H16" s="51" t="n">
        <v>45839</v>
      </c>
      <c r="I16" s="51" t="n">
        <v>45870</v>
      </c>
      <c r="J16" s="51" t="n">
        <v>45901</v>
      </c>
      <c r="K16" s="55" t="inlineStr">
        <is>
          <t>合計</t>
        </is>
      </c>
      <c r="L16" s="54" t="n">
        <v>45748</v>
      </c>
      <c r="M16" s="51" t="n">
        <v>45778</v>
      </c>
      <c r="N16" s="51" t="n">
        <v>45809</v>
      </c>
      <c r="O16" s="51" t="n">
        <v>45839</v>
      </c>
      <c r="P16" s="51" t="n">
        <v>45870</v>
      </c>
      <c r="Q16" s="51" t="n">
        <v>45901</v>
      </c>
      <c r="R16" s="52" t="inlineStr">
        <is>
          <t>合計</t>
        </is>
      </c>
      <c r="S16" s="48" t="n">
        <v>45748</v>
      </c>
      <c r="T16" s="51" t="n">
        <v>45778</v>
      </c>
      <c r="U16" s="51" t="n">
        <v>45809</v>
      </c>
      <c r="V16" s="51" t="n">
        <v>45839</v>
      </c>
      <c r="W16" s="51" t="n">
        <v>45870</v>
      </c>
      <c r="X16" s="51" t="n">
        <v>45901</v>
      </c>
      <c r="Y16" s="52" t="inlineStr">
        <is>
          <t>合計</t>
        </is>
      </c>
    </row>
    <row r="17">
      <c r="C17" s="2" t="inlineStr">
        <is>
          <t>0021 集計</t>
        </is>
      </c>
      <c r="D17" s="15" t="inlineStr">
        <is>
          <t>高橋所長</t>
        </is>
      </c>
      <c r="E17" s="3" t="n">
        <v>12613.22</v>
      </c>
      <c r="F17" s="3" t="n">
        <v>8701.223999999998</v>
      </c>
      <c r="G17" s="3" t="n">
        <v>8907.097000000002</v>
      </c>
      <c r="H17" s="3" t="n">
        <v>11991.28</v>
      </c>
      <c r="I17" s="3" t="n">
        <v>8473.623000000001</v>
      </c>
      <c r="J17" s="3" t="n">
        <v>10873.978</v>
      </c>
      <c r="K17" s="59">
        <f>SUM(E17:J17)</f>
        <v/>
      </c>
      <c r="L17" s="2" t="n">
        <v>3055.373</v>
      </c>
      <c r="M17" s="3" t="n">
        <v>1995.807</v>
      </c>
      <c r="N17" s="3" t="n">
        <v>2147.106</v>
      </c>
      <c r="O17" s="3" t="n">
        <v>2808.03</v>
      </c>
      <c r="P17" s="3" t="n">
        <v>1948.398</v>
      </c>
      <c r="Q17" s="3" t="n">
        <v>2467.586</v>
      </c>
      <c r="R17" s="56">
        <f>SUM(L17:Q17)</f>
        <v/>
      </c>
      <c r="S17" s="103">
        <f>IF(E17=0,"***",L17/E17)</f>
        <v/>
      </c>
      <c r="T17" s="104">
        <f>IF(F17=0,"***",M17/F17)</f>
        <v/>
      </c>
      <c r="U17" s="104">
        <f>IF(G17=0,"***",N17/G17)</f>
        <v/>
      </c>
      <c r="V17" s="104">
        <f>IF(H17=0,"***",O17/H17)</f>
        <v/>
      </c>
      <c r="W17" s="104">
        <f>IF(I17=0,"***",P17/I17)</f>
        <v/>
      </c>
      <c r="X17" s="104">
        <f>IF(J17=0,"***",Q17/J17)</f>
        <v/>
      </c>
      <c r="Y17" s="105">
        <f>IF(K17=0,"***",R17/K17)</f>
        <v/>
      </c>
    </row>
    <row r="18">
      <c r="C18" s="2" t="inlineStr">
        <is>
          <t>0024 集計</t>
        </is>
      </c>
      <c r="D18" s="15" t="inlineStr">
        <is>
          <t>東野</t>
        </is>
      </c>
      <c r="E18" s="3" t="n">
        <v>14217.865</v>
      </c>
      <c r="F18" s="3" t="n">
        <v>12444.771</v>
      </c>
      <c r="G18" s="3" t="n">
        <v>11689.779</v>
      </c>
      <c r="H18" s="3" t="n">
        <v>14073.076</v>
      </c>
      <c r="I18" s="3" t="n">
        <v>11761.85</v>
      </c>
      <c r="J18" s="3" t="n">
        <v>12710.688</v>
      </c>
      <c r="K18" s="59">
        <f>SUM(E18:J18)</f>
        <v/>
      </c>
      <c r="L18" s="2" t="n">
        <v>2955.326</v>
      </c>
      <c r="M18" s="3" t="n">
        <v>2676.657</v>
      </c>
      <c r="N18" s="3" t="n">
        <v>2394.003</v>
      </c>
      <c r="O18" s="3" t="n">
        <v>2966.271999999999</v>
      </c>
      <c r="P18" s="3" t="n">
        <v>2500.065000000001</v>
      </c>
      <c r="Q18" s="3" t="n">
        <v>2549.72</v>
      </c>
      <c r="R18" s="56">
        <f>SUM(L18:Q18)</f>
        <v/>
      </c>
      <c r="S18" s="103">
        <f>IF(E18=0,"***",L18/E18)</f>
        <v/>
      </c>
      <c r="T18" s="104">
        <f>IF(F18=0,"***",M18/F18)</f>
        <v/>
      </c>
      <c r="U18" s="104">
        <f>IF(G18=0,"***",N18/G18)</f>
        <v/>
      </c>
      <c r="V18" s="104">
        <f>IF(H18=0,"***",O18/H18)</f>
        <v/>
      </c>
      <c r="W18" s="104">
        <f>IF(I18=0,"***",P18/I18)</f>
        <v/>
      </c>
      <c r="X18" s="104">
        <f>IF(J18=0,"***",Q18/J18)</f>
        <v/>
      </c>
      <c r="Y18" s="105">
        <f>IF(K18=0,"***",R18/K18)</f>
        <v/>
      </c>
    </row>
    <row r="19">
      <c r="C19" s="2" t="inlineStr">
        <is>
          <t>0025 集計</t>
        </is>
      </c>
      <c r="D19" s="15" t="inlineStr">
        <is>
          <t>橋本課長</t>
        </is>
      </c>
      <c r="E19" s="3" t="n">
        <v>9524.192000000001</v>
      </c>
      <c r="F19" s="3" t="n">
        <v>7397.388999999999</v>
      </c>
      <c r="G19" s="3" t="n">
        <v>6553.114999999999</v>
      </c>
      <c r="H19" s="3" t="n">
        <v>7484.947000000001</v>
      </c>
      <c r="I19" s="3" t="n">
        <v>7106.066</v>
      </c>
      <c r="J19" s="3" t="n">
        <v>9966.924999999999</v>
      </c>
      <c r="K19" s="59">
        <f>SUM(E19:J19)</f>
        <v/>
      </c>
      <c r="L19" s="2" t="n">
        <v>1605.049</v>
      </c>
      <c r="M19" s="3" t="n">
        <v>1501.787</v>
      </c>
      <c r="N19" s="3" t="n">
        <v>1231.215</v>
      </c>
      <c r="O19" s="3" t="n">
        <v>1371.167</v>
      </c>
      <c r="P19" s="3" t="n">
        <v>1453.381</v>
      </c>
      <c r="Q19" s="3" t="n">
        <v>1870.951</v>
      </c>
      <c r="R19" s="56">
        <f>SUM(L19:Q19)</f>
        <v/>
      </c>
      <c r="S19" s="103">
        <f>IF(E19=0,"***",L19/E19)</f>
        <v/>
      </c>
      <c r="T19" s="104">
        <f>IF(F19=0,"***",M19/F19)</f>
        <v/>
      </c>
      <c r="U19" s="104">
        <f>IF(G19=0,"***",N19/G19)</f>
        <v/>
      </c>
      <c r="V19" s="104">
        <f>IF(H19=0,"***",O19/H19)</f>
        <v/>
      </c>
      <c r="W19" s="104">
        <f>IF(I19=0,"***",P19/I19)</f>
        <v/>
      </c>
      <c r="X19" s="104">
        <f>IF(J19=0,"***",Q19/J19)</f>
        <v/>
      </c>
      <c r="Y19" s="105">
        <f>IF(K19=0,"***",R19/K19)</f>
        <v/>
      </c>
    </row>
    <row r="20">
      <c r="C20" s="2" t="inlineStr">
        <is>
          <t>0026 集計</t>
        </is>
      </c>
      <c r="D20" s="15" t="inlineStr">
        <is>
          <t>井上課長</t>
        </is>
      </c>
      <c r="E20" s="3" t="n">
        <v>14053.099</v>
      </c>
      <c r="F20" s="3" t="n">
        <v>12472.69</v>
      </c>
      <c r="G20" s="3" t="n">
        <v>11107.365</v>
      </c>
      <c r="H20" s="3" t="n">
        <v>12987.361</v>
      </c>
      <c r="I20" s="3" t="n">
        <v>11939.249</v>
      </c>
      <c r="J20" s="3" t="n">
        <v>11811.983</v>
      </c>
      <c r="K20" s="59">
        <f>SUM(E20:J20)</f>
        <v/>
      </c>
      <c r="L20" s="2" t="n">
        <v>2683.704</v>
      </c>
      <c r="M20" s="3" t="n">
        <v>2345.139</v>
      </c>
      <c r="N20" s="3" t="n">
        <v>2120.899</v>
      </c>
      <c r="O20" s="3" t="n">
        <v>2561.005</v>
      </c>
      <c r="P20" s="3" t="n">
        <v>2364.696</v>
      </c>
      <c r="Q20" s="3" t="n">
        <v>2326.408</v>
      </c>
      <c r="R20" s="56">
        <f>SUM(L20:Q20)</f>
        <v/>
      </c>
      <c r="S20" s="103">
        <f>IF(E20=0,"***",L20/E20)</f>
        <v/>
      </c>
      <c r="T20" s="104">
        <f>IF(F20=0,"***",M20/F20)</f>
        <v/>
      </c>
      <c r="U20" s="104">
        <f>IF(G20=0,"***",N20/G20)</f>
        <v/>
      </c>
      <c r="V20" s="104">
        <f>IF(H20=0,"***",O20/H20)</f>
        <v/>
      </c>
      <c r="W20" s="104">
        <f>IF(I20=0,"***",P20/I20)</f>
        <v/>
      </c>
      <c r="X20" s="104">
        <f>IF(J20=0,"***",Q20/J20)</f>
        <v/>
      </c>
      <c r="Y20" s="105">
        <f>IF(K20=0,"***",R20/K20)</f>
        <v/>
      </c>
    </row>
    <row r="21">
      <c r="C21" s="2" t="inlineStr">
        <is>
          <t>0027 集計</t>
        </is>
      </c>
      <c r="D21" s="15" t="inlineStr">
        <is>
          <t>中国</t>
        </is>
      </c>
      <c r="E21" s="3" t="n">
        <v>0</v>
      </c>
      <c r="F21" s="3" t="n">
        <v>0</v>
      </c>
      <c r="G21" s="3" t="n">
        <v>0</v>
      </c>
      <c r="H21" s="3" t="n">
        <v>0</v>
      </c>
      <c r="I21" s="3" t="n">
        <v>0</v>
      </c>
      <c r="J21" s="3" t="n">
        <v>0</v>
      </c>
      <c r="K21" s="59">
        <f>SUM(E21:J21)</f>
        <v/>
      </c>
      <c r="L21" s="2" t="n">
        <v>0</v>
      </c>
      <c r="M21" s="3" t="n">
        <v>0</v>
      </c>
      <c r="N21" s="3" t="n">
        <v>0</v>
      </c>
      <c r="O21" s="3" t="n">
        <v>0</v>
      </c>
      <c r="P21" s="3" t="n">
        <v>0</v>
      </c>
      <c r="Q21" s="3" t="n">
        <v>0</v>
      </c>
      <c r="R21" s="56">
        <f>SUM(L21:Q21)</f>
        <v/>
      </c>
      <c r="S21" s="103">
        <f>IF(E21=0,"***",L21/E21)</f>
        <v/>
      </c>
      <c r="T21" s="104">
        <f>IF(F21=0,"***",M21/F21)</f>
        <v/>
      </c>
      <c r="U21" s="104">
        <f>IF(G21=0,"***",N21/G21)</f>
        <v/>
      </c>
      <c r="V21" s="104">
        <f>IF(H21=0,"***",O21/H21)</f>
        <v/>
      </c>
      <c r="W21" s="104">
        <f>IF(I21=0,"***",P21/I21)</f>
        <v/>
      </c>
      <c r="X21" s="104">
        <f>IF(J21=0,"***",Q21/J21)</f>
        <v/>
      </c>
      <c r="Y21" s="105">
        <f>IF(K21=0,"***",R21/K21)</f>
        <v/>
      </c>
    </row>
    <row r="22">
      <c r="C22" s="71" t="inlineStr">
        <is>
          <t>0028 集計</t>
        </is>
      </c>
      <c r="D22" s="15" t="inlineStr">
        <is>
          <t>自治体</t>
        </is>
      </c>
      <c r="E22" s="3" t="n">
        <v>0</v>
      </c>
      <c r="F22" s="3" t="n">
        <v>0</v>
      </c>
      <c r="G22" s="3" t="n">
        <v>0</v>
      </c>
      <c r="H22" s="3" t="n">
        <v>107.5</v>
      </c>
      <c r="I22" s="3" t="n">
        <v>0</v>
      </c>
      <c r="J22" s="3" t="n">
        <v>0</v>
      </c>
      <c r="K22" s="59">
        <f>SUM(E22:J22)</f>
        <v/>
      </c>
      <c r="L22" s="2" t="n">
        <v>0</v>
      </c>
      <c r="M22" s="3" t="n">
        <v>0</v>
      </c>
      <c r="N22" s="3" t="n">
        <v>0</v>
      </c>
      <c r="O22" s="3" t="n">
        <v>3.6</v>
      </c>
      <c r="P22" s="3" t="n">
        <v>0</v>
      </c>
      <c r="Q22" s="3" t="n">
        <v>0</v>
      </c>
      <c r="R22" s="56">
        <f>SUM(L22:Q22)</f>
        <v/>
      </c>
      <c r="S22" s="103">
        <f>IF(E22=0,"***",L22/E22)</f>
        <v/>
      </c>
      <c r="T22" s="104">
        <f>IF(F22=0,"***",M22/F22)</f>
        <v/>
      </c>
      <c r="U22" s="104">
        <f>IF(G22=0,"***",N22/G22)</f>
        <v/>
      </c>
      <c r="V22" s="104">
        <f>IF(H22=0,"***",O22/H22)</f>
        <v/>
      </c>
      <c r="W22" s="104">
        <f>IF(I22=0,"***",P22/I22)</f>
        <v/>
      </c>
      <c r="X22" s="104">
        <f>IF(J22=0,"***",Q22/J22)</f>
        <v/>
      </c>
      <c r="Y22" s="105">
        <f>IF(K22=0,"***",R22/K22)</f>
        <v/>
      </c>
    </row>
    <row r="23">
      <c r="C23" s="2" t="inlineStr">
        <is>
          <t>0029 集計</t>
        </is>
      </c>
      <c r="D23" s="15" t="inlineStr">
        <is>
          <t>その他</t>
        </is>
      </c>
      <c r="E23" s="3" t="n">
        <v>0</v>
      </c>
      <c r="F23" s="3" t="n">
        <v>0</v>
      </c>
      <c r="G23" s="3" t="n">
        <v>125</v>
      </c>
      <c r="H23" s="3" t="n">
        <v>0</v>
      </c>
      <c r="I23" s="3" t="n">
        <v>4.8</v>
      </c>
      <c r="J23" s="3" t="n">
        <v>0</v>
      </c>
      <c r="K23" s="59">
        <f>SUM(E23:J23)</f>
        <v/>
      </c>
      <c r="L23" s="2" t="n">
        <v>0</v>
      </c>
      <c r="M23" s="3" t="n">
        <v>0</v>
      </c>
      <c r="N23" s="3" t="n">
        <v>20.2</v>
      </c>
      <c r="O23" s="3" t="n">
        <v>0</v>
      </c>
      <c r="P23" s="3" t="n">
        <v>1.38</v>
      </c>
      <c r="Q23" s="3" t="n">
        <v>0</v>
      </c>
      <c r="R23" s="56">
        <f>SUM(L23:Q23)</f>
        <v/>
      </c>
      <c r="S23" s="103">
        <f>IF(E23=0,"***",L23/E23)</f>
        <v/>
      </c>
      <c r="T23" s="104">
        <f>IF(F23=0,"***",M23/F23)</f>
        <v/>
      </c>
      <c r="U23" s="104">
        <f>IF(G23=0,"***",N23/G23)</f>
        <v/>
      </c>
      <c r="V23" s="104">
        <f>IF(H23=0,"***",O23/H23)</f>
        <v/>
      </c>
      <c r="W23" s="104">
        <f>IF(I23=0,"***",P23/I23)</f>
        <v/>
      </c>
      <c r="X23" s="104">
        <f>IF(J23=0,"***",Q23/J23)</f>
        <v/>
      </c>
      <c r="Y23" s="105">
        <f>IF(K23=0,"***",R23/K23)</f>
        <v/>
      </c>
    </row>
    <row r="24">
      <c r="C24" s="4" t="inlineStr">
        <is>
          <t>合計</t>
        </is>
      </c>
      <c r="D24" s="16" t="n"/>
      <c r="E24" s="6">
        <f>SUM(E17:E23)</f>
        <v/>
      </c>
      <c r="F24" s="6">
        <f>SUM(F17:F23)</f>
        <v/>
      </c>
      <c r="G24" s="6">
        <f>SUM(G17:G23)</f>
        <v/>
      </c>
      <c r="H24" s="6">
        <f>SUM(H17:H23)</f>
        <v/>
      </c>
      <c r="I24" s="6">
        <f>SUM(I17:I23)</f>
        <v/>
      </c>
      <c r="J24" s="6">
        <f>SUM(J17:J23)</f>
        <v/>
      </c>
      <c r="K24" s="60">
        <f>SUM(E24:J24)</f>
        <v/>
      </c>
      <c r="L24" s="49">
        <f>SUM(L17:L23)</f>
        <v/>
      </c>
      <c r="M24" s="6">
        <f>SUM(M17:M23)</f>
        <v/>
      </c>
      <c r="N24" s="6">
        <f>SUM(N17:N23)</f>
        <v/>
      </c>
      <c r="O24" s="6">
        <f>SUM(O17:O23)</f>
        <v/>
      </c>
      <c r="P24" s="6">
        <f>SUM(P17:P23)</f>
        <v/>
      </c>
      <c r="Q24" s="6">
        <f>SUM(Q17:Q23)</f>
        <v/>
      </c>
      <c r="R24" s="50">
        <f>SUM(L24:Q24)</f>
        <v/>
      </c>
      <c r="S24" s="106">
        <f>IF(E24=0,"***",L24/E24)</f>
        <v/>
      </c>
      <c r="T24" s="107">
        <f>IF(F24=0,"***",M24/F24)</f>
        <v/>
      </c>
      <c r="U24" s="107">
        <f>IF(G24=0,"***",N24/G24)</f>
        <v/>
      </c>
      <c r="V24" s="107">
        <f>IF(H24=0,"***",O24/H24)</f>
        <v/>
      </c>
      <c r="W24" s="107">
        <f>IF(I24=0,"***",P24/I24)</f>
        <v/>
      </c>
      <c r="X24" s="107">
        <f>IF(J24=0,"***",Q24/J24)</f>
        <v/>
      </c>
      <c r="Y24" s="108">
        <f>IF(K24=0,"***",R24/K24)</f>
        <v/>
      </c>
    </row>
    <row r="25">
      <c r="C25" s="12" t="n"/>
      <c r="E25" s="11" t="n"/>
      <c r="F25" s="11" t="n"/>
      <c r="G25" s="11" t="n"/>
      <c r="H25" s="11" t="n"/>
      <c r="I25" s="11" t="n"/>
      <c r="J25" s="11" t="n"/>
      <c r="K25" s="12" t="n"/>
      <c r="L25" s="11" t="n"/>
      <c r="M25" s="11" t="n"/>
      <c r="N25" s="11" t="n"/>
      <c r="O25" s="11" t="n"/>
      <c r="P25" s="11" t="n"/>
      <c r="Q25" s="11" t="n"/>
      <c r="R25" s="12" t="n"/>
      <c r="S25" s="109" t="n"/>
      <c r="T25" s="109" t="n"/>
      <c r="U25" s="109" t="n"/>
      <c r="V25" s="109" t="n"/>
      <c r="W25" s="109" t="n"/>
      <c r="X25" s="109" t="n"/>
      <c r="Y25" s="109" t="n"/>
    </row>
    <row r="26">
      <c r="C26" s="12" t="inlineStr">
        <is>
          <t>3．過年度平均</t>
        </is>
      </c>
    </row>
    <row r="27">
      <c r="C27" s="86" t="n"/>
      <c r="D27" s="85" t="n"/>
      <c r="E27" s="88" t="inlineStr">
        <is>
          <t>売上</t>
        </is>
      </c>
      <c r="F27" s="84" t="n"/>
      <c r="G27" s="84" t="n"/>
      <c r="H27" s="84" t="n"/>
      <c r="I27" s="84" t="n"/>
      <c r="J27" s="84" t="n"/>
      <c r="K27" s="84" t="n"/>
      <c r="L27" s="83" t="inlineStr">
        <is>
          <t>粗利益</t>
        </is>
      </c>
      <c r="M27" s="84" t="n"/>
      <c r="N27" s="84" t="n"/>
      <c r="O27" s="84" t="n"/>
      <c r="P27" s="84" t="n"/>
      <c r="Q27" s="84" t="n"/>
      <c r="R27" s="85" t="n"/>
      <c r="S27" s="87" t="inlineStr">
        <is>
          <t>粗利益率</t>
        </is>
      </c>
      <c r="T27" s="84" t="n"/>
      <c r="U27" s="84" t="n"/>
      <c r="V27" s="84" t="n"/>
      <c r="W27" s="84" t="n"/>
      <c r="X27" s="84" t="n"/>
      <c r="Y27" s="85" t="n"/>
    </row>
    <row r="28">
      <c r="C28" s="1" t="n"/>
      <c r="D28" s="14" t="n"/>
      <c r="E28" s="51" t="n">
        <v>45748</v>
      </c>
      <c r="F28" s="51" t="n">
        <v>45778</v>
      </c>
      <c r="G28" s="51" t="n">
        <v>45809</v>
      </c>
      <c r="H28" s="51" t="n">
        <v>45839</v>
      </c>
      <c r="I28" s="51" t="n">
        <v>45870</v>
      </c>
      <c r="J28" s="51" t="n">
        <v>45901</v>
      </c>
      <c r="K28" s="55" t="inlineStr">
        <is>
          <t>合計</t>
        </is>
      </c>
      <c r="L28" s="54" t="n">
        <v>45748</v>
      </c>
      <c r="M28" s="51" t="n">
        <v>45778</v>
      </c>
      <c r="N28" s="51" t="n">
        <v>45809</v>
      </c>
      <c r="O28" s="51" t="n">
        <v>45839</v>
      </c>
      <c r="P28" s="51" t="n">
        <v>45870</v>
      </c>
      <c r="Q28" s="51" t="n">
        <v>45901</v>
      </c>
      <c r="R28" s="52" t="inlineStr">
        <is>
          <t>合計</t>
        </is>
      </c>
      <c r="S28" s="48" t="n">
        <v>45748</v>
      </c>
      <c r="T28" s="51" t="n">
        <v>45778</v>
      </c>
      <c r="U28" s="51" t="n">
        <v>45809</v>
      </c>
      <c r="V28" s="51" t="n">
        <v>45839</v>
      </c>
      <c r="W28" s="51" t="n">
        <v>45870</v>
      </c>
      <c r="X28" s="51" t="n">
        <v>45901</v>
      </c>
      <c r="Y28" s="52" t="inlineStr">
        <is>
          <t>合計</t>
        </is>
      </c>
    </row>
    <row r="29">
      <c r="C29" s="2" t="inlineStr">
        <is>
          <t>0021 集計</t>
        </is>
      </c>
      <c r="D29" s="15" t="inlineStr">
        <is>
          <t>高橋所長</t>
        </is>
      </c>
      <c r="E29" s="3">
        <f>(E17+E5)/2</f>
        <v/>
      </c>
      <c r="F29" s="3">
        <f>(F17+F5)/2</f>
        <v/>
      </c>
      <c r="G29" s="3">
        <f>(G17+G5)/2</f>
        <v/>
      </c>
      <c r="H29" s="3">
        <f>(H17+H5)/2</f>
        <v/>
      </c>
      <c r="I29" s="3">
        <f>(I17+I5)/2</f>
        <v/>
      </c>
      <c r="J29" s="3">
        <f>(J17+J5)/2</f>
        <v/>
      </c>
      <c r="K29" s="59">
        <f>SUM(E29:J29)</f>
        <v/>
      </c>
      <c r="L29" s="2">
        <f>(L17+L5)/2</f>
        <v/>
      </c>
      <c r="M29" s="3">
        <f>(M17+M5)/2</f>
        <v/>
      </c>
      <c r="N29" s="3">
        <f>(N17+N5)/2</f>
        <v/>
      </c>
      <c r="O29" s="3">
        <f>(O17+O5)/2</f>
        <v/>
      </c>
      <c r="P29" s="3">
        <f>(P17+P5)/2</f>
        <v/>
      </c>
      <c r="Q29" s="3">
        <f>(Q17+Q5)/2</f>
        <v/>
      </c>
      <c r="R29" s="56">
        <f>SUM(L29:Q29)</f>
        <v/>
      </c>
      <c r="S29" s="103">
        <f>IF(E29=0,"***",L29/E29)</f>
        <v/>
      </c>
      <c r="T29" s="104">
        <f>IF(F29=0,"***",M29/F29)</f>
        <v/>
      </c>
      <c r="U29" s="104">
        <f>IF(G29=0,"***",N29/G29)</f>
        <v/>
      </c>
      <c r="V29" s="104">
        <f>IF(H29=0,"***",O29/H29)</f>
        <v/>
      </c>
      <c r="W29" s="104">
        <f>IF(I29=0,"***",P29/I29)</f>
        <v/>
      </c>
      <c r="X29" s="104">
        <f>IF(J29=0,"***",Q29/J29)</f>
        <v/>
      </c>
      <c r="Y29" s="105">
        <f>IF(K29=0,"***",R29/K29)</f>
        <v/>
      </c>
    </row>
    <row r="30">
      <c r="C30" s="2" t="inlineStr">
        <is>
          <t>0024 集計</t>
        </is>
      </c>
      <c r="D30" s="15" t="inlineStr">
        <is>
          <t>東野</t>
        </is>
      </c>
      <c r="E30" s="3">
        <f>(E18+E6)/2</f>
        <v/>
      </c>
      <c r="F30" s="3">
        <f>(F18+F6)/2</f>
        <v/>
      </c>
      <c r="G30" s="3">
        <f>(G18+G6)/2</f>
        <v/>
      </c>
      <c r="H30" s="3">
        <f>(H18+H6)/2</f>
        <v/>
      </c>
      <c r="I30" s="3">
        <f>(I18+I6)/2</f>
        <v/>
      </c>
      <c r="J30" s="3">
        <f>(J18+J6)/2</f>
        <v/>
      </c>
      <c r="K30" s="59">
        <f>SUM(E30:J30)</f>
        <v/>
      </c>
      <c r="L30" s="2">
        <f>(L18+L6)/2</f>
        <v/>
      </c>
      <c r="M30" s="3">
        <f>(M18+M6)/2</f>
        <v/>
      </c>
      <c r="N30" s="3">
        <f>(N18+N6)/2</f>
        <v/>
      </c>
      <c r="O30" s="3">
        <f>(O18+O6)/2</f>
        <v/>
      </c>
      <c r="P30" s="3">
        <f>(P18+P6)/2</f>
        <v/>
      </c>
      <c r="Q30" s="3">
        <f>(Q18+Q6)/2</f>
        <v/>
      </c>
      <c r="R30" s="56">
        <f>SUM(L30:Q30)</f>
        <v/>
      </c>
      <c r="S30" s="103">
        <f>IF(E30=0,"***",L30/E30)</f>
        <v/>
      </c>
      <c r="T30" s="104">
        <f>IF(F30=0,"***",M30/F30)</f>
        <v/>
      </c>
      <c r="U30" s="104">
        <f>IF(G30=0,"***",N30/G30)</f>
        <v/>
      </c>
      <c r="V30" s="104">
        <f>IF(H30=0,"***",O30/H30)</f>
        <v/>
      </c>
      <c r="W30" s="104">
        <f>IF(I30=0,"***",P30/I30)</f>
        <v/>
      </c>
      <c r="X30" s="104">
        <f>IF(J30=0,"***",Q30/J30)</f>
        <v/>
      </c>
      <c r="Y30" s="105">
        <f>IF(K30=0,"***",R30/K30)</f>
        <v/>
      </c>
    </row>
    <row r="31">
      <c r="C31" s="2" t="inlineStr">
        <is>
          <t>0025 集計</t>
        </is>
      </c>
      <c r="D31" s="15" t="inlineStr">
        <is>
          <t>橋本課長</t>
        </is>
      </c>
      <c r="E31" s="3">
        <f>(E19+E7)/2</f>
        <v/>
      </c>
      <c r="F31" s="3">
        <f>(F19+F7)/2</f>
        <v/>
      </c>
      <c r="G31" s="3">
        <f>(G19+G7)/2</f>
        <v/>
      </c>
      <c r="H31" s="3">
        <f>(H19+H7)/2</f>
        <v/>
      </c>
      <c r="I31" s="3">
        <f>(I19+I7)/2</f>
        <v/>
      </c>
      <c r="J31" s="3">
        <f>(J19+J7)/2</f>
        <v/>
      </c>
      <c r="K31" s="59">
        <f>SUM(E31:J31)</f>
        <v/>
      </c>
      <c r="L31" s="2">
        <f>(L19+L7)/2</f>
        <v/>
      </c>
      <c r="M31" s="3">
        <f>(M19+M7)/2</f>
        <v/>
      </c>
      <c r="N31" s="3">
        <f>(N19+N7)/2</f>
        <v/>
      </c>
      <c r="O31" s="3">
        <f>(O19+O7)/2</f>
        <v/>
      </c>
      <c r="P31" s="3">
        <f>(P19+P7)/2</f>
        <v/>
      </c>
      <c r="Q31" s="3">
        <f>(Q19+Q7)/2</f>
        <v/>
      </c>
      <c r="R31" s="56">
        <f>SUM(L31:Q31)</f>
        <v/>
      </c>
      <c r="S31" s="103">
        <f>IF(E31=0,"***",L31/E31)</f>
        <v/>
      </c>
      <c r="T31" s="104">
        <f>IF(F31=0,"***",M31/F31)</f>
        <v/>
      </c>
      <c r="U31" s="104">
        <f>IF(G31=0,"***",N31/G31)</f>
        <v/>
      </c>
      <c r="V31" s="104">
        <f>IF(H31=0,"***",O31/H31)</f>
        <v/>
      </c>
      <c r="W31" s="104">
        <f>IF(I31=0,"***",P31/I31)</f>
        <v/>
      </c>
      <c r="X31" s="104">
        <f>IF(J31=0,"***",Q31/J31)</f>
        <v/>
      </c>
      <c r="Y31" s="105">
        <f>IF(K31=0,"***",R31/K31)</f>
        <v/>
      </c>
    </row>
    <row r="32">
      <c r="C32" s="2" t="inlineStr">
        <is>
          <t>0026 集計</t>
        </is>
      </c>
      <c r="D32" s="15" t="inlineStr">
        <is>
          <t>井上課長</t>
        </is>
      </c>
      <c r="E32" s="3">
        <f>(E20+E8)/2</f>
        <v/>
      </c>
      <c r="F32" s="3">
        <f>(F20+F8)/2</f>
        <v/>
      </c>
      <c r="G32" s="3">
        <f>(G20+G8)/2</f>
        <v/>
      </c>
      <c r="H32" s="3">
        <f>(H20+H8)/2</f>
        <v/>
      </c>
      <c r="I32" s="3">
        <f>(I20+I8)/2</f>
        <v/>
      </c>
      <c r="J32" s="3">
        <f>(J20+J8)/2</f>
        <v/>
      </c>
      <c r="K32" s="59">
        <f>SUM(E32:J32)</f>
        <v/>
      </c>
      <c r="L32" s="2">
        <f>(L20+L8)/2</f>
        <v/>
      </c>
      <c r="M32" s="3">
        <f>(M20+M8)/2</f>
        <v/>
      </c>
      <c r="N32" s="3">
        <f>(N20+N8)/2</f>
        <v/>
      </c>
      <c r="O32" s="3">
        <f>(O20+O8)/2</f>
        <v/>
      </c>
      <c r="P32" s="3">
        <f>(P20+P8)/2</f>
        <v/>
      </c>
      <c r="Q32" s="3">
        <f>(Q20+Q8)/2</f>
        <v/>
      </c>
      <c r="R32" s="56">
        <f>SUM(L32:Q32)</f>
        <v/>
      </c>
      <c r="S32" s="103">
        <f>IF(E32=0,"***",L32/E32)</f>
        <v/>
      </c>
      <c r="T32" s="104">
        <f>IF(F32=0,"***",M32/F32)</f>
        <v/>
      </c>
      <c r="U32" s="104">
        <f>IF(G32=0,"***",N32/G32)</f>
        <v/>
      </c>
      <c r="V32" s="104">
        <f>IF(H32=0,"***",O32/H32)</f>
        <v/>
      </c>
      <c r="W32" s="104">
        <f>IF(I32=0,"***",P32/I32)</f>
        <v/>
      </c>
      <c r="X32" s="104">
        <f>IF(J32=0,"***",Q32/J32)</f>
        <v/>
      </c>
      <c r="Y32" s="105">
        <f>IF(K32=0,"***",R32/K32)</f>
        <v/>
      </c>
    </row>
    <row r="33">
      <c r="C33" s="2" t="inlineStr">
        <is>
          <t>0027 集計</t>
        </is>
      </c>
      <c r="D33" s="15" t="inlineStr">
        <is>
          <t>中国</t>
        </is>
      </c>
      <c r="E33" s="3">
        <f>(E21+E9)/2</f>
        <v/>
      </c>
      <c r="F33" s="3">
        <f>(F21+F9)/2</f>
        <v/>
      </c>
      <c r="G33" s="3">
        <f>(G21+G9)/2</f>
        <v/>
      </c>
      <c r="H33" s="3">
        <f>(H21+H9)/2</f>
        <v/>
      </c>
      <c r="I33" s="3">
        <f>(I21+I9)/2</f>
        <v/>
      </c>
      <c r="J33" s="3">
        <f>(J21+J9)/2</f>
        <v/>
      </c>
      <c r="K33" s="59">
        <f>SUM(E33:J33)</f>
        <v/>
      </c>
      <c r="L33" s="2">
        <f>(L21+L9)/2</f>
        <v/>
      </c>
      <c r="M33" s="3">
        <f>(M21+M9)/2</f>
        <v/>
      </c>
      <c r="N33" s="3">
        <f>(N21+N9)/2</f>
        <v/>
      </c>
      <c r="O33" s="3">
        <f>(O21+O9)/2</f>
        <v/>
      </c>
      <c r="P33" s="3">
        <f>(P21+P9)/2</f>
        <v/>
      </c>
      <c r="Q33" s="3">
        <f>(Q21+Q9)/2</f>
        <v/>
      </c>
      <c r="R33" s="56">
        <f>SUM(L33:Q33)</f>
        <v/>
      </c>
      <c r="S33" s="103">
        <f>IF(E33=0,"***",L33/E33)</f>
        <v/>
      </c>
      <c r="T33" s="104">
        <f>IF(F33=0,"***",M33/F33)</f>
        <v/>
      </c>
      <c r="U33" s="104">
        <f>IF(G33=0,"***",N33/G33)</f>
        <v/>
      </c>
      <c r="V33" s="104">
        <f>IF(H33=0,"***",O33/H33)</f>
        <v/>
      </c>
      <c r="W33" s="104">
        <f>IF(I33=0,"***",P33/I33)</f>
        <v/>
      </c>
      <c r="X33" s="104">
        <f>IF(J33=0,"***",Q33/J33)</f>
        <v/>
      </c>
      <c r="Y33" s="105">
        <f>IF(K33=0,"***",R33/K33)</f>
        <v/>
      </c>
    </row>
    <row r="34">
      <c r="C34" s="71" t="inlineStr">
        <is>
          <t>0028 集計</t>
        </is>
      </c>
      <c r="D34" s="15" t="inlineStr">
        <is>
          <t>自治体</t>
        </is>
      </c>
      <c r="E34" s="3">
        <f>(E22+E10)/2</f>
        <v/>
      </c>
      <c r="F34" s="3">
        <f>(F22+F10)/2</f>
        <v/>
      </c>
      <c r="G34" s="3">
        <f>(G22+G10)/2</f>
        <v/>
      </c>
      <c r="H34" s="3">
        <f>(H22+H10)/2</f>
        <v/>
      </c>
      <c r="I34" s="3">
        <f>(I22+I10)/2</f>
        <v/>
      </c>
      <c r="J34" s="3">
        <f>(J22+J10)/2</f>
        <v/>
      </c>
      <c r="K34" s="59">
        <f>SUM(E34:J34)</f>
        <v/>
      </c>
      <c r="L34" s="2">
        <f>(L22+L10)/2</f>
        <v/>
      </c>
      <c r="M34" s="3">
        <f>(M22+M10)/2</f>
        <v/>
      </c>
      <c r="N34" s="3">
        <f>(N22+N10)/2</f>
        <v/>
      </c>
      <c r="O34" s="3">
        <f>(O22+O10)/2</f>
        <v/>
      </c>
      <c r="P34" s="3">
        <f>(P22+P10)/2</f>
        <v/>
      </c>
      <c r="Q34" s="3">
        <f>(Q22+Q10)/2</f>
        <v/>
      </c>
      <c r="R34" s="56">
        <f>SUM(L34:Q34)</f>
        <v/>
      </c>
      <c r="S34" s="103">
        <f>IF(E34=0,"***",L34/E34)</f>
        <v/>
      </c>
      <c r="T34" s="104">
        <f>IF(F34=0,"***",M34/F34)</f>
        <v/>
      </c>
      <c r="U34" s="104">
        <f>IF(G34=0,"***",N34/G34)</f>
        <v/>
      </c>
      <c r="V34" s="104">
        <f>IF(H34=0,"***",O34/H34)</f>
        <v/>
      </c>
      <c r="W34" s="104">
        <f>IF(I34=0,"***",P34/I34)</f>
        <v/>
      </c>
      <c r="X34" s="104">
        <f>IF(J34=0,"***",Q34/J34)</f>
        <v/>
      </c>
      <c r="Y34" s="105">
        <f>IF(K34=0,"***",R34/K34)</f>
        <v/>
      </c>
    </row>
    <row r="35">
      <c r="C35" s="2" t="inlineStr">
        <is>
          <t>0029 集計</t>
        </is>
      </c>
      <c r="D35" s="15" t="inlineStr">
        <is>
          <t>その他</t>
        </is>
      </c>
      <c r="E35" s="3">
        <f>(E23+E11)/2</f>
        <v/>
      </c>
      <c r="F35" s="3">
        <f>(F23+F11)/2</f>
        <v/>
      </c>
      <c r="G35" s="3">
        <f>(G23+G11)/2</f>
        <v/>
      </c>
      <c r="H35" s="3">
        <f>(H23+H11)/2</f>
        <v/>
      </c>
      <c r="I35" s="3">
        <f>(I23+I11)/2</f>
        <v/>
      </c>
      <c r="J35" s="3">
        <f>(J23+J11)/2</f>
        <v/>
      </c>
      <c r="K35" s="59">
        <f>SUM(E35:J35)</f>
        <v/>
      </c>
      <c r="L35" s="2">
        <f>(L23+L11)/2</f>
        <v/>
      </c>
      <c r="M35" s="3">
        <f>(M23+M11)/2</f>
        <v/>
      </c>
      <c r="N35" s="3">
        <f>(N23+N11)/2</f>
        <v/>
      </c>
      <c r="O35" s="3">
        <f>(O23+O11)/2</f>
        <v/>
      </c>
      <c r="P35" s="3">
        <f>(P23+P11)/2</f>
        <v/>
      </c>
      <c r="Q35" s="3">
        <f>(Q23+Q11)/2</f>
        <v/>
      </c>
      <c r="R35" s="56">
        <f>SUM(L35:Q35)</f>
        <v/>
      </c>
      <c r="S35" s="103">
        <f>IF(E35=0,"***",L35/E35)</f>
        <v/>
      </c>
      <c r="T35" s="104">
        <f>IF(F35=0,"***",M35/F35)</f>
        <v/>
      </c>
      <c r="U35" s="104">
        <f>IF(G35=0,"***",N35/G35)</f>
        <v/>
      </c>
      <c r="V35" s="104">
        <f>IF(H35=0,"***",O35/H35)</f>
        <v/>
      </c>
      <c r="W35" s="104">
        <f>IF(I35=0,"***",P35/I35)</f>
        <v/>
      </c>
      <c r="X35" s="104">
        <f>IF(J35=0,"***",Q35/J35)</f>
        <v/>
      </c>
      <c r="Y35" s="105">
        <f>IF(K35=0,"***",R35/K35)</f>
        <v/>
      </c>
    </row>
    <row r="36">
      <c r="C36" s="4" t="inlineStr">
        <is>
          <t>合計</t>
        </is>
      </c>
      <c r="D36" s="16" t="n"/>
      <c r="E36" s="6">
        <f>SUM(E29:E35)</f>
        <v/>
      </c>
      <c r="F36" s="6">
        <f>SUM(F29:F35)</f>
        <v/>
      </c>
      <c r="G36" s="6">
        <f>SUM(G29:G35)</f>
        <v/>
      </c>
      <c r="H36" s="6">
        <f>SUM(H29:H35)</f>
        <v/>
      </c>
      <c r="I36" s="6">
        <f>SUM(I29:I35)</f>
        <v/>
      </c>
      <c r="J36" s="6">
        <f>SUM(J29:J35)</f>
        <v/>
      </c>
      <c r="K36" s="60">
        <f>SUM(E36:J36)</f>
        <v/>
      </c>
      <c r="L36" s="49">
        <f>SUM(L29:L35)</f>
        <v/>
      </c>
      <c r="M36" s="6">
        <f>SUM(M29:M35)</f>
        <v/>
      </c>
      <c r="N36" s="6">
        <f>SUM(N29:N35)</f>
        <v/>
      </c>
      <c r="O36" s="6">
        <f>SUM(O29:O35)</f>
        <v/>
      </c>
      <c r="P36" s="6">
        <f>SUM(P29:P35)</f>
        <v/>
      </c>
      <c r="Q36" s="6">
        <f>SUM(Q29:Q35)</f>
        <v/>
      </c>
      <c r="R36" s="50">
        <f>SUM(L36:Q36)</f>
        <v/>
      </c>
      <c r="S36" s="106">
        <f>IF(E36=0,"***",L36/E36)</f>
        <v/>
      </c>
      <c r="T36" s="107">
        <f>IF(F36=0,"***",M36/F36)</f>
        <v/>
      </c>
      <c r="U36" s="107">
        <f>IF(G36=0,"***",N36/G36)</f>
        <v/>
      </c>
      <c r="V36" s="107">
        <f>IF(H36=0,"***",O36/H36)</f>
        <v/>
      </c>
      <c r="W36" s="107">
        <f>IF(I36=0,"***",P36/I36)</f>
        <v/>
      </c>
      <c r="X36" s="107">
        <f>IF(J36=0,"***",Q36/J36)</f>
        <v/>
      </c>
      <c r="Y36" s="108">
        <f>IF(K36=0,"***",R36/K36)</f>
        <v/>
      </c>
    </row>
    <row r="37">
      <c r="C37" s="12" t="n"/>
      <c r="E37" s="11" t="n"/>
      <c r="F37" s="11" t="n"/>
      <c r="G37" s="11" t="n"/>
      <c r="H37" s="11" t="n"/>
      <c r="I37" s="11" t="n"/>
      <c r="J37" s="11" t="n"/>
      <c r="K37" s="12" t="n"/>
      <c r="L37" s="11" t="n"/>
      <c r="M37" s="11" t="n"/>
      <c r="N37" s="11" t="n"/>
      <c r="O37" s="11" t="n"/>
      <c r="P37" s="11" t="n"/>
      <c r="Q37" s="11" t="n"/>
      <c r="R37" s="12" t="n"/>
      <c r="S37" s="109" t="n"/>
      <c r="T37" s="109" t="n"/>
      <c r="U37" s="109" t="n"/>
      <c r="V37" s="109" t="n"/>
      <c r="W37" s="109" t="n"/>
      <c r="X37" s="109" t="n"/>
      <c r="Y37" s="109" t="n"/>
    </row>
    <row r="38">
      <c r="C38" s="12" t="inlineStr">
        <is>
          <t>4．計画</t>
        </is>
      </c>
      <c r="E38" s="12" t="n"/>
      <c r="F38" s="12" t="n"/>
      <c r="G38" s="12" t="n"/>
      <c r="H38" s="12" t="n"/>
      <c r="I38" s="12" t="n"/>
      <c r="J38" s="12" t="n"/>
      <c r="K38" s="11" t="n"/>
      <c r="L38" s="12" t="n"/>
      <c r="M38" s="12" t="n"/>
      <c r="N38" s="12" t="n"/>
      <c r="O38" s="12" t="n"/>
      <c r="P38" s="12" t="n"/>
      <c r="Q38" s="12" t="n"/>
      <c r="R38" s="12" t="n"/>
    </row>
    <row r="39">
      <c r="C39" s="86" t="n"/>
      <c r="D39" s="85" t="n"/>
      <c r="E39" s="86" t="inlineStr">
        <is>
          <t>売上</t>
        </is>
      </c>
      <c r="F39" s="84" t="n"/>
      <c r="G39" s="84" t="n"/>
      <c r="H39" s="84" t="n"/>
      <c r="I39" s="84" t="n"/>
      <c r="J39" s="84" t="n"/>
      <c r="K39" s="85" t="n"/>
      <c r="L39" s="87" t="inlineStr">
        <is>
          <t>粗利益</t>
        </is>
      </c>
      <c r="M39" s="84" t="n"/>
      <c r="N39" s="84" t="n"/>
      <c r="O39" s="84" t="n"/>
      <c r="P39" s="84" t="n"/>
      <c r="Q39" s="84" t="n"/>
      <c r="R39" s="85" t="n"/>
      <c r="S39" s="87" t="inlineStr">
        <is>
          <t>粗利益率</t>
        </is>
      </c>
      <c r="T39" s="84" t="n"/>
      <c r="U39" s="84" t="n"/>
      <c r="V39" s="84" t="n"/>
      <c r="W39" s="84" t="n"/>
      <c r="X39" s="84" t="n"/>
      <c r="Y39" s="85" t="n"/>
    </row>
    <row r="40">
      <c r="C40" s="1" t="n"/>
      <c r="D40" s="14" t="n"/>
      <c r="E40" s="54" t="n">
        <v>46113</v>
      </c>
      <c r="F40" s="51" t="n">
        <v>46143</v>
      </c>
      <c r="G40" s="51" t="n">
        <v>46174</v>
      </c>
      <c r="H40" s="51" t="n">
        <v>46204</v>
      </c>
      <c r="I40" s="51" t="n">
        <v>46235</v>
      </c>
      <c r="J40" s="51" t="n">
        <v>46266</v>
      </c>
      <c r="K40" s="52" t="inlineStr">
        <is>
          <t>合計</t>
        </is>
      </c>
      <c r="L40" s="48" t="n">
        <v>46113</v>
      </c>
      <c r="M40" s="51" t="n">
        <v>46143</v>
      </c>
      <c r="N40" s="51" t="n">
        <v>46174</v>
      </c>
      <c r="O40" s="51" t="n">
        <v>46204</v>
      </c>
      <c r="P40" s="51" t="n">
        <v>46235</v>
      </c>
      <c r="Q40" s="51" t="n">
        <v>46266</v>
      </c>
      <c r="R40" s="52" t="inlineStr">
        <is>
          <t>合計</t>
        </is>
      </c>
      <c r="S40" s="48" t="n">
        <v>46113</v>
      </c>
      <c r="T40" s="51" t="n">
        <v>46143</v>
      </c>
      <c r="U40" s="51" t="n">
        <v>46174</v>
      </c>
      <c r="V40" s="51" t="n">
        <v>46204</v>
      </c>
      <c r="W40" s="51" t="n">
        <v>46235</v>
      </c>
      <c r="X40" s="51" t="n">
        <v>46266</v>
      </c>
      <c r="Y40" s="52" t="inlineStr">
        <is>
          <t>合計</t>
        </is>
      </c>
    </row>
    <row r="41">
      <c r="C41" s="2" t="inlineStr">
        <is>
          <t>0021 集計</t>
        </is>
      </c>
      <c r="D41" s="15" t="inlineStr">
        <is>
          <t>高橋所長</t>
        </is>
      </c>
      <c r="E41" s="3" t="n">
        <v>12500</v>
      </c>
      <c r="F41" s="3" t="n">
        <v>9500</v>
      </c>
      <c r="G41" s="3" t="n">
        <v>9500</v>
      </c>
      <c r="H41" s="3" t="n">
        <v>11000</v>
      </c>
      <c r="I41" s="3" t="n">
        <v>11000</v>
      </c>
      <c r="J41" s="3" t="n">
        <v>11800</v>
      </c>
      <c r="K41" s="59">
        <f>SUM(E41:J41)</f>
        <v/>
      </c>
      <c r="L41" s="2" t="n">
        <v>2900</v>
      </c>
      <c r="M41" s="3" t="n">
        <v>2200</v>
      </c>
      <c r="N41" s="3" t="n">
        <v>2200</v>
      </c>
      <c r="O41" s="3" t="n">
        <v>2550</v>
      </c>
      <c r="P41" s="3" t="n">
        <v>2550</v>
      </c>
      <c r="Q41" s="3" t="n">
        <v>2750</v>
      </c>
      <c r="R41" s="56">
        <f>SUM(L41:Q41)</f>
        <v/>
      </c>
      <c r="S41" s="103">
        <f>IF(E41=0,"***",L41/E41)</f>
        <v/>
      </c>
      <c r="T41" s="104">
        <f>IF(F41=0,"***",M41/F41)</f>
        <v/>
      </c>
      <c r="U41" s="104">
        <f>IF(G41=0,"***",N41/G41)</f>
        <v/>
      </c>
      <c r="V41" s="104">
        <f>IF(H41=0,"***",O41/H41)</f>
        <v/>
      </c>
      <c r="W41" s="104">
        <f>IF(I41=0,"***",P41/I41)</f>
        <v/>
      </c>
      <c r="X41" s="104">
        <f>IF(J41=0,"***",Q41/J41)</f>
        <v/>
      </c>
      <c r="Y41" s="105">
        <f>IF(K41=0,"***",R41/K41)</f>
        <v/>
      </c>
    </row>
    <row r="42">
      <c r="C42" s="2" t="inlineStr">
        <is>
          <t>0024 集計</t>
        </is>
      </c>
      <c r="D42" s="15" t="inlineStr">
        <is>
          <t>東野</t>
        </is>
      </c>
      <c r="E42" s="3" t="n">
        <v>17000</v>
      </c>
      <c r="F42" s="3" t="n">
        <v>13000</v>
      </c>
      <c r="G42" s="3" t="n">
        <v>12200</v>
      </c>
      <c r="H42" s="3" t="n">
        <v>14500</v>
      </c>
      <c r="I42" s="3" t="n">
        <v>12200</v>
      </c>
      <c r="J42" s="3" t="n">
        <v>13200</v>
      </c>
      <c r="K42" s="59">
        <f>SUM(E42:J42)</f>
        <v/>
      </c>
      <c r="L42" s="2" t="n">
        <v>3400</v>
      </c>
      <c r="M42" s="3" t="n">
        <v>2700</v>
      </c>
      <c r="N42" s="3" t="n">
        <v>2500</v>
      </c>
      <c r="O42" s="3" t="n">
        <v>3000</v>
      </c>
      <c r="P42" s="3" t="n">
        <v>2550</v>
      </c>
      <c r="Q42" s="3" t="n">
        <v>2750</v>
      </c>
      <c r="R42" s="56">
        <f>SUM(L42:Q42)</f>
        <v/>
      </c>
      <c r="S42" s="103">
        <f>IF(E42=0,"***",L42/E42)</f>
        <v/>
      </c>
      <c r="T42" s="104">
        <f>IF(F42=0,"***",M42/F42)</f>
        <v/>
      </c>
      <c r="U42" s="104">
        <f>IF(G42=0,"***",N42/G42)</f>
        <v/>
      </c>
      <c r="V42" s="104">
        <f>IF(H42=0,"***",O42/H42)</f>
        <v/>
      </c>
      <c r="W42" s="104">
        <f>IF(I42=0,"***",P42/I42)</f>
        <v/>
      </c>
      <c r="X42" s="104">
        <f>IF(J42=0,"***",Q42/J42)</f>
        <v/>
      </c>
      <c r="Y42" s="105">
        <f>IF(K42=0,"***",R42/K42)</f>
        <v/>
      </c>
    </row>
    <row r="43">
      <c r="C43" s="2" t="inlineStr">
        <is>
          <t>0025 集計</t>
        </is>
      </c>
      <c r="D43" s="15" t="inlineStr">
        <is>
          <t>橋本課長</t>
        </is>
      </c>
      <c r="E43" s="3" t="n">
        <v>10000</v>
      </c>
      <c r="F43" s="3" t="n">
        <v>7800</v>
      </c>
      <c r="G43" s="3" t="n">
        <v>7100</v>
      </c>
      <c r="H43" s="3" t="n">
        <v>8000</v>
      </c>
      <c r="I43" s="3" t="n">
        <v>8000</v>
      </c>
      <c r="J43" s="3" t="n">
        <v>10500</v>
      </c>
      <c r="K43" s="59">
        <f>SUM(E43:J43)</f>
        <v/>
      </c>
      <c r="L43" s="2" t="n">
        <v>1850</v>
      </c>
      <c r="M43" s="3" t="n">
        <v>1450</v>
      </c>
      <c r="N43" s="3" t="n">
        <v>1350</v>
      </c>
      <c r="O43" s="3" t="n">
        <v>1550</v>
      </c>
      <c r="P43" s="3" t="n">
        <v>1550</v>
      </c>
      <c r="Q43" s="3" t="n">
        <v>2000</v>
      </c>
      <c r="R43" s="56">
        <f>SUM(L43:Q43)</f>
        <v/>
      </c>
      <c r="S43" s="103">
        <f>IF(E43=0,"***",L43/E43)</f>
        <v/>
      </c>
      <c r="T43" s="104">
        <f>IF(F43=0,"***",M43/F43)</f>
        <v/>
      </c>
      <c r="U43" s="104">
        <f>IF(G43=0,"***",N43/G43)</f>
        <v/>
      </c>
      <c r="V43" s="104">
        <f>IF(H43=0,"***",O43/H43)</f>
        <v/>
      </c>
      <c r="W43" s="104">
        <f>IF(I43=0,"***",P43/I43)</f>
        <v/>
      </c>
      <c r="X43" s="104">
        <f>IF(J43=0,"***",Q43/J43)</f>
        <v/>
      </c>
      <c r="Y43" s="105">
        <f>IF(K43=0,"***",R43/K43)</f>
        <v/>
      </c>
    </row>
    <row r="44">
      <c r="C44" s="2" t="inlineStr">
        <is>
          <t>0026 集計</t>
        </is>
      </c>
      <c r="D44" s="15" t="inlineStr">
        <is>
          <t>井上課長</t>
        </is>
      </c>
      <c r="E44" s="3" t="n">
        <v>14000</v>
      </c>
      <c r="F44" s="3" t="n">
        <v>12500</v>
      </c>
      <c r="G44" s="3" t="n">
        <v>11500</v>
      </c>
      <c r="H44" s="3" t="n">
        <v>13500</v>
      </c>
      <c r="I44" s="3" t="n">
        <v>12500</v>
      </c>
      <c r="J44" s="3" t="n">
        <v>21000</v>
      </c>
      <c r="K44" s="59">
        <f>SUM(E44:J44)</f>
        <v/>
      </c>
      <c r="L44" s="2" t="n">
        <v>2650</v>
      </c>
      <c r="M44" s="3" t="n">
        <v>2400</v>
      </c>
      <c r="N44" s="3" t="n">
        <v>2250</v>
      </c>
      <c r="O44" s="3" t="n">
        <v>2650</v>
      </c>
      <c r="P44" s="3" t="n">
        <v>2450</v>
      </c>
      <c r="Q44" s="3" t="n">
        <v>3800</v>
      </c>
      <c r="R44" s="56">
        <f>SUM(L44:Q44)</f>
        <v/>
      </c>
      <c r="S44" s="103">
        <f>IF(E44=0,"***",L44/E44)</f>
        <v/>
      </c>
      <c r="T44" s="104">
        <f>IF(F44=0,"***",M44/F44)</f>
        <v/>
      </c>
      <c r="U44" s="104">
        <f>IF(G44=0,"***",N44/G44)</f>
        <v/>
      </c>
      <c r="V44" s="104">
        <f>IF(H44=0,"***",O44/H44)</f>
        <v/>
      </c>
      <c r="W44" s="104">
        <f>IF(I44=0,"***",P44/I44)</f>
        <v/>
      </c>
      <c r="X44" s="104">
        <f>IF(J44=0,"***",Q44/J44)</f>
        <v/>
      </c>
      <c r="Y44" s="105">
        <f>IF(K44=0,"***",R44/K44)</f>
        <v/>
      </c>
    </row>
    <row r="45">
      <c r="C45" s="2" t="inlineStr">
        <is>
          <t>0027 集計</t>
        </is>
      </c>
      <c r="D45" s="15" t="inlineStr">
        <is>
          <t>中国</t>
        </is>
      </c>
      <c r="E45" s="3" t="n">
        <v>0</v>
      </c>
      <c r="F45" s="3" t="n">
        <v>0</v>
      </c>
      <c r="G45" s="3" t="n">
        <v>0</v>
      </c>
      <c r="H45" s="3" t="n">
        <v>0</v>
      </c>
      <c r="I45" s="3" t="n">
        <v>0</v>
      </c>
      <c r="J45" s="3" t="n">
        <v>0</v>
      </c>
      <c r="K45" s="59">
        <f>SUM(E45:J45)</f>
        <v/>
      </c>
      <c r="L45" s="2" t="n">
        <v>0</v>
      </c>
      <c r="M45" s="3" t="n">
        <v>0</v>
      </c>
      <c r="N45" s="3" t="n">
        <v>0</v>
      </c>
      <c r="O45" s="3" t="n">
        <v>0</v>
      </c>
      <c r="P45" s="3" t="n">
        <v>0</v>
      </c>
      <c r="Q45" s="3" t="n">
        <v>0</v>
      </c>
      <c r="R45" s="56">
        <f>SUM(L45:Q45)</f>
        <v/>
      </c>
      <c r="S45" s="103">
        <f>IF(E45=0,"***",L45/E45)</f>
        <v/>
      </c>
      <c r="T45" s="104">
        <f>IF(F45=0,"***",M45/F45)</f>
        <v/>
      </c>
      <c r="U45" s="104">
        <f>IF(G45=0,"***",N45/G45)</f>
        <v/>
      </c>
      <c r="V45" s="104">
        <f>IF(H45=0,"***",O45/H45)</f>
        <v/>
      </c>
      <c r="W45" s="104">
        <f>IF(I45=0,"***",P45/I45)</f>
        <v/>
      </c>
      <c r="X45" s="104">
        <f>IF(J45=0,"***",Q45/J45)</f>
        <v/>
      </c>
      <c r="Y45" s="105">
        <f>IF(K45=0,"***",R45/K45)</f>
        <v/>
      </c>
    </row>
    <row r="46">
      <c r="C46" s="71" t="inlineStr">
        <is>
          <t>0028 集計</t>
        </is>
      </c>
      <c r="D46" s="15" t="inlineStr">
        <is>
          <t>自治体</t>
        </is>
      </c>
      <c r="E46" s="3" t="n"/>
      <c r="F46" s="3" t="n"/>
      <c r="G46" s="3" t="n">
        <v>100</v>
      </c>
      <c r="H46" s="3" t="n"/>
      <c r="I46" s="3" t="n"/>
      <c r="J46" s="3" t="n">
        <v>100</v>
      </c>
      <c r="K46" s="59">
        <f>SUM(E46:J46)</f>
        <v/>
      </c>
      <c r="L46" s="2" t="n"/>
      <c r="M46" s="3" t="n"/>
      <c r="N46" s="3" t="n">
        <v>10</v>
      </c>
      <c r="O46" s="3" t="n"/>
      <c r="P46" s="3" t="n"/>
      <c r="Q46" s="3" t="n">
        <v>10</v>
      </c>
      <c r="R46" s="56">
        <f>SUM(L46:Q46)</f>
        <v/>
      </c>
      <c r="S46" s="103">
        <f>IF(E46=0,"***",L46/E46)</f>
        <v/>
      </c>
      <c r="T46" s="104">
        <f>IF(F46=0,"***",M46/F46)</f>
        <v/>
      </c>
      <c r="U46" s="104">
        <f>IF(G46=0,"***",N46/G46)</f>
        <v/>
      </c>
      <c r="V46" s="104">
        <f>IF(H46=0,"***",O46/H46)</f>
        <v/>
      </c>
      <c r="W46" s="104">
        <f>IF(I46=0,"***",P46/I46)</f>
        <v/>
      </c>
      <c r="X46" s="104">
        <f>IF(J46=0,"***",Q46/J46)</f>
        <v/>
      </c>
      <c r="Y46" s="105">
        <f>IF(K46=0,"***",R46/K46)</f>
        <v/>
      </c>
    </row>
    <row r="47">
      <c r="C47" s="2" t="inlineStr">
        <is>
          <t>0029 集計</t>
        </is>
      </c>
      <c r="D47" s="15" t="inlineStr">
        <is>
          <t>その他</t>
        </is>
      </c>
      <c r="E47" s="3" t="n"/>
      <c r="F47" s="3" t="n"/>
      <c r="G47" s="3" t="n"/>
      <c r="H47" s="3" t="n"/>
      <c r="I47" s="3" t="n"/>
      <c r="J47" s="3" t="n"/>
      <c r="K47" s="59">
        <f>SUM(E47:J47)</f>
        <v/>
      </c>
      <c r="L47" s="2" t="n"/>
      <c r="M47" s="3" t="n"/>
      <c r="N47" s="3" t="n"/>
      <c r="O47" s="3" t="n"/>
      <c r="P47" s="3" t="n"/>
      <c r="Q47" s="3" t="n"/>
      <c r="R47" s="56">
        <f>SUM(L47:Q47)</f>
        <v/>
      </c>
      <c r="S47" s="103">
        <f>IF(E47=0,"***",L47/E47)</f>
        <v/>
      </c>
      <c r="T47" s="104">
        <f>IF(F47=0,"***",M47/F47)</f>
        <v/>
      </c>
      <c r="U47" s="104">
        <f>IF(G47=0,"***",N47/G47)</f>
        <v/>
      </c>
      <c r="V47" s="104">
        <f>IF(H47=0,"***",O47/H47)</f>
        <v/>
      </c>
      <c r="W47" s="104">
        <f>IF(I47=0,"***",P47/I47)</f>
        <v/>
      </c>
      <c r="X47" s="104">
        <f>IF(J47=0,"***",Q47/J47)</f>
        <v/>
      </c>
      <c r="Y47" s="105">
        <f>IF(K47=0,"***",R47/K47)</f>
        <v/>
      </c>
    </row>
    <row r="48">
      <c r="C48" s="4" t="inlineStr">
        <is>
          <t>合計</t>
        </is>
      </c>
      <c r="D48" s="16" t="n"/>
      <c r="E48" s="6">
        <f>SUM(E41:E47)</f>
        <v/>
      </c>
      <c r="F48" s="6">
        <f>SUM(F41:F47)</f>
        <v/>
      </c>
      <c r="G48" s="6">
        <f>SUM(G41:G47)</f>
        <v/>
      </c>
      <c r="H48" s="6">
        <f>SUM(H41:H47)</f>
        <v/>
      </c>
      <c r="I48" s="6">
        <f>SUM(I41:I47)</f>
        <v/>
      </c>
      <c r="J48" s="6">
        <f>SUM(J41:J47)</f>
        <v/>
      </c>
      <c r="K48" s="60">
        <f>SUM(E48:J48)</f>
        <v/>
      </c>
      <c r="L48" s="49">
        <f>SUM(L41:L47)</f>
        <v/>
      </c>
      <c r="M48" s="6">
        <f>SUM(M41:M47)</f>
        <v/>
      </c>
      <c r="N48" s="6">
        <f>SUM(N41:N47)</f>
        <v/>
      </c>
      <c r="O48" s="6">
        <f>SUM(O41:O47)</f>
        <v/>
      </c>
      <c r="P48" s="6">
        <f>SUM(P41:P47)</f>
        <v/>
      </c>
      <c r="Q48" s="6">
        <f>SUM(Q41:Q47)</f>
        <v/>
      </c>
      <c r="R48" s="50">
        <f>SUM(L48:Q48)</f>
        <v/>
      </c>
      <c r="S48" s="106">
        <f>IF(E48=0,"***",L48/E48)</f>
        <v/>
      </c>
      <c r="T48" s="107">
        <f>IF(F48=0,"***",M48/F48)</f>
        <v/>
      </c>
      <c r="U48" s="107">
        <f>IF(G48=0,"***",N48/G48)</f>
        <v/>
      </c>
      <c r="V48" s="107">
        <f>IF(H48=0,"***",O48/H48)</f>
        <v/>
      </c>
      <c r="W48" s="107">
        <f>IF(I48=0,"***",P48/I48)</f>
        <v/>
      </c>
      <c r="X48" s="107">
        <f>IF(J48=0,"***",Q48/J48)</f>
        <v/>
      </c>
      <c r="Y48" s="108">
        <f>IF(K48=0,"***",R48/K48)</f>
        <v/>
      </c>
    </row>
    <row r="49" hidden="1" s="93">
      <c r="C49" s="12" t="n"/>
      <c r="E49" s="11" t="n"/>
      <c r="F49" s="11" t="n"/>
      <c r="G49" s="11" t="n"/>
      <c r="H49" s="11" t="n"/>
      <c r="I49" s="11" t="n"/>
      <c r="J49" s="11" t="n"/>
      <c r="K49" s="77" t="n"/>
      <c r="L49" s="11" t="n"/>
      <c r="M49" s="11" t="n"/>
      <c r="N49" s="11" t="n"/>
      <c r="O49" s="11" t="n"/>
      <c r="P49" s="11" t="n"/>
      <c r="Q49" s="11" t="n"/>
      <c r="R49" s="77" t="n"/>
      <c r="S49" s="109" t="n"/>
      <c r="T49" s="109" t="n"/>
      <c r="U49" s="109" t="n"/>
      <c r="V49" s="109" t="n"/>
      <c r="W49" s="109" t="n"/>
      <c r="X49" s="109" t="n"/>
      <c r="Y49" s="109" t="n"/>
    </row>
    <row r="50" hidden="1" s="93">
      <c r="C50" s="12" t="inlineStr">
        <is>
          <t>５．前期比</t>
        </is>
      </c>
    </row>
    <row r="51" hidden="1" s="93">
      <c r="C51" s="86" t="n"/>
      <c r="D51" s="85" t="n"/>
      <c r="E51" s="86" t="inlineStr">
        <is>
          <t>売上</t>
        </is>
      </c>
      <c r="F51" s="84" t="n"/>
      <c r="G51" s="84" t="n"/>
      <c r="H51" s="84" t="n"/>
      <c r="I51" s="84" t="n"/>
      <c r="J51" s="84" t="n"/>
      <c r="K51" s="85" t="n"/>
      <c r="L51" s="87" t="inlineStr">
        <is>
          <t>粗利益</t>
        </is>
      </c>
      <c r="M51" s="84" t="n"/>
      <c r="N51" s="84" t="n"/>
      <c r="O51" s="84" t="n"/>
      <c r="P51" s="84" t="n"/>
      <c r="Q51" s="84" t="n"/>
      <c r="R51" s="85" t="n"/>
      <c r="S51" s="87" t="inlineStr">
        <is>
          <t>粗利益率</t>
        </is>
      </c>
      <c r="T51" s="84" t="n"/>
      <c r="U51" s="84" t="n"/>
      <c r="V51" s="84" t="n"/>
      <c r="W51" s="84" t="n"/>
      <c r="X51" s="84" t="n"/>
      <c r="Y51" s="85" t="n"/>
    </row>
    <row r="52" hidden="1" s="93">
      <c r="C52" s="1" t="n"/>
      <c r="D52" s="14" t="n"/>
      <c r="E52" s="54" t="n">
        <v>46113</v>
      </c>
      <c r="F52" s="51" t="n">
        <v>46143</v>
      </c>
      <c r="G52" s="51" t="n">
        <v>46174</v>
      </c>
      <c r="H52" s="51" t="n">
        <v>46204</v>
      </c>
      <c r="I52" s="51" t="n">
        <v>46235</v>
      </c>
      <c r="J52" s="51" t="n">
        <v>46266</v>
      </c>
      <c r="K52" s="52" t="inlineStr">
        <is>
          <t>合計</t>
        </is>
      </c>
      <c r="L52" s="48" t="n">
        <v>46113</v>
      </c>
      <c r="M52" s="51" t="n">
        <v>46143</v>
      </c>
      <c r="N52" s="51" t="n">
        <v>46174</v>
      </c>
      <c r="O52" s="51" t="n">
        <v>46204</v>
      </c>
      <c r="P52" s="51" t="n">
        <v>46235</v>
      </c>
      <c r="Q52" s="51" t="n">
        <v>46266</v>
      </c>
      <c r="R52" s="52" t="inlineStr">
        <is>
          <t>合計</t>
        </is>
      </c>
      <c r="S52" s="48" t="n">
        <v>46113</v>
      </c>
      <c r="T52" s="51" t="n">
        <v>46143</v>
      </c>
      <c r="U52" s="51" t="n">
        <v>46174</v>
      </c>
      <c r="V52" s="51" t="n">
        <v>46204</v>
      </c>
      <c r="W52" s="51" t="n">
        <v>46235</v>
      </c>
      <c r="X52" s="51" t="n">
        <v>46266</v>
      </c>
      <c r="Y52" s="52" t="inlineStr">
        <is>
          <t>合計</t>
        </is>
      </c>
    </row>
    <row r="53" hidden="1" s="93">
      <c r="C53" s="2" t="inlineStr">
        <is>
          <t>0021 集計</t>
        </is>
      </c>
      <c r="D53" s="15" t="inlineStr">
        <is>
          <t>高橋所長</t>
        </is>
      </c>
      <c r="E53" s="3">
        <f>E41-E17</f>
        <v/>
      </c>
      <c r="F53" s="3">
        <f>F41-F17</f>
        <v/>
      </c>
      <c r="G53" s="3">
        <f>G41-G17</f>
        <v/>
      </c>
      <c r="H53" s="3">
        <f>H41-H17</f>
        <v/>
      </c>
      <c r="I53" s="3">
        <f>I41-I17</f>
        <v/>
      </c>
      <c r="J53" s="3">
        <f>J41-J17</f>
        <v/>
      </c>
      <c r="K53" s="59">
        <f>SUM(E53:J53)</f>
        <v/>
      </c>
      <c r="L53" s="2">
        <f>L41-L17</f>
        <v/>
      </c>
      <c r="M53" s="3">
        <f>M41-M17</f>
        <v/>
      </c>
      <c r="N53" s="3">
        <f>N41-N17</f>
        <v/>
      </c>
      <c r="O53" s="3">
        <f>O41-O17</f>
        <v/>
      </c>
      <c r="P53" s="3">
        <f>P41-P17</f>
        <v/>
      </c>
      <c r="Q53" s="3">
        <f>Q41-Q17</f>
        <v/>
      </c>
      <c r="R53" s="56">
        <f>SUM(L53:Q53)</f>
        <v/>
      </c>
      <c r="S53" s="103">
        <f>S41-S17</f>
        <v/>
      </c>
      <c r="T53" s="104">
        <f>T41-T17</f>
        <v/>
      </c>
      <c r="U53" s="104">
        <f>U41-U17</f>
        <v/>
      </c>
      <c r="V53" s="104">
        <f>V41-V17</f>
        <v/>
      </c>
      <c r="W53" s="104">
        <f>W41-W17</f>
        <v/>
      </c>
      <c r="X53" s="104">
        <f>X41-X17</f>
        <v/>
      </c>
      <c r="Y53" s="105">
        <f>Y41-Y17</f>
        <v/>
      </c>
    </row>
    <row r="54" hidden="1" s="93">
      <c r="C54" s="2" t="inlineStr">
        <is>
          <t>0024 集計</t>
        </is>
      </c>
      <c r="D54" s="15" t="inlineStr">
        <is>
          <t>東野</t>
        </is>
      </c>
      <c r="E54" s="3">
        <f>E42-E18</f>
        <v/>
      </c>
      <c r="F54" s="3">
        <f>F42-F18</f>
        <v/>
      </c>
      <c r="G54" s="3">
        <f>G42-G18</f>
        <v/>
      </c>
      <c r="H54" s="3">
        <f>H42-H18</f>
        <v/>
      </c>
      <c r="I54" s="3">
        <f>I42-I18</f>
        <v/>
      </c>
      <c r="J54" s="3">
        <f>J42-J18</f>
        <v/>
      </c>
      <c r="K54" s="59">
        <f>SUM(E54:J54)</f>
        <v/>
      </c>
      <c r="L54" s="2">
        <f>L42-L18</f>
        <v/>
      </c>
      <c r="M54" s="3">
        <f>M42-M18</f>
        <v/>
      </c>
      <c r="N54" s="3">
        <f>N42-N18</f>
        <v/>
      </c>
      <c r="O54" s="3">
        <f>O42-O18</f>
        <v/>
      </c>
      <c r="P54" s="3">
        <f>P42-P18</f>
        <v/>
      </c>
      <c r="Q54" s="3">
        <f>Q42-Q18</f>
        <v/>
      </c>
      <c r="R54" s="56">
        <f>SUM(L54:Q54)</f>
        <v/>
      </c>
      <c r="S54" s="103">
        <f>S42-S18</f>
        <v/>
      </c>
      <c r="T54" s="104">
        <f>T42-T18</f>
        <v/>
      </c>
      <c r="U54" s="104">
        <f>U42-U18</f>
        <v/>
      </c>
      <c r="V54" s="104">
        <f>V42-V18</f>
        <v/>
      </c>
      <c r="W54" s="104">
        <f>W42-W18</f>
        <v/>
      </c>
      <c r="X54" s="104">
        <f>X42-X18</f>
        <v/>
      </c>
      <c r="Y54" s="105">
        <f>Y42-Y18</f>
        <v/>
      </c>
    </row>
    <row r="55" hidden="1" s="93">
      <c r="C55" s="2" t="inlineStr">
        <is>
          <t>0025 集計</t>
        </is>
      </c>
      <c r="D55" s="15" t="inlineStr">
        <is>
          <t>橋本課長</t>
        </is>
      </c>
      <c r="E55" s="3">
        <f>E43-E19</f>
        <v/>
      </c>
      <c r="F55" s="3">
        <f>F43-F19</f>
        <v/>
      </c>
      <c r="G55" s="3">
        <f>G43-G19</f>
        <v/>
      </c>
      <c r="H55" s="3">
        <f>H43-H19</f>
        <v/>
      </c>
      <c r="I55" s="3">
        <f>I43-I19</f>
        <v/>
      </c>
      <c r="J55" s="3">
        <f>J43-J19</f>
        <v/>
      </c>
      <c r="K55" s="59">
        <f>SUM(E55:J55)</f>
        <v/>
      </c>
      <c r="L55" s="2">
        <f>L43-L19</f>
        <v/>
      </c>
      <c r="M55" s="3">
        <f>M43-M19</f>
        <v/>
      </c>
      <c r="N55" s="3">
        <f>N43-N19</f>
        <v/>
      </c>
      <c r="O55" s="3">
        <f>O43-O19</f>
        <v/>
      </c>
      <c r="P55" s="3">
        <f>P43-P19</f>
        <v/>
      </c>
      <c r="Q55" s="3">
        <f>Q43-Q19</f>
        <v/>
      </c>
      <c r="R55" s="56">
        <f>SUM(L55:Q55)</f>
        <v/>
      </c>
      <c r="S55" s="103">
        <f>S43-S19</f>
        <v/>
      </c>
      <c r="T55" s="104">
        <f>T43-T19</f>
        <v/>
      </c>
      <c r="U55" s="104">
        <f>U43-U19</f>
        <v/>
      </c>
      <c r="V55" s="104">
        <f>V43-V19</f>
        <v/>
      </c>
      <c r="W55" s="104">
        <f>W43-W19</f>
        <v/>
      </c>
      <c r="X55" s="104">
        <f>X43-X19</f>
        <v/>
      </c>
      <c r="Y55" s="105">
        <f>Y43-Y19</f>
        <v/>
      </c>
    </row>
    <row r="56" hidden="1" s="93">
      <c r="C56" s="2" t="inlineStr">
        <is>
          <t>0026 集計</t>
        </is>
      </c>
      <c r="D56" s="15" t="inlineStr">
        <is>
          <t>井上課長</t>
        </is>
      </c>
      <c r="E56" s="3">
        <f>E44-E20</f>
        <v/>
      </c>
      <c r="F56" s="3">
        <f>F44-F20</f>
        <v/>
      </c>
      <c r="G56" s="3">
        <f>G44-G20</f>
        <v/>
      </c>
      <c r="H56" s="3">
        <f>H44-H20</f>
        <v/>
      </c>
      <c r="I56" s="3">
        <f>I44-I20</f>
        <v/>
      </c>
      <c r="J56" s="3">
        <f>J44-J20</f>
        <v/>
      </c>
      <c r="K56" s="59">
        <f>SUM(E56:J56)</f>
        <v/>
      </c>
      <c r="L56" s="2">
        <f>L44-L20</f>
        <v/>
      </c>
      <c r="M56" s="3">
        <f>M44-M20</f>
        <v/>
      </c>
      <c r="N56" s="3">
        <f>N44-N20</f>
        <v/>
      </c>
      <c r="O56" s="3">
        <f>O44-O20</f>
        <v/>
      </c>
      <c r="P56" s="3">
        <f>P44-P20</f>
        <v/>
      </c>
      <c r="Q56" s="3">
        <f>Q44-Q20</f>
        <v/>
      </c>
      <c r="R56" s="56">
        <f>SUM(L56:Q56)</f>
        <v/>
      </c>
      <c r="S56" s="103">
        <f>S44-S20</f>
        <v/>
      </c>
      <c r="T56" s="104">
        <f>T44-T20</f>
        <v/>
      </c>
      <c r="U56" s="104">
        <f>U44-U20</f>
        <v/>
      </c>
      <c r="V56" s="104">
        <f>V44-V20</f>
        <v/>
      </c>
      <c r="W56" s="104">
        <f>W44-W20</f>
        <v/>
      </c>
      <c r="X56" s="104">
        <f>X44-X20</f>
        <v/>
      </c>
      <c r="Y56" s="105">
        <f>Y44-Y20</f>
        <v/>
      </c>
    </row>
    <row r="57" hidden="1" s="93">
      <c r="C57" s="2" t="inlineStr">
        <is>
          <t>0027 集計</t>
        </is>
      </c>
      <c r="D57" s="15" t="inlineStr">
        <is>
          <t>中国</t>
        </is>
      </c>
      <c r="E57" s="3">
        <f>E45-E21</f>
        <v/>
      </c>
      <c r="F57" s="3">
        <f>F45-F21</f>
        <v/>
      </c>
      <c r="G57" s="3">
        <f>G45-G21</f>
        <v/>
      </c>
      <c r="H57" s="3">
        <f>H45-H21</f>
        <v/>
      </c>
      <c r="I57" s="3">
        <f>I45-I21</f>
        <v/>
      </c>
      <c r="J57" s="3">
        <f>J45-J21</f>
        <v/>
      </c>
      <c r="K57" s="59">
        <f>SUM(E57:J57)</f>
        <v/>
      </c>
      <c r="L57" s="2">
        <f>L45-L21</f>
        <v/>
      </c>
      <c r="M57" s="3">
        <f>M45-M21</f>
        <v/>
      </c>
      <c r="N57" s="3">
        <f>N45-N21</f>
        <v/>
      </c>
      <c r="O57" s="3">
        <f>O45-O21</f>
        <v/>
      </c>
      <c r="P57" s="3">
        <f>P45-P21</f>
        <v/>
      </c>
      <c r="Q57" s="3">
        <f>Q45-Q21</f>
        <v/>
      </c>
      <c r="R57" s="56">
        <f>SUM(L57:Q57)</f>
        <v/>
      </c>
      <c r="S57" s="103">
        <f>S45-S21</f>
        <v/>
      </c>
      <c r="T57" s="104">
        <f>T45-T21</f>
        <v/>
      </c>
      <c r="U57" s="104">
        <f>U45-U21</f>
        <v/>
      </c>
      <c r="V57" s="104">
        <f>V45-V21</f>
        <v/>
      </c>
      <c r="W57" s="104">
        <f>W45-W21</f>
        <v/>
      </c>
      <c r="X57" s="104">
        <f>X45-X21</f>
        <v/>
      </c>
      <c r="Y57" s="105">
        <f>Y45-Y21</f>
        <v/>
      </c>
    </row>
    <row r="58" hidden="1" s="93">
      <c r="C58" s="71" t="inlineStr">
        <is>
          <t>0028 集計</t>
        </is>
      </c>
      <c r="D58" s="15" t="inlineStr">
        <is>
          <t>自治体</t>
        </is>
      </c>
      <c r="E58" s="3" t="n"/>
      <c r="F58" s="3" t="n"/>
      <c r="G58" s="3" t="n"/>
      <c r="H58" s="3" t="n"/>
      <c r="I58" s="3" t="n"/>
      <c r="J58" s="3" t="n"/>
      <c r="K58" s="59" t="n"/>
      <c r="L58" s="2" t="n"/>
      <c r="M58" s="3" t="n"/>
      <c r="N58" s="3" t="n"/>
      <c r="O58" s="3" t="n"/>
      <c r="P58" s="3" t="n"/>
      <c r="Q58" s="3" t="n"/>
      <c r="R58" s="56" t="n"/>
      <c r="S58" s="103" t="n"/>
      <c r="T58" s="104" t="n"/>
      <c r="U58" s="104" t="n"/>
      <c r="V58" s="104" t="n"/>
      <c r="W58" s="104" t="n"/>
      <c r="X58" s="104" t="n"/>
      <c r="Y58" s="105" t="n"/>
    </row>
    <row r="59" hidden="1" s="93">
      <c r="C59" s="2" t="inlineStr">
        <is>
          <t>0029 集計</t>
        </is>
      </c>
      <c r="D59" s="15" t="inlineStr">
        <is>
          <t>その他</t>
        </is>
      </c>
      <c r="E59" s="3">
        <f>E47-E23</f>
        <v/>
      </c>
      <c r="F59" s="3">
        <f>F47-F23</f>
        <v/>
      </c>
      <c r="G59" s="3">
        <f>G47-G23</f>
        <v/>
      </c>
      <c r="H59" s="3">
        <f>H47-H23</f>
        <v/>
      </c>
      <c r="I59" s="3">
        <f>I47-I23</f>
        <v/>
      </c>
      <c r="J59" s="3">
        <f>J47-J23</f>
        <v/>
      </c>
      <c r="K59" s="59">
        <f>SUM(E59:J59)</f>
        <v/>
      </c>
      <c r="L59" s="2">
        <f>L47-L23</f>
        <v/>
      </c>
      <c r="M59" s="3">
        <f>M47-M23</f>
        <v/>
      </c>
      <c r="N59" s="3">
        <f>N47-N23</f>
        <v/>
      </c>
      <c r="O59" s="3">
        <f>O47-O23</f>
        <v/>
      </c>
      <c r="P59" s="3">
        <f>P47-P23</f>
        <v/>
      </c>
      <c r="Q59" s="3">
        <f>Q47-Q23</f>
        <v/>
      </c>
      <c r="R59" s="56">
        <f>SUM(L59:Q59)</f>
        <v/>
      </c>
      <c r="S59" s="103">
        <f>S47-S23</f>
        <v/>
      </c>
      <c r="T59" s="104">
        <f>T47-T23</f>
        <v/>
      </c>
      <c r="U59" s="104">
        <f>U47-U23</f>
        <v/>
      </c>
      <c r="V59" s="104">
        <f>V47-V23</f>
        <v/>
      </c>
      <c r="W59" s="104">
        <f>W47-W23</f>
        <v/>
      </c>
      <c r="X59" s="104">
        <f>X47-X23</f>
        <v/>
      </c>
      <c r="Y59" s="105">
        <f>Y47-Y23</f>
        <v/>
      </c>
    </row>
    <row r="60" hidden="1" s="93">
      <c r="C60" s="4" t="inlineStr">
        <is>
          <t>合計</t>
        </is>
      </c>
      <c r="D60" s="16" t="n"/>
      <c r="E60" s="6">
        <f>SUM(E53:E59)</f>
        <v/>
      </c>
      <c r="F60" s="6">
        <f>SUM(F53:F59)</f>
        <v/>
      </c>
      <c r="G60" s="6">
        <f>SUM(G53:G59)</f>
        <v/>
      </c>
      <c r="H60" s="6">
        <f>SUM(H53:H59)</f>
        <v/>
      </c>
      <c r="I60" s="6">
        <f>SUM(I53:I59)</f>
        <v/>
      </c>
      <c r="J60" s="6">
        <f>SUM(J53:J59)</f>
        <v/>
      </c>
      <c r="K60" s="60">
        <f>SUM(E60:J60)</f>
        <v/>
      </c>
      <c r="L60" s="49">
        <f>SUM(L53:L59)</f>
        <v/>
      </c>
      <c r="M60" s="6">
        <f>SUM(M53:M59)</f>
        <v/>
      </c>
      <c r="N60" s="6">
        <f>SUM(N53:N59)</f>
        <v/>
      </c>
      <c r="O60" s="6">
        <f>SUM(O53:O59)</f>
        <v/>
      </c>
      <c r="P60" s="6">
        <f>SUM(P53:P59)</f>
        <v/>
      </c>
      <c r="Q60" s="6">
        <f>SUM(Q53:Q59)</f>
        <v/>
      </c>
      <c r="R60" s="50">
        <f>SUM(L60:Q60)</f>
        <v/>
      </c>
      <c r="S60" s="106">
        <f>S48-S24</f>
        <v/>
      </c>
      <c r="T60" s="107">
        <f>T48-T24</f>
        <v/>
      </c>
      <c r="U60" s="107">
        <f>U48-U24</f>
        <v/>
      </c>
      <c r="V60" s="107">
        <f>V48-V24</f>
        <v/>
      </c>
      <c r="W60" s="107">
        <f>W48-W24</f>
        <v/>
      </c>
      <c r="X60" s="107">
        <f>X48-X24</f>
        <v/>
      </c>
      <c r="Y60" s="108">
        <f>Y48-Y24</f>
        <v/>
      </c>
    </row>
    <row r="61" hidden="1" s="93"/>
    <row r="62" hidden="1" s="93">
      <c r="C62" s="12" t="inlineStr">
        <is>
          <t>6．過年度平均比</t>
        </is>
      </c>
    </row>
    <row r="63" hidden="1" s="93">
      <c r="C63" s="86" t="n"/>
      <c r="D63" s="85" t="n"/>
      <c r="E63" s="86" t="inlineStr">
        <is>
          <t>売上</t>
        </is>
      </c>
      <c r="F63" s="84" t="n"/>
      <c r="G63" s="84" t="n"/>
      <c r="H63" s="84" t="n"/>
      <c r="I63" s="84" t="n"/>
      <c r="J63" s="84" t="n"/>
      <c r="K63" s="85" t="n"/>
      <c r="L63" s="87" t="inlineStr">
        <is>
          <t>粗利益</t>
        </is>
      </c>
      <c r="M63" s="84" t="n"/>
      <c r="N63" s="84" t="n"/>
      <c r="O63" s="84" t="n"/>
      <c r="P63" s="84" t="n"/>
      <c r="Q63" s="84" t="n"/>
      <c r="R63" s="85" t="n"/>
      <c r="S63" s="87" t="inlineStr">
        <is>
          <t>粗利益率</t>
        </is>
      </c>
      <c r="T63" s="84" t="n"/>
      <c r="U63" s="84" t="n"/>
      <c r="V63" s="84" t="n"/>
      <c r="W63" s="84" t="n"/>
      <c r="X63" s="84" t="n"/>
      <c r="Y63" s="85" t="n"/>
    </row>
    <row r="64" hidden="1" s="93">
      <c r="C64" s="1" t="n"/>
      <c r="D64" s="14" t="n"/>
      <c r="E64" s="54" t="n">
        <v>46113</v>
      </c>
      <c r="F64" s="51" t="n">
        <v>46143</v>
      </c>
      <c r="G64" s="51" t="n">
        <v>46174</v>
      </c>
      <c r="H64" s="51" t="n">
        <v>46204</v>
      </c>
      <c r="I64" s="51" t="n">
        <v>46235</v>
      </c>
      <c r="J64" s="51" t="n">
        <v>46266</v>
      </c>
      <c r="K64" s="52" t="inlineStr">
        <is>
          <t>合計</t>
        </is>
      </c>
      <c r="L64" s="48" t="n">
        <v>46113</v>
      </c>
      <c r="M64" s="51" t="n">
        <v>46143</v>
      </c>
      <c r="N64" s="51" t="n">
        <v>46174</v>
      </c>
      <c r="O64" s="51" t="n">
        <v>46204</v>
      </c>
      <c r="P64" s="51" t="n">
        <v>46235</v>
      </c>
      <c r="Q64" s="51" t="n">
        <v>46266</v>
      </c>
      <c r="R64" s="52" t="inlineStr">
        <is>
          <t>合計</t>
        </is>
      </c>
      <c r="S64" s="48" t="n">
        <v>46113</v>
      </c>
      <c r="T64" s="51" t="n">
        <v>46143</v>
      </c>
      <c r="U64" s="51" t="n">
        <v>46174</v>
      </c>
      <c r="V64" s="51" t="n">
        <v>46204</v>
      </c>
      <c r="W64" s="51" t="n">
        <v>46235</v>
      </c>
      <c r="X64" s="51" t="n">
        <v>46266</v>
      </c>
      <c r="Y64" s="52" t="inlineStr">
        <is>
          <t>合計</t>
        </is>
      </c>
    </row>
    <row r="65" hidden="1" s="93">
      <c r="C65" s="2" t="inlineStr">
        <is>
          <t>0021 集計</t>
        </is>
      </c>
      <c r="D65" s="15" t="inlineStr">
        <is>
          <t>高橋所長</t>
        </is>
      </c>
      <c r="E65" s="3">
        <f>E41-E29</f>
        <v/>
      </c>
      <c r="F65" s="3">
        <f>F41-F29</f>
        <v/>
      </c>
      <c r="G65" s="3">
        <f>G41-G29</f>
        <v/>
      </c>
      <c r="H65" s="3">
        <f>H41-H29</f>
        <v/>
      </c>
      <c r="I65" s="3">
        <f>I41-I29</f>
        <v/>
      </c>
      <c r="J65" s="3">
        <f>J41-J29</f>
        <v/>
      </c>
      <c r="K65" s="59">
        <f>SUM(E65:J65)</f>
        <v/>
      </c>
      <c r="L65" s="2">
        <f>L41-L29</f>
        <v/>
      </c>
      <c r="M65" s="3">
        <f>M41-M29</f>
        <v/>
      </c>
      <c r="N65" s="3">
        <f>N41-N29</f>
        <v/>
      </c>
      <c r="O65" s="3">
        <f>O41-O29</f>
        <v/>
      </c>
      <c r="P65" s="3">
        <f>P41-P29</f>
        <v/>
      </c>
      <c r="Q65" s="3">
        <f>Q41-Q29</f>
        <v/>
      </c>
      <c r="R65" s="56">
        <f>SUM(L65:Q65)</f>
        <v/>
      </c>
      <c r="S65" s="103">
        <f>S41-S29</f>
        <v/>
      </c>
      <c r="T65" s="104">
        <f>T41-T29</f>
        <v/>
      </c>
      <c r="U65" s="104">
        <f>U41-U29</f>
        <v/>
      </c>
      <c r="V65" s="104">
        <f>V41-V29</f>
        <v/>
      </c>
      <c r="W65" s="104">
        <f>W41-W29</f>
        <v/>
      </c>
      <c r="X65" s="104">
        <f>X41-X29</f>
        <v/>
      </c>
      <c r="Y65" s="105">
        <f>Y41-Y29</f>
        <v/>
      </c>
    </row>
    <row r="66" hidden="1" s="93">
      <c r="C66" s="2" t="inlineStr">
        <is>
          <t>0024 集計</t>
        </is>
      </c>
      <c r="D66" s="15" t="inlineStr">
        <is>
          <t>東野</t>
        </is>
      </c>
      <c r="E66" s="3">
        <f>E42-E30</f>
        <v/>
      </c>
      <c r="F66" s="3">
        <f>F42-F30</f>
        <v/>
      </c>
      <c r="G66" s="3">
        <f>G42-G30</f>
        <v/>
      </c>
      <c r="H66" s="3">
        <f>H42-H30</f>
        <v/>
      </c>
      <c r="I66" s="3">
        <f>I42-I30</f>
        <v/>
      </c>
      <c r="J66" s="3">
        <f>J42-J30</f>
        <v/>
      </c>
      <c r="K66" s="59">
        <f>SUM(E66:J66)</f>
        <v/>
      </c>
      <c r="L66" s="2">
        <f>L42-L30</f>
        <v/>
      </c>
      <c r="M66" s="3">
        <f>M42-M30</f>
        <v/>
      </c>
      <c r="N66" s="3">
        <f>N42-N30</f>
        <v/>
      </c>
      <c r="O66" s="3">
        <f>O42-O30</f>
        <v/>
      </c>
      <c r="P66" s="3">
        <f>P42-P30</f>
        <v/>
      </c>
      <c r="Q66" s="3">
        <f>Q42-Q30</f>
        <v/>
      </c>
      <c r="R66" s="56">
        <f>SUM(L66:Q66)</f>
        <v/>
      </c>
      <c r="S66" s="103">
        <f>S42-S30</f>
        <v/>
      </c>
      <c r="T66" s="104">
        <f>T42-T30</f>
        <v/>
      </c>
      <c r="U66" s="104">
        <f>U42-U30</f>
        <v/>
      </c>
      <c r="V66" s="104">
        <f>V42-V30</f>
        <v/>
      </c>
      <c r="W66" s="104">
        <f>W42-W30</f>
        <v/>
      </c>
      <c r="X66" s="104">
        <f>X42-X30</f>
        <v/>
      </c>
      <c r="Y66" s="105">
        <f>Y42-Y30</f>
        <v/>
      </c>
    </row>
    <row r="67" hidden="1" s="93">
      <c r="C67" s="2" t="inlineStr">
        <is>
          <t>0025 集計</t>
        </is>
      </c>
      <c r="D67" s="15" t="inlineStr">
        <is>
          <t>橋本課長</t>
        </is>
      </c>
      <c r="E67" s="3">
        <f>E43-E31</f>
        <v/>
      </c>
      <c r="F67" s="3">
        <f>F43-F31</f>
        <v/>
      </c>
      <c r="G67" s="3">
        <f>G43-G31</f>
        <v/>
      </c>
      <c r="H67" s="3">
        <f>H43-H31</f>
        <v/>
      </c>
      <c r="I67" s="3">
        <f>I43-I31</f>
        <v/>
      </c>
      <c r="J67" s="3">
        <f>J43-J31</f>
        <v/>
      </c>
      <c r="K67" s="59">
        <f>SUM(E67:J67)</f>
        <v/>
      </c>
      <c r="L67" s="2">
        <f>L43-L31</f>
        <v/>
      </c>
      <c r="M67" s="3">
        <f>M43-M31</f>
        <v/>
      </c>
      <c r="N67" s="3">
        <f>N43-N31</f>
        <v/>
      </c>
      <c r="O67" s="3">
        <f>O43-O31</f>
        <v/>
      </c>
      <c r="P67" s="3">
        <f>P43-P31</f>
        <v/>
      </c>
      <c r="Q67" s="3">
        <f>Q43-Q31</f>
        <v/>
      </c>
      <c r="R67" s="56">
        <f>SUM(L67:Q67)</f>
        <v/>
      </c>
      <c r="S67" s="103">
        <f>S43-S31</f>
        <v/>
      </c>
      <c r="T67" s="104">
        <f>T43-T31</f>
        <v/>
      </c>
      <c r="U67" s="104">
        <f>U43-U31</f>
        <v/>
      </c>
      <c r="V67" s="104">
        <f>V43-V31</f>
        <v/>
      </c>
      <c r="W67" s="104">
        <f>W43-W31</f>
        <v/>
      </c>
      <c r="X67" s="104">
        <f>X43-X31</f>
        <v/>
      </c>
      <c r="Y67" s="105">
        <f>Y43-Y31</f>
        <v/>
      </c>
    </row>
    <row r="68" hidden="1" s="93">
      <c r="C68" s="2" t="inlineStr">
        <is>
          <t>0026 集計</t>
        </is>
      </c>
      <c r="D68" s="15" t="inlineStr">
        <is>
          <t>井上課長</t>
        </is>
      </c>
      <c r="E68" s="3">
        <f>E44-E32</f>
        <v/>
      </c>
      <c r="F68" s="3">
        <f>F44-F32</f>
        <v/>
      </c>
      <c r="G68" s="3">
        <f>G44-G32</f>
        <v/>
      </c>
      <c r="H68" s="3">
        <f>H44-H32</f>
        <v/>
      </c>
      <c r="I68" s="3">
        <f>I44-I32</f>
        <v/>
      </c>
      <c r="J68" s="3">
        <f>J44-J32</f>
        <v/>
      </c>
      <c r="K68" s="59">
        <f>SUM(E68:J68)</f>
        <v/>
      </c>
      <c r="L68" s="2">
        <f>L44-L32</f>
        <v/>
      </c>
      <c r="M68" s="3">
        <f>M44-M32</f>
        <v/>
      </c>
      <c r="N68" s="3">
        <f>N44-N32</f>
        <v/>
      </c>
      <c r="O68" s="3">
        <f>O44-O32</f>
        <v/>
      </c>
      <c r="P68" s="3">
        <f>P44-P32</f>
        <v/>
      </c>
      <c r="Q68" s="3">
        <f>Q44-Q32</f>
        <v/>
      </c>
      <c r="R68" s="56">
        <f>SUM(L68:Q68)</f>
        <v/>
      </c>
      <c r="S68" s="103">
        <f>S44-S32</f>
        <v/>
      </c>
      <c r="T68" s="104">
        <f>T44-T32</f>
        <v/>
      </c>
      <c r="U68" s="104">
        <f>U44-U32</f>
        <v/>
      </c>
      <c r="V68" s="104">
        <f>V44-V32</f>
        <v/>
      </c>
      <c r="W68" s="104">
        <f>W44-W32</f>
        <v/>
      </c>
      <c r="X68" s="104">
        <f>X44-X32</f>
        <v/>
      </c>
      <c r="Y68" s="105">
        <f>Y44-Y32</f>
        <v/>
      </c>
    </row>
    <row r="69" hidden="1" s="93">
      <c r="C69" s="2" t="inlineStr">
        <is>
          <t>0027 集計</t>
        </is>
      </c>
      <c r="D69" s="15" t="inlineStr">
        <is>
          <t>中国</t>
        </is>
      </c>
      <c r="E69" s="3">
        <f>E45-E33</f>
        <v/>
      </c>
      <c r="F69" s="3">
        <f>F45-F33</f>
        <v/>
      </c>
      <c r="G69" s="3">
        <f>G45-G33</f>
        <v/>
      </c>
      <c r="H69" s="3">
        <f>H45-H33</f>
        <v/>
      </c>
      <c r="I69" s="3">
        <f>I45-I33</f>
        <v/>
      </c>
      <c r="J69" s="3">
        <f>J45-J33</f>
        <v/>
      </c>
      <c r="K69" s="59">
        <f>SUM(E69:J69)</f>
        <v/>
      </c>
      <c r="L69" s="2">
        <f>L45-L33</f>
        <v/>
      </c>
      <c r="M69" s="3">
        <f>M45-M33</f>
        <v/>
      </c>
      <c r="N69" s="3">
        <f>N45-N33</f>
        <v/>
      </c>
      <c r="O69" s="3">
        <f>O45-O33</f>
        <v/>
      </c>
      <c r="P69" s="3">
        <f>P45-P33</f>
        <v/>
      </c>
      <c r="Q69" s="3">
        <f>Q45-Q33</f>
        <v/>
      </c>
      <c r="R69" s="56">
        <f>SUM(L69:Q69)</f>
        <v/>
      </c>
      <c r="S69" s="103">
        <f>S45-S33</f>
        <v/>
      </c>
      <c r="T69" s="104">
        <f>T45-T33</f>
        <v/>
      </c>
      <c r="U69" s="104">
        <f>U45-U33</f>
        <v/>
      </c>
      <c r="V69" s="104">
        <f>V45-V33</f>
        <v/>
      </c>
      <c r="W69" s="104">
        <f>W45-W33</f>
        <v/>
      </c>
      <c r="X69" s="104">
        <f>X45-X33</f>
        <v/>
      </c>
      <c r="Y69" s="105">
        <f>Y45-Y33</f>
        <v/>
      </c>
    </row>
    <row r="70" hidden="1" s="93">
      <c r="C70" s="71" t="inlineStr">
        <is>
          <t>0028 集計</t>
        </is>
      </c>
      <c r="D70" s="15" t="inlineStr">
        <is>
          <t>自治体</t>
        </is>
      </c>
      <c r="E70" s="3" t="n"/>
      <c r="F70" s="3" t="n"/>
      <c r="G70" s="3" t="n"/>
      <c r="H70" s="3" t="n"/>
      <c r="I70" s="3" t="n"/>
      <c r="J70" s="3" t="n"/>
      <c r="K70" s="59" t="n"/>
      <c r="L70" s="2" t="n"/>
      <c r="M70" s="3" t="n"/>
      <c r="N70" s="3" t="n"/>
      <c r="O70" s="3" t="n"/>
      <c r="P70" s="3" t="n"/>
      <c r="Q70" s="3" t="n"/>
      <c r="R70" s="56" t="n"/>
      <c r="S70" s="103" t="n"/>
      <c r="T70" s="104" t="n"/>
      <c r="U70" s="104" t="n"/>
      <c r="V70" s="104" t="n"/>
      <c r="W70" s="104" t="n"/>
      <c r="X70" s="104" t="n"/>
      <c r="Y70" s="105" t="n"/>
    </row>
    <row r="71" hidden="1" s="93">
      <c r="C71" s="2" t="inlineStr">
        <is>
          <t>0029 集計</t>
        </is>
      </c>
      <c r="D71" s="15" t="inlineStr">
        <is>
          <t>その他</t>
        </is>
      </c>
      <c r="E71" s="3">
        <f>E47-E35</f>
        <v/>
      </c>
      <c r="F71" s="3">
        <f>F47-F35</f>
        <v/>
      </c>
      <c r="G71" s="3">
        <f>G47-G35</f>
        <v/>
      </c>
      <c r="H71" s="3">
        <f>H47-H35</f>
        <v/>
      </c>
      <c r="I71" s="3">
        <f>I47-I35</f>
        <v/>
      </c>
      <c r="J71" s="3">
        <f>J47-J35</f>
        <v/>
      </c>
      <c r="K71" s="59">
        <f>SUM(E71:J71)</f>
        <v/>
      </c>
      <c r="L71" s="2">
        <f>L47-L35</f>
        <v/>
      </c>
      <c r="M71" s="3">
        <f>M47-M35</f>
        <v/>
      </c>
      <c r="N71" s="3">
        <f>N47-N35</f>
        <v/>
      </c>
      <c r="O71" s="3">
        <f>O47-O35</f>
        <v/>
      </c>
      <c r="P71" s="3">
        <f>P47-P35</f>
        <v/>
      </c>
      <c r="Q71" s="3">
        <f>Q47-Q35</f>
        <v/>
      </c>
      <c r="R71" s="56">
        <f>SUM(L71:Q71)</f>
        <v/>
      </c>
      <c r="S71" s="103">
        <f>S47-S35</f>
        <v/>
      </c>
      <c r="T71" s="104">
        <f>T47-T35</f>
        <v/>
      </c>
      <c r="U71" s="104">
        <f>U47-U35</f>
        <v/>
      </c>
      <c r="V71" s="104">
        <f>V47-V35</f>
        <v/>
      </c>
      <c r="W71" s="104">
        <f>W47-W35</f>
        <v/>
      </c>
      <c r="X71" s="104">
        <f>X47-X35</f>
        <v/>
      </c>
      <c r="Y71" s="105">
        <f>Y47-Y35</f>
        <v/>
      </c>
    </row>
    <row r="72" hidden="1" s="93">
      <c r="C72" s="4" t="inlineStr">
        <is>
          <t>合計</t>
        </is>
      </c>
      <c r="D72" s="16" t="n"/>
      <c r="E72" s="6">
        <f>SUM(E65:E71)</f>
        <v/>
      </c>
      <c r="F72" s="6">
        <f>SUM(F65:F71)</f>
        <v/>
      </c>
      <c r="G72" s="6">
        <f>SUM(G65:G71)</f>
        <v/>
      </c>
      <c r="H72" s="6">
        <f>SUM(H65:H71)</f>
        <v/>
      </c>
      <c r="I72" s="6">
        <f>SUM(I65:I71)</f>
        <v/>
      </c>
      <c r="J72" s="6">
        <f>SUM(J65:J71)</f>
        <v/>
      </c>
      <c r="K72" s="60">
        <f>SUM(E72:J72)</f>
        <v/>
      </c>
      <c r="L72" s="49">
        <f>SUM(L65:L71)</f>
        <v/>
      </c>
      <c r="M72" s="6">
        <f>SUM(M65:M71)</f>
        <v/>
      </c>
      <c r="N72" s="6">
        <f>SUM(N65:N71)</f>
        <v/>
      </c>
      <c r="O72" s="6">
        <f>SUM(O65:O71)</f>
        <v/>
      </c>
      <c r="P72" s="6">
        <f>SUM(P65:P71)</f>
        <v/>
      </c>
      <c r="Q72" s="6">
        <f>SUM(Q65:Q71)</f>
        <v/>
      </c>
      <c r="R72" s="50">
        <f>SUM(L72:Q72)</f>
        <v/>
      </c>
      <c r="S72" s="106">
        <f>S48-S36</f>
        <v/>
      </c>
      <c r="T72" s="107">
        <f>T48-T36</f>
        <v/>
      </c>
      <c r="U72" s="107">
        <f>U48-U36</f>
        <v/>
      </c>
      <c r="V72" s="107">
        <f>V48-V36</f>
        <v/>
      </c>
      <c r="W72" s="107">
        <f>W48-W36</f>
        <v/>
      </c>
      <c r="X72" s="107">
        <f>X48-X36</f>
        <v/>
      </c>
      <c r="Y72" s="108">
        <f>Y48-Y36</f>
        <v/>
      </c>
    </row>
    <row r="73">
      <c r="C73" s="12" t="n"/>
      <c r="E73" s="11" t="n"/>
      <c r="F73" s="11" t="n"/>
      <c r="G73" s="11" t="n"/>
      <c r="H73" s="11" t="n"/>
      <c r="I73" s="11" t="n"/>
      <c r="J73" s="11" t="n"/>
      <c r="K73" s="12" t="n"/>
      <c r="L73" s="11" t="n"/>
      <c r="M73" s="11" t="n"/>
      <c r="N73" s="11" t="n"/>
      <c r="O73" s="11" t="n"/>
      <c r="P73" s="11" t="n"/>
      <c r="Q73" s="11" t="n"/>
      <c r="R73" s="12" t="n"/>
      <c r="S73" s="109" t="n"/>
      <c r="T73" s="109" t="n"/>
      <c r="U73" s="109" t="n"/>
      <c r="V73" s="109" t="n"/>
      <c r="W73" s="109" t="n"/>
      <c r="X73" s="109" t="n"/>
      <c r="Y73" s="109" t="n"/>
    </row>
    <row r="74">
      <c r="C74" s="12" t="inlineStr">
        <is>
          <t>7．実績</t>
        </is>
      </c>
    </row>
    <row r="75">
      <c r="C75" s="86" t="n"/>
      <c r="D75" s="85" t="n"/>
      <c r="E75" s="86" t="inlineStr">
        <is>
          <t>売上</t>
        </is>
      </c>
      <c r="F75" s="84" t="n"/>
      <c r="G75" s="84" t="n"/>
      <c r="H75" s="84" t="n"/>
      <c r="I75" s="84" t="n"/>
      <c r="J75" s="84" t="n"/>
      <c r="K75" s="85" t="n"/>
      <c r="L75" s="87" t="inlineStr">
        <is>
          <t>粗利益</t>
        </is>
      </c>
      <c r="M75" s="84" t="n"/>
      <c r="N75" s="84" t="n"/>
      <c r="O75" s="84" t="n"/>
      <c r="P75" s="84" t="n"/>
      <c r="Q75" s="84" t="n"/>
      <c r="R75" s="85" t="n"/>
      <c r="S75" s="87" t="inlineStr">
        <is>
          <t>粗利益率</t>
        </is>
      </c>
      <c r="T75" s="84" t="n"/>
      <c r="U75" s="84" t="n"/>
      <c r="V75" s="84" t="n"/>
      <c r="W75" s="84" t="n"/>
      <c r="X75" s="84" t="n"/>
      <c r="Y75" s="85" t="n"/>
    </row>
    <row r="76">
      <c r="C76" s="1" t="n"/>
      <c r="D76" s="14" t="n"/>
      <c r="E76" s="54" t="n">
        <v>46113</v>
      </c>
      <c r="F76" s="51" t="n">
        <v>46143</v>
      </c>
      <c r="G76" s="51" t="n">
        <v>46174</v>
      </c>
      <c r="H76" s="51" t="n">
        <v>46204</v>
      </c>
      <c r="I76" s="51" t="n">
        <v>46235</v>
      </c>
      <c r="J76" s="51" t="n">
        <v>46266</v>
      </c>
      <c r="K76" s="52" t="inlineStr">
        <is>
          <t>合計</t>
        </is>
      </c>
      <c r="L76" s="48" t="n">
        <v>46113</v>
      </c>
      <c r="M76" s="51" t="n">
        <v>46143</v>
      </c>
      <c r="N76" s="51" t="n">
        <v>46174</v>
      </c>
      <c r="O76" s="51" t="n">
        <v>46204</v>
      </c>
      <c r="P76" s="51" t="n">
        <v>46235</v>
      </c>
      <c r="Q76" s="51" t="n">
        <v>46266</v>
      </c>
      <c r="R76" s="52" t="inlineStr">
        <is>
          <t>合計</t>
        </is>
      </c>
      <c r="S76" s="48" t="n">
        <v>46113</v>
      </c>
      <c r="T76" s="51" t="n">
        <v>46143</v>
      </c>
      <c r="U76" s="51" t="n">
        <v>46174</v>
      </c>
      <c r="V76" s="51" t="n">
        <v>46204</v>
      </c>
      <c r="W76" s="51" t="n">
        <v>46235</v>
      </c>
      <c r="X76" s="51" t="n">
        <v>46266</v>
      </c>
      <c r="Y76" s="52" t="inlineStr">
        <is>
          <t>合計</t>
        </is>
      </c>
    </row>
    <row r="77">
      <c r="C77" s="2" t="inlineStr">
        <is>
          <t>0021 集計</t>
        </is>
      </c>
      <c r="D77" s="15" t="inlineStr">
        <is>
          <t>高橋所長</t>
        </is>
      </c>
      <c r="E77" s="3" t="n">
        <v>15744.501</v>
      </c>
      <c r="F77" s="3" t="n">
        <v>10976.27</v>
      </c>
      <c r="G77" s="80" t="n">
        <v>9450.687</v>
      </c>
      <c r="H77" s="3" t="n">
        <v>9629.106</v>
      </c>
      <c r="I77" s="3" t="n">
        <v>7893.202</v>
      </c>
      <c r="J77" s="3" t="n">
        <v>9142.034</v>
      </c>
      <c r="K77" s="59">
        <f>SUM(E77:J77)</f>
        <v/>
      </c>
      <c r="L77" s="2" t="n">
        <v>3925.653</v>
      </c>
      <c r="M77" s="62" t="n">
        <v>2266.876</v>
      </c>
      <c r="N77" s="80" t="n">
        <v>1926.086</v>
      </c>
      <c r="O77" s="3" t="n">
        <v>2120.834</v>
      </c>
      <c r="P77" s="3" t="n">
        <v>1748.686</v>
      </c>
      <c r="Q77" s="3" t="n">
        <v>2221.32</v>
      </c>
      <c r="R77" s="56">
        <f>SUM(L77:Q77)</f>
        <v/>
      </c>
      <c r="S77" s="103">
        <f>IF(E77=0,"***",L77/E77)</f>
        <v/>
      </c>
      <c r="T77" s="104">
        <f>IF(F77=0,"***",M77/F77)</f>
        <v/>
      </c>
      <c r="U77" s="104">
        <f>IF(G77=0,"***",N77/G77)</f>
        <v/>
      </c>
      <c r="V77" s="104">
        <f>IF(H77=0,"***",O77/H77)</f>
        <v/>
      </c>
      <c r="W77" s="104">
        <f>IF(I77=0,"***",P77/I77)</f>
        <v/>
      </c>
      <c r="X77" s="104">
        <f>IF(J77=0,"***",Q77/J77)</f>
        <v/>
      </c>
      <c r="Y77" s="105">
        <f>IF(K77=0,"***",R77/K77)</f>
        <v/>
      </c>
    </row>
    <row r="78">
      <c r="C78" s="2" t="inlineStr">
        <is>
          <t>0024 集計</t>
        </is>
      </c>
      <c r="D78" s="15" t="inlineStr">
        <is>
          <t>東野</t>
        </is>
      </c>
      <c r="E78" s="3" t="n">
        <v>12689.175</v>
      </c>
      <c r="F78" s="3" t="n">
        <v>18266.703</v>
      </c>
      <c r="G78" s="80" t="n">
        <v>19128.594</v>
      </c>
      <c r="H78" s="3" t="n">
        <v>16378.021</v>
      </c>
      <c r="I78" s="3" t="n">
        <v>13478.139</v>
      </c>
      <c r="J78" s="3" t="n">
        <v>15950.679</v>
      </c>
      <c r="K78" s="59">
        <f>SUM(E78:J78)</f>
        <v/>
      </c>
      <c r="L78" s="2" t="n">
        <v>2483.551</v>
      </c>
      <c r="M78" s="62" t="n">
        <v>3112.73</v>
      </c>
      <c r="N78" s="80" t="n">
        <v>3824.482</v>
      </c>
      <c r="O78" s="3" t="n">
        <v>3200.535</v>
      </c>
      <c r="P78" s="3" t="n">
        <v>2715.531</v>
      </c>
      <c r="Q78" s="3" t="n">
        <v>3205.927</v>
      </c>
      <c r="R78" s="56">
        <f>SUM(L78:Q78)</f>
        <v/>
      </c>
      <c r="S78" s="103">
        <f>IF(E78=0,"***",L78/E78)</f>
        <v/>
      </c>
      <c r="T78" s="104">
        <f>IF(F78=0,"***",M78/F78)</f>
        <v/>
      </c>
      <c r="U78" s="104">
        <f>IF(G78=0,"***",N78/G78)</f>
        <v/>
      </c>
      <c r="V78" s="104">
        <f>IF(H78=0,"***",O78/H78)</f>
        <v/>
      </c>
      <c r="W78" s="104">
        <f>IF(I78=0,"***",P78/I78)</f>
        <v/>
      </c>
      <c r="X78" s="104">
        <f>IF(J78=0,"***",Q78/J78)</f>
        <v/>
      </c>
      <c r="Y78" s="105">
        <f>IF(K78=0,"***",R78/K78)</f>
        <v/>
      </c>
    </row>
    <row r="79">
      <c r="C79" s="2" t="inlineStr">
        <is>
          <t>0025 集計</t>
        </is>
      </c>
      <c r="D79" s="15" t="inlineStr">
        <is>
          <t>橋本課長</t>
        </is>
      </c>
      <c r="E79" s="3" t="n">
        <v>9403.611000000001</v>
      </c>
      <c r="F79" s="3" t="n">
        <v>9079.715</v>
      </c>
      <c r="G79" s="80" t="n">
        <v>8615.483</v>
      </c>
      <c r="H79" s="3" t="n">
        <v>9858.799000000001</v>
      </c>
      <c r="I79" s="3" t="n">
        <v>9650.882</v>
      </c>
      <c r="J79" s="3" t="n">
        <v>11591.025</v>
      </c>
      <c r="K79" s="59">
        <f>SUM(E79:J79)</f>
        <v/>
      </c>
      <c r="L79" s="2" t="n">
        <v>1990.233</v>
      </c>
      <c r="M79" s="62" t="n">
        <v>2007.683</v>
      </c>
      <c r="N79" s="80" t="n">
        <v>1874.108</v>
      </c>
      <c r="O79" s="3" t="n">
        <v>2151.642</v>
      </c>
      <c r="P79" s="3" t="n">
        <v>1952.649</v>
      </c>
      <c r="Q79" s="3" t="n">
        <v>2430.17</v>
      </c>
      <c r="R79" s="56">
        <f>SUM(L79:Q79)</f>
        <v/>
      </c>
      <c r="S79" s="103">
        <f>IF(E79=0,"***",L79/E79)</f>
        <v/>
      </c>
      <c r="T79" s="104">
        <f>IF(F79=0,"***",M79/F79)</f>
        <v/>
      </c>
      <c r="U79" s="104">
        <f>IF(G79=0,"***",N79/G79)</f>
        <v/>
      </c>
      <c r="V79" s="104">
        <f>IF(H79=0,"***",O79/H79)</f>
        <v/>
      </c>
      <c r="W79" s="104">
        <f>IF(I79=0,"***",P79/I79)</f>
        <v/>
      </c>
      <c r="X79" s="104">
        <f>IF(J79=0,"***",Q79/J79)</f>
        <v/>
      </c>
      <c r="Y79" s="105">
        <f>IF(K79=0,"***",R79/K79)</f>
        <v/>
      </c>
    </row>
    <row r="80">
      <c r="C80" s="2" t="inlineStr">
        <is>
          <t>0026 集計</t>
        </is>
      </c>
      <c r="D80" s="15" t="inlineStr">
        <is>
          <t>井上課長</t>
        </is>
      </c>
      <c r="E80" s="3" t="n">
        <v>14052.193</v>
      </c>
      <c r="F80" s="3" t="n">
        <v>11657.203</v>
      </c>
      <c r="G80" s="80" t="n">
        <v>11564.469</v>
      </c>
      <c r="H80" s="3" t="n">
        <v>14695.665</v>
      </c>
      <c r="I80" s="3" t="n">
        <v>13183.796</v>
      </c>
      <c r="J80" s="3" t="n">
        <v>14028.019</v>
      </c>
      <c r="K80" s="59">
        <f>SUM(E80:J80)</f>
        <v/>
      </c>
      <c r="L80" s="2" t="n">
        <v>2789.712</v>
      </c>
      <c r="M80" s="62" t="n">
        <v>2337.45</v>
      </c>
      <c r="N80" s="80" t="n">
        <v>2603.699</v>
      </c>
      <c r="O80" s="3" t="n">
        <v>3150.701</v>
      </c>
      <c r="P80" s="3" t="n">
        <v>2770.063</v>
      </c>
      <c r="Q80" s="3" t="n">
        <v>3020.484</v>
      </c>
      <c r="R80" s="56">
        <f>SUM(L80:Q80)</f>
        <v/>
      </c>
      <c r="S80" s="103">
        <f>IF(E80=0,"***",L80/E80)</f>
        <v/>
      </c>
      <c r="T80" s="104">
        <f>IF(F80=0,"***",M80/F80)</f>
        <v/>
      </c>
      <c r="U80" s="104">
        <f>IF(G80=0,"***",N80/G80)</f>
        <v/>
      </c>
      <c r="V80" s="104">
        <f>IF(H80=0,"***",O80/H80)</f>
        <v/>
      </c>
      <c r="W80" s="104">
        <f>IF(I80=0,"***",P80/I80)</f>
        <v/>
      </c>
      <c r="X80" s="104">
        <f>IF(J80=0,"***",Q80/J80)</f>
        <v/>
      </c>
      <c r="Y80" s="105">
        <f>IF(K80=0,"***",R80/K80)</f>
        <v/>
      </c>
    </row>
    <row r="81">
      <c r="C81" s="2" t="inlineStr">
        <is>
          <t>0027 集計</t>
        </is>
      </c>
      <c r="D81" s="15" t="inlineStr">
        <is>
          <t>中国</t>
        </is>
      </c>
      <c r="E81" s="3" t="n"/>
      <c r="F81" s="3" t="n"/>
      <c r="G81" s="3" t="n"/>
      <c r="H81" s="3" t="n"/>
      <c r="I81" s="3" t="n">
        <v>0</v>
      </c>
      <c r="J81" s="3" t="n">
        <v>0</v>
      </c>
      <c r="K81" s="59">
        <f>SUM(E81:J81)</f>
        <v/>
      </c>
      <c r="L81" s="2" t="n"/>
      <c r="M81" s="3" t="n"/>
      <c r="N81" s="3" t="n"/>
      <c r="O81" s="3" t="n"/>
      <c r="P81" s="3" t="n">
        <v>0</v>
      </c>
      <c r="Q81" s="3" t="n">
        <v>0</v>
      </c>
      <c r="R81" s="56">
        <f>SUM(L81:Q81)</f>
        <v/>
      </c>
      <c r="S81" s="103">
        <f>IF(E81=0,"***",L81/E81)</f>
        <v/>
      </c>
      <c r="T81" s="104">
        <f>IF(F81=0,"***",M81/F81)</f>
        <v/>
      </c>
      <c r="U81" s="104">
        <f>IF(G81=0,"***",N81/G81)</f>
        <v/>
      </c>
      <c r="V81" s="104">
        <f>IF(H81=0,"***",O81/H81)</f>
        <v/>
      </c>
      <c r="W81" s="104">
        <f>IF(I81=0,"***",P81/I81)</f>
        <v/>
      </c>
      <c r="X81" s="104">
        <f>IF(J81=0,"***",Q81/J81)</f>
        <v/>
      </c>
      <c r="Y81" s="105">
        <f>IF(K81=0,"***",R81/K81)</f>
        <v/>
      </c>
    </row>
    <row r="82">
      <c r="C82" s="71" t="inlineStr">
        <is>
          <t>0028 集計</t>
        </is>
      </c>
      <c r="D82" s="15" t="inlineStr">
        <is>
          <t>自治体</t>
        </is>
      </c>
      <c r="E82" s="3" t="n"/>
      <c r="F82" s="3" t="n"/>
      <c r="G82" s="80" t="n">
        <v>94.2</v>
      </c>
      <c r="H82" s="3" t="n">
        <v>0</v>
      </c>
      <c r="I82" s="3" t="n">
        <v>69.09999999999999</v>
      </c>
      <c r="J82" s="3" t="n">
        <v>0</v>
      </c>
      <c r="K82" s="3">
        <f>SUM(E82:J82)</f>
        <v/>
      </c>
      <c r="L82" s="2" t="n"/>
      <c r="M82" s="3" t="n"/>
      <c r="N82" s="80" t="n">
        <v>3.15</v>
      </c>
      <c r="O82" s="3" t="n">
        <v>0</v>
      </c>
      <c r="P82" s="3" t="n">
        <v>2.2</v>
      </c>
      <c r="Q82" s="3" t="n">
        <v>0</v>
      </c>
      <c r="R82" s="3">
        <f>SUM(L82:Q82)</f>
        <v/>
      </c>
      <c r="S82" s="103" t="n"/>
      <c r="T82" s="104" t="n"/>
      <c r="U82" s="104" t="n"/>
      <c r="V82" s="104" t="n"/>
      <c r="W82" s="104" t="n"/>
      <c r="X82" s="104" t="n"/>
      <c r="Y82" s="105" t="n"/>
    </row>
    <row r="83">
      <c r="C83" s="2" t="inlineStr">
        <is>
          <t>0029 集計</t>
        </is>
      </c>
      <c r="D83" s="15" t="inlineStr">
        <is>
          <t>その他</t>
        </is>
      </c>
      <c r="E83" s="3" t="n"/>
      <c r="F83" s="3" t="n"/>
      <c r="G83" s="3" t="n"/>
      <c r="H83" s="3" t="n"/>
      <c r="I83" s="3" t="n">
        <v>0</v>
      </c>
      <c r="J83" s="3" t="n">
        <v>0</v>
      </c>
      <c r="K83" s="59">
        <f>SUM(E83:J83)</f>
        <v/>
      </c>
      <c r="L83" s="2" t="n"/>
      <c r="M83" s="3" t="n"/>
      <c r="N83" s="3" t="n"/>
      <c r="O83" s="3" t="n"/>
      <c r="P83" s="3" t="n">
        <v>0</v>
      </c>
      <c r="Q83" s="3" t="n">
        <v>0</v>
      </c>
      <c r="R83" s="56">
        <f>SUM(L83:Q83)</f>
        <v/>
      </c>
      <c r="S83" s="103">
        <f>IF(E83=0,"***",L83/E83)</f>
        <v/>
      </c>
      <c r="T83" s="104">
        <f>IF(F83=0,"***",M83/F83)</f>
        <v/>
      </c>
      <c r="U83" s="104">
        <f>IF(G83=0,"***",N83/G83)</f>
        <v/>
      </c>
      <c r="V83" s="104">
        <f>IF(H83=0,"***",O83/H83)</f>
        <v/>
      </c>
      <c r="W83" s="104">
        <f>IF(I83=0,"***",P83/I83)</f>
        <v/>
      </c>
      <c r="X83" s="104">
        <f>IF(J83=0,"***",Q83/J83)</f>
        <v/>
      </c>
      <c r="Y83" s="105">
        <f>IF(K83=0,"***",R83/K83)</f>
        <v/>
      </c>
    </row>
    <row r="84">
      <c r="C84" s="4" t="inlineStr">
        <is>
          <t>合計</t>
        </is>
      </c>
      <c r="D84" s="16" t="n"/>
      <c r="E84" s="6">
        <f>SUM(E77:E83)</f>
        <v/>
      </c>
      <c r="F84" s="6">
        <f>SUM(F77:F83)</f>
        <v/>
      </c>
      <c r="G84" s="6">
        <f>SUM(G77:G83)</f>
        <v/>
      </c>
      <c r="H84" s="6">
        <f>SUM(H77:H83)</f>
        <v/>
      </c>
      <c r="I84" s="6">
        <f>SUM(I77:I83)</f>
        <v/>
      </c>
      <c r="J84" s="6">
        <f>SUM(J77:J83)</f>
        <v/>
      </c>
      <c r="K84" s="60">
        <f>SUM(E84:J84)</f>
        <v/>
      </c>
      <c r="L84" s="49">
        <f>SUM(L77:L83)</f>
        <v/>
      </c>
      <c r="M84" s="6">
        <f>SUM(M77:M83)</f>
        <v/>
      </c>
      <c r="N84" s="6">
        <f>SUM(N77:N83)</f>
        <v/>
      </c>
      <c r="O84" s="6">
        <f>SUM(O77:O83)</f>
        <v/>
      </c>
      <c r="P84" s="6">
        <f>SUM(P77:P83)</f>
        <v/>
      </c>
      <c r="Q84" s="6">
        <f>SUM(Q77:Q83)</f>
        <v/>
      </c>
      <c r="R84" s="50">
        <f>SUM(L84:Q84)</f>
        <v/>
      </c>
      <c r="S84" s="106">
        <f>IF(E84=0,"***",L84/E84)</f>
        <v/>
      </c>
      <c r="T84" s="107">
        <f>IF(F84=0,"***",M84/F84)</f>
        <v/>
      </c>
      <c r="U84" s="107">
        <f>IF(G84=0,"***",N84/G84)</f>
        <v/>
      </c>
      <c r="V84" s="107">
        <f>IF(H84=0,"***",O84/H84)</f>
        <v/>
      </c>
      <c r="W84" s="107">
        <f>IF(I84=0,"***",P84/I84)</f>
        <v/>
      </c>
      <c r="X84" s="107">
        <f>IF(J84=0,"***",Q84/J84)</f>
        <v/>
      </c>
      <c r="Y84" s="108">
        <f>IF(K84=0,"***",R84/K84)</f>
        <v/>
      </c>
    </row>
    <row r="85">
      <c r="C85" s="12" t="n"/>
      <c r="E85" s="11" t="n"/>
      <c r="F85" s="11" t="n"/>
      <c r="G85" s="11" t="n"/>
      <c r="H85" s="11" t="n"/>
      <c r="I85" s="11" t="n"/>
      <c r="J85" s="11" t="n"/>
      <c r="K85" s="12" t="n"/>
      <c r="L85" s="11" t="n"/>
      <c r="M85" s="11" t="n"/>
      <c r="N85" s="11" t="n"/>
      <c r="O85" s="11" t="n"/>
      <c r="P85" s="11" t="n"/>
      <c r="Q85" s="11" t="n"/>
      <c r="R85" s="12" t="n"/>
      <c r="S85" s="109" t="n"/>
      <c r="T85" s="109" t="n"/>
      <c r="U85" s="109" t="n"/>
      <c r="V85" s="109" t="n"/>
      <c r="W85" s="109" t="n"/>
      <c r="X85" s="109" t="n"/>
      <c r="Y85" s="109" t="n"/>
    </row>
    <row r="86">
      <c r="C86" s="12" t="inlineStr">
        <is>
          <t>８．計画比</t>
        </is>
      </c>
    </row>
    <row r="87">
      <c r="C87" s="86" t="n"/>
      <c r="D87" s="85" t="n"/>
      <c r="E87" s="86" t="inlineStr">
        <is>
          <t>売上</t>
        </is>
      </c>
      <c r="F87" s="84" t="n"/>
      <c r="G87" s="84" t="n"/>
      <c r="H87" s="84" t="n"/>
      <c r="I87" s="84" t="n"/>
      <c r="J87" s="84" t="n"/>
      <c r="K87" s="85" t="n"/>
      <c r="L87" s="87" t="inlineStr">
        <is>
          <t>粗利益</t>
        </is>
      </c>
      <c r="M87" s="84" t="n"/>
      <c r="N87" s="84" t="n"/>
      <c r="O87" s="84" t="n"/>
      <c r="P87" s="84" t="n"/>
      <c r="Q87" s="84" t="n"/>
      <c r="R87" s="85" t="n"/>
      <c r="S87" s="87" t="inlineStr">
        <is>
          <t>粗利益率</t>
        </is>
      </c>
      <c r="T87" s="84" t="n"/>
      <c r="U87" s="84" t="n"/>
      <c r="V87" s="84" t="n"/>
      <c r="W87" s="84" t="n"/>
      <c r="X87" s="84" t="n"/>
      <c r="Y87" s="85" t="n"/>
    </row>
    <row r="88">
      <c r="C88" s="1" t="n"/>
      <c r="D88" s="14" t="n"/>
      <c r="E88" s="54" t="n">
        <v>46113</v>
      </c>
      <c r="F88" s="51" t="n">
        <v>46143</v>
      </c>
      <c r="G88" s="51" t="n">
        <v>46174</v>
      </c>
      <c r="H88" s="51" t="n">
        <v>46204</v>
      </c>
      <c r="I88" s="51" t="n">
        <v>46235</v>
      </c>
      <c r="J88" s="51" t="n">
        <v>46266</v>
      </c>
      <c r="K88" s="52" t="inlineStr">
        <is>
          <t>合計</t>
        </is>
      </c>
      <c r="L88" s="48" t="n">
        <v>46113</v>
      </c>
      <c r="M88" s="51" t="n">
        <v>46143</v>
      </c>
      <c r="N88" s="51" t="n">
        <v>46174</v>
      </c>
      <c r="O88" s="51" t="n">
        <v>46204</v>
      </c>
      <c r="P88" s="51" t="n">
        <v>46235</v>
      </c>
      <c r="Q88" s="51" t="n">
        <v>46266</v>
      </c>
      <c r="R88" s="52" t="inlineStr">
        <is>
          <t>合計</t>
        </is>
      </c>
      <c r="S88" s="48" t="n">
        <v>46113</v>
      </c>
      <c r="T88" s="51" t="n">
        <v>46143</v>
      </c>
      <c r="U88" s="51" t="n">
        <v>46174</v>
      </c>
      <c r="V88" s="51" t="n">
        <v>46204</v>
      </c>
      <c r="W88" s="51" t="n">
        <v>46235</v>
      </c>
      <c r="X88" s="51" t="n">
        <v>46266</v>
      </c>
      <c r="Y88" s="52" t="inlineStr">
        <is>
          <t>合計</t>
        </is>
      </c>
    </row>
    <row r="89">
      <c r="C89" s="2" t="inlineStr">
        <is>
          <t>0021 集計</t>
        </is>
      </c>
      <c r="D89" s="15" t="inlineStr">
        <is>
          <t>高橋所長</t>
        </is>
      </c>
      <c r="E89" s="3">
        <f>E77-E41</f>
        <v/>
      </c>
      <c r="F89" s="3">
        <f>F77-F41</f>
        <v/>
      </c>
      <c r="G89" s="80">
        <f>G77-G41</f>
        <v/>
      </c>
      <c r="H89" s="3">
        <f>H77-H41</f>
        <v/>
      </c>
      <c r="I89" s="3">
        <f>I77-I41</f>
        <v/>
      </c>
      <c r="J89" s="3">
        <f>J77-J41</f>
        <v/>
      </c>
      <c r="K89" s="59">
        <f>SUM(E89:J89)</f>
        <v/>
      </c>
      <c r="L89" s="2">
        <f>L77-L41</f>
        <v/>
      </c>
      <c r="M89" s="3">
        <f>M77-M41</f>
        <v/>
      </c>
      <c r="N89" s="80">
        <f>N77-N41</f>
        <v/>
      </c>
      <c r="O89" s="3">
        <f>O77-O41</f>
        <v/>
      </c>
      <c r="P89" s="3">
        <f>P77-P41</f>
        <v/>
      </c>
      <c r="Q89" s="3">
        <f>Q77-Q41</f>
        <v/>
      </c>
      <c r="R89" s="56">
        <f>SUM(L89:Q89)</f>
        <v/>
      </c>
      <c r="S89" s="103">
        <f>S77-S41</f>
        <v/>
      </c>
      <c r="T89" s="103">
        <f>T77-T41</f>
        <v/>
      </c>
      <c r="U89" s="104">
        <f>U77-U41</f>
        <v/>
      </c>
      <c r="V89" s="104">
        <f>V77-V41</f>
        <v/>
      </c>
      <c r="W89" s="104">
        <f>W77-W41</f>
        <v/>
      </c>
      <c r="X89" s="104">
        <f>X77-X41</f>
        <v/>
      </c>
      <c r="Y89" s="105">
        <f>Y77-Y41</f>
        <v/>
      </c>
    </row>
    <row r="90">
      <c r="C90" s="2" t="inlineStr">
        <is>
          <t>0024 集計</t>
        </is>
      </c>
      <c r="D90" s="15" t="inlineStr">
        <is>
          <t>東野</t>
        </is>
      </c>
      <c r="E90" s="3">
        <f>E78-E42</f>
        <v/>
      </c>
      <c r="F90" s="3">
        <f>F78-F42</f>
        <v/>
      </c>
      <c r="G90" s="80">
        <f>G78-G42</f>
        <v/>
      </c>
      <c r="H90" s="3">
        <f>H78-H42</f>
        <v/>
      </c>
      <c r="I90" s="3">
        <f>I78-I42</f>
        <v/>
      </c>
      <c r="J90" s="3">
        <f>J78-J42</f>
        <v/>
      </c>
      <c r="K90" s="59">
        <f>SUM(E90:J90)</f>
        <v/>
      </c>
      <c r="L90" s="2">
        <f>L78-L42</f>
        <v/>
      </c>
      <c r="M90" s="3">
        <f>M78-M42</f>
        <v/>
      </c>
      <c r="N90" s="80">
        <f>N78-N42</f>
        <v/>
      </c>
      <c r="O90" s="3">
        <f>O78-O42</f>
        <v/>
      </c>
      <c r="P90" s="3">
        <f>P78-P42</f>
        <v/>
      </c>
      <c r="Q90" s="3">
        <f>Q78-Q42</f>
        <v/>
      </c>
      <c r="R90" s="56">
        <f>SUM(L90:Q90)</f>
        <v/>
      </c>
      <c r="S90" s="103">
        <f>S78-S42</f>
        <v/>
      </c>
      <c r="T90" s="103">
        <f>T78-T42</f>
        <v/>
      </c>
      <c r="U90" s="104">
        <f>U78-U42</f>
        <v/>
      </c>
      <c r="V90" s="104">
        <f>V78-V42</f>
        <v/>
      </c>
      <c r="W90" s="104">
        <f>W78-W42</f>
        <v/>
      </c>
      <c r="X90" s="104">
        <f>X78-X42</f>
        <v/>
      </c>
      <c r="Y90" s="105">
        <f>Y78-Y42</f>
        <v/>
      </c>
    </row>
    <row r="91">
      <c r="C91" s="2" t="inlineStr">
        <is>
          <t>0025 集計</t>
        </is>
      </c>
      <c r="D91" s="15" t="inlineStr">
        <is>
          <t>橋本課長</t>
        </is>
      </c>
      <c r="E91" s="3">
        <f>E79-E43</f>
        <v/>
      </c>
      <c r="F91" s="3">
        <f>F79-F43</f>
        <v/>
      </c>
      <c r="G91" s="80">
        <f>G79-G43</f>
        <v/>
      </c>
      <c r="H91" s="3">
        <f>H79-H43</f>
        <v/>
      </c>
      <c r="I91" s="3">
        <f>I79-I43</f>
        <v/>
      </c>
      <c r="J91" s="3">
        <f>J79-J43</f>
        <v/>
      </c>
      <c r="K91" s="59">
        <f>SUM(E91:J91)</f>
        <v/>
      </c>
      <c r="L91" s="2">
        <f>L79-L43</f>
        <v/>
      </c>
      <c r="M91" s="3">
        <f>M79-M43</f>
        <v/>
      </c>
      <c r="N91" s="80">
        <f>N79-N43</f>
        <v/>
      </c>
      <c r="O91" s="3">
        <f>O79-O43</f>
        <v/>
      </c>
      <c r="P91" s="3">
        <f>P79-P43</f>
        <v/>
      </c>
      <c r="Q91" s="3">
        <f>Q79-Q43</f>
        <v/>
      </c>
      <c r="R91" s="56">
        <f>SUM(L91:Q91)</f>
        <v/>
      </c>
      <c r="S91" s="103">
        <f>S79-S43</f>
        <v/>
      </c>
      <c r="T91" s="103">
        <f>T79-T43</f>
        <v/>
      </c>
      <c r="U91" s="104">
        <f>U79-U43</f>
        <v/>
      </c>
      <c r="V91" s="104">
        <f>V79-V43</f>
        <v/>
      </c>
      <c r="W91" s="104">
        <f>W79-W43</f>
        <v/>
      </c>
      <c r="X91" s="104">
        <f>X79-X43</f>
        <v/>
      </c>
      <c r="Y91" s="105">
        <f>Y79-Y43</f>
        <v/>
      </c>
    </row>
    <row r="92">
      <c r="C92" s="2" t="inlineStr">
        <is>
          <t>0026 集計</t>
        </is>
      </c>
      <c r="D92" s="15" t="inlineStr">
        <is>
          <t>井上課長</t>
        </is>
      </c>
      <c r="E92" s="3">
        <f>E80-E44</f>
        <v/>
      </c>
      <c r="F92" s="3">
        <f>F80-F44</f>
        <v/>
      </c>
      <c r="G92" s="80">
        <f>G80-G44</f>
        <v/>
      </c>
      <c r="H92" s="3">
        <f>H80-H44</f>
        <v/>
      </c>
      <c r="I92" s="3">
        <f>I80-I44</f>
        <v/>
      </c>
      <c r="J92" s="3">
        <f>J80-J44</f>
        <v/>
      </c>
      <c r="K92" s="59">
        <f>SUM(E92:J92)</f>
        <v/>
      </c>
      <c r="L92" s="2">
        <f>L80-L44</f>
        <v/>
      </c>
      <c r="M92" s="3">
        <f>M80-M44</f>
        <v/>
      </c>
      <c r="N92" s="80">
        <f>N80-N44</f>
        <v/>
      </c>
      <c r="O92" s="3">
        <f>O80-O44</f>
        <v/>
      </c>
      <c r="P92" s="3">
        <f>P80-P44</f>
        <v/>
      </c>
      <c r="Q92" s="3">
        <f>Q80-Q44</f>
        <v/>
      </c>
      <c r="R92" s="56">
        <f>SUM(L92:Q92)</f>
        <v/>
      </c>
      <c r="S92" s="103">
        <f>S80-S44</f>
        <v/>
      </c>
      <c r="T92" s="103">
        <f>T80-T44</f>
        <v/>
      </c>
      <c r="U92" s="104">
        <f>U80-U44</f>
        <v/>
      </c>
      <c r="V92" s="104">
        <f>V80-V44</f>
        <v/>
      </c>
      <c r="W92" s="104">
        <f>W80-W44</f>
        <v/>
      </c>
      <c r="X92" s="104">
        <f>X80-X44</f>
        <v/>
      </c>
      <c r="Y92" s="105">
        <f>Y80-Y44</f>
        <v/>
      </c>
    </row>
    <row r="93">
      <c r="C93" s="2" t="inlineStr">
        <is>
          <t>0027 集計</t>
        </is>
      </c>
      <c r="D93" s="15" t="inlineStr">
        <is>
          <t>中国</t>
        </is>
      </c>
      <c r="E93" s="3">
        <f>E81-E45</f>
        <v/>
      </c>
      <c r="F93" s="3">
        <f>F81-F45</f>
        <v/>
      </c>
      <c r="G93" s="80">
        <f>G81-G45</f>
        <v/>
      </c>
      <c r="H93" s="3">
        <f>H81-H45</f>
        <v/>
      </c>
      <c r="I93" s="3">
        <f>I81-I45</f>
        <v/>
      </c>
      <c r="J93" s="3">
        <f>J81-J45</f>
        <v/>
      </c>
      <c r="K93" s="59">
        <f>SUM(E93:J93)</f>
        <v/>
      </c>
      <c r="L93" s="2">
        <f>L81-L45</f>
        <v/>
      </c>
      <c r="M93" s="3">
        <f>M81-M45</f>
        <v/>
      </c>
      <c r="N93" s="80">
        <f>N81-N45</f>
        <v/>
      </c>
      <c r="O93" s="3">
        <f>O81-O45</f>
        <v/>
      </c>
      <c r="P93" s="3">
        <f>P81-P45</f>
        <v/>
      </c>
      <c r="Q93" s="3">
        <f>Q81-Q45</f>
        <v/>
      </c>
      <c r="R93" s="56">
        <f>SUM(L93:Q93)</f>
        <v/>
      </c>
      <c r="S93" s="103">
        <f>S81-S45</f>
        <v/>
      </c>
      <c r="T93" s="103">
        <f>T81-T45</f>
        <v/>
      </c>
      <c r="U93" s="104">
        <f>U81-U45</f>
        <v/>
      </c>
      <c r="V93" s="104">
        <f>V81-V45</f>
        <v/>
      </c>
      <c r="W93" s="104">
        <f>W81-W45</f>
        <v/>
      </c>
      <c r="X93" s="104">
        <f>X81-X45</f>
        <v/>
      </c>
      <c r="Y93" s="105">
        <f>Y81-Y45</f>
        <v/>
      </c>
    </row>
    <row r="94">
      <c r="C94" s="71" t="inlineStr">
        <is>
          <t>0028 集計</t>
        </is>
      </c>
      <c r="D94" s="15" t="inlineStr">
        <is>
          <t>自治体</t>
        </is>
      </c>
      <c r="E94" s="3">
        <f>E82-E46</f>
        <v/>
      </c>
      <c r="F94" s="3">
        <f>F82-F46</f>
        <v/>
      </c>
      <c r="G94" s="80">
        <f>G82-G46</f>
        <v/>
      </c>
      <c r="H94" s="3">
        <f>H82-H46</f>
        <v/>
      </c>
      <c r="I94" s="3">
        <f>I82-I46</f>
        <v/>
      </c>
      <c r="J94" s="3">
        <f>J82-J46</f>
        <v/>
      </c>
      <c r="K94" s="59">
        <f>SUM(E94:J94)</f>
        <v/>
      </c>
      <c r="L94" s="2">
        <f>L82-L46</f>
        <v/>
      </c>
      <c r="M94" s="3">
        <f>M82-M46</f>
        <v/>
      </c>
      <c r="N94" s="80">
        <f>N82-N46</f>
        <v/>
      </c>
      <c r="O94" s="3">
        <f>O82-O46</f>
        <v/>
      </c>
      <c r="P94" s="3">
        <f>P82-P46</f>
        <v/>
      </c>
      <c r="Q94" s="3">
        <f>Q82-Q46</f>
        <v/>
      </c>
      <c r="R94" s="56">
        <f>SUM(L94:Q94)</f>
        <v/>
      </c>
      <c r="S94" s="103" t="n"/>
      <c r="T94" s="103" t="n"/>
      <c r="U94" s="104" t="n"/>
      <c r="V94" s="104" t="n"/>
      <c r="W94" s="104" t="n"/>
      <c r="X94" s="104" t="n"/>
      <c r="Y94" s="105" t="n"/>
    </row>
    <row r="95">
      <c r="C95" s="2" t="inlineStr">
        <is>
          <t>0029 集計</t>
        </is>
      </c>
      <c r="D95" s="15" t="inlineStr">
        <is>
          <t>その他</t>
        </is>
      </c>
      <c r="E95" s="3">
        <f>E83-E47</f>
        <v/>
      </c>
      <c r="F95" s="3">
        <f>F83-F47</f>
        <v/>
      </c>
      <c r="G95" s="80">
        <f>G83-G47</f>
        <v/>
      </c>
      <c r="H95" s="3">
        <f>H83-H47</f>
        <v/>
      </c>
      <c r="I95" s="3">
        <f>I83-I47</f>
        <v/>
      </c>
      <c r="J95" s="3">
        <f>J83-J47</f>
        <v/>
      </c>
      <c r="K95" s="59">
        <f>SUM(E95:J95)</f>
        <v/>
      </c>
      <c r="L95" s="2">
        <f>L83-L47</f>
        <v/>
      </c>
      <c r="M95" s="3">
        <f>M83-M47</f>
        <v/>
      </c>
      <c r="N95" s="3">
        <f>N83-N47</f>
        <v/>
      </c>
      <c r="O95" s="3">
        <f>O83-O47</f>
        <v/>
      </c>
      <c r="P95" s="3">
        <f>P83-P47</f>
        <v/>
      </c>
      <c r="Q95" s="3">
        <f>Q83-Q47</f>
        <v/>
      </c>
      <c r="R95" s="56">
        <f>SUM(L95:Q95)</f>
        <v/>
      </c>
      <c r="S95" s="103">
        <f>S83-S47</f>
        <v/>
      </c>
      <c r="T95" s="103">
        <f>T83-T47</f>
        <v/>
      </c>
      <c r="U95" s="104">
        <f>U83-U47</f>
        <v/>
      </c>
      <c r="V95" s="104">
        <f>V83-V47</f>
        <v/>
      </c>
      <c r="W95" s="104">
        <f>W83-W47</f>
        <v/>
      </c>
      <c r="X95" s="104">
        <f>X83-X47</f>
        <v/>
      </c>
      <c r="Y95" s="105">
        <f>Y83-Y47</f>
        <v/>
      </c>
    </row>
    <row r="96">
      <c r="C96" s="4" t="inlineStr">
        <is>
          <t>合計</t>
        </is>
      </c>
      <c r="D96" s="16" t="n"/>
      <c r="E96" s="6">
        <f>SUM(E89:E95)</f>
        <v/>
      </c>
      <c r="F96" s="6">
        <f>SUM(F89:F95)</f>
        <v/>
      </c>
      <c r="G96" s="6">
        <f>SUM(G89:G95)</f>
        <v/>
      </c>
      <c r="H96" s="6">
        <f>SUM(H89:H95)</f>
        <v/>
      </c>
      <c r="I96" s="6">
        <f>SUM(I89:I95)</f>
        <v/>
      </c>
      <c r="J96" s="6">
        <f>SUM(J89:J95)</f>
        <v/>
      </c>
      <c r="K96" s="60">
        <f>SUM(E96:J96)</f>
        <v/>
      </c>
      <c r="L96" s="49">
        <f>SUM(L89:L95)</f>
        <v/>
      </c>
      <c r="M96" s="6">
        <f>SUM(M89:M95)</f>
        <v/>
      </c>
      <c r="N96" s="6">
        <f>SUM(N89:N95)</f>
        <v/>
      </c>
      <c r="O96" s="6">
        <f>SUM(O89:O95)</f>
        <v/>
      </c>
      <c r="P96" s="6">
        <f>SUM(P89:P95)</f>
        <v/>
      </c>
      <c r="Q96" s="6">
        <f>SUM(Q89:Q95)</f>
        <v/>
      </c>
      <c r="R96" s="50">
        <f>SUM(L96:Q96)</f>
        <v/>
      </c>
      <c r="S96" s="106">
        <f>S84-S48</f>
        <v/>
      </c>
      <c r="T96" s="106">
        <f>T84-T48</f>
        <v/>
      </c>
      <c r="U96" s="106">
        <f>U84-U48</f>
        <v/>
      </c>
      <c r="V96" s="106">
        <f>V84-V48</f>
        <v/>
      </c>
      <c r="W96" s="107">
        <f>W84-W48</f>
        <v/>
      </c>
      <c r="X96" s="107">
        <f>X84-X48</f>
        <v/>
      </c>
      <c r="Y96" s="108">
        <f>Y84-Y48</f>
        <v/>
      </c>
    </row>
    <row r="97">
      <c r="C97" s="12" t="n"/>
      <c r="E97" s="11" t="n"/>
      <c r="F97" s="11" t="n"/>
      <c r="G97" s="11" t="n"/>
      <c r="H97" s="11" t="n"/>
      <c r="I97" s="11" t="n"/>
      <c r="J97" s="11" t="n"/>
      <c r="K97" s="12" t="n"/>
      <c r="L97" s="11" t="n"/>
      <c r="M97" s="11" t="n"/>
      <c r="N97" s="11" t="n"/>
      <c r="O97" s="11" t="n"/>
      <c r="P97" s="11" t="n"/>
      <c r="Q97" s="11" t="n"/>
      <c r="R97" s="12" t="n"/>
      <c r="S97" s="109" t="n"/>
      <c r="T97" s="109" t="n"/>
      <c r="U97" s="109" t="n"/>
      <c r="V97" s="109" t="n"/>
      <c r="W97" s="109" t="n"/>
      <c r="X97" s="109" t="n"/>
      <c r="Y97" s="109" t="n"/>
    </row>
    <row r="98">
      <c r="C98" s="12" t="inlineStr">
        <is>
          <t>9．前期比</t>
        </is>
      </c>
    </row>
    <row r="99">
      <c r="C99" s="86" t="n"/>
      <c r="D99" s="85" t="n"/>
      <c r="E99" s="86" t="inlineStr">
        <is>
          <t>売上</t>
        </is>
      </c>
      <c r="F99" s="84" t="n"/>
      <c r="G99" s="84" t="n"/>
      <c r="H99" s="84" t="n"/>
      <c r="I99" s="84" t="n"/>
      <c r="J99" s="84" t="n"/>
      <c r="K99" s="85" t="n"/>
      <c r="L99" s="87" t="inlineStr">
        <is>
          <t>粗利益</t>
        </is>
      </c>
      <c r="M99" s="84" t="n"/>
      <c r="N99" s="84" t="n"/>
      <c r="O99" s="84" t="n"/>
      <c r="P99" s="84" t="n"/>
      <c r="Q99" s="84" t="n"/>
      <c r="R99" s="85" t="n"/>
      <c r="S99" s="87" t="inlineStr">
        <is>
          <t>粗利益率</t>
        </is>
      </c>
      <c r="T99" s="84" t="n"/>
      <c r="U99" s="84" t="n"/>
      <c r="V99" s="84" t="n"/>
      <c r="W99" s="84" t="n"/>
      <c r="X99" s="84" t="n"/>
      <c r="Y99" s="85" t="n"/>
    </row>
    <row r="100">
      <c r="C100" s="1" t="n"/>
      <c r="D100" s="14" t="n"/>
      <c r="E100" s="54" t="n">
        <v>46113</v>
      </c>
      <c r="F100" s="51" t="n">
        <v>46143</v>
      </c>
      <c r="G100" s="51" t="n">
        <v>46174</v>
      </c>
      <c r="H100" s="51" t="n">
        <v>46204</v>
      </c>
      <c r="I100" s="51" t="n">
        <v>46235</v>
      </c>
      <c r="J100" s="51" t="n">
        <v>46266</v>
      </c>
      <c r="K100" s="52" t="inlineStr">
        <is>
          <t>合計</t>
        </is>
      </c>
      <c r="L100" s="48" t="n">
        <v>46113</v>
      </c>
      <c r="M100" s="51" t="n">
        <v>46143</v>
      </c>
      <c r="N100" s="51" t="n">
        <v>46174</v>
      </c>
      <c r="O100" s="51" t="n">
        <v>46204</v>
      </c>
      <c r="P100" s="51" t="n">
        <v>46235</v>
      </c>
      <c r="Q100" s="51" t="n">
        <v>46266</v>
      </c>
      <c r="R100" s="52" t="inlineStr">
        <is>
          <t>合計</t>
        </is>
      </c>
      <c r="S100" s="48" t="n">
        <v>46113</v>
      </c>
      <c r="T100" s="51" t="n">
        <v>46143</v>
      </c>
      <c r="U100" s="51" t="n">
        <v>46174</v>
      </c>
      <c r="V100" s="51" t="n">
        <v>46204</v>
      </c>
      <c r="W100" s="51" t="n">
        <v>46235</v>
      </c>
      <c r="X100" s="51" t="n">
        <v>46266</v>
      </c>
      <c r="Y100" s="52" t="inlineStr">
        <is>
          <t>合計</t>
        </is>
      </c>
    </row>
    <row r="101">
      <c r="C101" s="2" t="inlineStr">
        <is>
          <t>0021 集計</t>
        </is>
      </c>
      <c r="D101" s="15" t="inlineStr">
        <is>
          <t>高橋所長</t>
        </is>
      </c>
      <c r="E101" s="3">
        <f>E77-E17</f>
        <v/>
      </c>
      <c r="F101" s="3">
        <f>F77-F17</f>
        <v/>
      </c>
      <c r="G101" s="80">
        <f>G77-G17</f>
        <v/>
      </c>
      <c r="H101" s="3">
        <f>H77-H17</f>
        <v/>
      </c>
      <c r="I101" s="3">
        <f>I77-I17</f>
        <v/>
      </c>
      <c r="J101" s="3">
        <f>J77-J17</f>
        <v/>
      </c>
      <c r="K101" s="59">
        <f>SUM(E101:J101)</f>
        <v/>
      </c>
      <c r="L101" s="2">
        <f>L77-L17</f>
        <v/>
      </c>
      <c r="M101" s="3">
        <f>M77-M17</f>
        <v/>
      </c>
      <c r="N101" s="80">
        <f>N77-N17</f>
        <v/>
      </c>
      <c r="O101" s="3">
        <f>O77-O17</f>
        <v/>
      </c>
      <c r="P101" s="3">
        <f>P77-P17</f>
        <v/>
      </c>
      <c r="Q101" s="3">
        <f>Q77-Q17</f>
        <v/>
      </c>
      <c r="R101" s="56">
        <f>SUM(L101:Q101)</f>
        <v/>
      </c>
      <c r="S101" s="103">
        <f>S77-S17</f>
        <v/>
      </c>
      <c r="T101" s="104">
        <f>T77-T17</f>
        <v/>
      </c>
      <c r="U101" s="104">
        <f>U77-U17</f>
        <v/>
      </c>
      <c r="V101" s="104">
        <f>V77-V17</f>
        <v/>
      </c>
      <c r="W101" s="104">
        <f>W77-W17</f>
        <v/>
      </c>
      <c r="X101" s="104">
        <f>X77-X17</f>
        <v/>
      </c>
      <c r="Y101" s="111">
        <f>Y77-Y17</f>
        <v/>
      </c>
    </row>
    <row r="102">
      <c r="C102" s="2" t="inlineStr">
        <is>
          <t>0024 集計</t>
        </is>
      </c>
      <c r="D102" s="15" t="inlineStr">
        <is>
          <t>東野</t>
        </is>
      </c>
      <c r="E102" s="3">
        <f>E78-E18</f>
        <v/>
      </c>
      <c r="F102" s="3">
        <f>F78-F18</f>
        <v/>
      </c>
      <c r="G102" s="80">
        <f>G78-G18</f>
        <v/>
      </c>
      <c r="H102" s="3">
        <f>H78-H18</f>
        <v/>
      </c>
      <c r="I102" s="3">
        <f>I78-I18</f>
        <v/>
      </c>
      <c r="J102" s="3">
        <f>J78-J18</f>
        <v/>
      </c>
      <c r="K102" s="59">
        <f>SUM(E102:J102)</f>
        <v/>
      </c>
      <c r="L102" s="2">
        <f>L78-L18</f>
        <v/>
      </c>
      <c r="M102" s="3">
        <f>M78-M18</f>
        <v/>
      </c>
      <c r="N102" s="80">
        <f>N78-N18</f>
        <v/>
      </c>
      <c r="O102" s="3">
        <f>O78-O18</f>
        <v/>
      </c>
      <c r="P102" s="3">
        <f>P78-P18</f>
        <v/>
      </c>
      <c r="Q102" s="3">
        <f>Q78-Q18</f>
        <v/>
      </c>
      <c r="R102" s="56">
        <f>SUM(L102:Q102)</f>
        <v/>
      </c>
      <c r="S102" s="103">
        <f>S78-S18</f>
        <v/>
      </c>
      <c r="T102" s="104">
        <f>T78-T18</f>
        <v/>
      </c>
      <c r="U102" s="104">
        <f>U78-U18</f>
        <v/>
      </c>
      <c r="V102" s="104">
        <f>V78-V18</f>
        <v/>
      </c>
      <c r="W102" s="104">
        <f>W78-W18</f>
        <v/>
      </c>
      <c r="X102" s="104">
        <f>X78-X18</f>
        <v/>
      </c>
      <c r="Y102" s="111">
        <f>Y78-Y18</f>
        <v/>
      </c>
    </row>
    <row r="103">
      <c r="C103" s="2" t="inlineStr">
        <is>
          <t>0025 集計</t>
        </is>
      </c>
      <c r="D103" s="15" t="inlineStr">
        <is>
          <t>橋本課長</t>
        </is>
      </c>
      <c r="E103" s="3">
        <f>E79-E19</f>
        <v/>
      </c>
      <c r="F103" s="3">
        <f>F79-F19</f>
        <v/>
      </c>
      <c r="G103" s="80">
        <f>G79-G19</f>
        <v/>
      </c>
      <c r="H103" s="3">
        <f>H79-H19</f>
        <v/>
      </c>
      <c r="I103" s="3">
        <f>I79-I19</f>
        <v/>
      </c>
      <c r="J103" s="3">
        <f>J79-J19</f>
        <v/>
      </c>
      <c r="K103" s="59">
        <f>SUM(E103:J103)</f>
        <v/>
      </c>
      <c r="L103" s="2">
        <f>L79-L19</f>
        <v/>
      </c>
      <c r="M103" s="3">
        <f>M79-M19</f>
        <v/>
      </c>
      <c r="N103" s="80">
        <f>N79-N19</f>
        <v/>
      </c>
      <c r="O103" s="3">
        <f>O79-O19</f>
        <v/>
      </c>
      <c r="P103" s="3">
        <f>P79-P19</f>
        <v/>
      </c>
      <c r="Q103" s="3">
        <f>Q79-Q19</f>
        <v/>
      </c>
      <c r="R103" s="56">
        <f>SUM(L103:Q103)</f>
        <v/>
      </c>
      <c r="S103" s="103">
        <f>S79-S19</f>
        <v/>
      </c>
      <c r="T103" s="104">
        <f>T79-T19</f>
        <v/>
      </c>
      <c r="U103" s="104">
        <f>U79-U19</f>
        <v/>
      </c>
      <c r="V103" s="104">
        <f>V79-V19</f>
        <v/>
      </c>
      <c r="W103" s="104">
        <f>W79-W19</f>
        <v/>
      </c>
      <c r="X103" s="104">
        <f>X79-X19</f>
        <v/>
      </c>
      <c r="Y103" s="111">
        <f>Y79-Y19</f>
        <v/>
      </c>
    </row>
    <row r="104">
      <c r="C104" s="2" t="inlineStr">
        <is>
          <t>0026 集計</t>
        </is>
      </c>
      <c r="D104" s="15" t="inlineStr">
        <is>
          <t>井上課長</t>
        </is>
      </c>
      <c r="E104" s="3">
        <f>E80-E20</f>
        <v/>
      </c>
      <c r="F104" s="3">
        <f>F80-F20</f>
        <v/>
      </c>
      <c r="G104" s="80">
        <f>G80-G20</f>
        <v/>
      </c>
      <c r="H104" s="3">
        <f>H80-H20</f>
        <v/>
      </c>
      <c r="I104" s="3">
        <f>I80-I20</f>
        <v/>
      </c>
      <c r="J104" s="3">
        <f>J80-J20</f>
        <v/>
      </c>
      <c r="K104" s="59">
        <f>SUM(E104:J104)</f>
        <v/>
      </c>
      <c r="L104" s="2">
        <f>L80-L20</f>
        <v/>
      </c>
      <c r="M104" s="3">
        <f>M80-M20</f>
        <v/>
      </c>
      <c r="N104" s="80">
        <f>N80-N20</f>
        <v/>
      </c>
      <c r="O104" s="3">
        <f>O80-O20</f>
        <v/>
      </c>
      <c r="P104" s="3">
        <f>P80-P20</f>
        <v/>
      </c>
      <c r="Q104" s="3">
        <f>Q80-Q20</f>
        <v/>
      </c>
      <c r="R104" s="56">
        <f>SUM(L104:Q104)</f>
        <v/>
      </c>
      <c r="S104" s="103">
        <f>S80-S20</f>
        <v/>
      </c>
      <c r="T104" s="104">
        <f>T80-T20</f>
        <v/>
      </c>
      <c r="U104" s="104">
        <f>U80-U20</f>
        <v/>
      </c>
      <c r="V104" s="104">
        <f>V80-V20</f>
        <v/>
      </c>
      <c r="W104" s="104">
        <f>W80-W20</f>
        <v/>
      </c>
      <c r="X104" s="104">
        <f>X80-X20</f>
        <v/>
      </c>
      <c r="Y104" s="111">
        <f>Y80-Y20</f>
        <v/>
      </c>
    </row>
    <row r="105">
      <c r="C105" s="2" t="inlineStr">
        <is>
          <t>0027 集計</t>
        </is>
      </c>
      <c r="D105" s="15" t="inlineStr">
        <is>
          <t>中国</t>
        </is>
      </c>
      <c r="E105" s="3">
        <f>E81-E21</f>
        <v/>
      </c>
      <c r="F105" s="3">
        <f>F81-F21</f>
        <v/>
      </c>
      <c r="G105" s="80">
        <f>G81-G21</f>
        <v/>
      </c>
      <c r="H105" s="3">
        <f>H81-H21</f>
        <v/>
      </c>
      <c r="I105" s="3">
        <f>I81-I21</f>
        <v/>
      </c>
      <c r="J105" s="3">
        <f>J81-J21</f>
        <v/>
      </c>
      <c r="K105" s="59">
        <f>SUM(E105:J105)</f>
        <v/>
      </c>
      <c r="L105" s="2">
        <f>L81-L21</f>
        <v/>
      </c>
      <c r="M105" s="3">
        <f>M81-M21</f>
        <v/>
      </c>
      <c r="N105" s="80">
        <f>N81-N21</f>
        <v/>
      </c>
      <c r="O105" s="3">
        <f>O81-O21</f>
        <v/>
      </c>
      <c r="P105" s="3">
        <f>P81-P21</f>
        <v/>
      </c>
      <c r="Q105" s="3">
        <f>Q81-Q21</f>
        <v/>
      </c>
      <c r="R105" s="56">
        <f>SUM(L105:Q105)</f>
        <v/>
      </c>
      <c r="S105" s="103">
        <f>S81-S21</f>
        <v/>
      </c>
      <c r="T105" s="104">
        <f>T81-T21</f>
        <v/>
      </c>
      <c r="U105" s="104">
        <f>U81-U21</f>
        <v/>
      </c>
      <c r="V105" s="104">
        <f>V81-V21</f>
        <v/>
      </c>
      <c r="W105" s="104">
        <f>W81-W21</f>
        <v/>
      </c>
      <c r="X105" s="104">
        <f>X81-X21</f>
        <v/>
      </c>
      <c r="Y105" s="111">
        <f>Y81-Y21</f>
        <v/>
      </c>
    </row>
    <row r="106">
      <c r="C106" s="71" t="inlineStr">
        <is>
          <t>0028 集計</t>
        </is>
      </c>
      <c r="D106" s="15" t="inlineStr">
        <is>
          <t>自治体</t>
        </is>
      </c>
      <c r="E106" s="3">
        <f>E82-E22</f>
        <v/>
      </c>
      <c r="F106" s="3">
        <f>F82-F22</f>
        <v/>
      </c>
      <c r="G106" s="80">
        <f>G82-G22</f>
        <v/>
      </c>
      <c r="H106" s="3">
        <f>H82-H22</f>
        <v/>
      </c>
      <c r="I106" s="3">
        <f>I82-I22</f>
        <v/>
      </c>
      <c r="J106" s="3">
        <f>J82-J22</f>
        <v/>
      </c>
      <c r="K106" s="59">
        <f>SUM(E106:J106)</f>
        <v/>
      </c>
      <c r="L106" s="2">
        <f>L82-L22</f>
        <v/>
      </c>
      <c r="M106" s="3">
        <f>M82-M22</f>
        <v/>
      </c>
      <c r="N106" s="80">
        <f>N82-N22</f>
        <v/>
      </c>
      <c r="O106" s="3">
        <f>O82-O22</f>
        <v/>
      </c>
      <c r="P106" s="3">
        <f>P82-P22</f>
        <v/>
      </c>
      <c r="Q106" s="3">
        <f>Q82-Q22</f>
        <v/>
      </c>
      <c r="R106" s="56">
        <f>SUM(L106:Q106)</f>
        <v/>
      </c>
      <c r="S106" s="103" t="n"/>
      <c r="T106" s="104" t="n"/>
      <c r="U106" s="104" t="n"/>
      <c r="V106" s="104" t="n"/>
      <c r="W106" s="104" t="n"/>
      <c r="X106" s="104" t="n"/>
      <c r="Y106" s="111" t="n"/>
    </row>
    <row r="107">
      <c r="C107" s="2" t="inlineStr">
        <is>
          <t>0029 集計</t>
        </is>
      </c>
      <c r="D107" s="15" t="inlineStr">
        <is>
          <t>その他</t>
        </is>
      </c>
      <c r="E107" s="3">
        <f>E83-E23</f>
        <v/>
      </c>
      <c r="F107" s="3">
        <f>F83-F23</f>
        <v/>
      </c>
      <c r="G107" s="80">
        <f>G83-G23</f>
        <v/>
      </c>
      <c r="H107" s="3">
        <f>H83-H23</f>
        <v/>
      </c>
      <c r="I107" s="3">
        <f>I83-I23</f>
        <v/>
      </c>
      <c r="J107" s="3">
        <f>J83-J23</f>
        <v/>
      </c>
      <c r="K107" s="59">
        <f>SUM(E107:J107)</f>
        <v/>
      </c>
      <c r="L107" s="2">
        <f>L83-L23</f>
        <v/>
      </c>
      <c r="M107" s="3">
        <f>M83-M23</f>
        <v/>
      </c>
      <c r="N107" s="80">
        <f>N83-N23</f>
        <v/>
      </c>
      <c r="O107" s="3">
        <f>O83-O23</f>
        <v/>
      </c>
      <c r="P107" s="3">
        <f>P83-P23</f>
        <v/>
      </c>
      <c r="Q107" s="3">
        <f>Q83-Q23</f>
        <v/>
      </c>
      <c r="R107" s="56">
        <f>SUM(L107:Q107)</f>
        <v/>
      </c>
      <c r="S107" s="103">
        <f>S83-S23</f>
        <v/>
      </c>
      <c r="T107" s="104">
        <f>T83-T23</f>
        <v/>
      </c>
      <c r="U107" s="104">
        <f>U83-U23</f>
        <v/>
      </c>
      <c r="V107" s="104">
        <f>V83-V23</f>
        <v/>
      </c>
      <c r="W107" s="104">
        <f>W83-W23</f>
        <v/>
      </c>
      <c r="X107" s="104">
        <f>X83-X23</f>
        <v/>
      </c>
      <c r="Y107" s="111">
        <f>Y83-Y23</f>
        <v/>
      </c>
    </row>
    <row r="108">
      <c r="C108" s="4" t="inlineStr">
        <is>
          <t>合計</t>
        </is>
      </c>
      <c r="D108" s="16" t="n"/>
      <c r="E108" s="6">
        <f>SUM(E101:E107)</f>
        <v/>
      </c>
      <c r="F108" s="6">
        <f>SUM(F101:F107)</f>
        <v/>
      </c>
      <c r="G108" s="6">
        <f>SUM(G101:G107)</f>
        <v/>
      </c>
      <c r="H108" s="6">
        <f>SUM(H101:H107)</f>
        <v/>
      </c>
      <c r="I108" s="6">
        <f>SUM(I101:I107)</f>
        <v/>
      </c>
      <c r="J108" s="6">
        <f>SUM(J101:J107)</f>
        <v/>
      </c>
      <c r="K108" s="60">
        <f>SUM(E108:J108)</f>
        <v/>
      </c>
      <c r="L108" s="49">
        <f>SUM(L101:L107)</f>
        <v/>
      </c>
      <c r="M108" s="6">
        <f>SUM(M101:M107)</f>
        <v/>
      </c>
      <c r="N108" s="6">
        <f>SUM(N101:N107)</f>
        <v/>
      </c>
      <c r="O108" s="6">
        <f>SUM(O101:O107)</f>
        <v/>
      </c>
      <c r="P108" s="6">
        <f>SUM(P101:P107)</f>
        <v/>
      </c>
      <c r="Q108" s="6">
        <f>SUM(Q101:Q107)</f>
        <v/>
      </c>
      <c r="R108" s="50">
        <f>SUM(L108:Q108)</f>
        <v/>
      </c>
      <c r="S108" s="106">
        <f>S84-S24</f>
        <v/>
      </c>
      <c r="T108" s="107">
        <f>T84-T24</f>
        <v/>
      </c>
      <c r="U108" s="107">
        <f>U84-U24</f>
        <v/>
      </c>
      <c r="V108" s="107">
        <f>V84-V24</f>
        <v/>
      </c>
      <c r="W108" s="107">
        <f>W84-W24</f>
        <v/>
      </c>
      <c r="X108" s="107">
        <f>X84-X24</f>
        <v/>
      </c>
      <c r="Y108" s="112">
        <f>Y84-Y24</f>
        <v/>
      </c>
    </row>
  </sheetData>
  <mergeCells count="36">
    <mergeCell ref="S99:Y99"/>
    <mergeCell ref="L63:R63"/>
    <mergeCell ref="C15:D15"/>
    <mergeCell ref="L99:R99"/>
    <mergeCell ref="S63:Y63"/>
    <mergeCell ref="E75:K75"/>
    <mergeCell ref="L27:R27"/>
    <mergeCell ref="C63:D63"/>
    <mergeCell ref="E3:K3"/>
    <mergeCell ref="S75:Y75"/>
    <mergeCell ref="S51:Y51"/>
    <mergeCell ref="C99:D99"/>
    <mergeCell ref="C75:D75"/>
    <mergeCell ref="E39:K39"/>
    <mergeCell ref="L75:R75"/>
    <mergeCell ref="S27:Y27"/>
    <mergeCell ref="S3:Y3"/>
    <mergeCell ref="C51:D51"/>
    <mergeCell ref="C27:D27"/>
    <mergeCell ref="L87:R87"/>
    <mergeCell ref="S39:Y39"/>
    <mergeCell ref="L3:R3"/>
    <mergeCell ref="E51:K51"/>
    <mergeCell ref="E87:K87"/>
    <mergeCell ref="L15:R15"/>
    <mergeCell ref="C39:D39"/>
    <mergeCell ref="E63:K63"/>
    <mergeCell ref="L39:R39"/>
    <mergeCell ref="S87:Y87"/>
    <mergeCell ref="E99:K99"/>
    <mergeCell ref="L51:R51"/>
    <mergeCell ref="E15:K15"/>
    <mergeCell ref="C3:D3"/>
    <mergeCell ref="S15:Y15"/>
    <mergeCell ref="C87:D87"/>
    <mergeCell ref="E27:K27"/>
  </mergeCells>
  <printOptions horizontalCentered="1" verticalCentered="1"/>
  <pageMargins left="0.7086614173228347" right="0.7086614173228347" top="0.7480314960629921" bottom="0.7480314960629921" header="0.3149606299212598" footer="0.3149606299212598"/>
  <pageSetup orientation="landscape" paperSize="8" scale="60"/>
</worksheet>
</file>

<file path=xl/worksheets/sheet4.xml><?xml version="1.0" encoding="utf-8"?>
<worksheet xmlns="http://schemas.openxmlformats.org/spreadsheetml/2006/main">
  <sheetPr>
    <outlinePr summaryBelow="1" summaryRight="1"/>
    <pageSetUpPr fitToPage="1"/>
  </sheetPr>
  <dimension ref="D1:U14"/>
  <sheetViews>
    <sheetView topLeftCell="C1" zoomScaleNormal="100" workbookViewId="0">
      <selection activeCell="N12" sqref="N12"/>
    </sheetView>
  </sheetViews>
  <sheetFormatPr baseColWidth="8" defaultRowHeight="18.75"/>
  <cols>
    <col width="1.625" customWidth="1" style="93" min="4" max="5"/>
    <col width="54.375" customWidth="1" style="93" min="21" max="21"/>
  </cols>
  <sheetData>
    <row r="1" ht="21.75" customHeight="1" s="93">
      <c r="D1" s="92" t="inlineStr">
        <is>
          <t>下関営業所第51期下期予算について</t>
        </is>
      </c>
    </row>
    <row r="3">
      <c r="D3" s="29" t="inlineStr">
        <is>
          <t>管理職の業務は数字責任と人材育成です。なので営業所全体の目標達成に取り組みます。</t>
        </is>
      </c>
      <c r="E3" s="30" t="n"/>
      <c r="F3" s="30" t="n"/>
      <c r="G3" s="30" t="n"/>
      <c r="H3" s="30" t="n"/>
      <c r="I3" s="30" t="n"/>
      <c r="J3" s="30" t="n"/>
      <c r="K3" s="30" t="n"/>
      <c r="L3" s="30" t="n"/>
      <c r="M3" s="30" t="n"/>
      <c r="N3" s="30" t="n"/>
      <c r="O3" s="30" t="n"/>
      <c r="P3" s="30" t="n"/>
      <c r="Q3" s="30" t="n"/>
      <c r="R3" s="30" t="n"/>
      <c r="S3" s="30" t="n"/>
      <c r="T3" s="30" t="n"/>
      <c r="U3" s="31" t="n"/>
    </row>
    <row r="4">
      <c r="D4" s="32" t="inlineStr">
        <is>
          <t>所長は予算の過年度平均増加分の人員からは外した上で、営業所全体で計画を作成ます。その営業所全体の予算から所長含めて営業担当に配分するようにお願いします。</t>
        </is>
      </c>
      <c r="U4" s="47" t="n"/>
    </row>
    <row r="5">
      <c r="D5" s="33" t="n"/>
      <c r="E5" s="45" t="n"/>
      <c r="F5" s="45" t="n"/>
      <c r="G5" s="45" t="n"/>
      <c r="H5" s="45" t="n"/>
      <c r="I5" s="45" t="n"/>
      <c r="J5" s="45" t="n"/>
      <c r="K5" s="45" t="n"/>
      <c r="L5" s="45" t="n"/>
      <c r="M5" s="45" t="n"/>
      <c r="N5" s="45" t="n"/>
      <c r="O5" s="45" t="n"/>
      <c r="P5" s="45" t="n"/>
      <c r="Q5" s="45" t="n"/>
      <c r="R5" s="45" t="n"/>
      <c r="S5" s="45" t="n"/>
      <c r="T5" s="45" t="n"/>
      <c r="U5" s="46" t="n"/>
    </row>
    <row r="7">
      <c r="D7" s="86" t="n"/>
      <c r="E7" s="97" t="n"/>
      <c r="F7" s="98" t="n"/>
      <c r="G7" s="89" t="inlineStr">
        <is>
          <t>2024年4～9月</t>
        </is>
      </c>
      <c r="H7" s="90" t="n"/>
      <c r="I7" s="91" t="n"/>
      <c r="J7" s="89" t="inlineStr">
        <is>
          <t>2025年4～9月</t>
        </is>
      </c>
      <c r="K7" s="90" t="n"/>
      <c r="L7" s="91" t="n"/>
      <c r="M7" s="89" t="inlineStr">
        <is>
          <t>過年度平均</t>
        </is>
      </c>
      <c r="N7" s="90" t="n"/>
      <c r="O7" s="91" t="n"/>
      <c r="P7" s="95" t="inlineStr">
        <is>
          <t>計画</t>
        </is>
      </c>
      <c r="Q7" s="90" t="n"/>
      <c r="R7" s="90" t="n"/>
      <c r="S7" s="90" t="n"/>
      <c r="T7" s="96" t="n"/>
      <c r="U7" s="95" t="inlineStr">
        <is>
          <t>根拠</t>
        </is>
      </c>
    </row>
    <row r="8">
      <c r="D8" s="99" t="n"/>
      <c r="E8" s="100" t="n"/>
      <c r="F8" s="101" t="n"/>
      <c r="G8" s="41" t="inlineStr">
        <is>
          <t>売上</t>
        </is>
      </c>
      <c r="H8" s="42" t="inlineStr">
        <is>
          <t>粗利益</t>
        </is>
      </c>
      <c r="I8" s="43" t="inlineStr">
        <is>
          <t>粗利益率</t>
        </is>
      </c>
      <c r="J8" s="41" t="inlineStr">
        <is>
          <t>売上</t>
        </is>
      </c>
      <c r="K8" s="42" t="inlineStr">
        <is>
          <t>粗利益</t>
        </is>
      </c>
      <c r="L8" s="43" t="inlineStr">
        <is>
          <t>粗利益率</t>
        </is>
      </c>
      <c r="M8" s="41" t="inlineStr">
        <is>
          <t>売上</t>
        </is>
      </c>
      <c r="N8" s="42" t="inlineStr">
        <is>
          <t>粗利益</t>
        </is>
      </c>
      <c r="O8" s="43" t="inlineStr">
        <is>
          <t>粗利益率</t>
        </is>
      </c>
      <c r="P8" s="41" t="inlineStr">
        <is>
          <t>売上</t>
        </is>
      </c>
      <c r="Q8" s="42" t="inlineStr">
        <is>
          <t>粗利益</t>
        </is>
      </c>
      <c r="R8" s="44" t="inlineStr">
        <is>
          <t>粗利益率</t>
        </is>
      </c>
      <c r="S8" s="44" t="inlineStr">
        <is>
          <t>売上年率</t>
        </is>
      </c>
      <c r="T8" s="43" t="inlineStr">
        <is>
          <t>粗利益年率</t>
        </is>
      </c>
      <c r="U8" s="102" t="n"/>
    </row>
    <row r="9">
      <c r="D9" s="29" t="inlineStr">
        <is>
          <t>下関営業所</t>
        </is>
      </c>
      <c r="E9" s="30" t="n"/>
      <c r="F9" s="31" t="n"/>
      <c r="G9" s="36" t="n">
        <v>267380.692</v>
      </c>
      <c r="H9" s="37" t="n">
        <v>52847.744</v>
      </c>
      <c r="I9" s="113">
        <f>H9/G9</f>
        <v/>
      </c>
      <c r="J9" s="36" t="n">
        <v>261100.132</v>
      </c>
      <c r="K9" s="37" t="n">
        <v>53924.924</v>
      </c>
      <c r="L9" s="113">
        <f>K9/J9</f>
        <v/>
      </c>
      <c r="M9" s="36">
        <f>(G9+J9)/2</f>
        <v/>
      </c>
      <c r="N9" s="37">
        <f>(H9+K9)/2</f>
        <v/>
      </c>
      <c r="O9" s="113">
        <f>N9/M9</f>
        <v/>
      </c>
      <c r="P9" s="36">
        <f>P10+P14+P13</f>
        <v/>
      </c>
      <c r="Q9" s="37">
        <f>Q10+Q14+Q13</f>
        <v/>
      </c>
      <c r="R9" s="114">
        <f>Q9/P9</f>
        <v/>
      </c>
      <c r="S9" s="114">
        <f>P9/J9-1</f>
        <v/>
      </c>
      <c r="T9" s="113">
        <f>Q9/K9-1</f>
        <v/>
      </c>
      <c r="U9" s="40" t="n"/>
    </row>
    <row r="10">
      <c r="D10" s="32" t="n"/>
      <c r="E10" s="25" t="inlineStr">
        <is>
          <t>営業</t>
        </is>
      </c>
      <c r="F10" s="26" t="n"/>
      <c r="G10" s="2">
        <f>G9-G14-G13</f>
        <v/>
      </c>
      <c r="H10" s="3">
        <f>H9-H14-H13</f>
        <v/>
      </c>
      <c r="I10" s="115">
        <f>H10/G10</f>
        <v/>
      </c>
      <c r="J10" s="2">
        <f>J9-J14-J13</f>
        <v/>
      </c>
      <c r="K10" s="3">
        <f>K9-K14-K13</f>
        <v/>
      </c>
      <c r="L10" s="115">
        <f>K10/J10</f>
        <v/>
      </c>
      <c r="M10" s="2">
        <f>(G10+J10)/2</f>
        <v/>
      </c>
      <c r="N10" s="3">
        <f>(H10+K10)/2</f>
        <v/>
      </c>
      <c r="O10" s="115">
        <f>N10/M10</f>
        <v/>
      </c>
      <c r="P10" s="2">
        <f>P11+P12</f>
        <v/>
      </c>
      <c r="Q10" s="3">
        <f>Q11+Q12</f>
        <v/>
      </c>
      <c r="R10" s="116">
        <f>Q10/P10</f>
        <v/>
      </c>
      <c r="S10" s="116">
        <f>P10/J10-1</f>
        <v/>
      </c>
      <c r="T10" s="115">
        <f>Q10/K10-1</f>
        <v/>
      </c>
      <c r="U10" s="20" t="n"/>
    </row>
    <row r="11">
      <c r="D11" s="32" t="n"/>
      <c r="E11" s="27" t="n"/>
      <c r="F11" s="24" t="inlineStr">
        <is>
          <t>包装資材</t>
        </is>
      </c>
      <c r="G11" s="2">
        <f>G10-G12</f>
        <v/>
      </c>
      <c r="H11" s="3">
        <f>H10-H12</f>
        <v/>
      </c>
      <c r="I11" s="115">
        <f>H11/G11</f>
        <v/>
      </c>
      <c r="J11" s="2">
        <f>J10-J12</f>
        <v/>
      </c>
      <c r="K11" s="3">
        <f>K10-K12</f>
        <v/>
      </c>
      <c r="L11" s="115">
        <f>K11/J11</f>
        <v/>
      </c>
      <c r="M11" s="2">
        <f>(G11+J11)/2</f>
        <v/>
      </c>
      <c r="N11" s="3">
        <f>(H11+K11)/2</f>
        <v/>
      </c>
      <c r="O11" s="115">
        <f>N11/M11</f>
        <v/>
      </c>
      <c r="P11" s="2">
        <f>包装資材!K48-全体!K46</f>
        <v/>
      </c>
      <c r="Q11" s="3">
        <f>包装資材!R48-全体!R46</f>
        <v/>
      </c>
      <c r="R11" s="116">
        <f>Q11/P11</f>
        <v/>
      </c>
      <c r="S11" s="116">
        <f>P11/J11-1</f>
        <v/>
      </c>
      <c r="T11" s="115">
        <f>Q11/K11-1</f>
        <v/>
      </c>
      <c r="U11" s="61" t="n"/>
    </row>
    <row r="12">
      <c r="D12" s="32" t="n"/>
      <c r="E12" s="27" t="n"/>
      <c r="F12" s="28" t="inlineStr">
        <is>
          <t>機械</t>
        </is>
      </c>
      <c r="G12" s="2" t="n">
        <v>3476</v>
      </c>
      <c r="H12" s="3" t="n">
        <v>555</v>
      </c>
      <c r="I12" s="115">
        <f>H12/G12</f>
        <v/>
      </c>
      <c r="J12" s="2" t="n">
        <v>4367</v>
      </c>
      <c r="K12" s="3" t="n">
        <v>4367</v>
      </c>
      <c r="L12" s="115">
        <f>K12/J12</f>
        <v/>
      </c>
      <c r="M12" s="2">
        <f>(G12+J12)/2</f>
        <v/>
      </c>
      <c r="N12" s="3">
        <f>(H12+K12)/2</f>
        <v/>
      </c>
      <c r="O12" s="115">
        <f>N12/M12</f>
        <v/>
      </c>
      <c r="P12" s="2">
        <f>機械!K48</f>
        <v/>
      </c>
      <c r="Q12" s="3">
        <f>機械!R48</f>
        <v/>
      </c>
      <c r="R12" s="116">
        <f>Q12/P12</f>
        <v/>
      </c>
      <c r="S12" s="116">
        <f>P12/J12-1</f>
        <v/>
      </c>
      <c r="T12" s="115">
        <f>Q12/K12-1</f>
        <v/>
      </c>
      <c r="U12" s="78" t="n"/>
    </row>
    <row r="13">
      <c r="D13" s="32" t="n"/>
      <c r="E13" s="27" t="inlineStr">
        <is>
          <t>自治体</t>
        </is>
      </c>
      <c r="F13" s="26" t="n"/>
      <c r="G13" s="73" t="n">
        <v>0</v>
      </c>
      <c r="H13" s="74" t="n">
        <v>0</v>
      </c>
      <c r="I13" s="117">
        <f>H13/G13</f>
        <v/>
      </c>
      <c r="J13" s="73" t="n">
        <v>107.5</v>
      </c>
      <c r="K13" s="74" t="n">
        <v>3.6</v>
      </c>
      <c r="L13" s="117">
        <f>K13/J13</f>
        <v/>
      </c>
      <c r="M13" s="73" t="n">
        <v>53.75</v>
      </c>
      <c r="N13" s="74" t="n">
        <v>1.8</v>
      </c>
      <c r="O13" s="117">
        <f>N13/M13</f>
        <v/>
      </c>
      <c r="P13" s="73" t="n">
        <v>200</v>
      </c>
      <c r="Q13" s="74" t="n">
        <v>20</v>
      </c>
      <c r="R13" s="116">
        <f>Q13/P13</f>
        <v/>
      </c>
      <c r="S13" s="116">
        <f>P13/J13-1</f>
        <v/>
      </c>
      <c r="T13" s="115">
        <f>Q13/K13-1</f>
        <v/>
      </c>
      <c r="U13" s="76" t="n"/>
    </row>
    <row r="14">
      <c r="D14" s="33" t="n"/>
      <c r="E14" s="34" t="inlineStr">
        <is>
          <t>中国事業</t>
        </is>
      </c>
      <c r="F14" s="35" t="n"/>
      <c r="G14" s="4" t="n">
        <v>5482.893</v>
      </c>
      <c r="H14" s="5" t="n">
        <v>313.823</v>
      </c>
      <c r="I14" s="118">
        <f>H14/G14</f>
        <v/>
      </c>
      <c r="J14" s="4" t="n">
        <v>0</v>
      </c>
      <c r="K14" s="5" t="n">
        <v>0</v>
      </c>
      <c r="L14" s="118">
        <f>K14/J14</f>
        <v/>
      </c>
      <c r="M14" s="4">
        <f>(G14+J14)/2</f>
        <v/>
      </c>
      <c r="N14" s="5">
        <f>(H14+K14)/2</f>
        <v/>
      </c>
      <c r="O14" s="118">
        <f>N14/M14</f>
        <v/>
      </c>
      <c r="P14" s="4" t="n">
        <v>0</v>
      </c>
      <c r="Q14" s="5" t="n">
        <v>0</v>
      </c>
      <c r="R14" s="119">
        <f>Q14/P14</f>
        <v/>
      </c>
      <c r="S14" s="119">
        <f>P14/J14-1</f>
        <v/>
      </c>
      <c r="T14" s="118">
        <f>Q14/K14-1</f>
        <v/>
      </c>
      <c r="U14" s="21" t="n"/>
    </row>
  </sheetData>
  <mergeCells count="7">
    <mergeCell ref="J7:L7"/>
    <mergeCell ref="D1:U1"/>
    <mergeCell ref="P7:T7"/>
    <mergeCell ref="M7:O7"/>
    <mergeCell ref="G7:I7"/>
    <mergeCell ref="D7:F8"/>
    <mergeCell ref="U7:U8"/>
  </mergeCells>
  <pageMargins left="0.7086614173228347" right="0.7086614173228347" top="0.7480314960629921" bottom="0.7480314960629921" header="0.3149606299212598" footer="0.3149606299212598"/>
  <pageSetup orientation="landscape" paperSize="9"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ma-takahashi</dc:creator>
  <dcterms:created xmlns:dcterms="http://purl.org/dc/terms/" xmlns:xsi="http://www.w3.org/2001/XMLSchema-instance" xsi:type="dcterms:W3CDTF">2024-06-27T00:13:49Z</dcterms:created>
  <dcterms:modified xmlns:dcterms="http://purl.org/dc/terms/" xmlns:xsi="http://www.w3.org/2001/XMLSchema-instance" xsi:type="dcterms:W3CDTF">2026-10-07T00:50:28Z</dcterms:modified>
  <cp:lastModifiedBy>ma-takahashi</cp:lastModifiedBy>
  <cp:lastPrinted>2025-05-02T03:13:19Z</cp:lastPrinted>
</cp:coreProperties>
</file>