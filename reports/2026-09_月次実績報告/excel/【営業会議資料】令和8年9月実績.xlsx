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単月" sheetId="1" state="visible" r:id="rId1"/>
    <sheet xmlns:r="http://schemas.openxmlformats.org/officeDocument/2006/relationships" name="下期累計" sheetId="2" state="visible" r:id="rId2"/>
  </sheets>
  <definedNames>
    <definedName name="_xlnm.Print_Titles" localSheetId="0">'単月'!$4:$6</definedName>
    <definedName name="_xlnm.Print_Area" localSheetId="0">'単月'!$A$2:$Y$143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&quot;年&quot;m&quot;月&quot;;@"/>
    <numFmt numFmtId="165" formatCode="#,##0_);[Red]\(#,##0\)"/>
    <numFmt numFmtId="166" formatCode="0.0%"/>
    <numFmt numFmtId="167" formatCode="#,##0_ ;[Red]\-#,##0\ "/>
  </numFmts>
  <fonts count="18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16"/>
    </font>
    <font>
      <name val="DejaVu Sans"/>
      <family val="2"/>
      <color theme="1"/>
      <sz val="14"/>
    </font>
    <font>
      <name val="DejaVu Sans"/>
      <family val="2"/>
      <color theme="8" tint="-0.249977111117893"/>
      <sz val="9"/>
    </font>
    <font>
      <name val="游ゴシック"/>
      <charset val="128"/>
      <family val="2"/>
      <color theme="8" tint="-0.249977111117893"/>
      <sz val="11"/>
    </font>
    <font>
      <name val="DejaVu Sans"/>
      <family val="2"/>
      <color theme="1"/>
      <sz val="11"/>
    </font>
    <font>
      <name val="DejaVu Sans"/>
      <family val="2"/>
      <color theme="8" tint="-0.249977111117893"/>
      <sz val="11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3"/>
      <sz val="11"/>
    </font>
    <font>
      <name val="游明朝"/>
      <charset val="128"/>
      <family val="1"/>
      <color theme="1"/>
      <sz val="11"/>
    </font>
    <font>
      <name val="游明朝"/>
      <charset val="128"/>
      <family val="1"/>
      <sz val="11"/>
    </font>
    <font>
      <name val="游明朝"/>
      <charset val="128"/>
      <family val="1"/>
      <color theme="8" tint="-0.249977111117893"/>
      <sz val="11"/>
    </font>
    <font>
      <name val="DejaVu Sans"/>
      <family val="2"/>
      <color theme="4" tint="-0.249977111117893"/>
      <sz val="11"/>
    </font>
    <font>
      <name val="DejaVu Sans"/>
      <family val="2"/>
      <color theme="4"/>
      <sz val="11"/>
    </font>
    <font>
      <name val="游ゴシック"/>
      <charset val="128"/>
      <family val="3"/>
      <color theme="4"/>
      <sz val="11"/>
    </font>
    <font>
      <name val="DejaVu Sans"/>
      <family val="2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</fonts>
  <fills count="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8" tint="0.3998840296639912"/>
        <bgColor rgb="FFCCCCFF"/>
      </patternFill>
    </fill>
    <fill>
      <patternFill patternType="solid">
        <fgColor theme="7" tint="0.3998840296639912"/>
        <bgColor rgb="FFFFFF99"/>
      </patternFill>
    </fill>
    <fill>
      <patternFill patternType="solid">
        <fgColor theme="9" tint="0.3998840296639912"/>
        <bgColor rgb="FF9DC3E6"/>
      </patternFill>
    </fill>
  </fills>
  <borders count="6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4">
    <xf numFmtId="0" fontId="16" fillId="0" borderId="0" applyAlignment="1">
      <alignment vertical="center"/>
    </xf>
    <xf numFmtId="9" fontId="16" fillId="0" borderId="0" applyAlignment="1">
      <alignment vertical="center"/>
    </xf>
    <xf numFmtId="165" fontId="16" fillId="0" borderId="0" applyAlignment="1">
      <alignment vertical="center"/>
    </xf>
    <xf numFmtId="38" fontId="16" fillId="0" borderId="0" applyAlignment="1">
      <alignment vertical="center"/>
    </xf>
  </cellStyleXfs>
  <cellXfs count="39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0" fontId="0" fillId="3" borderId="17" applyAlignment="1" pivotButton="0" quotePrefix="0" xfId="0">
      <alignment vertical="center"/>
    </xf>
    <xf numFmtId="0" fontId="0" fillId="4" borderId="17" applyAlignment="1" pivotButton="0" quotePrefix="0" xfId="0">
      <alignment vertical="center"/>
    </xf>
    <xf numFmtId="0" fontId="0" fillId="5" borderId="17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7" fillId="0" borderId="19" applyAlignment="1" pivotButton="0" quotePrefix="0" xfId="0">
      <alignment vertical="center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0" fontId="9" fillId="3" borderId="24" applyAlignment="1" pivotButton="0" quotePrefix="0" xfId="0">
      <alignment vertical="center"/>
    </xf>
    <xf numFmtId="0" fontId="9" fillId="4" borderId="24" applyAlignment="1" pivotButton="0" quotePrefix="0" xfId="0">
      <alignment vertical="center"/>
    </xf>
    <xf numFmtId="0" fontId="9" fillId="5" borderId="24" applyAlignment="1" pivotButton="0" quotePrefix="0" xfId="0">
      <alignment vertical="center"/>
    </xf>
    <xf numFmtId="0" fontId="9" fillId="0" borderId="25" applyAlignment="1" pivotButton="0" quotePrefix="0" xfId="0">
      <alignment vertical="center"/>
    </xf>
    <xf numFmtId="0" fontId="5" fillId="0" borderId="26" applyAlignment="1" pivotButton="0" quotePrefix="0" xfId="0">
      <alignment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0" fontId="6" fillId="0" borderId="30" applyAlignment="1" pivotButton="0" quotePrefix="0" xfId="0">
      <alignment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0" fontId="0" fillId="3" borderId="24" applyAlignment="1" pivotButton="0" quotePrefix="0" xfId="0">
      <alignment vertical="center"/>
    </xf>
    <xf numFmtId="0" fontId="0" fillId="4" borderId="24" applyAlignment="1" pivotButton="0" quotePrefix="0" xfId="0">
      <alignment vertical="center"/>
    </xf>
    <xf numFmtId="0" fontId="0" fillId="5" borderId="33" applyAlignment="1" pivotButton="0" quotePrefix="0" xfId="0">
      <alignment vertical="center"/>
    </xf>
    <xf numFmtId="0" fontId="6" fillId="0" borderId="3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0" fontId="6" fillId="0" borderId="26" applyAlignment="1" pivotButton="0" quotePrefix="0" xfId="0">
      <alignment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0" fontId="5" fillId="5" borderId="35" applyAlignment="1" pivotButton="0" quotePrefix="0" xfId="0">
      <alignment vertical="center"/>
    </xf>
    <xf numFmtId="0" fontId="0" fillId="5" borderId="7" applyAlignment="1" pivotButton="0" quotePrefix="0" xfId="0">
      <alignment vertical="center"/>
    </xf>
    <xf numFmtId="0" fontId="0" fillId="5" borderId="10" applyAlignment="1" pivotButton="0" quotePrefix="0" xfId="0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0" fontId="0" fillId="5" borderId="24" applyAlignment="1" pivotButton="0" quotePrefix="0" xfId="0">
      <alignment vertical="center"/>
    </xf>
    <xf numFmtId="0" fontId="5" fillId="5" borderId="32" applyAlignment="1" pivotButton="0" quotePrefix="0" xfId="0">
      <alignment vertical="center"/>
    </xf>
    <xf numFmtId="166" fontId="16" fillId="5" borderId="28" applyAlignment="1" pivotButton="0" quotePrefix="0" xfId="1">
      <alignment horizontal="right" vertical="center"/>
    </xf>
    <xf numFmtId="0" fontId="0" fillId="5" borderId="36" applyAlignment="1" pivotButton="0" quotePrefix="0" xfId="0">
      <alignment vertical="center"/>
    </xf>
    <xf numFmtId="0" fontId="5" fillId="5" borderId="26" applyAlignment="1" pivotButton="0" quotePrefix="0" xfId="0">
      <alignment vertical="center"/>
    </xf>
    <xf numFmtId="0" fontId="0" fillId="5" borderId="37" applyAlignment="1" pivotButton="0" quotePrefix="0" xfId="0">
      <alignment vertical="center"/>
    </xf>
    <xf numFmtId="0" fontId="0" fillId="5" borderId="38" applyAlignment="1" pivotButton="0" quotePrefix="0" xfId="0">
      <alignment vertical="center"/>
    </xf>
    <xf numFmtId="0" fontId="5" fillId="5" borderId="29" applyAlignment="1" pivotButton="0" quotePrefix="0" xfId="0">
      <alignment vertical="center"/>
    </xf>
    <xf numFmtId="0" fontId="0" fillId="5" borderId="8" applyAlignment="1" pivotButton="0" quotePrefix="0" xfId="0">
      <alignment vertical="center"/>
    </xf>
    <xf numFmtId="0" fontId="0" fillId="5" borderId="39" applyAlignment="1" pivotButton="0" quotePrefix="0" xfId="0">
      <alignment vertical="center"/>
    </xf>
    <xf numFmtId="0" fontId="9" fillId="5" borderId="33" applyAlignment="1" pivotButton="0" quotePrefix="0" xfId="0">
      <alignment vertical="center"/>
    </xf>
    <xf numFmtId="0" fontId="12" fillId="0" borderId="36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0" fontId="9" fillId="0" borderId="36" applyAlignment="1" pivotButton="0" quotePrefix="0" xfId="0">
      <alignment vertical="center"/>
    </xf>
    <xf numFmtId="0" fontId="5" fillId="5" borderId="24" applyAlignment="1" pivotButton="0" quotePrefix="0" xfId="0">
      <alignment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0" fontId="0" fillId="5" borderId="40" applyAlignment="1" pivotButton="0" quotePrefix="0" xfId="0">
      <alignment vertical="center"/>
    </xf>
    <xf numFmtId="0" fontId="5" fillId="5" borderId="16" applyAlignment="1" pivotButton="0" quotePrefix="0" xfId="0">
      <alignment vertical="center"/>
    </xf>
    <xf numFmtId="0" fontId="0" fillId="5" borderId="41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5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0" fontId="7" fillId="0" borderId="3" applyAlignment="1" pivotButton="0" quotePrefix="0" xfId="0">
      <alignment vertical="center"/>
    </xf>
    <xf numFmtId="165" fontId="7" fillId="0" borderId="44" applyAlignment="1" pivotButton="0" quotePrefix="0" xfId="2">
      <alignment vertical="center"/>
    </xf>
    <xf numFmtId="0" fontId="5" fillId="0" borderId="2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6" fillId="0" borderId="29" applyAlignment="1" pivotButton="0" quotePrefix="0" xfId="0">
      <alignment vertical="center"/>
    </xf>
    <xf numFmtId="165" fontId="10" fillId="0" borderId="27" applyAlignment="1" pivotButton="0" quotePrefix="0" xfId="2">
      <alignment vertical="center"/>
    </xf>
    <xf numFmtId="0" fontId="0" fillId="5" borderId="45" applyAlignment="1" pivotButton="0" quotePrefix="0" xfId="0">
      <alignment vertical="center"/>
    </xf>
    <xf numFmtId="165" fontId="0" fillId="5" borderId="43" applyAlignment="1" pivotButton="0" quotePrefix="0" xfId="0">
      <alignment vertical="center"/>
    </xf>
    <xf numFmtId="0" fontId="5" fillId="0" borderId="36" applyAlignment="1" pivotButton="0" quotePrefix="0" xfId="0">
      <alignment vertical="center"/>
    </xf>
    <xf numFmtId="0" fontId="11" fillId="0" borderId="7" applyAlignment="1" pivotButton="0" quotePrefix="0" xfId="0">
      <alignment vertical="center"/>
    </xf>
    <xf numFmtId="0" fontId="11" fillId="0" borderId="9" applyAlignment="1" pivotButton="0" quotePrefix="0" xfId="0">
      <alignment vertical="center"/>
    </xf>
    <xf numFmtId="0" fontId="0" fillId="5" borderId="46" applyAlignment="1" pivotButton="0" quotePrefix="0" xfId="0">
      <alignment vertical="center"/>
    </xf>
    <xf numFmtId="0" fontId="0" fillId="5" borderId="47" applyAlignment="1" pivotButton="0" quotePrefix="0" xfId="0">
      <alignment vertical="center"/>
    </xf>
    <xf numFmtId="165" fontId="16" fillId="5" borderId="42" applyAlignment="1" pivotButton="0" quotePrefix="0" xfId="2">
      <alignment vertical="center"/>
    </xf>
    <xf numFmtId="0" fontId="0" fillId="4" borderId="48" applyAlignment="1" pivotButton="0" quotePrefix="0" xfId="0">
      <alignment vertical="center"/>
    </xf>
    <xf numFmtId="0" fontId="0" fillId="3" borderId="48" applyAlignment="1" pivotButton="0" quotePrefix="0" xfId="0">
      <alignment vertical="center"/>
    </xf>
    <xf numFmtId="0" fontId="0" fillId="5" borderId="9" applyAlignment="1" pivotButton="0" quotePrefix="0" xfId="0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0" fontId="5" fillId="4" borderId="24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5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0" fontId="5" fillId="4" borderId="0" applyAlignment="1" pivotButton="0" quotePrefix="0" xfId="0">
      <alignment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0" fontId="13" fillId="4" borderId="17" applyAlignment="1" pivotButton="0" quotePrefix="0" xfId="0">
      <alignment vertical="center"/>
    </xf>
    <xf numFmtId="0" fontId="0" fillId="4" borderId="49" applyAlignment="1" pivotButton="0" quotePrefix="0" xfId="0">
      <alignment vertical="center"/>
    </xf>
    <xf numFmtId="0" fontId="14" fillId="4" borderId="49" applyAlignment="1" pivotButton="0" quotePrefix="0" xfId="0">
      <alignment vertical="center"/>
    </xf>
    <xf numFmtId="0" fontId="14" fillId="4" borderId="50" applyAlignment="1" pivotButton="0" quotePrefix="0" xfId="0">
      <alignment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0" fontId="5" fillId="4" borderId="26" applyAlignment="1" pivotButton="0" quotePrefix="0" xfId="0">
      <alignment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0" fontId="13" fillId="4" borderId="30" applyAlignment="1" pivotButton="0" quotePrefix="0" xfId="0">
      <alignment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0" fontId="0" fillId="4" borderId="40" applyAlignment="1" pivotButton="0" quotePrefix="0" xfId="0">
      <alignment vertical="center"/>
    </xf>
    <xf numFmtId="0" fontId="0" fillId="4" borderId="52" applyAlignment="1" pivotButton="0" quotePrefix="0" xfId="0">
      <alignment vertical="center"/>
    </xf>
    <xf numFmtId="0" fontId="13" fillId="4" borderId="15" applyAlignment="1" pivotButton="0" quotePrefix="0" xfId="0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0" fontId="5" fillId="3" borderId="24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0" fontId="15" fillId="3" borderId="29" applyAlignment="1" pivotButton="0" quotePrefix="0" xfId="0">
      <alignment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0" fontId="0" fillId="3" borderId="40" applyAlignment="1" pivotButton="0" quotePrefix="0" xfId="0">
      <alignment vertical="center"/>
    </xf>
    <xf numFmtId="0" fontId="0" fillId="3" borderId="52" applyAlignment="1" pivotButton="0" quotePrefix="0" xfId="0">
      <alignment vertical="center"/>
    </xf>
    <xf numFmtId="0" fontId="5" fillId="3" borderId="16" applyAlignment="1" pivotButton="0" quotePrefix="0" xfId="0">
      <alignment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0" fontId="5" fillId="3" borderId="1" applyAlignment="1" pivotButton="0" quotePrefix="0" xfId="0">
      <alignment vertical="center"/>
    </xf>
    <xf numFmtId="0" fontId="0" fillId="3" borderId="53" applyAlignment="1" pivotButton="0" quotePrefix="0" xfId="0">
      <alignment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  <xf numFmtId="167" fontId="0" fillId="0" borderId="0" applyAlignment="1" pivotButton="0" quotePrefix="0" xfId="0">
      <alignment vertical="center"/>
    </xf>
    <xf numFmtId="167" fontId="4" fillId="2" borderId="7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7" fontId="8" fillId="0" borderId="21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7" fontId="16" fillId="5" borderId="14" applyAlignment="1" pivotButton="0" quotePrefix="0" xfId="2">
      <alignment vertical="center"/>
    </xf>
    <xf numFmtId="167" fontId="16" fillId="4" borderId="28" applyAlignment="1" pivotButton="0" quotePrefix="0" xfId="2">
      <alignment vertical="center"/>
    </xf>
    <xf numFmtId="167" fontId="16" fillId="4" borderId="14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7" fontId="16" fillId="3" borderId="21" applyAlignment="1" pivotButton="0" quotePrefix="0" xfId="2">
      <alignment vertical="center"/>
    </xf>
    <xf numFmtId="167" fontId="16" fillId="3" borderId="28" applyAlignment="1" pivotButton="0" quotePrefix="0" xfId="2">
      <alignment vertical="center"/>
    </xf>
    <xf numFmtId="167" fontId="16" fillId="3" borderId="14" applyAlignment="1" pivotButton="0" quotePrefix="0" xfId="2">
      <alignment vertical="center"/>
    </xf>
    <xf numFmtId="167" fontId="0" fillId="3" borderId="55" applyAlignment="1" pivotButton="0" quotePrefix="0" xfId="0">
      <alignment vertical="center"/>
    </xf>
    <xf numFmtId="0" fontId="0" fillId="5" borderId="58" applyAlignment="1" pivotButton="0" quotePrefix="0" xfId="0">
      <alignment vertical="center"/>
    </xf>
    <xf numFmtId="0" fontId="7" fillId="0" borderId="59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38" fontId="11" fillId="0" borderId="5" applyAlignment="1" pivotButton="0" quotePrefix="0" xfId="3">
      <alignment vertical="center"/>
    </xf>
    <xf numFmtId="38" fontId="11" fillId="0" borderId="31" applyAlignment="1" pivotButton="0" quotePrefix="0" xfId="3">
      <alignment vertical="center"/>
    </xf>
    <xf numFmtId="0" fontId="5" fillId="0" borderId="62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0" fontId="0" fillId="0" borderId="3" pivotButton="0" quotePrefix="0" xfId="0"/>
    <xf numFmtId="0" fontId="0" fillId="0" borderId="19" pivotButton="0" quotePrefix="0" xfId="0"/>
    <xf numFmtId="165" fontId="2" fillId="0" borderId="3" applyAlignment="1" pivotButton="0" quotePrefix="0" xfId="2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24" pivotButton="0" quotePrefix="0" xfId="0"/>
    <xf numFmtId="0" fontId="0" fillId="0" borderId="0" pivotButton="0" quotePrefix="0" xfId="0"/>
    <xf numFmtId="0" fontId="0" fillId="0" borderId="40" pivotButton="0" quotePrefix="0" xfId="0"/>
    <xf numFmtId="0" fontId="0" fillId="0" borderId="52" pivotButton="0" quotePrefix="0" xfId="0"/>
    <xf numFmtId="166" fontId="2" fillId="0" borderId="4" applyAlignment="1" pivotButton="0" quotePrefix="0" xfId="1">
      <alignment horizontal="center" vertical="center"/>
    </xf>
    <xf numFmtId="0" fontId="0" fillId="0" borderId="50" pivotButton="0" quotePrefix="0" xfId="0"/>
    <xf numFmtId="167" fontId="0" fillId="0" borderId="0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165" fontId="2" fillId="0" borderId="3" applyAlignment="1" pivotButton="0" quotePrefix="0" xfId="2">
      <alignment horizontal="center" vertical="center"/>
    </xf>
    <xf numFmtId="166" fontId="2" fillId="0" borderId="4" applyAlignment="1" pivotButton="0" quotePrefix="0" xfId="1">
      <alignment horizontal="center"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7" fontId="4" fillId="2" borderId="7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7" fontId="8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166" fontId="16" fillId="5" borderId="28" applyAlignment="1" pivotButton="0" quotePrefix="0" xfId="1">
      <alignment horizontal="right"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7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5" fontId="16" fillId="5" borderId="14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165" fontId="7" fillId="0" borderId="44" applyAlignment="1" pivotButton="0" quotePrefix="0" xfId="2">
      <alignment vertical="center"/>
    </xf>
    <xf numFmtId="165" fontId="10" fillId="0" borderId="27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5" fontId="0" fillId="5" borderId="43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165" fontId="16" fillId="5" borderId="42" applyAlignment="1" pivotButton="0" quotePrefix="0" xfId="2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7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7" fontId="16" fillId="4" borderId="14" applyAlignment="1" pivotButton="0" quotePrefix="0" xfId="2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5" fontId="16" fillId="4" borderId="28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7" fontId="16" fillId="3" borderId="21" applyAlignment="1" pivotButton="0" quotePrefix="0" xfId="2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7" fontId="16" fillId="3" borderId="28" applyAlignment="1" pivotButton="0" quotePrefix="0" xfId="2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7" fontId="16" fillId="3" borderId="14" applyAlignment="1" pivotButton="0" quotePrefix="0" xfId="2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7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</cellXfs>
  <cellStyles count="4">
    <cellStyle name="標準" xfId="0" builtinId="0"/>
    <cellStyle name="パーセント" xfId="1" builtinId="5"/>
    <cellStyle name="Excel Built-in Comma [0]" xfId="2"/>
    <cellStyle name="桁区切り" xfId="3" builtinId="6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D96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zoomScaleNormal="100" workbookViewId="0">
      <pane xSplit="5" ySplit="6" topLeftCell="F97" activePane="bottomRight" state="frozen"/>
      <selection pane="topRight" activeCell="F1" sqref="F1"/>
      <selection pane="bottomLeft" activeCell="A130" sqref="A130"/>
      <selection pane="bottomRight" activeCell="H106" sqref="H106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1．単月実績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令和6年9月</t>
        </is>
      </c>
      <c r="G5" s="246" t="inlineStr">
        <is>
          <t>令和7年9月</t>
        </is>
      </c>
      <c r="H5" s="246" t="inlineStr">
        <is>
          <t>令和8年9月</t>
        </is>
      </c>
      <c r="I5" s="246" t="inlineStr">
        <is>
          <t>令和8年9月</t>
        </is>
      </c>
      <c r="J5" s="247" t="n"/>
      <c r="K5" s="247" t="n"/>
      <c r="L5" s="248" t="n"/>
      <c r="M5" s="245" t="inlineStr">
        <is>
          <t>令和6年9月</t>
        </is>
      </c>
      <c r="N5" s="246" t="inlineStr">
        <is>
          <t>令和7年9月</t>
        </is>
      </c>
      <c r="O5" s="246" t="inlineStr">
        <is>
          <t>令和8年9月</t>
        </is>
      </c>
      <c r="P5" s="246" t="inlineStr">
        <is>
          <t>令和8年9月</t>
        </is>
      </c>
      <c r="Q5" s="247" t="n"/>
      <c r="R5" s="247" t="n"/>
      <c r="S5" s="249" t="n"/>
      <c r="T5" s="245" t="inlineStr">
        <is>
          <t>令和6年9月</t>
        </is>
      </c>
      <c r="U5" s="246" t="inlineStr">
        <is>
          <t>令和7年9月</t>
        </is>
      </c>
      <c r="V5" s="246" t="inlineStr">
        <is>
          <t>令和8年9月</t>
        </is>
      </c>
      <c r="W5" s="246" t="inlineStr">
        <is>
          <t>令和8年9月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20106.35</v>
      </c>
      <c r="G7" s="260" t="n">
        <v>21461.653</v>
      </c>
      <c r="H7" s="260" t="n">
        <v>21480</v>
      </c>
      <c r="I7" s="260" t="n">
        <v>21941.923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5143.782</v>
      </c>
      <c r="N7" s="260" t="n">
        <v>5504.174</v>
      </c>
      <c r="O7" s="260" t="n">
        <v>5390</v>
      </c>
      <c r="P7" s="260" t="n">
        <v>5355.792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2377.31</v>
      </c>
      <c r="G9" s="276" t="n">
        <v>240.578</v>
      </c>
      <c r="H9" s="276" t="n">
        <v>1000</v>
      </c>
      <c r="I9" s="277" t="n">
        <v>621.0599999999999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617.4</v>
      </c>
      <c r="N9" s="276" t="n">
        <v>97.26000000000001</v>
      </c>
      <c r="O9" s="276" t="n">
        <v>160</v>
      </c>
      <c r="P9" s="277" t="n">
        <v>140.056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11950.329</v>
      </c>
      <c r="G10" s="285" t="n">
        <v>7544.21</v>
      </c>
      <c r="H10" s="285" t="n">
        <v>11110</v>
      </c>
      <c r="I10" s="285" t="n">
        <v>11298.093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2912.981</v>
      </c>
      <c r="N10" s="285" t="n">
        <v>1948.6765</v>
      </c>
      <c r="O10" s="285" t="n">
        <v>2690</v>
      </c>
      <c r="P10" s="285" t="n">
        <v>2951.752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180.9</v>
      </c>
      <c r="G12" s="277" t="n">
        <v>98.3</v>
      </c>
      <c r="H12" s="277" t="n">
        <v>1000</v>
      </c>
      <c r="I12" s="277" t="n">
        <v>1719.31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46.95</v>
      </c>
      <c r="N12" s="277" t="n">
        <v>35.16</v>
      </c>
      <c r="O12" s="277" t="n">
        <v>160</v>
      </c>
      <c r="P12" s="277" t="n">
        <v>408.41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20072.184</v>
      </c>
      <c r="G13" s="285" t="n">
        <v>19174.385</v>
      </c>
      <c r="H13" s="285" t="n">
        <v>21000</v>
      </c>
      <c r="I13" s="285" t="n">
        <v>23557.67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6572.508</v>
      </c>
      <c r="N13" s="285" t="n">
        <v>6577.571</v>
      </c>
      <c r="O13" s="285" t="n">
        <v>6880</v>
      </c>
      <c r="P13" s="285" t="n">
        <v>8456.296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118.502</v>
      </c>
      <c r="G15" s="277" t="n">
        <v>145.011</v>
      </c>
      <c r="H15" s="277" t="n">
        <v>1000</v>
      </c>
      <c r="I15" s="277" t="n">
        <v>659.173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28.364</v>
      </c>
      <c r="N15" s="277" t="n">
        <v>41.122</v>
      </c>
      <c r="O15" s="277" t="n">
        <v>160</v>
      </c>
      <c r="P15" s="277" t="n">
        <v>115.03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21018.903</v>
      </c>
      <c r="G16" s="285" t="n">
        <v>17930.66</v>
      </c>
      <c r="H16" s="285" t="n">
        <v>20110</v>
      </c>
      <c r="I16" s="285" t="n">
        <v>16080.044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4894.1568</v>
      </c>
      <c r="N16" s="285" t="n">
        <v>4347.224</v>
      </c>
      <c r="O16" s="285" t="n">
        <v>4850</v>
      </c>
      <c r="P16" s="285" t="n">
        <v>4391.525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693.054</v>
      </c>
      <c r="G18" s="277" t="n">
        <v>2041.629</v>
      </c>
      <c r="H18" s="277" t="n">
        <v>1000</v>
      </c>
      <c r="I18" s="277" t="n">
        <v>705.1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161.053</v>
      </c>
      <c r="N18" s="277" t="n">
        <v>210.829</v>
      </c>
      <c r="O18" s="277" t="n">
        <v>160</v>
      </c>
      <c r="P18" s="277" t="n">
        <v>129.87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940.053</v>
      </c>
      <c r="G19" s="285" t="n">
        <v>2625.355</v>
      </c>
      <c r="H19" s="285" t="n">
        <v>1880</v>
      </c>
      <c r="I19" s="285" t="n">
        <v>831.826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113.141</v>
      </c>
      <c r="N19" s="285" t="n">
        <v>265.147</v>
      </c>
      <c r="O19" s="285" t="n">
        <v>200</v>
      </c>
      <c r="P19" s="285" t="n">
        <v>108.659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0</v>
      </c>
      <c r="G21" s="277" t="n">
        <v>0</v>
      </c>
      <c r="H21" s="277" t="n">
        <v>0</v>
      </c>
      <c r="I21" s="277" t="n">
        <v>0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0</v>
      </c>
      <c r="N21" s="277" t="n">
        <v>0</v>
      </c>
      <c r="O21" s="277" t="n">
        <v>0</v>
      </c>
      <c r="P21" s="277" t="n">
        <v>0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0</v>
      </c>
      <c r="G22" s="285" t="n">
        <v>16.8</v>
      </c>
      <c r="H22" s="285" t="n">
        <v>1340</v>
      </c>
      <c r="I22" s="285" t="n">
        <v>0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0</v>
      </c>
      <c r="N22" s="285" t="n">
        <v>3.8</v>
      </c>
      <c r="O22" s="285" t="n">
        <v>210</v>
      </c>
      <c r="P22" s="285" t="n">
        <v>0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0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0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0</v>
      </c>
      <c r="G29" s="292" t="n">
        <v>16.8</v>
      </c>
      <c r="H29" s="292" t="n">
        <v>1340</v>
      </c>
      <c r="I29" s="292" t="n">
        <v>0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0</v>
      </c>
      <c r="N29" s="292" t="n">
        <v>3.8</v>
      </c>
      <c r="O29" s="292" t="n">
        <v>210</v>
      </c>
      <c r="P29" s="292" t="n">
        <v>0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8638.656000000001</v>
      </c>
      <c r="G30" s="260" t="n">
        <v>10873.978</v>
      </c>
      <c r="H30" s="260" t="n">
        <v>11800</v>
      </c>
      <c r="I30" s="260" t="n">
        <v>9142.034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2072.398</v>
      </c>
      <c r="N30" s="260" t="n">
        <v>2467.586</v>
      </c>
      <c r="O30" s="260" t="n">
        <v>2750</v>
      </c>
      <c r="P30" s="260" t="n">
        <v>2221.32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44</v>
      </c>
      <c r="G32" s="276" t="n">
        <v>0</v>
      </c>
      <c r="H32" s="276" t="n">
        <v>150</v>
      </c>
      <c r="I32" s="276" t="n">
        <v>53.547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22</v>
      </c>
      <c r="N32" s="276" t="n">
        <v>0</v>
      </c>
      <c r="O32" s="276" t="n">
        <v>25</v>
      </c>
      <c r="P32" s="276" t="n">
        <v>11.197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14024.166</v>
      </c>
      <c r="G33" s="285" t="n">
        <v>12710.688</v>
      </c>
      <c r="H33" s="285" t="n">
        <v>13200</v>
      </c>
      <c r="I33" s="285" t="n">
        <v>15950.679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2908.856</v>
      </c>
      <c r="N33" s="285" t="n">
        <v>2549.72</v>
      </c>
      <c r="O33" s="285" t="n">
        <v>2750</v>
      </c>
      <c r="P33" s="285" t="n">
        <v>3205.927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60</v>
      </c>
      <c r="G35" s="277" t="n">
        <v>36</v>
      </c>
      <c r="H35" s="277" t="n">
        <v>0</v>
      </c>
      <c r="I35" s="277" t="n">
        <v>106.2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12</v>
      </c>
      <c r="N35" s="277" t="n">
        <v>4</v>
      </c>
      <c r="O35" s="277" t="n">
        <v>0</v>
      </c>
      <c r="P35" s="277" t="n">
        <v>13.29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9951.129000000001</v>
      </c>
      <c r="G36" s="285" t="n">
        <v>9966.924999999999</v>
      </c>
      <c r="H36" s="285" t="n">
        <v>10500</v>
      </c>
      <c r="I36" s="285" t="n">
        <v>11591.025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1621.124</v>
      </c>
      <c r="N36" s="285" t="n">
        <v>1870.951</v>
      </c>
      <c r="O36" s="285" t="n">
        <v>2000</v>
      </c>
      <c r="P36" s="285" t="n">
        <v>2430.17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4</v>
      </c>
      <c r="G38" s="277" t="n">
        <v>108</v>
      </c>
      <c r="H38" s="277" t="n">
        <v>150</v>
      </c>
      <c r="I38" s="277" t="n">
        <v>148.7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</v>
      </c>
      <c r="N38" s="277" t="n">
        <v>22</v>
      </c>
      <c r="O38" s="277" t="n">
        <v>25</v>
      </c>
      <c r="P38" s="277" t="n">
        <v>18.43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11636.983</v>
      </c>
      <c r="G39" s="285" t="n">
        <v>11811.983</v>
      </c>
      <c r="H39" s="285" t="n">
        <v>21000</v>
      </c>
      <c r="I39" s="285" t="n">
        <v>14028.019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2268.755</v>
      </c>
      <c r="N39" s="285" t="n">
        <v>2326.408</v>
      </c>
      <c r="O39" s="285" t="n">
        <v>3800</v>
      </c>
      <c r="P39" s="285" t="n">
        <v>3020.484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259</v>
      </c>
      <c r="G41" s="277" t="n">
        <v>311</v>
      </c>
      <c r="H41" s="277" t="n">
        <v>10000</v>
      </c>
      <c r="I41" s="277" t="n">
        <v>669.73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38</v>
      </c>
      <c r="N41" s="277" t="n">
        <v>17</v>
      </c>
      <c r="O41" s="277" t="n">
        <v>1430</v>
      </c>
      <c r="P41" s="277" t="n">
        <v>120.8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2238.475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136.78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0</v>
      </c>
      <c r="H45" s="277" t="n">
        <v>100</v>
      </c>
      <c r="I45" s="277" t="n">
        <v>0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0</v>
      </c>
      <c r="O45" s="277" t="n">
        <v>10</v>
      </c>
      <c r="P45" s="277" t="n">
        <v>0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100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10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0</v>
      </c>
      <c r="G48" s="285" t="n">
        <v>0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0</v>
      </c>
      <c r="N48" s="285" t="n">
        <v>0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6349.214</v>
      </c>
      <c r="G56" s="260" t="n">
        <v>8786.093999999999</v>
      </c>
      <c r="H56" s="260" t="n">
        <v>8400</v>
      </c>
      <c r="I56" s="260" t="n">
        <v>10757.506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2397.156</v>
      </c>
      <c r="N56" s="260" t="n">
        <v>2730.316</v>
      </c>
      <c r="O56" s="260" t="n">
        <v>2850</v>
      </c>
      <c r="P56" s="260" t="n">
        <v>3616.791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-2216</v>
      </c>
      <c r="G58" s="276" t="n">
        <v>1405</v>
      </c>
      <c r="H58" s="276" t="n">
        <v>200</v>
      </c>
      <c r="I58" s="276" t="n">
        <v>14.11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-441</v>
      </c>
      <c r="N58" s="276" t="n">
        <v>283</v>
      </c>
      <c r="O58" s="276" t="n">
        <v>50</v>
      </c>
      <c r="P58" s="276" t="n">
        <v>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9778.495000000001</v>
      </c>
      <c r="G59" s="285" t="n">
        <v>7421.947</v>
      </c>
      <c r="H59" s="285" t="n">
        <v>9550</v>
      </c>
      <c r="I59" s="285" t="n">
        <v>10531.839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2272.588</v>
      </c>
      <c r="N59" s="285" t="n">
        <v>1998.123</v>
      </c>
      <c r="O59" s="285" t="n">
        <v>2370</v>
      </c>
      <c r="P59" s="285" t="n">
        <v>2735.5196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116</v>
      </c>
      <c r="G61" s="277" t="n">
        <v>95</v>
      </c>
      <c r="H61" s="277" t="n">
        <v>200</v>
      </c>
      <c r="I61" s="277" t="n">
        <v>302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35</v>
      </c>
      <c r="N61" s="277" t="n">
        <v>19</v>
      </c>
      <c r="O61" s="277" t="n">
        <v>50</v>
      </c>
      <c r="P61" s="277" t="n">
        <v>30.8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8392.638999999999</v>
      </c>
      <c r="G62" s="277" t="n">
        <v>9097.808000000001</v>
      </c>
      <c r="H62" s="277" t="n">
        <v>9710</v>
      </c>
      <c r="I62" s="277" t="n">
        <v>11228.92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2104.958</v>
      </c>
      <c r="N62" s="277" t="n">
        <v>1844.832</v>
      </c>
      <c r="O62" s="277" t="n">
        <v>2190</v>
      </c>
      <c r="P62" s="277" t="n">
        <v>2868.658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0</v>
      </c>
      <c r="G64" s="277" t="n">
        <v>0</v>
      </c>
      <c r="H64" s="277" t="n">
        <v>100</v>
      </c>
      <c r="I64" s="277" t="n">
        <v>0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0</v>
      </c>
      <c r="N64" s="277" t="n">
        <v>0</v>
      </c>
      <c r="O64" s="277" t="n">
        <v>20</v>
      </c>
      <c r="P64" s="277" t="n">
        <v>0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24111.466</v>
      </c>
      <c r="G65" s="285" t="n">
        <v>9994.712</v>
      </c>
      <c r="H65" s="285" t="n">
        <v>0</v>
      </c>
      <c r="I65" s="285" t="n">
        <v>5999.68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642.976</v>
      </c>
      <c r="N65" s="285" t="n">
        <v>197.752</v>
      </c>
      <c r="O65" s="285" t="n">
        <v>0</v>
      </c>
      <c r="P65" s="285" t="n">
        <v>235.12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31.444</v>
      </c>
      <c r="G68" s="285" t="n">
        <v>0</v>
      </c>
      <c r="H68" s="285" t="n">
        <v>0</v>
      </c>
      <c r="I68" s="285" t="n">
        <v>0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13.314</v>
      </c>
      <c r="N68" s="285" t="n">
        <v>0</v>
      </c>
      <c r="O68" s="285" t="n">
        <v>0</v>
      </c>
      <c r="P68" s="285" t="n">
        <v>0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0</v>
      </c>
      <c r="H70" s="277" t="n">
        <v>0</v>
      </c>
      <c r="I70" s="277" t="n">
        <v>0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0</v>
      </c>
      <c r="O70" s="277" t="n">
        <v>0</v>
      </c>
      <c r="P70" s="277" t="n">
        <v>0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24111.466</v>
      </c>
      <c r="G75" s="318" t="n">
        <v>9994.712</v>
      </c>
      <c r="H75" s="318" t="n">
        <v>0</v>
      </c>
      <c r="I75" s="318" t="n">
        <v>5999.68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642.976</v>
      </c>
      <c r="N75" s="318" t="n">
        <v>197.752</v>
      </c>
      <c r="O75" s="318" t="n">
        <v>0</v>
      </c>
      <c r="P75" s="318" t="n">
        <v>235.12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27213.514</v>
      </c>
      <c r="G76" s="260" t="n">
        <v>30659.494</v>
      </c>
      <c r="H76" s="260" t="n">
        <v>34100</v>
      </c>
      <c r="I76" s="260" t="n">
        <v>23931.828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4090.452</v>
      </c>
      <c r="N76" s="260" t="n">
        <v>4513.813</v>
      </c>
      <c r="O76" s="260" t="n">
        <v>4850</v>
      </c>
      <c r="P76" s="260" t="n">
        <v>5051.359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27</v>
      </c>
      <c r="G78" s="276" t="n">
        <v>78</v>
      </c>
      <c r="H78" s="276" t="n">
        <v>500</v>
      </c>
      <c r="I78" s="276" t="n">
        <v>0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-1</v>
      </c>
      <c r="N78" s="276" t="n">
        <v>-1</v>
      </c>
      <c r="O78" s="276" t="n">
        <v>50</v>
      </c>
      <c r="P78" s="276" t="n">
        <v>0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0</v>
      </c>
      <c r="G79" s="276" t="n">
        <v>0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</v>
      </c>
      <c r="N79" s="276" t="n">
        <v>0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4770.001</v>
      </c>
      <c r="G82" s="285" t="n">
        <v>4580.451</v>
      </c>
      <c r="H82" s="285" t="n">
        <v>5250</v>
      </c>
      <c r="I82" s="285" t="n">
        <v>4327.749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981.102</v>
      </c>
      <c r="N82" s="285" t="n">
        <v>870.391</v>
      </c>
      <c r="O82" s="285" t="n">
        <v>1030</v>
      </c>
      <c r="P82" s="285" t="n">
        <v>856.58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0</v>
      </c>
      <c r="G84" s="277" t="n">
        <v>33</v>
      </c>
      <c r="H84" s="277" t="n">
        <v>250</v>
      </c>
      <c r="I84" s="277" t="n">
        <v>0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0</v>
      </c>
      <c r="N84" s="277" t="n">
        <v>-1</v>
      </c>
      <c r="O84" s="277" t="n">
        <v>30</v>
      </c>
      <c r="P84" s="277" t="n">
        <v>0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16187.297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2724.622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0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0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131.425</v>
      </c>
      <c r="G88" s="285" t="n">
        <v>860.024</v>
      </c>
      <c r="H88" s="285" t="n">
        <v>0</v>
      </c>
      <c r="I88" s="285" t="n">
        <v>0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55.625</v>
      </c>
      <c r="N88" s="285" t="n">
        <v>214.677</v>
      </c>
      <c r="O88" s="285" t="n">
        <v>0</v>
      </c>
      <c r="P88" s="285" t="n">
        <v>0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0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4914.884</v>
      </c>
      <c r="G91" s="285" t="n">
        <v>5578.054</v>
      </c>
      <c r="H91" s="285" t="n">
        <v>6350</v>
      </c>
      <c r="I91" s="285" t="n">
        <v>5618.959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427.93</v>
      </c>
      <c r="N91" s="285" t="n">
        <v>522.1079999999999</v>
      </c>
      <c r="O91" s="285" t="n">
        <v>830</v>
      </c>
      <c r="P91" s="285" t="n">
        <v>738.4465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18</v>
      </c>
      <c r="G93" s="277" t="n">
        <v>22</v>
      </c>
      <c r="H93" s="277" t="n">
        <v>250</v>
      </c>
      <c r="I93" s="277" t="n">
        <v>18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3</v>
      </c>
      <c r="N93" s="277" t="n">
        <v>7</v>
      </c>
      <c r="O93" s="277" t="n">
        <v>30</v>
      </c>
      <c r="P93" s="277" t="n">
        <v>3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26">
        <f>M78+M87+M90+M93</f>
        <v/>
      </c>
      <c r="N96" s="227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4067.607</v>
      </c>
      <c r="G100" s="260" t="n">
        <v>3222.317</v>
      </c>
      <c r="H100" s="260" t="n">
        <v>3310</v>
      </c>
      <c r="I100" s="260" t="n">
        <v>3718.586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811.5544</v>
      </c>
      <c r="N100" s="260" t="n">
        <v>643.129</v>
      </c>
      <c r="O100" s="260" t="n">
        <v>690</v>
      </c>
      <c r="P100" s="260" t="n">
        <v>883.3496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105" t="inlineStr">
        <is>
          <t>包装資材</t>
        </is>
      </c>
      <c r="F101" s="268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268</v>
      </c>
      <c r="G102" s="276" t="n">
        <v>135</v>
      </c>
      <c r="H102" s="276" t="n">
        <v>200</v>
      </c>
      <c r="I102" s="276" t="n">
        <v>360.83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98</v>
      </c>
      <c r="N102" s="276" t="n">
        <v>33</v>
      </c>
      <c r="O102" s="276" t="n">
        <v>70</v>
      </c>
      <c r="P102" s="276" t="n">
        <v>103.33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12377.608</v>
      </c>
      <c r="G103" s="285" t="n">
        <v>40900.174</v>
      </c>
      <c r="H103" s="285" t="n">
        <v>16300</v>
      </c>
      <c r="I103" s="285" t="n">
        <v>11997.104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2430.328</v>
      </c>
      <c r="N103" s="285" t="n">
        <v>9365.84</v>
      </c>
      <c r="O103" s="285" t="n">
        <v>3200</v>
      </c>
      <c r="P103" s="285" t="n">
        <v>2485.751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444</v>
      </c>
      <c r="G105" s="277" t="n">
        <v>30771</v>
      </c>
      <c r="H105" s="277" t="n">
        <v>5000</v>
      </c>
      <c r="I105" s="277" t="n">
        <v>323.5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71</v>
      </c>
      <c r="N105" s="277" t="n">
        <v>7512</v>
      </c>
      <c r="O105" s="277" t="n">
        <v>1000</v>
      </c>
      <c r="P105" s="277" t="n">
        <v>51.723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8821.120999999999</v>
      </c>
      <c r="G106" s="285" t="n">
        <v>12015.35</v>
      </c>
      <c r="H106" s="285" t="n">
        <v>12940</v>
      </c>
      <c r="I106" s="285" t="n">
        <v>14951.556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1613.746</v>
      </c>
      <c r="N106" s="285" t="n">
        <v>2274.845</v>
      </c>
      <c r="O106" s="285" t="n">
        <v>2490</v>
      </c>
      <c r="P106" s="285" t="n">
        <v>2864.973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814</v>
      </c>
      <c r="G108" s="277" t="n">
        <v>371</v>
      </c>
      <c r="H108" s="277" t="n">
        <v>700</v>
      </c>
      <c r="I108" s="277" t="n">
        <v>5195.98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223</v>
      </c>
      <c r="N108" s="277" t="n">
        <v>173</v>
      </c>
      <c r="O108" s="277" t="n">
        <v>250</v>
      </c>
      <c r="P108" s="277" t="n">
        <v>1185.271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0</v>
      </c>
      <c r="G109" s="285" t="n">
        <v>0</v>
      </c>
      <c r="H109" s="285" t="n">
        <v>0</v>
      </c>
      <c r="I109" s="285" t="n">
        <v>0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0</v>
      </c>
      <c r="N109" s="285" t="n">
        <v>0</v>
      </c>
      <c r="O109" s="285" t="n">
        <v>0</v>
      </c>
      <c r="P109" s="285" t="n">
        <v>0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0</v>
      </c>
      <c r="G111" s="277" t="n">
        <v>0</v>
      </c>
      <c r="H111" s="277" t="n">
        <v>0</v>
      </c>
      <c r="I111" s="277" t="n">
        <v>0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0</v>
      </c>
      <c r="N111" s="277" t="n">
        <v>0</v>
      </c>
      <c r="O111" s="277" t="n">
        <v>0</v>
      </c>
      <c r="P111" s="277" t="n">
        <v>0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9049.48</v>
      </c>
      <c r="G112" s="285" t="n">
        <v>9685.745000000001</v>
      </c>
      <c r="H112" s="285" t="n">
        <v>10700</v>
      </c>
      <c r="I112" s="285" t="n">
        <v>12056.125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1448.511</v>
      </c>
      <c r="N112" s="285" t="n">
        <v>1483.015</v>
      </c>
      <c r="O112" s="285" t="n">
        <v>1880</v>
      </c>
      <c r="P112" s="285" t="n">
        <v>1928.239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389</v>
      </c>
      <c r="G114" s="277" t="n">
        <v>243</v>
      </c>
      <c r="H114" s="277" t="n">
        <v>700</v>
      </c>
      <c r="I114" s="277" t="n">
        <v>182.29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87</v>
      </c>
      <c r="N114" s="277" t="n">
        <v>39</v>
      </c>
      <c r="O114" s="277" t="n">
        <v>180</v>
      </c>
      <c r="P114" s="277" t="n">
        <v>83.8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25101.073</v>
      </c>
      <c r="G115" s="285" t="n">
        <v>22830.648</v>
      </c>
      <c r="H115" s="285" t="n">
        <v>26000</v>
      </c>
      <c r="I115" s="285" t="n">
        <v>19692.826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5731.302</v>
      </c>
      <c r="N115" s="285" t="n">
        <v>5392.991</v>
      </c>
      <c r="O115" s="285" t="n">
        <v>6300</v>
      </c>
      <c r="P115" s="285" t="n">
        <v>5098.518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956</v>
      </c>
      <c r="G117" s="277" t="n">
        <v>394</v>
      </c>
      <c r="H117" s="277" t="n">
        <v>1500</v>
      </c>
      <c r="I117" s="277" t="n">
        <v>2104.76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260</v>
      </c>
      <c r="N117" s="277" t="n">
        <v>101</v>
      </c>
      <c r="O117" s="277" t="n">
        <v>300</v>
      </c>
      <c r="P117" s="277" t="n">
        <v>516.139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3240.614</v>
      </c>
      <c r="G118" s="285" t="n">
        <v>693.45</v>
      </c>
      <c r="H118" s="285" t="n">
        <v>2600</v>
      </c>
      <c r="I118" s="285" t="n">
        <v>0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653.405</v>
      </c>
      <c r="N118" s="285" t="n">
        <v>204.995</v>
      </c>
      <c r="O118" s="285" t="n">
        <v>430</v>
      </c>
      <c r="P118" s="285" t="n">
        <v>0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0</v>
      </c>
      <c r="G120" s="277" t="n">
        <v>176</v>
      </c>
      <c r="H120" s="277" t="n">
        <v>400</v>
      </c>
      <c r="I120" s="277" t="n">
        <v>0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0</v>
      </c>
      <c r="N120" s="277" t="n">
        <v>48</v>
      </c>
      <c r="O120" s="277" t="n">
        <v>80</v>
      </c>
      <c r="P120" s="277" t="n">
        <v>0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44.165</v>
      </c>
      <c r="G121" s="285" t="n">
        <v>30.7</v>
      </c>
      <c r="H121" s="285" t="n">
        <v>30</v>
      </c>
      <c r="I121" s="285" t="n">
        <v>461.2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12.399</v>
      </c>
      <c r="N121" s="285" t="n">
        <v>6.12</v>
      </c>
      <c r="O121" s="285" t="n">
        <v>10</v>
      </c>
      <c r="P121" s="285" t="n">
        <v>21.04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4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1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0</v>
      </c>
      <c r="G124" s="285" t="n">
        <v>0</v>
      </c>
      <c r="H124" s="285" t="n">
        <v>0</v>
      </c>
      <c r="I124" s="285" t="n">
        <v>0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0</v>
      </c>
      <c r="N124" s="285" t="n">
        <v>0</v>
      </c>
      <c r="O124" s="285" t="n">
        <v>0</v>
      </c>
      <c r="P124" s="285" t="n">
        <v>0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3240.614</v>
      </c>
      <c r="G131" s="329" t="n">
        <v>693.45</v>
      </c>
      <c r="H131" s="329" t="n">
        <v>2600</v>
      </c>
      <c r="I131" s="329" t="n">
        <v>0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653.405</v>
      </c>
      <c r="N131" s="303" t="n">
        <v>204.995</v>
      </c>
      <c r="O131" s="303" t="n">
        <v>430</v>
      </c>
      <c r="P131" s="303" t="n">
        <v>0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42164.129</v>
      </c>
      <c r="G135" s="346" t="n">
        <v>44671.696</v>
      </c>
      <c r="H135" s="347" t="n">
        <v>46180</v>
      </c>
      <c r="I135" s="348" t="n">
        <v>50477.226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11821.9</v>
      </c>
      <c r="N135" s="346" t="n">
        <v>13693.893</v>
      </c>
      <c r="O135" s="347" t="n">
        <v>13040</v>
      </c>
      <c r="P135" s="348" t="n">
        <v>14239.28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10275.615</v>
      </c>
      <c r="G137" s="360" t="n">
        <v>8117.066000000001</v>
      </c>
      <c r="H137" s="361" t="n">
        <v>8490</v>
      </c>
      <c r="I137" s="361" t="n">
        <v>7249.888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5925.26</v>
      </c>
      <c r="N137" s="360" t="n">
        <v>5048.576</v>
      </c>
      <c r="O137" s="361" t="n">
        <v>4890</v>
      </c>
      <c r="P137" s="361" t="n">
        <v>4456.854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22</v>
      </c>
      <c r="G138" s="363" t="n">
        <v>206.326</v>
      </c>
      <c r="H138" s="363" t="n">
        <v>90</v>
      </c>
      <c r="I138" s="363" t="n">
        <v>317.92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2.2</v>
      </c>
      <c r="N138" s="363" t="n">
        <v>47.345</v>
      </c>
      <c r="O138" s="363" t="n">
        <v>20</v>
      </c>
      <c r="P138" s="363" t="n">
        <v>64.54000000000001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1720</v>
      </c>
      <c r="G143" s="389" t="n">
        <v>1350</v>
      </c>
      <c r="H143" s="389" t="n">
        <v>1510</v>
      </c>
      <c r="I143" s="389" t="n">
        <v>1734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890</v>
      </c>
      <c r="N143" s="389" t="n">
        <v>950</v>
      </c>
      <c r="O143" s="389" t="n">
        <v>900</v>
      </c>
      <c r="P143" s="389" t="n">
        <v>1025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  <rowBreaks count="4" manualBreakCount="4">
    <brk id="29" min="0" max="16383" man="1"/>
    <brk id="55" min="0" max="16383" man="1"/>
    <brk id="75" min="0" max="16383" man="1"/>
    <brk id="9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tabSelected="1" topLeftCell="A37" workbookViewId="0">
      <selection activeCell="I103" sqref="I103:I104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9.5" customWidth="1" style="236" min="8" max="9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2．下期累計実績（4〜9月）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令和6年4〜9月</t>
        </is>
      </c>
      <c r="G5" s="246" t="inlineStr">
        <is>
          <t>令和7年4〜9月</t>
        </is>
      </c>
      <c r="H5" s="246" t="inlineStr">
        <is>
          <t>令和8年4〜9月</t>
        </is>
      </c>
      <c r="I5" s="246" t="inlineStr">
        <is>
          <t>令和8年4〜9月</t>
        </is>
      </c>
      <c r="J5" s="247" t="n"/>
      <c r="K5" s="247" t="n"/>
      <c r="L5" s="248" t="n"/>
      <c r="M5" s="245" t="inlineStr">
        <is>
          <t>令和6年4〜9月</t>
        </is>
      </c>
      <c r="N5" s="246" t="inlineStr">
        <is>
          <t>令和7年4〜9月</t>
        </is>
      </c>
      <c r="O5" s="246" t="inlineStr">
        <is>
          <t>令和8年4〜9月</t>
        </is>
      </c>
      <c r="P5" s="246" t="inlineStr">
        <is>
          <t>令和8年4〜9月</t>
        </is>
      </c>
      <c r="Q5" s="247" t="n"/>
      <c r="R5" s="247" t="n"/>
      <c r="S5" s="249" t="n"/>
      <c r="T5" s="245" t="inlineStr">
        <is>
          <t>令和6年4〜9月</t>
        </is>
      </c>
      <c r="U5" s="246" t="inlineStr">
        <is>
          <t>令和7年4〜9月</t>
        </is>
      </c>
      <c r="V5" s="246" t="inlineStr">
        <is>
          <t>令和8年4〜9月</t>
        </is>
      </c>
      <c r="W5" s="246" t="inlineStr">
        <is>
          <t>令和8年4〜9月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111705.037</v>
      </c>
      <c r="G7" s="260" t="n">
        <v>105610.657</v>
      </c>
      <c r="H7" s="260" t="n">
        <v>121650</v>
      </c>
      <c r="I7" s="260" t="n">
        <v>113385.265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26647.4657</v>
      </c>
      <c r="N7" s="260" t="n">
        <v>27934.955</v>
      </c>
      <c r="O7" s="260" t="n">
        <v>29660</v>
      </c>
      <c r="P7" s="260" t="n">
        <v>28929.7936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12812.33</v>
      </c>
      <c r="G9" s="276" t="n">
        <v>1948.022</v>
      </c>
      <c r="H9" s="276" t="n">
        <v>6000</v>
      </c>
      <c r="I9" s="277" t="n">
        <v>3292.223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2474.786</v>
      </c>
      <c r="N9" s="276" t="n">
        <v>723.6556</v>
      </c>
      <c r="O9" s="276" t="n">
        <v>960</v>
      </c>
      <c r="P9" s="277" t="n">
        <v>945.428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51608.772</v>
      </c>
      <c r="G10" s="285" t="n">
        <v>44789.434</v>
      </c>
      <c r="H10" s="285" t="n">
        <v>55690</v>
      </c>
      <c r="I10" s="285" t="n">
        <v>63348.641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14121.004</v>
      </c>
      <c r="N10" s="285" t="n">
        <v>12423.3345</v>
      </c>
      <c r="O10" s="285" t="n">
        <v>14590</v>
      </c>
      <c r="P10" s="285" t="n">
        <v>17677.993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2404.1</v>
      </c>
      <c r="G12" s="277" t="n">
        <v>660.1949999999999</v>
      </c>
      <c r="H12" s="277" t="n">
        <v>6000</v>
      </c>
      <c r="I12" s="277" t="n">
        <v>3064.6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837.76</v>
      </c>
      <c r="N12" s="277" t="n">
        <v>147.778</v>
      </c>
      <c r="O12" s="277" t="n">
        <v>960</v>
      </c>
      <c r="P12" s="277" t="n">
        <v>535.998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115095.909</v>
      </c>
      <c r="G13" s="285" t="n">
        <v>119087.27</v>
      </c>
      <c r="H13" s="285" t="n">
        <v>125110</v>
      </c>
      <c r="I13" s="285" t="n">
        <v>136021.228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37607.777</v>
      </c>
      <c r="N13" s="285" t="n">
        <v>40751.97199999999</v>
      </c>
      <c r="O13" s="285" t="n">
        <v>40940</v>
      </c>
      <c r="P13" s="285" t="n">
        <v>47711.66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1152.876</v>
      </c>
      <c r="G15" s="277" t="n">
        <v>866.0715</v>
      </c>
      <c r="H15" s="277" t="n">
        <v>6000</v>
      </c>
      <c r="I15" s="277" t="n">
        <v>1627.909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273.449</v>
      </c>
      <c r="N15" s="277" t="n">
        <v>257.953</v>
      </c>
      <c r="O15" s="277" t="n">
        <v>960</v>
      </c>
      <c r="P15" s="277" t="n">
        <v>293.573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121191.69</v>
      </c>
      <c r="G16" s="285" t="n">
        <v>103281.323</v>
      </c>
      <c r="H16" s="285" t="n">
        <v>116640</v>
      </c>
      <c r="I16" s="285" t="n">
        <v>118738.492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27111.0363</v>
      </c>
      <c r="N16" s="285" t="n">
        <v>25635.8186</v>
      </c>
      <c r="O16" s="285" t="n">
        <v>27690</v>
      </c>
      <c r="P16" s="285" t="n">
        <v>32607.1698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10195.759</v>
      </c>
      <c r="G18" s="277" t="n">
        <v>5065.98</v>
      </c>
      <c r="H18" s="277" t="n">
        <v>6000</v>
      </c>
      <c r="I18" s="277" t="n">
        <v>3507.419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1522.651</v>
      </c>
      <c r="N18" s="277" t="n">
        <v>836.239</v>
      </c>
      <c r="O18" s="277" t="n">
        <v>960</v>
      </c>
      <c r="P18" s="277" t="n">
        <v>674.992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4909.089999999999</v>
      </c>
      <c r="G19" s="285" t="n">
        <v>11242.213</v>
      </c>
      <c r="H19" s="285" t="n">
        <v>8440</v>
      </c>
      <c r="I19" s="285" t="n">
        <v>5306.76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746.576</v>
      </c>
      <c r="N19" s="285" t="n">
        <v>1261.706</v>
      </c>
      <c r="O19" s="285" t="n">
        <v>1050</v>
      </c>
      <c r="P19" s="285" t="n">
        <v>875.592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11</v>
      </c>
      <c r="G21" s="277" t="n">
        <v>128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11</v>
      </c>
      <c r="N21" s="277" t="n">
        <v>53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6820.064</v>
      </c>
      <c r="G22" s="285" t="n">
        <v>940.7769999999999</v>
      </c>
      <c r="H22" s="285" t="n">
        <v>8040</v>
      </c>
      <c r="I22" s="285" t="n">
        <v>1335.377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851.058</v>
      </c>
      <c r="N22" s="285" t="n">
        <v>92.764</v>
      </c>
      <c r="O22" s="285" t="n">
        <v>1260</v>
      </c>
      <c r="P22" s="285" t="n">
        <v>154.084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6820.064</v>
      </c>
      <c r="G29" s="292" t="n">
        <v>940.7769999999999</v>
      </c>
      <c r="H29" s="292" t="n">
        <v>8040</v>
      </c>
      <c r="I29" s="292" t="n">
        <v>1335.377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851.058</v>
      </c>
      <c r="N29" s="292" t="n">
        <v>92.764</v>
      </c>
      <c r="O29" s="292" t="n">
        <v>1260</v>
      </c>
      <c r="P29" s="292" t="n">
        <v>154.084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61551.01600000001</v>
      </c>
      <c r="G30" s="260" t="n">
        <v>61560.42199999999</v>
      </c>
      <c r="H30" s="260" t="n">
        <v>65300</v>
      </c>
      <c r="I30" s="260" t="n">
        <v>62835.8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13790.034</v>
      </c>
      <c r="N30" s="260" t="n">
        <v>14422.3</v>
      </c>
      <c r="O30" s="260" t="n">
        <v>15150</v>
      </c>
      <c r="P30" s="260" t="n">
        <v>14209.455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1292</v>
      </c>
      <c r="G32" s="276" t="n">
        <v>408</v>
      </c>
      <c r="H32" s="276" t="n">
        <v>900</v>
      </c>
      <c r="I32" s="276" t="n">
        <v>369.147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281</v>
      </c>
      <c r="N32" s="276" t="n">
        <v>68</v>
      </c>
      <c r="O32" s="276" t="n">
        <v>150</v>
      </c>
      <c r="P32" s="276" t="n">
        <v>65.602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74998.73299999999</v>
      </c>
      <c r="G33" s="285" t="n">
        <v>76898.02899999999</v>
      </c>
      <c r="H33" s="285" t="n">
        <v>82100</v>
      </c>
      <c r="I33" s="285" t="n">
        <v>95891.311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15607.8</v>
      </c>
      <c r="N33" s="285" t="n">
        <v>16042.043</v>
      </c>
      <c r="O33" s="285" t="n">
        <v>16900</v>
      </c>
      <c r="P33" s="285" t="n">
        <v>18542.756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513</v>
      </c>
      <c r="G35" s="277" t="n">
        <v>571</v>
      </c>
      <c r="H35" s="277" t="n">
        <v>3240</v>
      </c>
      <c r="I35" s="277" t="n">
        <v>4463.22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14</v>
      </c>
      <c r="N35" s="277" t="n">
        <v>196</v>
      </c>
      <c r="O35" s="277" t="n">
        <v>430</v>
      </c>
      <c r="P35" s="277" t="n">
        <v>593.247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53047.952</v>
      </c>
      <c r="G36" s="285" t="n">
        <v>48032.63399999999</v>
      </c>
      <c r="H36" s="285" t="n">
        <v>51400</v>
      </c>
      <c r="I36" s="285" t="n">
        <v>58199.515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9281.762000000001</v>
      </c>
      <c r="N36" s="285" t="n">
        <v>9033.550000000001</v>
      </c>
      <c r="O36" s="285" t="n">
        <v>9750</v>
      </c>
      <c r="P36" s="285" t="n">
        <v>12406.485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946</v>
      </c>
      <c r="G38" s="277" t="n">
        <v>2096</v>
      </c>
      <c r="H38" s="277" t="n">
        <v>900</v>
      </c>
      <c r="I38" s="277" t="n">
        <v>283.7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131</v>
      </c>
      <c r="N38" s="277" t="n">
        <v>226</v>
      </c>
      <c r="O38" s="277" t="n">
        <v>150</v>
      </c>
      <c r="P38" s="277" t="n">
        <v>36.39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72223.098</v>
      </c>
      <c r="G39" s="285" t="n">
        <v>74371.747</v>
      </c>
      <c r="H39" s="285" t="n">
        <v>85000</v>
      </c>
      <c r="I39" s="285" t="n">
        <v>79181.345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13837.08</v>
      </c>
      <c r="N39" s="285" t="n">
        <v>14401.851</v>
      </c>
      <c r="O39" s="285" t="n">
        <v>16200</v>
      </c>
      <c r="P39" s="285" t="n">
        <v>16672.109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725</v>
      </c>
      <c r="G41" s="277" t="n">
        <v>1292</v>
      </c>
      <c r="H41" s="277" t="n">
        <v>10400</v>
      </c>
      <c r="I41" s="277" t="n">
        <v>2186.46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129</v>
      </c>
      <c r="N41" s="277" t="n">
        <v>133</v>
      </c>
      <c r="O41" s="277" t="n">
        <v>1510</v>
      </c>
      <c r="P41" s="277" t="n">
        <v>361.1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5482.893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313.823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107.5</v>
      </c>
      <c r="H45" s="277" t="n">
        <v>200</v>
      </c>
      <c r="I45" s="277" t="n">
        <v>163.3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3.6</v>
      </c>
      <c r="O45" s="277" t="n">
        <v>20</v>
      </c>
      <c r="P45" s="277" t="n">
        <v>5.35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200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20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77</v>
      </c>
      <c r="G48" s="285" t="n">
        <v>129.8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17.245</v>
      </c>
      <c r="N48" s="285" t="n">
        <v>21.58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53357.23</v>
      </c>
      <c r="G56" s="260" t="n">
        <v>57161.249</v>
      </c>
      <c r="H56" s="260" t="n">
        <v>61330</v>
      </c>
      <c r="I56" s="260" t="n">
        <v>67867.538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15769.469</v>
      </c>
      <c r="N56" s="260" t="n">
        <v>17960.263</v>
      </c>
      <c r="O56" s="260" t="n">
        <v>18730</v>
      </c>
      <c r="P56" s="260" t="n">
        <v>22214.468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1153</v>
      </c>
      <c r="G58" s="276" t="n">
        <v>1870</v>
      </c>
      <c r="H58" s="276" t="n">
        <v>1200</v>
      </c>
      <c r="I58" s="276" t="n">
        <v>1395.01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269</v>
      </c>
      <c r="N58" s="276" t="n">
        <v>390</v>
      </c>
      <c r="O58" s="276" t="n">
        <v>300</v>
      </c>
      <c r="P58" s="276" t="n">
        <v>299.607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55141.74800000001</v>
      </c>
      <c r="G59" s="285" t="n">
        <v>52074.666</v>
      </c>
      <c r="H59" s="285" t="n">
        <v>59500</v>
      </c>
      <c r="I59" s="285" t="n">
        <v>75818.451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12073.5824</v>
      </c>
      <c r="N59" s="285" t="n">
        <v>13185.3186</v>
      </c>
      <c r="O59" s="285" t="n">
        <v>14030</v>
      </c>
      <c r="P59" s="285" t="n">
        <v>17472.5636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1340</v>
      </c>
      <c r="G61" s="277" t="n">
        <v>1729</v>
      </c>
      <c r="H61" s="277" t="n">
        <v>2100</v>
      </c>
      <c r="I61" s="277" t="n">
        <v>4137.974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269</v>
      </c>
      <c r="N61" s="277" t="n">
        <v>343</v>
      </c>
      <c r="O61" s="277" t="n">
        <v>390</v>
      </c>
      <c r="P61" s="277" t="n">
        <v>880.0279999999999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49141.288</v>
      </c>
      <c r="G62" s="277" t="n">
        <v>51146.27099999999</v>
      </c>
      <c r="H62" s="277" t="n">
        <v>55670</v>
      </c>
      <c r="I62" s="277" t="n">
        <v>61935.70800000001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11204.357</v>
      </c>
      <c r="N62" s="277" t="n">
        <v>11898.511</v>
      </c>
      <c r="O62" s="277" t="n">
        <v>12820</v>
      </c>
      <c r="P62" s="277" t="n">
        <v>15910.523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97</v>
      </c>
      <c r="G64" s="277" t="n">
        <v>0</v>
      </c>
      <c r="H64" s="277" t="n">
        <v>600</v>
      </c>
      <c r="I64" s="277" t="n">
        <v>660.39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19</v>
      </c>
      <c r="N64" s="277" t="n">
        <v>0</v>
      </c>
      <c r="O64" s="277" t="n">
        <v>120</v>
      </c>
      <c r="P64" s="277" t="n">
        <v>139.75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46524.126</v>
      </c>
      <c r="G65" s="285" t="n">
        <v>38895.292</v>
      </c>
      <c r="H65" s="285" t="n">
        <v>0</v>
      </c>
      <c r="I65" s="285" t="n">
        <v>5999.68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1038.576</v>
      </c>
      <c r="N65" s="285" t="n">
        <v>703.0219999999999</v>
      </c>
      <c r="O65" s="285" t="n">
        <v>0</v>
      </c>
      <c r="P65" s="285" t="n">
        <v>235.12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226.954</v>
      </c>
      <c r="G68" s="285" t="n">
        <v>51.75000000000001</v>
      </c>
      <c r="H68" s="285" t="n">
        <v>0</v>
      </c>
      <c r="I68" s="285" t="n">
        <v>27.71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67.32599999999999</v>
      </c>
      <c r="N68" s="285" t="n">
        <v>12.975</v>
      </c>
      <c r="O68" s="285" t="n">
        <v>0</v>
      </c>
      <c r="P68" s="285" t="n">
        <v>8.571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21</v>
      </c>
      <c r="H70" s="277" t="n">
        <v>0</v>
      </c>
      <c r="I70" s="277" t="n">
        <v>8.5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5</v>
      </c>
      <c r="O70" s="277" t="n">
        <v>0</v>
      </c>
      <c r="P70" s="277" t="n">
        <v>1.5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46524.126</v>
      </c>
      <c r="G75" s="318" t="n">
        <v>38895.292</v>
      </c>
      <c r="H75" s="318" t="n">
        <v>0</v>
      </c>
      <c r="I75" s="318" t="n">
        <v>5999.68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1038.576</v>
      </c>
      <c r="N75" s="318" t="n">
        <v>703.0219999999999</v>
      </c>
      <c r="O75" s="318" t="n">
        <v>0</v>
      </c>
      <c r="P75" s="318" t="n">
        <v>235.12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164656.615</v>
      </c>
      <c r="G76" s="260" t="n">
        <v>177550.128</v>
      </c>
      <c r="H76" s="260" t="n">
        <v>191900</v>
      </c>
      <c r="I76" s="260" t="n">
        <v>129172.047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23072.136</v>
      </c>
      <c r="N76" s="260" t="n">
        <v>26105.653</v>
      </c>
      <c r="O76" s="260" t="n">
        <v>27660</v>
      </c>
      <c r="P76" s="260" t="n">
        <v>27641.163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353</v>
      </c>
      <c r="G78" s="276" t="n">
        <v>444</v>
      </c>
      <c r="H78" s="276" t="n">
        <v>3000</v>
      </c>
      <c r="I78" s="276" t="n">
        <v>433.675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9</v>
      </c>
      <c r="N78" s="276" t="n">
        <v>11</v>
      </c>
      <c r="O78" s="276" t="n">
        <v>300</v>
      </c>
      <c r="P78" s="276" t="n">
        <v>42.145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3.3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0.53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31382.525</v>
      </c>
      <c r="G82" s="285" t="n">
        <v>33865.461</v>
      </c>
      <c r="H82" s="285" t="n">
        <v>37080</v>
      </c>
      <c r="I82" s="285" t="n">
        <v>34660.29400000001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5793.844</v>
      </c>
      <c r="N82" s="285" t="n">
        <v>6517.044</v>
      </c>
      <c r="O82" s="285" t="n">
        <v>7345</v>
      </c>
      <c r="P82" s="285" t="n">
        <v>6825.553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266</v>
      </c>
      <c r="G84" s="277" t="n">
        <v>77</v>
      </c>
      <c r="H84" s="277" t="n">
        <v>1500</v>
      </c>
      <c r="I84" s="277" t="n">
        <v>370.506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26</v>
      </c>
      <c r="N84" s="277" t="n">
        <v>11</v>
      </c>
      <c r="O84" s="277" t="n">
        <v>180</v>
      </c>
      <c r="P84" s="277" t="n">
        <v>11.896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85103.68500000001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15579.419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22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2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909.4650000000001</v>
      </c>
      <c r="G88" s="285" t="n">
        <v>3025.472</v>
      </c>
      <c r="H88" s="285" t="n">
        <v>0</v>
      </c>
      <c r="I88" s="285" t="n">
        <v>547.675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325.121</v>
      </c>
      <c r="N88" s="285" t="n">
        <v>959.405</v>
      </c>
      <c r="O88" s="285" t="n">
        <v>0</v>
      </c>
      <c r="P88" s="285" t="n">
        <v>303.375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4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18146.754</v>
      </c>
      <c r="G91" s="285" t="n">
        <v>36288.665</v>
      </c>
      <c r="H91" s="285" t="n">
        <v>37740</v>
      </c>
      <c r="I91" s="285" t="n">
        <v>31083.81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1783.6905</v>
      </c>
      <c r="N91" s="285" t="n">
        <v>4349.89</v>
      </c>
      <c r="O91" s="285" t="n">
        <v>4755</v>
      </c>
      <c r="P91" s="285" t="n">
        <v>3812.288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161</v>
      </c>
      <c r="G93" s="277" t="n">
        <v>224</v>
      </c>
      <c r="H93" s="277" t="n">
        <v>1500</v>
      </c>
      <c r="I93" s="277" t="n">
        <v>321.5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32</v>
      </c>
      <c r="N93" s="277" t="n">
        <v>92</v>
      </c>
      <c r="O93" s="277" t="n">
        <v>180</v>
      </c>
      <c r="P93" s="277" t="n">
        <v>63.87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75">
        <f>M78+M87+M90+M93</f>
        <v/>
      </c>
      <c r="N96" s="276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16768.932</v>
      </c>
      <c r="G100" s="260" t="n">
        <v>14305.433</v>
      </c>
      <c r="H100" s="260" t="n">
        <v>15170</v>
      </c>
      <c r="I100" s="260" t="n">
        <v>17933.99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3311.2664</v>
      </c>
      <c r="N100" s="260" t="n">
        <v>2986.342</v>
      </c>
      <c r="O100" s="260" t="n">
        <v>3310</v>
      </c>
      <c r="P100" s="260" t="n">
        <v>3826.6526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228" t="inlineStr">
        <is>
          <t>包装資材</t>
        </is>
      </c>
      <c r="F101" s="290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869</v>
      </c>
      <c r="G102" s="276" t="n">
        <v>807</v>
      </c>
      <c r="H102" s="276" t="n">
        <v>1200</v>
      </c>
      <c r="I102" s="276" t="n">
        <v>2909.09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270</v>
      </c>
      <c r="N102" s="276" t="n">
        <v>262</v>
      </c>
      <c r="O102" s="276" t="n">
        <v>390</v>
      </c>
      <c r="P102" s="276" t="n">
        <v>585.845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85469.902</v>
      </c>
      <c r="G103" s="285" t="n">
        <v>180464.803</v>
      </c>
      <c r="H103" s="285" t="n">
        <v>100550</v>
      </c>
      <c r="I103" s="285" t="n">
        <v>76032.06899999999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17567.504</v>
      </c>
      <c r="N103" s="285" t="n">
        <v>34943.773</v>
      </c>
      <c r="O103" s="285" t="n">
        <v>20540</v>
      </c>
      <c r="P103" s="285" t="n">
        <v>15537.805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28539</v>
      </c>
      <c r="G105" s="277" t="n">
        <v>115902</v>
      </c>
      <c r="H105" s="277" t="n">
        <v>30000</v>
      </c>
      <c r="I105" s="277" t="n">
        <v>5833.594999999999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5802</v>
      </c>
      <c r="N105" s="277" t="n">
        <v>21960</v>
      </c>
      <c r="O105" s="277" t="n">
        <v>6000</v>
      </c>
      <c r="P105" s="277" t="n">
        <v>963.144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44013.842</v>
      </c>
      <c r="G106" s="285" t="n">
        <v>55276.003</v>
      </c>
      <c r="H106" s="285" t="n">
        <v>72580</v>
      </c>
      <c r="I106" s="285" t="n">
        <v>79140.622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7666.782</v>
      </c>
      <c r="N106" s="285" t="n">
        <v>11039.678</v>
      </c>
      <c r="O106" s="285" t="n">
        <v>15980</v>
      </c>
      <c r="P106" s="285" t="n">
        <v>16498.33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2968</v>
      </c>
      <c r="G108" s="277" t="n">
        <v>8577</v>
      </c>
      <c r="H108" s="277" t="n">
        <v>22200</v>
      </c>
      <c r="I108" s="277" t="n">
        <v>32876.24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1047</v>
      </c>
      <c r="N108" s="277" t="n">
        <v>2883</v>
      </c>
      <c r="O108" s="277" t="n">
        <v>6660</v>
      </c>
      <c r="P108" s="277" t="n">
        <v>8870.940000000001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11613.707</v>
      </c>
      <c r="G109" s="285" t="n">
        <v>5699.036</v>
      </c>
      <c r="H109" s="285" t="n">
        <v>13800</v>
      </c>
      <c r="I109" s="285" t="n">
        <v>9037.527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2121.375</v>
      </c>
      <c r="N109" s="285" t="n">
        <v>1110.796</v>
      </c>
      <c r="O109" s="285" t="n">
        <v>2280</v>
      </c>
      <c r="P109" s="285" t="n">
        <v>1842.737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6810</v>
      </c>
      <c r="G111" s="277" t="n">
        <v>325</v>
      </c>
      <c r="H111" s="277" t="n">
        <v>3000</v>
      </c>
      <c r="I111" s="277" t="n">
        <v>1371.99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1306</v>
      </c>
      <c r="N111" s="277" t="n">
        <v>96</v>
      </c>
      <c r="O111" s="277" t="n">
        <v>750</v>
      </c>
      <c r="P111" s="277" t="n">
        <v>347.051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53435.848</v>
      </c>
      <c r="G112" s="285" t="n">
        <v>56455.01400000001</v>
      </c>
      <c r="H112" s="285" t="n">
        <v>60260</v>
      </c>
      <c r="I112" s="285" t="n">
        <v>70953.63399999999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9038.700999999999</v>
      </c>
      <c r="N112" s="285" t="n">
        <v>9408.153</v>
      </c>
      <c r="O112" s="285" t="n">
        <v>10890</v>
      </c>
      <c r="P112" s="285" t="n">
        <v>11442.512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3609</v>
      </c>
      <c r="G114" s="277" t="n">
        <v>3923</v>
      </c>
      <c r="H114" s="277" t="n">
        <v>4200</v>
      </c>
      <c r="I114" s="277" t="n">
        <v>5403.950000000001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828</v>
      </c>
      <c r="N114" s="277" t="n">
        <v>775</v>
      </c>
      <c r="O114" s="277" t="n">
        <v>1080</v>
      </c>
      <c r="P114" s="277" t="n">
        <v>997.183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83946.993</v>
      </c>
      <c r="G115" s="285" t="n">
        <v>73235.64000000001</v>
      </c>
      <c r="H115" s="285" t="n">
        <v>98700</v>
      </c>
      <c r="I115" s="285" t="n">
        <v>87596.629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16720.314</v>
      </c>
      <c r="N115" s="285" t="n">
        <v>16278.577</v>
      </c>
      <c r="O115" s="285" t="n">
        <v>19640</v>
      </c>
      <c r="P115" s="285" t="n">
        <v>18974.833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8777</v>
      </c>
      <c r="G117" s="277" t="n">
        <v>9260</v>
      </c>
      <c r="H117" s="277" t="n">
        <v>28000</v>
      </c>
      <c r="I117" s="277" t="n">
        <v>23302.84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1747</v>
      </c>
      <c r="N117" s="277" t="n">
        <v>2516</v>
      </c>
      <c r="O117" s="277" t="n">
        <v>4100</v>
      </c>
      <c r="P117" s="277" t="n">
        <v>3667.045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8366.144999999999</v>
      </c>
      <c r="G118" s="285" t="n">
        <v>6952.784</v>
      </c>
      <c r="H118" s="285" t="n">
        <v>8610</v>
      </c>
      <c r="I118" s="285" t="n">
        <v>10559.95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1637.271</v>
      </c>
      <c r="N118" s="285" t="n">
        <v>1284.471</v>
      </c>
      <c r="O118" s="285" t="n">
        <v>1640</v>
      </c>
      <c r="P118" s="285" t="n">
        <v>2021.839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2760</v>
      </c>
      <c r="G120" s="277" t="n">
        <v>1711</v>
      </c>
      <c r="H120" s="277" t="n">
        <v>2400</v>
      </c>
      <c r="I120" s="277" t="n">
        <v>2914.41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583</v>
      </c>
      <c r="N120" s="277" t="n">
        <v>374</v>
      </c>
      <c r="O120" s="277" t="n">
        <v>480</v>
      </c>
      <c r="P120" s="277" t="n">
        <v>779.4899999999999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190.911</v>
      </c>
      <c r="G121" s="285" t="n">
        <v>182.677</v>
      </c>
      <c r="H121" s="285" t="n">
        <v>180</v>
      </c>
      <c r="I121" s="285" t="n">
        <v>618.4879999999999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42.837</v>
      </c>
      <c r="N121" s="285" t="n">
        <v>39.121</v>
      </c>
      <c r="O121" s="285" t="n">
        <v>60</v>
      </c>
      <c r="P121" s="285" t="n">
        <v>56.723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4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1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56.54</v>
      </c>
      <c r="G124" s="285" t="n">
        <v>87.14</v>
      </c>
      <c r="H124" s="285" t="n">
        <v>0</v>
      </c>
      <c r="I124" s="285" t="n">
        <v>238.104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1.751</v>
      </c>
      <c r="N124" s="285" t="n">
        <v>4.893</v>
      </c>
      <c r="O124" s="285" t="n">
        <v>0</v>
      </c>
      <c r="P124" s="285" t="n">
        <v>7.276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8366.144999999999</v>
      </c>
      <c r="G131" s="329" t="n">
        <v>6952.784</v>
      </c>
      <c r="H131" s="329" t="n">
        <v>8610</v>
      </c>
      <c r="I131" s="329" t="n">
        <v>10559.95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1637.271</v>
      </c>
      <c r="N131" s="303" t="n">
        <v>1284.471</v>
      </c>
      <c r="O131" s="303" t="n">
        <v>1640</v>
      </c>
      <c r="P131" s="303" t="n">
        <v>2021.839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206941.921</v>
      </c>
      <c r="G135" s="346" t="n">
        <v>220539.836</v>
      </c>
      <c r="H135" s="347" t="n">
        <v>239050</v>
      </c>
      <c r="I135" s="348" t="n">
        <v>284507.551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54478.063</v>
      </c>
      <c r="N135" s="346" t="n">
        <v>68409.156</v>
      </c>
      <c r="O135" s="347" t="n">
        <v>71970</v>
      </c>
      <c r="P135" s="348" t="n">
        <v>83459.16899999999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43305.251</v>
      </c>
      <c r="G137" s="360" t="n">
        <v>41232.72</v>
      </c>
      <c r="H137" s="361" t="n">
        <v>46940</v>
      </c>
      <c r="I137" s="361" t="n">
        <v>43682.707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24966.442</v>
      </c>
      <c r="N137" s="360" t="n">
        <v>26009.562</v>
      </c>
      <c r="O137" s="361" t="n">
        <v>27350</v>
      </c>
      <c r="P137" s="361" t="n">
        <v>26356.906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2457.76</v>
      </c>
      <c r="G138" s="363" t="n">
        <v>906.856</v>
      </c>
      <c r="H138" s="363" t="n">
        <v>840</v>
      </c>
      <c r="I138" s="363" t="n">
        <v>1443.3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468.725</v>
      </c>
      <c r="N138" s="363" t="n">
        <v>174.495</v>
      </c>
      <c r="O138" s="363" t="n">
        <v>180</v>
      </c>
      <c r="P138" s="363" t="n">
        <v>300.9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12580</v>
      </c>
      <c r="G143" s="389" t="n">
        <v>12840</v>
      </c>
      <c r="H143" s="389" t="n">
        <v>12420</v>
      </c>
      <c r="I143" s="389" t="n">
        <v>14163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6120</v>
      </c>
      <c r="N143" s="389" t="n">
        <v>8190</v>
      </c>
      <c r="O143" s="389" t="n">
        <v>6980</v>
      </c>
      <c r="P143" s="389" t="n">
        <v>8000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cocktail00014</dc:creator>
  <dc:language xmlns:dc="http://purl.org/dc/elements/1.1/">en-US</dc:language>
  <dcterms:created xmlns:dcterms="http://purl.org/dc/terms/" xmlns:xsi="http://www.w3.org/2001/XMLSchema-instance" xsi:type="dcterms:W3CDTF">2024-09-12T04:17:13Z</dcterms:created>
  <dcterms:modified xmlns:dcterms="http://purl.org/dc/terms/" xmlns:xsi="http://www.w3.org/2001/XMLSchema-instance" xsi:type="dcterms:W3CDTF">2026-10-07T01:17:25Z</dcterms:modified>
  <cp:lastModifiedBy>ma-takahashi</cp:lastModifiedBy>
  <cp:revision>0</cp:revision>
  <cp:lastPrinted>2026-02-16T05:50:22Z</cp:lastPrinted>
</cp:coreProperties>
</file>