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70">
        <f>全体!J77-機械!J77</f>
        <v/>
      </c>
      <c r="K77" s="71">
        <f>SUM(E77:J77)</f>
        <v/>
      </c>
      <c r="L77" s="70">
        <f>全体!L77-機械!L77</f>
        <v/>
      </c>
      <c r="M77" s="72">
        <f>全体!M77-機械!M77</f>
        <v/>
      </c>
      <c r="N77" s="72">
        <f>全体!N77-機械!N77</f>
        <v/>
      </c>
      <c r="O77" s="72">
        <f>全体!O77-機械!O77</f>
        <v/>
      </c>
      <c r="P77" s="72">
        <f>全体!P77-機械!P77</f>
        <v/>
      </c>
      <c r="Q77" s="72">
        <f>全体!Q77-機械!Q77</f>
        <v/>
      </c>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f>全体!J78-機械!J78</f>
        <v/>
      </c>
      <c r="K78" s="71">
        <f>SUM(E78:J78)</f>
        <v/>
      </c>
      <c r="L78" s="70">
        <f>全体!L78-機械!L78</f>
        <v/>
      </c>
      <c r="M78" s="72">
        <f>全体!M78-機械!M78</f>
        <v/>
      </c>
      <c r="N78" s="72">
        <f>全体!N78-機械!N78</f>
        <v/>
      </c>
      <c r="O78" s="72">
        <f>全体!O78-機械!O78</f>
        <v/>
      </c>
      <c r="P78" s="72">
        <f>全体!P78-機械!P78</f>
        <v/>
      </c>
      <c r="Q78" s="72">
        <f>全体!Q78-機械!Q78</f>
        <v/>
      </c>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f>全体!J79-機械!J79</f>
        <v/>
      </c>
      <c r="K79" s="71">
        <f>SUM(E79:J79)</f>
        <v/>
      </c>
      <c r="L79" s="70">
        <f>全体!L79-機械!L79</f>
        <v/>
      </c>
      <c r="M79" s="72">
        <f>全体!M79-機械!M79</f>
        <v/>
      </c>
      <c r="N79" s="72">
        <f>全体!N79-機械!N79</f>
        <v/>
      </c>
      <c r="O79" s="72">
        <f>全体!O79-機械!O79</f>
        <v/>
      </c>
      <c r="P79" s="72">
        <f>全体!P79-機械!P79</f>
        <v/>
      </c>
      <c r="Q79" s="72">
        <f>全体!Q79-機械!Q79</f>
        <v/>
      </c>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f>全体!J80-機械!J80</f>
        <v/>
      </c>
      <c r="K80" s="71">
        <f>SUM(E80:J80)</f>
        <v/>
      </c>
      <c r="L80" s="70">
        <f>全体!L80-機械!L80</f>
        <v/>
      </c>
      <c r="M80" s="72">
        <f>全体!M80-機械!M80</f>
        <v/>
      </c>
      <c r="N80" s="72">
        <f>全体!N80-機械!N80</f>
        <v/>
      </c>
      <c r="O80" s="72">
        <f>全体!O80-機械!O80</f>
        <v/>
      </c>
      <c r="P80" s="72">
        <f>全体!P80-機械!P80</f>
        <v/>
      </c>
      <c r="Q80" s="72">
        <f>全体!Q80-機械!Q80</f>
        <v/>
      </c>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f>全体!J81-機械!J81</f>
        <v/>
      </c>
      <c r="K81" s="71">
        <f>SUM(E81:J81)</f>
        <v/>
      </c>
      <c r="L81" s="70">
        <f>全体!L81-機械!L81</f>
        <v/>
      </c>
      <c r="M81" s="72">
        <f>全体!M81-機械!M81</f>
        <v/>
      </c>
      <c r="N81" s="72">
        <f>全体!N81-機械!N81</f>
        <v/>
      </c>
      <c r="O81" s="72">
        <f>全体!O81-機械!O81</f>
        <v/>
      </c>
      <c r="P81" s="72">
        <f>全体!P81-機械!P81</f>
        <v/>
      </c>
      <c r="Q81" s="72">
        <f>全体!Q81-機械!Q81</f>
        <v/>
      </c>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f>全体!J82-機械!J82</f>
        <v/>
      </c>
      <c r="K82" s="71">
        <f>SUM(E82:J82)</f>
        <v/>
      </c>
      <c r="L82" s="70">
        <f>全体!L82-機械!L82</f>
        <v/>
      </c>
      <c r="M82" s="72">
        <f>全体!M82-機械!M82</f>
        <v/>
      </c>
      <c r="N82" s="72">
        <f>全体!N82-機械!N82</f>
        <v/>
      </c>
      <c r="O82" s="72">
        <f>全体!O82-機械!O82</f>
        <v/>
      </c>
      <c r="P82" s="72">
        <f>全体!P82-機械!P82</f>
        <v/>
      </c>
      <c r="Q82" s="72">
        <f>全体!Q82-機械!Q82</f>
        <v/>
      </c>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f>J77-J41</f>
        <v/>
      </c>
      <c r="K89" s="62">
        <f>SUM(E89:J89)</f>
        <v/>
      </c>
      <c r="L89" s="69">
        <f>L77-L41</f>
        <v/>
      </c>
      <c r="M89" s="54">
        <f>M77-M41</f>
        <v/>
      </c>
      <c r="N89" s="54">
        <f>N77-N41</f>
        <v/>
      </c>
      <c r="O89" s="54">
        <f>O77-O41</f>
        <v/>
      </c>
      <c r="P89" s="54">
        <f>P77-P41</f>
        <v/>
      </c>
      <c r="Q89" s="54">
        <f>Q77-Q41</f>
        <v/>
      </c>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f>J78-J42</f>
        <v/>
      </c>
      <c r="K90" s="62">
        <f>SUM(E90:J90)</f>
        <v/>
      </c>
      <c r="L90" s="69">
        <f>L78-L42</f>
        <v/>
      </c>
      <c r="M90" s="54">
        <f>M78-M42</f>
        <v/>
      </c>
      <c r="N90" s="54">
        <f>N78-N42</f>
        <v/>
      </c>
      <c r="O90" s="54">
        <f>O78-O42</f>
        <v/>
      </c>
      <c r="P90" s="54">
        <f>P78-P42</f>
        <v/>
      </c>
      <c r="Q90" s="54">
        <f>Q78-Q42</f>
        <v/>
      </c>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f>J79-J43</f>
        <v/>
      </c>
      <c r="K91" s="62">
        <f>SUM(E91:J91)</f>
        <v/>
      </c>
      <c r="L91" s="69">
        <f>L79-L43</f>
        <v/>
      </c>
      <c r="M91" s="54">
        <f>M79-M43</f>
        <v/>
      </c>
      <c r="N91" s="54">
        <f>N79-N43</f>
        <v/>
      </c>
      <c r="O91" s="54">
        <f>O79-O43</f>
        <v/>
      </c>
      <c r="P91" s="54">
        <f>P79-P43</f>
        <v/>
      </c>
      <c r="Q91" s="54">
        <f>Q79-Q43</f>
        <v/>
      </c>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f>J80-J44</f>
        <v/>
      </c>
      <c r="K92" s="62">
        <f>SUM(E92:J92)</f>
        <v/>
      </c>
      <c r="L92" s="69">
        <f>L80-L44</f>
        <v/>
      </c>
      <c r="M92" s="54">
        <f>M80-M44</f>
        <v/>
      </c>
      <c r="N92" s="54">
        <f>N80-N44</f>
        <v/>
      </c>
      <c r="O92" s="54">
        <f>O80-O44</f>
        <v/>
      </c>
      <c r="P92" s="54">
        <f>P80-P44</f>
        <v/>
      </c>
      <c r="Q92" s="54">
        <f>Q80-Q44</f>
        <v/>
      </c>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f>J81-J45</f>
        <v/>
      </c>
      <c r="K93" s="62">
        <f>SUM(E93:J93)</f>
        <v/>
      </c>
      <c r="L93" s="69">
        <f>L81-L45</f>
        <v/>
      </c>
      <c r="M93" s="54">
        <f>M81-M45</f>
        <v/>
      </c>
      <c r="N93" s="54">
        <f>N81-N45</f>
        <v/>
      </c>
      <c r="O93" s="54">
        <f>O81-O45</f>
        <v/>
      </c>
      <c r="P93" s="54">
        <f>P81-P45</f>
        <v/>
      </c>
      <c r="Q93" s="54">
        <f>Q81-Q45</f>
        <v/>
      </c>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f>J82-J46</f>
        <v/>
      </c>
      <c r="K94" s="62">
        <f>SUM(E94:J94)</f>
        <v/>
      </c>
      <c r="L94" s="69">
        <f>L82-L46</f>
        <v/>
      </c>
      <c r="M94" s="54">
        <f>M82-M46</f>
        <v/>
      </c>
      <c r="N94" s="54">
        <f>N82-N46</f>
        <v/>
      </c>
      <c r="O94" s="54">
        <f>O82-O46</f>
        <v/>
      </c>
      <c r="P94" s="54">
        <f>P82-P46</f>
        <v/>
      </c>
      <c r="Q94" s="54">
        <f>Q82-Q46</f>
        <v/>
      </c>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f>J77-J17</f>
        <v/>
      </c>
      <c r="K101" s="62">
        <f>SUM(E101:J101)</f>
        <v/>
      </c>
      <c r="L101" s="69">
        <f>L77-L17</f>
        <v/>
      </c>
      <c r="M101" s="54">
        <f>M77-M17</f>
        <v/>
      </c>
      <c r="N101" s="53">
        <f>N77-N17</f>
        <v/>
      </c>
      <c r="O101" s="53">
        <f>O77-O17</f>
        <v/>
      </c>
      <c r="P101" s="53">
        <f>P77-P17</f>
        <v/>
      </c>
      <c r="Q101" s="53">
        <f>Q77-Q17</f>
        <v/>
      </c>
      <c r="R101" s="66">
        <f>SUM(L101:Q101)</f>
        <v/>
      </c>
      <c r="S101" s="151">
        <f>S77-S17</f>
        <v/>
      </c>
      <c r="T101" s="138">
        <f>T77-T17</f>
        <v/>
      </c>
      <c r="U101" s="139">
        <f>U77-U17</f>
        <v/>
      </c>
      <c r="V101" s="139">
        <f>V77-V17</f>
        <v/>
      </c>
      <c r="W101" s="139">
        <f>W77-W17</f>
        <v/>
      </c>
      <c r="X101" s="139">
        <f>X77-X17</f>
        <v/>
      </c>
      <c r="Y101" s="140">
        <f>Y77-Y17</f>
        <v/>
      </c>
    </row>
    <row r="102">
      <c r="C102" s="103" t="inlineStr">
        <is>
          <t>0012 集計</t>
        </is>
      </c>
      <c r="D102" s="89" t="inlineStr">
        <is>
          <t>川上</t>
        </is>
      </c>
      <c r="E102" s="53">
        <f>E78-E18</f>
        <v/>
      </c>
      <c r="F102" s="53">
        <f>F78-F18</f>
        <v/>
      </c>
      <c r="G102" s="53">
        <f>G78-G18</f>
        <v/>
      </c>
      <c r="H102" s="53">
        <f>H78-H18</f>
        <v/>
      </c>
      <c r="I102" s="53">
        <f>I78-I18</f>
        <v/>
      </c>
      <c r="J102" s="53">
        <f>J78-J18</f>
        <v/>
      </c>
      <c r="K102" s="62">
        <f>SUM(E102:J102)</f>
        <v/>
      </c>
      <c r="L102" s="69">
        <f>L78-L18</f>
        <v/>
      </c>
      <c r="M102" s="54">
        <f>M78-M18</f>
        <v/>
      </c>
      <c r="N102" s="53">
        <f>N78-N18</f>
        <v/>
      </c>
      <c r="O102" s="53">
        <f>O78-O18</f>
        <v/>
      </c>
      <c r="P102" s="53">
        <f>P78-P18</f>
        <v/>
      </c>
      <c r="Q102" s="53">
        <f>Q78-Q18</f>
        <v/>
      </c>
      <c r="R102" s="66">
        <f>SUM(L102:Q102)</f>
        <v/>
      </c>
      <c r="S102" s="151">
        <f>S78-S18</f>
        <v/>
      </c>
      <c r="T102" s="138">
        <f>T78-T18</f>
        <v/>
      </c>
      <c r="U102" s="139">
        <f>U78-U18</f>
        <v/>
      </c>
      <c r="V102" s="139">
        <f>V78-V18</f>
        <v/>
      </c>
      <c r="W102" s="139">
        <f>W78-W18</f>
        <v/>
      </c>
      <c r="X102" s="139">
        <f>X78-X18</f>
        <v/>
      </c>
      <c r="Y102" s="140">
        <f>Y78-Y18</f>
        <v/>
      </c>
    </row>
    <row r="103">
      <c r="C103" s="103" t="inlineStr">
        <is>
          <t>0013 集計</t>
        </is>
      </c>
      <c r="D103" s="89" t="inlineStr">
        <is>
          <t>三浦</t>
        </is>
      </c>
      <c r="E103" s="53">
        <f>E79-E19</f>
        <v/>
      </c>
      <c r="F103" s="53">
        <f>F79-F19</f>
        <v/>
      </c>
      <c r="G103" s="53">
        <f>G79-G19</f>
        <v/>
      </c>
      <c r="H103" s="53">
        <f>H79-H19</f>
        <v/>
      </c>
      <c r="I103" s="53">
        <f>I79-I19</f>
        <v/>
      </c>
      <c r="J103" s="53">
        <f>J79-J19</f>
        <v/>
      </c>
      <c r="K103" s="62">
        <f>SUM(E103:J103)</f>
        <v/>
      </c>
      <c r="L103" s="69">
        <f>L79-L19</f>
        <v/>
      </c>
      <c r="M103" s="54">
        <f>M79-M19</f>
        <v/>
      </c>
      <c r="N103" s="53">
        <f>N79-N19</f>
        <v/>
      </c>
      <c r="O103" s="53">
        <f>O79-O19</f>
        <v/>
      </c>
      <c r="P103" s="53">
        <f>P79-P19</f>
        <v/>
      </c>
      <c r="Q103" s="53">
        <f>Q79-Q19</f>
        <v/>
      </c>
      <c r="R103" s="66">
        <f>SUM(L103:Q103)</f>
        <v/>
      </c>
      <c r="S103" s="151">
        <f>S79-S19</f>
        <v/>
      </c>
      <c r="T103" s="138">
        <f>T79-T19</f>
        <v/>
      </c>
      <c r="U103" s="139">
        <f>U79-U19</f>
        <v/>
      </c>
      <c r="V103" s="139">
        <f>V79-V19</f>
        <v/>
      </c>
      <c r="W103" s="139">
        <f>W79-W19</f>
        <v/>
      </c>
      <c r="X103" s="139">
        <f>X79-X19</f>
        <v/>
      </c>
      <c r="Y103" s="140">
        <f>Y79-Y19</f>
        <v/>
      </c>
    </row>
    <row r="104">
      <c r="C104" s="103" t="inlineStr">
        <is>
          <t>0014 集計</t>
        </is>
      </c>
      <c r="D104" s="89" t="inlineStr">
        <is>
          <t>木村課長</t>
        </is>
      </c>
      <c r="E104" s="53">
        <f>E80-E20</f>
        <v/>
      </c>
      <c r="F104" s="53">
        <f>F80-F20</f>
        <v/>
      </c>
      <c r="G104" s="53">
        <f>G80-G20</f>
        <v/>
      </c>
      <c r="H104" s="53">
        <f>H80-H20</f>
        <v/>
      </c>
      <c r="I104" s="53">
        <f>I80-I20</f>
        <v/>
      </c>
      <c r="J104" s="53">
        <f>J80-J20</f>
        <v/>
      </c>
      <c r="K104" s="62">
        <f>SUM(E104:J104)</f>
        <v/>
      </c>
      <c r="L104" s="69">
        <f>L80-L20</f>
        <v/>
      </c>
      <c r="M104" s="54">
        <f>M80-M20</f>
        <v/>
      </c>
      <c r="N104" s="53">
        <f>N80-N20</f>
        <v/>
      </c>
      <c r="O104" s="53">
        <f>O80-O20</f>
        <v/>
      </c>
      <c r="P104" s="53">
        <f>P80-P20</f>
        <v/>
      </c>
      <c r="Q104" s="53">
        <f>Q80-Q20</f>
        <v/>
      </c>
      <c r="R104" s="66">
        <f>SUM(L104:Q104)</f>
        <v/>
      </c>
      <c r="S104" s="151">
        <f>S80-S20</f>
        <v/>
      </c>
      <c r="T104" s="138">
        <f>T80-T20</f>
        <v/>
      </c>
      <c r="U104" s="139">
        <f>U80-U20</f>
        <v/>
      </c>
      <c r="V104" s="139">
        <f>V80-V20</f>
        <v/>
      </c>
      <c r="W104" s="139">
        <f>W80-W20</f>
        <v/>
      </c>
      <c r="X104" s="139">
        <f>X80-X20</f>
        <v/>
      </c>
      <c r="Y104" s="140">
        <f>Y80-Y20</f>
        <v/>
      </c>
    </row>
    <row r="105">
      <c r="C105" s="103" t="inlineStr">
        <is>
          <t>0019 集計</t>
        </is>
      </c>
      <c r="D105" s="89" t="inlineStr">
        <is>
          <t>その他</t>
        </is>
      </c>
      <c r="E105" s="53">
        <f>E81-E21</f>
        <v/>
      </c>
      <c r="F105" s="53">
        <f>F81-F21</f>
        <v/>
      </c>
      <c r="G105" s="53">
        <f>G81-G21</f>
        <v/>
      </c>
      <c r="H105" s="53">
        <f>H81-H21</f>
        <v/>
      </c>
      <c r="I105" s="53">
        <f>I81-I21</f>
        <v/>
      </c>
      <c r="J105" s="53">
        <f>J81-J21</f>
        <v/>
      </c>
      <c r="K105" s="62">
        <f>SUM(E105:J105)</f>
        <v/>
      </c>
      <c r="L105" s="69">
        <f>L81-L21</f>
        <v/>
      </c>
      <c r="M105" s="54">
        <f>M81-M21</f>
        <v/>
      </c>
      <c r="N105" s="53">
        <f>N81-N21</f>
        <v/>
      </c>
      <c r="O105" s="53">
        <f>O81-O21</f>
        <v/>
      </c>
      <c r="P105" s="53">
        <f>P81-P21</f>
        <v/>
      </c>
      <c r="Q105" s="53">
        <f>Q81-Q21</f>
        <v/>
      </c>
      <c r="R105" s="66">
        <f>SUM(L105:Q105)</f>
        <v/>
      </c>
      <c r="S105" s="151">
        <f>S81-S21</f>
        <v/>
      </c>
      <c r="T105" s="138">
        <f>T81-T21</f>
        <v/>
      </c>
      <c r="U105" s="139">
        <f>U81-U21</f>
        <v/>
      </c>
      <c r="V105" s="139">
        <f>V81-V21</f>
        <v/>
      </c>
      <c r="W105" s="139">
        <f>W81-W21</f>
        <v/>
      </c>
      <c r="X105" s="139">
        <f>X81-X21</f>
        <v/>
      </c>
      <c r="Y105" s="140">
        <f>Y81-Y21</f>
        <v/>
      </c>
    </row>
    <row r="106">
      <c r="C106" s="103" t="inlineStr">
        <is>
          <t>0020 集計</t>
        </is>
      </c>
      <c r="D106" s="89" t="inlineStr">
        <is>
          <t>自治体</t>
        </is>
      </c>
      <c r="E106" s="54">
        <f>E82-E22</f>
        <v/>
      </c>
      <c r="F106" s="54">
        <f>F82-F22</f>
        <v/>
      </c>
      <c r="G106" s="54">
        <f>G82-G22</f>
        <v/>
      </c>
      <c r="H106" s="54">
        <f>H82-H22</f>
        <v/>
      </c>
      <c r="I106" s="54">
        <f>I82-I22</f>
        <v/>
      </c>
      <c r="J106" s="54">
        <f>J82-J22</f>
        <v/>
      </c>
      <c r="K106" s="62">
        <f>SUM(E106:J106)</f>
        <v/>
      </c>
      <c r="L106" s="69">
        <f>L82-L22</f>
        <v/>
      </c>
      <c r="M106" s="54">
        <f>M82-M22</f>
        <v/>
      </c>
      <c r="N106" s="53">
        <f>N82-N22</f>
        <v/>
      </c>
      <c r="O106" s="53">
        <f>O82-O22</f>
        <v/>
      </c>
      <c r="P106" s="53">
        <f>P82-P22</f>
        <v/>
      </c>
      <c r="Q106" s="53">
        <f>Q82-Q22</f>
        <v/>
      </c>
      <c r="R106" s="66">
        <f>SUM(L106:Q106)</f>
        <v/>
      </c>
      <c r="S106" s="151">
        <f>S82-S22</f>
        <v/>
      </c>
      <c r="T106" s="138">
        <f>T82-T22</f>
        <v/>
      </c>
      <c r="U106" s="139">
        <f>U82-U22</f>
        <v/>
      </c>
      <c r="V106" s="139">
        <f>V82-V22</f>
        <v/>
      </c>
      <c r="W106" s="139">
        <f>W82-W22</f>
        <v/>
      </c>
      <c r="X106" s="139">
        <f>X82-X22</f>
        <v/>
      </c>
      <c r="Y106" s="140">
        <f>Y82-Y22</f>
        <v/>
      </c>
    </row>
    <row r="107">
      <c r="C107" s="5" t="inlineStr">
        <is>
          <t>合計</t>
        </is>
      </c>
      <c r="D107" s="90" t="n"/>
      <c r="E107" s="9">
        <f>SUM(E101:E106)</f>
        <v/>
      </c>
      <c r="F107" s="9">
        <f>SUM(F101:F106)</f>
        <v/>
      </c>
      <c r="G107" s="116">
        <f>SUM(G101:G106)</f>
        <v/>
      </c>
      <c r="H107" s="9">
        <f>SUM(H101:H106)</f>
        <v/>
      </c>
      <c r="I107" s="9">
        <f>SUM(I101:I106)</f>
        <v/>
      </c>
      <c r="J107" s="9">
        <f>SUM(J101:J106)</f>
        <v/>
      </c>
      <c r="K107" s="63">
        <f>SUM(E107:J107)</f>
        <v/>
      </c>
      <c r="L107" s="67">
        <f>SUM(L101:L106)</f>
        <v/>
      </c>
      <c r="M107" s="9">
        <f>SUM(M101:M106)</f>
        <v/>
      </c>
      <c r="N107" s="116">
        <f>SUM(N101:N106)</f>
        <v/>
      </c>
      <c r="O107" s="9">
        <f>SUM(O101:O106)</f>
        <v/>
      </c>
      <c r="P107" s="9">
        <f>SUM(P101:P106)</f>
        <v/>
      </c>
      <c r="Q107" s="9">
        <f>SUM(Q101:Q106)</f>
        <v/>
      </c>
      <c r="R107" s="68">
        <f>SUM(L107:Q107)</f>
        <v/>
      </c>
      <c r="S107" s="152">
        <f>S83-S23</f>
        <v/>
      </c>
      <c r="T107" s="141">
        <f>T83-T23</f>
        <v/>
      </c>
      <c r="U107" s="142">
        <f>U83-U23</f>
        <v/>
      </c>
      <c r="V107" s="142">
        <f>V83-V23</f>
        <v/>
      </c>
      <c r="W107" s="142">
        <f>W83-W23</f>
        <v/>
      </c>
      <c r="X107" s="142">
        <f>X83-X23</f>
        <v/>
      </c>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f>X84-X24</f>
        <v/>
      </c>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v>621.0599999999999</v>
      </c>
      <c r="K77" s="62">
        <f>SUM(E77:J77)</f>
        <v/>
      </c>
      <c r="L77" s="69" t="n">
        <v>258.956</v>
      </c>
      <c r="M77" s="54" t="n">
        <v>30.753</v>
      </c>
      <c r="N77" s="54" t="n">
        <v>314.782</v>
      </c>
      <c r="O77" s="54" t="n">
        <v>120.472</v>
      </c>
      <c r="P77" s="54" t="n">
        <v>80.40900000000001</v>
      </c>
      <c r="Q77" s="54" t="n">
        <v>140.056</v>
      </c>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v>1719.31</v>
      </c>
      <c r="K78" s="62">
        <f>SUM(E78:J78)</f>
        <v/>
      </c>
      <c r="L78" s="69" t="n">
        <v>9.949999999999999</v>
      </c>
      <c r="M78" s="54" t="n">
        <v>5</v>
      </c>
      <c r="N78" s="54" t="n">
        <v>51.9</v>
      </c>
      <c r="O78" s="54" t="n">
        <v>17.77</v>
      </c>
      <c r="P78" s="54" t="n">
        <v>42.968</v>
      </c>
      <c r="Q78" s="54" t="n">
        <v>408.41</v>
      </c>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v>659.173</v>
      </c>
      <c r="K79" s="62">
        <f>SUM(E79:J79)</f>
        <v/>
      </c>
      <c r="L79" s="69" t="n">
        <v>20.809</v>
      </c>
      <c r="M79" s="54" t="n">
        <v>12.344</v>
      </c>
      <c r="N79" s="54" t="n">
        <v>26.887</v>
      </c>
      <c r="O79" s="54" t="n">
        <v>72.913</v>
      </c>
      <c r="P79" s="54" t="n">
        <v>45.59</v>
      </c>
      <c r="Q79" s="54" t="n">
        <v>115.03</v>
      </c>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v>705.1</v>
      </c>
      <c r="K80" s="62">
        <f>SUM(E80:J80)</f>
        <v/>
      </c>
      <c r="L80" s="69" t="n">
        <v>156.834</v>
      </c>
      <c r="M80" s="54" t="n">
        <v>89.523</v>
      </c>
      <c r="N80" s="54" t="n">
        <v>185.642</v>
      </c>
      <c r="O80" s="54" t="n">
        <v>48.46</v>
      </c>
      <c r="P80" s="54" t="n">
        <v>64.663</v>
      </c>
      <c r="Q80" s="54" t="n">
        <v>129.87</v>
      </c>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v>0</v>
      </c>
      <c r="K81" s="62">
        <f>SUM(E81:J81)</f>
        <v/>
      </c>
      <c r="L81" s="69" t="n"/>
      <c r="M81" s="54" t="n"/>
      <c r="N81" s="54" t="n"/>
      <c r="O81" s="54" t="n"/>
      <c r="P81" s="54" t="n">
        <v>3.25</v>
      </c>
      <c r="Q81" s="54" t="n">
        <v>0</v>
      </c>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v>0</v>
      </c>
      <c r="K82" s="62">
        <f>SUM(E82:J82)</f>
        <v/>
      </c>
      <c r="L82" s="69" t="n"/>
      <c r="M82" s="54" t="n"/>
      <c r="N82" s="54" t="n"/>
      <c r="O82" s="54" t="n"/>
      <c r="P82" s="54" t="n">
        <v>0</v>
      </c>
      <c r="Q82" s="54" t="n">
        <v>0</v>
      </c>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f>J77-J41</f>
        <v/>
      </c>
      <c r="K89" s="62">
        <f>SUM(E89:J89)</f>
        <v/>
      </c>
      <c r="L89" s="69">
        <f>L77-L41</f>
        <v/>
      </c>
      <c r="M89" s="54">
        <f>M77-M41</f>
        <v/>
      </c>
      <c r="N89" s="54">
        <f>N77-N41</f>
        <v/>
      </c>
      <c r="O89" s="54">
        <f>O77-O41</f>
        <v/>
      </c>
      <c r="P89" s="54">
        <f>P77-P41</f>
        <v/>
      </c>
      <c r="Q89" s="54">
        <f>Q77-Q41</f>
        <v/>
      </c>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f>J78-J42</f>
        <v/>
      </c>
      <c r="K90" s="62">
        <f>SUM(E90:J90)</f>
        <v/>
      </c>
      <c r="L90" s="69">
        <f>L78-L42</f>
        <v/>
      </c>
      <c r="M90" s="54">
        <f>M78-M42</f>
        <v/>
      </c>
      <c r="N90" s="54">
        <f>N78-N42</f>
        <v/>
      </c>
      <c r="O90" s="54">
        <f>O78-O42</f>
        <v/>
      </c>
      <c r="P90" s="54">
        <f>P78-P42</f>
        <v/>
      </c>
      <c r="Q90" s="54">
        <f>Q78-Q42</f>
        <v/>
      </c>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f>J79-J43</f>
        <v/>
      </c>
      <c r="K91" s="62">
        <f>SUM(E91:J91)</f>
        <v/>
      </c>
      <c r="L91" s="69">
        <f>L79-L43</f>
        <v/>
      </c>
      <c r="M91" s="54">
        <f>M79-M43</f>
        <v/>
      </c>
      <c r="N91" s="54">
        <f>N79-N43</f>
        <v/>
      </c>
      <c r="O91" s="54">
        <f>O79-O43</f>
        <v/>
      </c>
      <c r="P91" s="54">
        <f>P79-P43</f>
        <v/>
      </c>
      <c r="Q91" s="54">
        <f>Q79-Q43</f>
        <v/>
      </c>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f>J80-J44</f>
        <v/>
      </c>
      <c r="K92" s="62">
        <f>SUM(E92:J92)</f>
        <v/>
      </c>
      <c r="L92" s="69">
        <f>L80-L44</f>
        <v/>
      </c>
      <c r="M92" s="54">
        <f>M80-M44</f>
        <v/>
      </c>
      <c r="N92" s="54">
        <f>N80-N44</f>
        <v/>
      </c>
      <c r="O92" s="54">
        <f>O80-O44</f>
        <v/>
      </c>
      <c r="P92" s="54">
        <f>P80-P44</f>
        <v/>
      </c>
      <c r="Q92" s="54">
        <f>Q80-Q44</f>
        <v/>
      </c>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f>J81-J45</f>
        <v/>
      </c>
      <c r="K93" s="62">
        <f>SUM(E93:J93)</f>
        <v/>
      </c>
      <c r="L93" s="69">
        <f>L81-L45</f>
        <v/>
      </c>
      <c r="M93" s="54">
        <f>M81-M45</f>
        <v/>
      </c>
      <c r="N93" s="54">
        <f>N81-N45</f>
        <v/>
      </c>
      <c r="O93" s="54">
        <f>O81-O45</f>
        <v/>
      </c>
      <c r="P93" s="54">
        <f>P81-P45</f>
        <v/>
      </c>
      <c r="Q93" s="54">
        <f>Q81-Q45</f>
        <v/>
      </c>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f>J82-J46</f>
        <v/>
      </c>
      <c r="K94" s="62">
        <f>SUM(E94:J94)</f>
        <v/>
      </c>
      <c r="L94" s="69">
        <f>L82-L46</f>
        <v/>
      </c>
      <c r="M94" s="54">
        <f>M82-M46</f>
        <v/>
      </c>
      <c r="N94" s="54">
        <f>N82-N46</f>
        <v/>
      </c>
      <c r="O94" s="54">
        <f>O82-O46</f>
        <v/>
      </c>
      <c r="P94" s="54">
        <f>P82-P46</f>
        <v/>
      </c>
      <c r="Q94" s="54">
        <f>Q82-Q46</f>
        <v/>
      </c>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f>J77-J17</f>
        <v/>
      </c>
      <c r="K101" s="62">
        <f>SUM(E101:J101)</f>
        <v/>
      </c>
      <c r="L101" s="75">
        <f>L77-L17</f>
        <v/>
      </c>
      <c r="M101" s="54">
        <f>M77-M17</f>
        <v/>
      </c>
      <c r="N101" s="54">
        <f>N77-N17</f>
        <v/>
      </c>
      <c r="O101" s="54">
        <f>O77-O17</f>
        <v/>
      </c>
      <c r="P101" s="54">
        <f>P77-P17</f>
        <v/>
      </c>
      <c r="Q101" s="54">
        <f>Q77-Q17</f>
        <v/>
      </c>
      <c r="R101" s="66">
        <f>SUM(L101:Q101)</f>
        <v/>
      </c>
      <c r="S101" s="151">
        <f>S77-S17</f>
        <v/>
      </c>
      <c r="T101" s="139">
        <f>T77-T17</f>
        <v/>
      </c>
      <c r="U101" s="139">
        <f>U77-U17</f>
        <v/>
      </c>
      <c r="V101" s="139">
        <f>V77-V17</f>
        <v/>
      </c>
      <c r="W101" s="139">
        <f>W77-W17</f>
        <v/>
      </c>
      <c r="X101" s="139">
        <f>X77-X17</f>
        <v/>
      </c>
      <c r="Y101" s="140">
        <f>Y77-Y17</f>
        <v/>
      </c>
    </row>
    <row r="102">
      <c r="C102" s="103" t="inlineStr">
        <is>
          <t>0012 集計</t>
        </is>
      </c>
      <c r="D102" s="89" t="inlineStr">
        <is>
          <t>川上</t>
        </is>
      </c>
      <c r="E102" s="54">
        <f>E78-E18</f>
        <v/>
      </c>
      <c r="F102" s="54">
        <f>F78-F18</f>
        <v/>
      </c>
      <c r="G102" s="54">
        <f>G78-G18</f>
        <v/>
      </c>
      <c r="H102" s="54">
        <f>H78-H18</f>
        <v/>
      </c>
      <c r="I102" s="54">
        <f>I78-I18</f>
        <v/>
      </c>
      <c r="J102" s="54">
        <f>J78-J18</f>
        <v/>
      </c>
      <c r="K102" s="62">
        <f>SUM(E102:J102)</f>
        <v/>
      </c>
      <c r="L102" s="75">
        <f>L78-L18</f>
        <v/>
      </c>
      <c r="M102" s="54">
        <f>M78-M18</f>
        <v/>
      </c>
      <c r="N102" s="54">
        <f>N78-N18</f>
        <v/>
      </c>
      <c r="O102" s="54">
        <f>O78-O18</f>
        <v/>
      </c>
      <c r="P102" s="54">
        <f>P78-P18</f>
        <v/>
      </c>
      <c r="Q102" s="54">
        <f>Q78-Q18</f>
        <v/>
      </c>
      <c r="R102" s="66">
        <f>SUM(L102:Q102)</f>
        <v/>
      </c>
      <c r="S102" s="151">
        <f>S78-S18</f>
        <v/>
      </c>
      <c r="T102" s="139">
        <f>T78-T18</f>
        <v/>
      </c>
      <c r="U102" s="139">
        <f>U78-U18</f>
        <v/>
      </c>
      <c r="V102" s="139">
        <f>V78-V18</f>
        <v/>
      </c>
      <c r="W102" s="139">
        <f>W78-W18</f>
        <v/>
      </c>
      <c r="X102" s="139">
        <f>X78-X18</f>
        <v/>
      </c>
      <c r="Y102" s="140">
        <f>Y78-Y18</f>
        <v/>
      </c>
    </row>
    <row r="103">
      <c r="C103" s="103" t="inlineStr">
        <is>
          <t>0013 集計</t>
        </is>
      </c>
      <c r="D103" s="89" t="inlineStr">
        <is>
          <t>三浦</t>
        </is>
      </c>
      <c r="E103" s="54">
        <f>E79-E19</f>
        <v/>
      </c>
      <c r="F103" s="54">
        <f>F79-F19</f>
        <v/>
      </c>
      <c r="G103" s="54">
        <f>G79-G19</f>
        <v/>
      </c>
      <c r="H103" s="54">
        <f>H79-H19</f>
        <v/>
      </c>
      <c r="I103" s="54">
        <f>I79-I19</f>
        <v/>
      </c>
      <c r="J103" s="54">
        <f>J79-J19</f>
        <v/>
      </c>
      <c r="K103" s="62">
        <f>SUM(E103:J103)</f>
        <v/>
      </c>
      <c r="L103" s="75">
        <f>L79-L19</f>
        <v/>
      </c>
      <c r="M103" s="54">
        <f>M79-M19</f>
        <v/>
      </c>
      <c r="N103" s="54">
        <f>N79-N19</f>
        <v/>
      </c>
      <c r="O103" s="54">
        <f>O79-O19</f>
        <v/>
      </c>
      <c r="P103" s="54">
        <f>P79-P19</f>
        <v/>
      </c>
      <c r="Q103" s="54">
        <f>Q79-Q19</f>
        <v/>
      </c>
      <c r="R103" s="66">
        <f>SUM(L103:Q103)</f>
        <v/>
      </c>
      <c r="S103" s="151">
        <f>S79-S19</f>
        <v/>
      </c>
      <c r="T103" s="139">
        <f>T79-T19</f>
        <v/>
      </c>
      <c r="U103" s="139">
        <f>U79-U19</f>
        <v/>
      </c>
      <c r="V103" s="139">
        <f>V79-V19</f>
        <v/>
      </c>
      <c r="W103" s="139">
        <f>W79-W19</f>
        <v/>
      </c>
      <c r="X103" s="139">
        <f>X79-X19</f>
        <v/>
      </c>
      <c r="Y103" s="140">
        <f>Y79-Y19</f>
        <v/>
      </c>
    </row>
    <row r="104">
      <c r="C104" s="103" t="inlineStr">
        <is>
          <t>0014 集計</t>
        </is>
      </c>
      <c r="D104" s="89" t="inlineStr">
        <is>
          <t>木村課長</t>
        </is>
      </c>
      <c r="E104" s="54">
        <f>E80-E20</f>
        <v/>
      </c>
      <c r="F104" s="54">
        <f>F80-F20</f>
        <v/>
      </c>
      <c r="G104" s="54">
        <f>G80-G20</f>
        <v/>
      </c>
      <c r="H104" s="54">
        <f>H80-H20</f>
        <v/>
      </c>
      <c r="I104" s="54">
        <f>I80-I20</f>
        <v/>
      </c>
      <c r="J104" s="54">
        <f>J80-J20</f>
        <v/>
      </c>
      <c r="K104" s="62">
        <f>SUM(E104:J104)</f>
        <v/>
      </c>
      <c r="L104" s="75">
        <f>L80-L20</f>
        <v/>
      </c>
      <c r="M104" s="54">
        <f>M80-M20</f>
        <v/>
      </c>
      <c r="N104" s="54">
        <f>N80-N20</f>
        <v/>
      </c>
      <c r="O104" s="54">
        <f>O80-O20</f>
        <v/>
      </c>
      <c r="P104" s="54">
        <f>P80-P20</f>
        <v/>
      </c>
      <c r="Q104" s="54">
        <f>Q80-Q20</f>
        <v/>
      </c>
      <c r="R104" s="66">
        <f>SUM(L104:Q104)</f>
        <v/>
      </c>
      <c r="S104" s="151">
        <f>S80-S20</f>
        <v/>
      </c>
      <c r="T104" s="139">
        <f>T80-T20</f>
        <v/>
      </c>
      <c r="U104" s="139">
        <f>U80-U20</f>
        <v/>
      </c>
      <c r="V104" s="139">
        <f>V80-V20</f>
        <v/>
      </c>
      <c r="W104" s="139">
        <f>W80-W20</f>
        <v/>
      </c>
      <c r="X104" s="139">
        <f>X80-X20</f>
        <v/>
      </c>
      <c r="Y104" s="140">
        <f>Y80-Y20</f>
        <v/>
      </c>
    </row>
    <row r="105">
      <c r="C105" s="103" t="inlineStr">
        <is>
          <t>0019 集計</t>
        </is>
      </c>
      <c r="D105" s="89" t="inlineStr">
        <is>
          <t>その他</t>
        </is>
      </c>
      <c r="E105" s="54">
        <f>E81-E21</f>
        <v/>
      </c>
      <c r="F105" s="54">
        <f>F81-F21</f>
        <v/>
      </c>
      <c r="G105" s="54">
        <f>G81-G21</f>
        <v/>
      </c>
      <c r="H105" s="54">
        <f>H81-H21</f>
        <v/>
      </c>
      <c r="I105" s="54">
        <f>I81-I21</f>
        <v/>
      </c>
      <c r="J105" s="54">
        <f>J81-J21</f>
        <v/>
      </c>
      <c r="K105" s="62">
        <f>SUM(E105:J105)</f>
        <v/>
      </c>
      <c r="L105" s="75">
        <f>L81-L21</f>
        <v/>
      </c>
      <c r="M105" s="54">
        <f>M81-M21</f>
        <v/>
      </c>
      <c r="N105" s="54">
        <f>N81-N21</f>
        <v/>
      </c>
      <c r="O105" s="54">
        <f>O81-O21</f>
        <v/>
      </c>
      <c r="P105" s="54">
        <f>P81-P21</f>
        <v/>
      </c>
      <c r="Q105" s="54">
        <f>Q81-Q21</f>
        <v/>
      </c>
      <c r="R105" s="66">
        <f>SUM(L105:Q105)</f>
        <v/>
      </c>
      <c r="S105" s="151">
        <f>S81-S21</f>
        <v/>
      </c>
      <c r="T105" s="139">
        <f>T81-T21</f>
        <v/>
      </c>
      <c r="U105" s="139">
        <f>U81-U21</f>
        <v/>
      </c>
      <c r="V105" s="139">
        <f>V81-V21</f>
        <v/>
      </c>
      <c r="W105" s="139">
        <f>W81-W21</f>
        <v/>
      </c>
      <c r="X105" s="139">
        <f>X81-X21</f>
        <v/>
      </c>
      <c r="Y105" s="140">
        <f>Y81-Y21</f>
        <v/>
      </c>
    </row>
    <row r="106">
      <c r="C106" s="103" t="inlineStr">
        <is>
          <t>0020 集計</t>
        </is>
      </c>
      <c r="D106" s="89" t="inlineStr">
        <is>
          <t>自治体</t>
        </is>
      </c>
      <c r="E106" s="54">
        <f>E82-E22</f>
        <v/>
      </c>
      <c r="F106" s="54">
        <f>F82-F22</f>
        <v/>
      </c>
      <c r="G106" s="54">
        <f>G82-G22</f>
        <v/>
      </c>
      <c r="H106" s="54">
        <f>H82-H22</f>
        <v/>
      </c>
      <c r="I106" s="54">
        <f>I82-I22</f>
        <v/>
      </c>
      <c r="J106" s="54">
        <f>J82-J22</f>
        <v/>
      </c>
      <c r="K106" s="62">
        <f>SUM(E106:J106)</f>
        <v/>
      </c>
      <c r="L106" s="75">
        <f>L82-L22</f>
        <v/>
      </c>
      <c r="M106" s="54">
        <f>M82-M22</f>
        <v/>
      </c>
      <c r="N106" s="54">
        <f>N82-N22</f>
        <v/>
      </c>
      <c r="O106" s="54">
        <f>O82-O22</f>
        <v/>
      </c>
      <c r="P106" s="54">
        <f>P82-P22</f>
        <v/>
      </c>
      <c r="Q106" s="54">
        <f>Q82-Q22</f>
        <v/>
      </c>
      <c r="R106" s="66">
        <f>SUM(L106:Q106)</f>
        <v/>
      </c>
      <c r="S106" s="151">
        <f>S82-S22</f>
        <v/>
      </c>
      <c r="T106" s="139">
        <f>T82-T22</f>
        <v/>
      </c>
      <c r="U106" s="139">
        <f>U82-U22</f>
        <v/>
      </c>
      <c r="V106" s="139">
        <f>V82-V22</f>
        <v/>
      </c>
      <c r="W106" s="139">
        <f>W82-W22</f>
        <v/>
      </c>
      <c r="X106" s="139">
        <f>X82-X22</f>
        <v/>
      </c>
      <c r="Y106" s="140">
        <f>Y82-Y22</f>
        <v/>
      </c>
    </row>
    <row r="107">
      <c r="C107" s="5" t="inlineStr">
        <is>
          <t>合計</t>
        </is>
      </c>
      <c r="D107" s="90" t="n"/>
      <c r="E107" s="9">
        <f>SUM(E101:E106)</f>
        <v/>
      </c>
      <c r="F107" s="9">
        <f>SUM(F101:F106)</f>
        <v/>
      </c>
      <c r="G107" s="116">
        <f>SUM(G101:G106)</f>
        <v/>
      </c>
      <c r="H107" s="9">
        <f>SUM(H101:H106)</f>
        <v/>
      </c>
      <c r="I107" s="9">
        <f>SUM(I101:I106)</f>
        <v/>
      </c>
      <c r="J107" s="9">
        <f>SUM(J101:J106)</f>
        <v/>
      </c>
      <c r="K107" s="63">
        <f>SUM(E107:J107)</f>
        <v/>
      </c>
      <c r="L107" s="67">
        <f>SUM(L101:L106)</f>
        <v/>
      </c>
      <c r="M107" s="9">
        <f>SUM(M101:M106)</f>
        <v/>
      </c>
      <c r="N107" s="116">
        <f>SUM(N101:N106)</f>
        <v/>
      </c>
      <c r="O107" s="9">
        <f>SUM(O101:O106)</f>
        <v/>
      </c>
      <c r="P107" s="9">
        <f>SUM(P101:P106)</f>
        <v/>
      </c>
      <c r="Q107" s="9">
        <f>SUM(Q101:Q106)</f>
        <v/>
      </c>
      <c r="R107" s="68">
        <f>SUM(L107:Q107)</f>
        <v/>
      </c>
      <c r="S107" s="152">
        <f>S83-S23</f>
        <v/>
      </c>
      <c r="T107" s="142">
        <f>T83-T23</f>
        <v/>
      </c>
      <c r="U107" s="142">
        <f>U83-U23</f>
        <v/>
      </c>
      <c r="V107" s="142">
        <f>V83-V23</f>
        <v/>
      </c>
      <c r="W107" s="142">
        <f>W83-W23</f>
        <v/>
      </c>
      <c r="X107" s="142">
        <f>X83-X23</f>
        <v/>
      </c>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f>X84-X24</f>
        <v/>
      </c>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20822.257</v>
      </c>
      <c r="F77" s="4" t="n">
        <v>16655.218</v>
      </c>
      <c r="G77" s="115" t="n">
        <v>17972.437</v>
      </c>
      <c r="H77" s="4" t="n">
        <v>20354.928</v>
      </c>
      <c r="I77" s="4" t="n">
        <v>15638.502</v>
      </c>
      <c r="J77" s="4" t="n">
        <v>21941.923</v>
      </c>
      <c r="K77" s="62">
        <f>SUM(E77:J77)</f>
        <v/>
      </c>
      <c r="L77" s="3" t="n">
        <v>5382.5816</v>
      </c>
      <c r="M77" s="4" t="n">
        <v>4615.536</v>
      </c>
      <c r="N77" s="115" t="n">
        <v>4733.414</v>
      </c>
      <c r="O77" s="4" t="n">
        <v>5042.257</v>
      </c>
      <c r="P77" s="4" t="n">
        <v>3800.213</v>
      </c>
      <c r="Q77" s="4" t="n">
        <v>5355.792</v>
      </c>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12178.374</v>
      </c>
      <c r="F78" s="4" t="n">
        <v>8822.834999999999</v>
      </c>
      <c r="G78" s="115" t="n">
        <v>13608.228</v>
      </c>
      <c r="H78" s="4" t="n">
        <v>10239.108</v>
      </c>
      <c r="I78" s="4" t="n">
        <v>7202.003</v>
      </c>
      <c r="J78" s="4" t="n">
        <v>11298.093</v>
      </c>
      <c r="K78" s="62">
        <f>SUM(E78:J78)</f>
        <v/>
      </c>
      <c r="L78" s="3" t="n">
        <v>3649.391</v>
      </c>
      <c r="M78" s="4" t="n">
        <v>2821.493</v>
      </c>
      <c r="N78" s="115" t="n">
        <v>3615.586</v>
      </c>
      <c r="O78" s="4" t="n">
        <v>2867.92</v>
      </c>
      <c r="P78" s="4" t="n">
        <v>1771.851</v>
      </c>
      <c r="Q78" s="4" t="n">
        <v>2951.752</v>
      </c>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v>23557.67</v>
      </c>
      <c r="K79" s="62">
        <f>SUM(E79:J79)</f>
        <v/>
      </c>
      <c r="L79" s="3" t="n">
        <v>7266.921</v>
      </c>
      <c r="M79" s="4" t="n">
        <v>6937.266</v>
      </c>
      <c r="N79" s="115" t="n">
        <v>6994.657</v>
      </c>
      <c r="O79" s="4" t="n">
        <v>8869.754000000001</v>
      </c>
      <c r="P79" s="4" t="n">
        <v>9186.766</v>
      </c>
      <c r="Q79" s="4" t="n">
        <v>8456.296</v>
      </c>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31841.832</v>
      </c>
      <c r="F80" s="4" t="n">
        <v>20938.857</v>
      </c>
      <c r="G80" s="115" t="n">
        <v>17774.244</v>
      </c>
      <c r="H80" s="4" t="n">
        <v>17897.513</v>
      </c>
      <c r="I80" s="4" t="n">
        <v>14206.002</v>
      </c>
      <c r="J80" s="4" t="n">
        <v>16080.044</v>
      </c>
      <c r="K80" s="62">
        <f>SUM(E80:J80)</f>
        <v/>
      </c>
      <c r="L80" s="3" t="n">
        <v>8287.544400000001</v>
      </c>
      <c r="M80" s="4" t="n">
        <v>5685.361</v>
      </c>
      <c r="N80" s="115" t="n">
        <v>5042.225</v>
      </c>
      <c r="O80" s="4" t="n">
        <v>5132.2304</v>
      </c>
      <c r="P80" s="4" t="n">
        <v>4068.284</v>
      </c>
      <c r="Q80" s="4" t="n">
        <v>4391.525</v>
      </c>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v>831.826</v>
      </c>
      <c r="K81" s="62">
        <f>SUM(E81:J81)</f>
        <v/>
      </c>
      <c r="L81" s="3" t="n">
        <v>85.867</v>
      </c>
      <c r="M81" s="4" t="n">
        <v>160.141</v>
      </c>
      <c r="N81" s="115" t="n">
        <v>135.151</v>
      </c>
      <c r="O81" s="4" t="n">
        <v>250.814</v>
      </c>
      <c r="P81" s="4" t="n">
        <v>134.96</v>
      </c>
      <c r="Q81" s="4" t="n">
        <v>108.659</v>
      </c>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v>0</v>
      </c>
      <c r="K82" s="62">
        <f>SUM(E82:J82)</f>
        <v/>
      </c>
      <c r="L82" s="3" t="n">
        <v>1.514</v>
      </c>
      <c r="M82" s="4" t="n">
        <v>61.1</v>
      </c>
      <c r="N82" s="115" t="n">
        <v>13.77</v>
      </c>
      <c r="O82" s="4" t="n">
        <v>0</v>
      </c>
      <c r="P82" s="4" t="n">
        <v>77.7</v>
      </c>
      <c r="Q82" s="4" t="n">
        <v>0</v>
      </c>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f>J77-J41</f>
        <v/>
      </c>
      <c r="K89" s="62">
        <f>SUM(E89:J89)</f>
        <v/>
      </c>
      <c r="L89" s="3">
        <f>L77-L41</f>
        <v/>
      </c>
      <c r="M89" s="4">
        <f>M77-M41</f>
        <v/>
      </c>
      <c r="N89" s="115">
        <f>N77-N41</f>
        <v/>
      </c>
      <c r="O89" s="4">
        <f>O77-O41</f>
        <v/>
      </c>
      <c r="P89" s="4">
        <f>P77-P41</f>
        <v/>
      </c>
      <c r="Q89" s="4">
        <f>Q77-Q41</f>
        <v/>
      </c>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f>J78-J42</f>
        <v/>
      </c>
      <c r="K90" s="62">
        <f>SUM(E90:J90)</f>
        <v/>
      </c>
      <c r="L90" s="3">
        <f>L78-L42</f>
        <v/>
      </c>
      <c r="M90" s="4">
        <f>M78-M42</f>
        <v/>
      </c>
      <c r="N90" s="115">
        <f>N78-N42</f>
        <v/>
      </c>
      <c r="O90" s="4">
        <f>O78-O42</f>
        <v/>
      </c>
      <c r="P90" s="4">
        <f>P78-P42</f>
        <v/>
      </c>
      <c r="Q90" s="4">
        <f>Q78-Q42</f>
        <v/>
      </c>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f>J79-J43</f>
        <v/>
      </c>
      <c r="K91" s="62">
        <f>SUM(E91:J91)</f>
        <v/>
      </c>
      <c r="L91" s="3">
        <f>L79-L43</f>
        <v/>
      </c>
      <c r="M91" s="4">
        <f>M79-M43</f>
        <v/>
      </c>
      <c r="N91" s="115">
        <f>N79-N43</f>
        <v/>
      </c>
      <c r="O91" s="4">
        <f>O79-O43</f>
        <v/>
      </c>
      <c r="P91" s="4">
        <f>P79-P43</f>
        <v/>
      </c>
      <c r="Q91" s="4">
        <f>Q79-Q43</f>
        <v/>
      </c>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f>J80-J44</f>
        <v/>
      </c>
      <c r="K92" s="62">
        <f>SUM(E92:J92)</f>
        <v/>
      </c>
      <c r="L92" s="3">
        <f>L80-L44</f>
        <v/>
      </c>
      <c r="M92" s="4">
        <f>M80-M44</f>
        <v/>
      </c>
      <c r="N92" s="115">
        <f>N80-N44</f>
        <v/>
      </c>
      <c r="O92" s="4">
        <f>O80-O44</f>
        <v/>
      </c>
      <c r="P92" s="4">
        <f>P80-P44</f>
        <v/>
      </c>
      <c r="Q92" s="4">
        <f>Q80-Q44</f>
        <v/>
      </c>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f>J81-J45</f>
        <v/>
      </c>
      <c r="K93" s="62">
        <f>SUM(E93:J93)</f>
        <v/>
      </c>
      <c r="L93" s="3">
        <f>L81-L45</f>
        <v/>
      </c>
      <c r="M93" s="4">
        <f>M81-M45</f>
        <v/>
      </c>
      <c r="N93" s="115">
        <f>N81-N45</f>
        <v/>
      </c>
      <c r="O93" s="4">
        <f>O81-O45</f>
        <v/>
      </c>
      <c r="P93" s="4">
        <f>P81-P45</f>
        <v/>
      </c>
      <c r="Q93" s="4">
        <f>Q81-Q45</f>
        <v/>
      </c>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f>J82-J46</f>
        <v/>
      </c>
      <c r="K94" s="62">
        <f>SUM(E94:J94)</f>
        <v/>
      </c>
      <c r="L94" s="3">
        <f>L82-L46</f>
        <v/>
      </c>
      <c r="M94" s="4">
        <f>M82-M46</f>
        <v/>
      </c>
      <c r="N94" s="115">
        <f>N82-N46</f>
        <v/>
      </c>
      <c r="O94" s="4">
        <f>O82-O46</f>
        <v/>
      </c>
      <c r="P94" s="4">
        <f>P82-P46</f>
        <v/>
      </c>
      <c r="Q94" s="4">
        <f>Q82-Q46</f>
        <v/>
      </c>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f>J77-J17</f>
        <v/>
      </c>
      <c r="K101" s="62">
        <f>SUM(E101:J101)</f>
        <v/>
      </c>
      <c r="L101" s="73">
        <f>L77-L17</f>
        <v/>
      </c>
      <c r="M101" s="4">
        <f>M77-M17</f>
        <v/>
      </c>
      <c r="N101" s="115">
        <f>N77-N17</f>
        <v/>
      </c>
      <c r="O101" s="4">
        <f>O77-O17</f>
        <v/>
      </c>
      <c r="P101" s="4">
        <f>P77-P17</f>
        <v/>
      </c>
      <c r="Q101" s="4">
        <f>Q77-Q17</f>
        <v/>
      </c>
      <c r="R101" s="66">
        <f>SUM(L101:Q101)</f>
        <v/>
      </c>
      <c r="S101" s="151">
        <f>S77-S17</f>
        <v/>
      </c>
      <c r="T101" s="139">
        <f>T77-T17</f>
        <v/>
      </c>
      <c r="U101" s="139">
        <f>U77-U17</f>
        <v/>
      </c>
      <c r="V101" s="139">
        <f>V77-V17</f>
        <v/>
      </c>
      <c r="W101" s="139">
        <f>W77-W17</f>
        <v/>
      </c>
      <c r="X101" s="139">
        <f>X77-X17</f>
        <v/>
      </c>
      <c r="Y101" s="140">
        <f>Y77-Y17</f>
        <v/>
      </c>
    </row>
    <row r="102">
      <c r="C102" s="103" t="inlineStr">
        <is>
          <t>0012 集計</t>
        </is>
      </c>
      <c r="D102" s="89" t="inlineStr">
        <is>
          <t>川上</t>
        </is>
      </c>
      <c r="E102" s="4">
        <f>E78-E18</f>
        <v/>
      </c>
      <c r="F102" s="4">
        <f>F78-F18</f>
        <v/>
      </c>
      <c r="G102" s="115">
        <f>G78-G18</f>
        <v/>
      </c>
      <c r="H102" s="4">
        <f>H78-H18</f>
        <v/>
      </c>
      <c r="I102" s="4">
        <f>I78-I18</f>
        <v/>
      </c>
      <c r="J102" s="4">
        <f>J78-J18</f>
        <v/>
      </c>
      <c r="K102" s="62">
        <f>SUM(E102:J102)</f>
        <v/>
      </c>
      <c r="L102" s="3">
        <f>L78-L18</f>
        <v/>
      </c>
      <c r="M102" s="4">
        <f>M78-M18</f>
        <v/>
      </c>
      <c r="N102" s="115">
        <f>N78-N18</f>
        <v/>
      </c>
      <c r="O102" s="4">
        <f>O78-O18</f>
        <v/>
      </c>
      <c r="P102" s="4">
        <f>P78-P18</f>
        <v/>
      </c>
      <c r="Q102" s="4">
        <f>Q78-Q18</f>
        <v/>
      </c>
      <c r="R102" s="66">
        <f>SUM(L102:Q102)</f>
        <v/>
      </c>
      <c r="S102" s="151">
        <f>S78-S18</f>
        <v/>
      </c>
      <c r="T102" s="139">
        <f>T78-T18</f>
        <v/>
      </c>
      <c r="U102" s="139">
        <f>U78-U18</f>
        <v/>
      </c>
      <c r="V102" s="139">
        <f>V78-V18</f>
        <v/>
      </c>
      <c r="W102" s="139">
        <f>W78-W18</f>
        <v/>
      </c>
      <c r="X102" s="139">
        <f>X78-X18</f>
        <v/>
      </c>
      <c r="Y102" s="140">
        <f>Y78-Y18</f>
        <v/>
      </c>
    </row>
    <row r="103">
      <c r="C103" s="103" t="inlineStr">
        <is>
          <t>0013 集計</t>
        </is>
      </c>
      <c r="D103" s="89" t="inlineStr">
        <is>
          <t>三浦</t>
        </is>
      </c>
      <c r="E103" s="4">
        <f>E79-E19</f>
        <v/>
      </c>
      <c r="F103" s="4">
        <f>F79-F19</f>
        <v/>
      </c>
      <c r="G103" s="115">
        <f>G79-G19</f>
        <v/>
      </c>
      <c r="H103" s="4">
        <f>H79-H19</f>
        <v/>
      </c>
      <c r="I103" s="4">
        <f>I79-I19</f>
        <v/>
      </c>
      <c r="J103" s="4">
        <f>J79-J19</f>
        <v/>
      </c>
      <c r="K103" s="62">
        <f>SUM(E103:J103)</f>
        <v/>
      </c>
      <c r="L103" s="3">
        <f>L79-L19</f>
        <v/>
      </c>
      <c r="M103" s="4">
        <f>M79-M19</f>
        <v/>
      </c>
      <c r="N103" s="115">
        <f>N79-N19</f>
        <v/>
      </c>
      <c r="O103" s="4">
        <f>O79-O19</f>
        <v/>
      </c>
      <c r="P103" s="4">
        <f>P79-P19</f>
        <v/>
      </c>
      <c r="Q103" s="4">
        <f>Q79-Q19</f>
        <v/>
      </c>
      <c r="R103" s="66">
        <f>SUM(L103:Q103)</f>
        <v/>
      </c>
      <c r="S103" s="151">
        <f>S79-S19</f>
        <v/>
      </c>
      <c r="T103" s="139">
        <f>T79-T19</f>
        <v/>
      </c>
      <c r="U103" s="139">
        <f>U79-U19</f>
        <v/>
      </c>
      <c r="V103" s="139">
        <f>V79-V19</f>
        <v/>
      </c>
      <c r="W103" s="139">
        <f>W79-W19</f>
        <v/>
      </c>
      <c r="X103" s="139">
        <f>X79-X19</f>
        <v/>
      </c>
      <c r="Y103" s="140">
        <f>Y79-Y19</f>
        <v/>
      </c>
    </row>
    <row r="104">
      <c r="C104" s="103" t="inlineStr">
        <is>
          <t>0014 集計</t>
        </is>
      </c>
      <c r="D104" s="89" t="inlineStr">
        <is>
          <t>木村課長</t>
        </is>
      </c>
      <c r="E104" s="4">
        <f>E80-E20</f>
        <v/>
      </c>
      <c r="F104" s="4">
        <f>F80-F20</f>
        <v/>
      </c>
      <c r="G104" s="115">
        <f>G80-G20</f>
        <v/>
      </c>
      <c r="H104" s="4">
        <f>H80-H20</f>
        <v/>
      </c>
      <c r="I104" s="4">
        <f>I80-I20</f>
        <v/>
      </c>
      <c r="J104" s="4">
        <f>J80-J20</f>
        <v/>
      </c>
      <c r="K104" s="62">
        <f>SUM(E104:J104)</f>
        <v/>
      </c>
      <c r="L104" s="3">
        <f>L80-L20</f>
        <v/>
      </c>
      <c r="M104" s="4">
        <f>M80-M20</f>
        <v/>
      </c>
      <c r="N104" s="115">
        <f>N80-N20</f>
        <v/>
      </c>
      <c r="O104" s="4">
        <f>O80-O20</f>
        <v/>
      </c>
      <c r="P104" s="4">
        <f>P80-P20</f>
        <v/>
      </c>
      <c r="Q104" s="4">
        <f>Q80-Q20</f>
        <v/>
      </c>
      <c r="R104" s="66">
        <f>SUM(L104:Q104)</f>
        <v/>
      </c>
      <c r="S104" s="151">
        <f>S80-S20</f>
        <v/>
      </c>
      <c r="T104" s="139">
        <f>T80-T20</f>
        <v/>
      </c>
      <c r="U104" s="139">
        <f>U80-U20</f>
        <v/>
      </c>
      <c r="V104" s="139">
        <f>V80-V20</f>
        <v/>
      </c>
      <c r="W104" s="139">
        <f>W80-W20</f>
        <v/>
      </c>
      <c r="X104" s="139">
        <f>X80-X20</f>
        <v/>
      </c>
      <c r="Y104" s="140">
        <f>Y80-Y20</f>
        <v/>
      </c>
    </row>
    <row r="105">
      <c r="C105" s="103" t="inlineStr">
        <is>
          <t>0019 集計</t>
        </is>
      </c>
      <c r="D105" s="89" t="inlineStr">
        <is>
          <t>その他</t>
        </is>
      </c>
      <c r="E105" s="4">
        <f>E81-E21</f>
        <v/>
      </c>
      <c r="F105" s="4">
        <f>F81-F21</f>
        <v/>
      </c>
      <c r="G105" s="115">
        <f>G81-G21</f>
        <v/>
      </c>
      <c r="H105" s="4">
        <f>H81-H21</f>
        <v/>
      </c>
      <c r="I105" s="4">
        <f>I81-I21</f>
        <v/>
      </c>
      <c r="J105" s="4">
        <f>J81-J21</f>
        <v/>
      </c>
      <c r="K105" s="62">
        <f>SUM(E105:J105)</f>
        <v/>
      </c>
      <c r="L105" s="3">
        <f>L81-L21</f>
        <v/>
      </c>
      <c r="M105" s="4">
        <f>M81-M21</f>
        <v/>
      </c>
      <c r="N105" s="115">
        <f>N81-N21</f>
        <v/>
      </c>
      <c r="O105" s="4">
        <f>O81-O21</f>
        <v/>
      </c>
      <c r="P105" s="4">
        <f>P81-P21</f>
        <v/>
      </c>
      <c r="Q105" s="4">
        <f>Q81-Q21</f>
        <v/>
      </c>
      <c r="R105" s="66">
        <f>SUM(L105:Q105)</f>
        <v/>
      </c>
      <c r="S105" s="151">
        <f>S81-S21</f>
        <v/>
      </c>
      <c r="T105" s="139">
        <f>T81-T21</f>
        <v/>
      </c>
      <c r="U105" s="139">
        <f>U81-U21</f>
        <v/>
      </c>
      <c r="V105" s="139">
        <f>V81-V21</f>
        <v/>
      </c>
      <c r="W105" s="139">
        <f>W81-W21</f>
        <v/>
      </c>
      <c r="X105" s="139">
        <f>X81-X21</f>
        <v/>
      </c>
      <c r="Y105" s="140">
        <f>Y81-Y21</f>
        <v/>
      </c>
    </row>
    <row r="106">
      <c r="C106" s="103" t="inlineStr">
        <is>
          <t>0020 集計</t>
        </is>
      </c>
      <c r="D106" s="89" t="inlineStr">
        <is>
          <t>自治体</t>
        </is>
      </c>
      <c r="E106" s="4">
        <f>E82-E22</f>
        <v/>
      </c>
      <c r="F106" s="4">
        <f>F82-F22</f>
        <v/>
      </c>
      <c r="G106" s="115">
        <f>G82-G22</f>
        <v/>
      </c>
      <c r="H106" s="4">
        <f>H82-H22</f>
        <v/>
      </c>
      <c r="I106" s="4">
        <f>I82-I22</f>
        <v/>
      </c>
      <c r="J106" s="4">
        <f>J82-J22</f>
        <v/>
      </c>
      <c r="K106" s="62">
        <f>SUM(E106:J106)</f>
        <v/>
      </c>
      <c r="L106" s="3">
        <f>L82-L22</f>
        <v/>
      </c>
      <c r="M106" s="4">
        <f>M82-M22</f>
        <v/>
      </c>
      <c r="N106" s="115">
        <f>N82-N22</f>
        <v/>
      </c>
      <c r="O106" s="4">
        <f>O82-O22</f>
        <v/>
      </c>
      <c r="P106" s="4">
        <f>P82-P22</f>
        <v/>
      </c>
      <c r="Q106" s="4">
        <f>Q82-Q22</f>
        <v/>
      </c>
      <c r="R106" s="66">
        <f>SUM(L106:Q106)</f>
        <v/>
      </c>
      <c r="S106" s="151">
        <f>S82-S22</f>
        <v/>
      </c>
      <c r="T106" s="139">
        <f>T82-T22</f>
        <v/>
      </c>
      <c r="U106" s="139">
        <f>U82-U22</f>
        <v/>
      </c>
      <c r="V106" s="139">
        <f>V82-V22</f>
        <v/>
      </c>
      <c r="W106" s="139">
        <f>W82-W22</f>
        <v/>
      </c>
      <c r="X106" s="139">
        <f>X82-X22</f>
        <v/>
      </c>
      <c r="Y106" s="140">
        <f>Y82-Y22</f>
        <v/>
      </c>
    </row>
    <row r="107">
      <c r="C107" s="5" t="inlineStr">
        <is>
          <t>合計</t>
        </is>
      </c>
      <c r="D107" s="90" t="n"/>
      <c r="E107" s="9">
        <f>SUM(E101:E106)</f>
        <v/>
      </c>
      <c r="F107" s="9">
        <f>SUM(F101:F106)</f>
        <v/>
      </c>
      <c r="G107" s="116">
        <f>SUM(G101:G106)</f>
        <v/>
      </c>
      <c r="H107" s="9">
        <f>SUM(H101:H106)</f>
        <v/>
      </c>
      <c r="I107" s="9">
        <f>SUM(I101:I106)</f>
        <v/>
      </c>
      <c r="J107" s="9">
        <f>SUM(J101:J106)</f>
        <v/>
      </c>
      <c r="K107" s="63">
        <f>SUM(E107:J107)</f>
        <v/>
      </c>
      <c r="L107" s="74">
        <f>SUM(L101:L106)</f>
        <v/>
      </c>
      <c r="M107" s="9">
        <f>SUM(M101:M106)</f>
        <v/>
      </c>
      <c r="N107" s="116">
        <f>SUM(N101:N106)</f>
        <v/>
      </c>
      <c r="O107" s="9">
        <f>SUM(O101:O106)</f>
        <v/>
      </c>
      <c r="P107" s="9">
        <f>SUM(P101:P106)</f>
        <v/>
      </c>
      <c r="Q107" s="9">
        <f>SUM(Q101:Q106)</f>
        <v/>
      </c>
      <c r="R107" s="68">
        <f>SUM(L107:Q107)</f>
        <v/>
      </c>
      <c r="S107" s="152">
        <f>S83-S23</f>
        <v/>
      </c>
      <c r="T107" s="142">
        <f>T83-T23</f>
        <v/>
      </c>
      <c r="U107" s="142">
        <f>U83-U23</f>
        <v/>
      </c>
      <c r="V107" s="142">
        <f>V83-V23</f>
        <v/>
      </c>
      <c r="W107" s="142">
        <f>W83-W23</f>
        <v/>
      </c>
      <c r="X107" s="142">
        <f>X83-X23</f>
        <v/>
      </c>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f>X84-X24</f>
        <v/>
      </c>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2026-10-07T01:17:26Z</dcterms:modified>
  <cp:lastModifiedBy>ma-takahashi</cp:lastModifiedBy>
  <cp:lastPrinted>2025-05-02T03:18:58Z</cp:lastPrinted>
</cp:coreProperties>
</file>