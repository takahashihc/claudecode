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キョウワ" sheetId="1" state="visible" r:id="rId1"/>
    <sheet xmlns:r="http://schemas.openxmlformats.org/officeDocument/2006/relationships" name="包装資材" sheetId="2" state="visible" r:id="rId2"/>
    <sheet xmlns:r="http://schemas.openxmlformats.org/officeDocument/2006/relationships" name="機械" sheetId="3" state="visible" r:id="rId3"/>
    <sheet xmlns:r="http://schemas.openxmlformats.org/officeDocument/2006/relationships" name="全体" sheetId="4" state="visible" r:id="rId4"/>
    <sheet xmlns:r="http://schemas.openxmlformats.org/officeDocument/2006/relationships" name="総括" sheetId="5" state="visible" r:id="rId5"/>
  </sheets>
  <definedNames>
    <definedName name="_xlnm.Print_Area" localSheetId="0">'キョウワ'!$C$1:$Y$70</definedName>
    <definedName name="_xlnm.Print_Area" localSheetId="1">'包装資材'!$C$1:$Y$77</definedName>
    <definedName name="_xlnm.Print_Area" localSheetId="2">'機械'!$C$1:$Y$77</definedName>
    <definedName name="_xlnm.Print_Area" localSheetId="3">'全体'!$C$1:$Y$77</definedName>
    <definedName name="_xlnm.Print_Area" localSheetId="4">'総括'!$D$1:$U$17</definedName>
  </definedNames>
  <calcPr calcId="191029" fullCalcOnLoad="1"/>
</workbook>
</file>

<file path=xl/styles.xml><?xml version="1.0" encoding="utf-8"?>
<styleSheet xmlns="http://schemas.openxmlformats.org/spreadsheetml/2006/main">
  <numFmts count="1">
    <numFmt numFmtId="164" formatCode="0.0%"/>
  </numFmts>
  <fonts count="9">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3"/>
      <color theme="1"/>
      <sz val="10"/>
      <scheme val="minor"/>
    </font>
    <font>
      <name val="HGP創英角ｺﾞｼｯｸUB"/>
      <charset val="128"/>
      <family val="3"/>
      <color theme="1"/>
      <sz val="16"/>
    </font>
    <font>
      <name val="游明朝"/>
      <charset val="128"/>
      <family val="1"/>
      <color theme="1"/>
      <sz val="12"/>
    </font>
    <font>
      <name val="游ゴシック"/>
      <charset val="128"/>
      <family val="2"/>
      <color theme="1"/>
      <sz val="8"/>
      <scheme val="minor"/>
    </font>
    <font>
      <name val="游ゴシック"/>
      <charset val="128"/>
      <family val="3"/>
      <color theme="1"/>
      <sz val="8"/>
      <scheme val="minor"/>
    </font>
    <font>
      <name val="游ゴシック"/>
      <charset val="128"/>
      <family val="3"/>
      <color theme="1"/>
      <sz val="6"/>
      <scheme val="minor"/>
    </font>
  </fonts>
  <fills count="10">
    <fill>
      <patternFill/>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gray0625">
        <fgColor theme="0"/>
      </patternFill>
    </fill>
    <fill>
      <patternFill patternType="solid">
        <fgColor indexed="65"/>
        <bgColor theme="0"/>
      </patternFill>
    </fill>
    <fill>
      <patternFill patternType="solid">
        <fgColor theme="0"/>
        <bgColor theme="0"/>
      </patternFill>
    </fill>
    <fill>
      <patternFill patternType="gray0625">
        <fgColor theme="0"/>
        <bgColor theme="0"/>
      </patternFill>
    </fill>
    <fill>
      <patternFill patternType="solid">
        <fgColor theme="0"/>
        <bgColor indexed="64"/>
      </patternFill>
    </fill>
  </fills>
  <borders count="55">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style="thin">
        <color auto="1"/>
      </left>
      <right style="hair">
        <color auto="1"/>
      </right>
      <top style="hair">
        <color auto="1"/>
      </top>
      <bottom/>
      <diagonal/>
    </border>
    <border>
      <left style="thin">
        <color auto="1"/>
      </left>
      <right style="hair">
        <color auto="1"/>
      </right>
      <top/>
      <bottom/>
      <diagonal/>
    </border>
    <border>
      <left/>
      <right style="thin">
        <color auto="1"/>
      </right>
      <top/>
      <bottom/>
      <diagonal/>
    </border>
    <border>
      <left style="thin">
        <color auto="1"/>
      </left>
      <right/>
      <top style="hair">
        <color auto="1"/>
      </top>
      <bottom style="hair">
        <color auto="1"/>
      </bottom>
      <diagonal/>
    </border>
    <border>
      <left style="hair">
        <color auto="1"/>
      </left>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hair">
        <color auto="1"/>
      </right>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bottom style="hair">
        <color auto="1"/>
      </bottom>
      <diagonal/>
    </border>
    <border>
      <left style="hair">
        <color auto="1"/>
      </left>
      <right/>
      <top/>
      <bottom style="thin">
        <color auto="1"/>
      </bottom>
      <diagonal/>
    </border>
    <border>
      <left/>
      <right style="hair">
        <color auto="1"/>
      </right>
      <top/>
      <bottom style="thin">
        <color auto="1"/>
      </bottom>
      <diagonal/>
    </border>
    <border>
      <left style="thin">
        <color auto="1"/>
      </left>
      <right style="thin">
        <color auto="1"/>
      </right>
      <top style="thin">
        <color auto="1"/>
      </top>
      <bottom style="thin">
        <color auto="1"/>
      </bottom>
      <diagonal/>
    </border>
    <border>
      <left/>
      <right style="hair">
        <color auto="1"/>
      </right>
      <top style="thin">
        <color auto="1"/>
      </top>
      <bottom/>
      <diagonal/>
    </border>
    <border>
      <left style="thin">
        <color auto="1"/>
      </left>
      <right style="thin">
        <color auto="1"/>
      </right>
      <top/>
      <bottom/>
      <diagonal/>
    </border>
  </borders>
  <cellStyleXfs count="3">
    <xf numFmtId="0" fontId="1" fillId="0" borderId="0" applyAlignment="1">
      <alignment vertical="center"/>
    </xf>
    <xf numFmtId="38" fontId="1" fillId="0" borderId="0" applyAlignment="1">
      <alignment vertical="center"/>
    </xf>
    <xf numFmtId="9" fontId="1" fillId="0" borderId="0" applyAlignment="1">
      <alignment vertical="center"/>
    </xf>
  </cellStyleXfs>
  <cellXfs count="222">
    <xf numFmtId="0" fontId="0" fillId="0" borderId="0" applyAlignment="1" pivotButton="0" quotePrefix="0" xfId="0">
      <alignment vertical="center"/>
    </xf>
    <xf numFmtId="0" fontId="0" fillId="0" borderId="1" applyAlignment="1" pivotButton="0" quotePrefix="0" xfId="0">
      <alignment vertical="center"/>
    </xf>
    <xf numFmtId="55" fontId="3" fillId="0" borderId="2" applyAlignment="1" pivotButton="0" quotePrefix="0" xfId="0">
      <alignment horizontal="center" vertical="center"/>
    </xf>
    <xf numFmtId="38" fontId="0" fillId="0" borderId="4" applyAlignment="1" pivotButton="0" quotePrefix="0" xfId="1">
      <alignment vertical="center"/>
    </xf>
    <xf numFmtId="38" fontId="0" fillId="0" borderId="5" applyAlignment="1" pivotButton="0" quotePrefix="0" xfId="1">
      <alignment vertical="center"/>
    </xf>
    <xf numFmtId="38" fontId="0" fillId="2" borderId="5" applyAlignment="1" pivotButton="0" quotePrefix="0" xfId="1">
      <alignment vertical="center"/>
    </xf>
    <xf numFmtId="0" fontId="0" fillId="2" borderId="2" applyAlignment="1" pivotButton="0" quotePrefix="0" xfId="0">
      <alignment horizontal="center" vertical="center"/>
    </xf>
    <xf numFmtId="38" fontId="0" fillId="3" borderId="8" applyAlignment="1" pivotButton="0" quotePrefix="0" xfId="0">
      <alignment vertical="center"/>
    </xf>
    <xf numFmtId="38" fontId="0" fillId="4" borderId="8" applyAlignment="1" pivotButton="0" quotePrefix="0" xfId="1">
      <alignment vertical="center"/>
    </xf>
    <xf numFmtId="0" fontId="0" fillId="2" borderId="3" applyAlignment="1" pivotButton="0" quotePrefix="0" xfId="0">
      <alignment horizontal="center"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38" fontId="0" fillId="0" borderId="18" applyAlignment="1" pivotButton="0" quotePrefix="0" xfId="1">
      <alignment vertical="center"/>
    </xf>
    <xf numFmtId="38" fontId="0" fillId="3" borderId="19" applyAlignment="1" pivotButton="0" quotePrefix="0" xfId="0">
      <alignment vertical="center"/>
    </xf>
    <xf numFmtId="0" fontId="0" fillId="0" borderId="3" applyAlignment="1" pivotButton="0" quotePrefix="0" xfId="0">
      <alignment vertical="center"/>
    </xf>
    <xf numFmtId="38" fontId="0" fillId="0" borderId="6" applyAlignment="1" pivotButton="0" quotePrefix="0" xfId="1">
      <alignment vertical="center"/>
    </xf>
    <xf numFmtId="0" fontId="4" fillId="0" borderId="0" applyAlignment="1" pivotButton="0" quotePrefix="0" xfId="0">
      <alignment vertical="center"/>
    </xf>
    <xf numFmtId="164" fontId="0" fillId="0" borderId="6" applyAlignment="1" pivotButton="0" quotePrefix="0" xfId="2">
      <alignment vertical="center"/>
    </xf>
    <xf numFmtId="0" fontId="0" fillId="0" borderId="22" applyAlignment="1" pivotButton="0" quotePrefix="0" xfId="0">
      <alignment vertical="center"/>
    </xf>
    <xf numFmtId="164" fontId="0" fillId="0" borderId="25"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10"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32" applyAlignment="1" pivotButton="0" quotePrefix="0" xfId="0">
      <alignment vertical="center"/>
    </xf>
    <xf numFmtId="0" fontId="0" fillId="0" borderId="20" applyAlignment="1" pivotButton="0" quotePrefix="0" xfId="0">
      <alignment vertical="center"/>
    </xf>
    <xf numFmtId="38" fontId="0" fillId="0" borderId="33" applyAlignment="1" pivotButton="0" quotePrefix="0" xfId="1">
      <alignment vertical="center"/>
    </xf>
    <xf numFmtId="38" fontId="0" fillId="0" borderId="34" applyAlignment="1" pivotButton="0" quotePrefix="0" xfId="1">
      <alignment vertical="center"/>
    </xf>
    <xf numFmtId="164" fontId="0" fillId="0" borderId="35" applyAlignment="1" pivotButton="0" quotePrefix="0" xfId="2">
      <alignment vertical="center"/>
    </xf>
    <xf numFmtId="164" fontId="0" fillId="0" borderId="36" applyAlignment="1" pivotButton="0" quotePrefix="0" xfId="2">
      <alignment vertical="center"/>
    </xf>
    <xf numFmtId="0" fontId="0" fillId="0" borderId="37"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6"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38" fontId="0" fillId="3" borderId="7" applyAlignment="1" pivotButton="0" quotePrefix="0" xfId="1">
      <alignment vertical="center"/>
    </xf>
    <xf numFmtId="0" fontId="0" fillId="3" borderId="9" applyAlignment="1" pivotButton="0" quotePrefix="0" xfId="0">
      <alignment vertical="center"/>
    </xf>
    <xf numFmtId="0" fontId="0" fillId="0" borderId="36" applyAlignment="1" pivotButton="0" quotePrefix="0" xfId="0">
      <alignment vertical="center"/>
    </xf>
    <xf numFmtId="0" fontId="0" fillId="0" borderId="40" applyAlignment="1" pivotButton="0" quotePrefix="0" xfId="0">
      <alignment vertical="center"/>
    </xf>
    <xf numFmtId="0" fontId="0" fillId="0" borderId="4" applyAlignment="1" pivotButton="0" quotePrefix="0" xfId="0">
      <alignment vertical="center"/>
    </xf>
    <xf numFmtId="0" fontId="0" fillId="0" borderId="41" applyAlignment="1" pivotButton="0" quotePrefix="0" xfId="0">
      <alignment vertical="center"/>
    </xf>
    <xf numFmtId="0" fontId="5" fillId="0" borderId="0" applyAlignment="1" pivotButton="0" quotePrefix="0" xfId="0">
      <alignment vertical="center"/>
    </xf>
    <xf numFmtId="38" fontId="0" fillId="3" borderId="4" applyAlignment="1" pivotButton="0" quotePrefix="0" xfId="1">
      <alignment vertical="center"/>
    </xf>
    <xf numFmtId="0" fontId="0" fillId="3" borderId="6" applyAlignment="1" pivotButton="0" quotePrefix="0" xfId="0">
      <alignment vertical="center"/>
    </xf>
    <xf numFmtId="38" fontId="0" fillId="4" borderId="5" applyAlignment="1" pivotButton="0" quotePrefix="0" xfId="1">
      <alignment vertical="center"/>
    </xf>
    <xf numFmtId="164" fontId="0" fillId="3" borderId="5" applyAlignment="1" pivotButton="0" quotePrefix="0" xfId="2">
      <alignment horizontal="right" vertical="center"/>
    </xf>
    <xf numFmtId="164" fontId="0" fillId="4" borderId="5" applyAlignment="1" pivotButton="0" quotePrefix="0" xfId="2">
      <alignment horizontal="right" vertical="center"/>
    </xf>
    <xf numFmtId="38" fontId="0" fillId="2" borderId="2" applyAlignment="1" pivotButton="0" quotePrefix="0" xfId="1">
      <alignment vertical="center"/>
    </xf>
    <xf numFmtId="164" fontId="0" fillId="2" borderId="2" applyAlignment="1" pivotButton="0" quotePrefix="0" xfId="2">
      <alignment horizontal="right" vertical="center"/>
    </xf>
    <xf numFmtId="38" fontId="0" fillId="0" borderId="2" applyAlignment="1" pivotButton="0" quotePrefix="0" xfId="1">
      <alignment vertical="center"/>
    </xf>
    <xf numFmtId="0" fontId="0" fillId="6" borderId="0" applyAlignment="1" pivotButton="0" quotePrefix="0" xfId="0">
      <alignment vertical="center"/>
    </xf>
    <xf numFmtId="38" fontId="0" fillId="5" borderId="1" applyAlignment="1" pivotButton="0" quotePrefix="0" xfId="1">
      <alignment vertical="center"/>
    </xf>
    <xf numFmtId="164" fontId="0" fillId="0" borderId="2" applyAlignment="1" pivotButton="0" quotePrefix="0" xfId="2">
      <alignment horizontal="right" vertical="center"/>
    </xf>
    <xf numFmtId="0" fontId="0" fillId="5" borderId="3" applyAlignment="1" pivotButton="0" quotePrefix="0" xfId="0">
      <alignment vertical="center"/>
    </xf>
    <xf numFmtId="38" fontId="0" fillId="5" borderId="33" applyAlignment="1" pivotButton="0" quotePrefix="0" xfId="1">
      <alignment vertical="center"/>
    </xf>
    <xf numFmtId="38" fontId="0" fillId="5" borderId="34" applyAlignment="1" pivotButton="0" quotePrefix="0" xfId="0">
      <alignment vertical="center"/>
    </xf>
    <xf numFmtId="164" fontId="0" fillId="5" borderId="34" applyAlignment="1" pivotButton="0" quotePrefix="0" xfId="2">
      <alignment horizontal="right" vertical="center"/>
    </xf>
    <xf numFmtId="164" fontId="0" fillId="2" borderId="34" applyAlignment="1" pivotButton="0" quotePrefix="0" xfId="2">
      <alignment horizontal="right" vertical="center"/>
    </xf>
    <xf numFmtId="0" fontId="0" fillId="5" borderId="35" applyAlignment="1" pivotButton="0" quotePrefix="0" xfId="0">
      <alignment vertical="center"/>
    </xf>
    <xf numFmtId="55" fontId="3" fillId="0" borderId="1" applyAlignment="1" pivotButton="0" quotePrefix="0" xfId="0">
      <alignment horizontal="center" vertical="center"/>
    </xf>
    <xf numFmtId="0" fontId="0" fillId="2" borderId="42" applyAlignment="1" pivotButton="0" quotePrefix="0" xfId="0">
      <alignment horizontal="center" vertical="center"/>
    </xf>
    <xf numFmtId="38" fontId="0" fillId="0" borderId="17" applyAlignment="1" pivotButton="0" quotePrefix="0" xfId="1">
      <alignment vertical="center"/>
    </xf>
    <xf numFmtId="38" fontId="0" fillId="2" borderId="3" applyAlignment="1" pivotButton="0" quotePrefix="0" xfId="1">
      <alignment vertical="center"/>
    </xf>
    <xf numFmtId="0" fontId="0" fillId="0" borderId="12" applyAlignment="1" pivotButton="0" quotePrefix="0" xfId="0">
      <alignment horizontal="center" vertical="center"/>
    </xf>
    <xf numFmtId="0" fontId="0" fillId="0" borderId="14" applyAlignment="1" pivotButton="0" quotePrefix="0" xfId="0">
      <alignment horizontal="center" vertical="center"/>
    </xf>
    <xf numFmtId="38" fontId="6" fillId="0" borderId="6" applyAlignment="1" pivotButton="0" quotePrefix="0" xfId="1">
      <alignment vertical="center"/>
    </xf>
    <xf numFmtId="38" fontId="7" fillId="0" borderId="6" applyAlignment="1" pivotButton="0" quotePrefix="0" xfId="1">
      <alignment vertical="center"/>
    </xf>
    <xf numFmtId="38" fontId="0" fillId="8" borderId="0" applyAlignment="1" pivotButton="0" quotePrefix="0" xfId="0">
      <alignment vertical="center"/>
    </xf>
    <xf numFmtId="38" fontId="0" fillId="9" borderId="0" applyAlignment="1" pivotButton="0" quotePrefix="0" xfId="1">
      <alignment vertical="center"/>
    </xf>
    <xf numFmtId="164" fontId="0" fillId="8" borderId="0" applyAlignment="1" pivotButton="0" quotePrefix="0" xfId="2">
      <alignment horizontal="right" vertical="center"/>
    </xf>
    <xf numFmtId="164" fontId="0" fillId="9" borderId="0" applyAlignment="1" pivotButton="0" quotePrefix="0" xfId="2">
      <alignment horizontal="right" vertical="center"/>
    </xf>
    <xf numFmtId="0" fontId="0" fillId="8" borderId="0" applyAlignment="1" pivotButton="0" quotePrefix="0" xfId="0">
      <alignment vertical="center"/>
    </xf>
    <xf numFmtId="0" fontId="0" fillId="7" borderId="0" applyAlignment="1" pivotButton="0" quotePrefix="0" xfId="0">
      <alignment vertical="center"/>
    </xf>
    <xf numFmtId="55" fontId="3" fillId="0" borderId="17" applyAlignment="1" pivotButton="0" quotePrefix="0" xfId="0">
      <alignment horizontal="center" vertical="center"/>
    </xf>
    <xf numFmtId="38" fontId="0" fillId="2" borderId="6" applyAlignment="1" pivotButton="0" quotePrefix="0" xfId="1">
      <alignment vertical="center"/>
    </xf>
    <xf numFmtId="38" fontId="0" fillId="4" borderId="9" applyAlignment="1" pivotButton="0" quotePrefix="0" xfId="1">
      <alignment vertical="center"/>
    </xf>
    <xf numFmtId="38" fontId="0" fillId="2" borderId="35" applyAlignment="1" pivotButton="0" quotePrefix="0" xfId="1">
      <alignment vertical="center"/>
    </xf>
    <xf numFmtId="38" fontId="0" fillId="5" borderId="43" applyAlignment="1" pivotButton="0" quotePrefix="0" xfId="1">
      <alignment vertical="center"/>
    </xf>
    <xf numFmtId="0" fontId="0" fillId="5" borderId="44" applyAlignment="1" pivotButton="0" quotePrefix="0" xfId="0">
      <alignment vertical="center"/>
    </xf>
    <xf numFmtId="38" fontId="0" fillId="5" borderId="45" applyAlignment="1" pivotButton="0" quotePrefix="0" xfId="0">
      <alignment vertical="center"/>
    </xf>
    <xf numFmtId="38" fontId="0" fillId="2" borderId="44" applyAlignment="1" pivotButton="0" quotePrefix="0" xfId="1">
      <alignment vertical="center"/>
    </xf>
    <xf numFmtId="38" fontId="0" fillId="3" borderId="7" applyAlignment="1" pivotButton="0" quotePrefix="0" xfId="0">
      <alignment vertical="center"/>
    </xf>
    <xf numFmtId="38" fontId="0" fillId="5" borderId="33" applyAlignment="1" pivotButton="0" quotePrefix="0" xfId="0">
      <alignment vertical="center"/>
    </xf>
    <xf numFmtId="38" fontId="0" fillId="5" borderId="43" applyAlignment="1" pivotButton="0" quotePrefix="0" xfId="0">
      <alignment vertical="center"/>
    </xf>
    <xf numFmtId="164" fontId="0" fillId="0" borderId="4" applyAlignment="1" pivotButton="0" quotePrefix="0" xfId="2">
      <alignment horizontal="right" vertical="center"/>
    </xf>
    <xf numFmtId="164" fontId="0" fillId="2" borderId="6" applyAlignment="1" pivotButton="0" quotePrefix="0" xfId="2">
      <alignment horizontal="right" vertical="center"/>
    </xf>
    <xf numFmtId="164" fontId="0" fillId="3" borderId="7" applyAlignment="1" pivotButton="0" quotePrefix="0" xfId="2">
      <alignment horizontal="right" vertical="center"/>
    </xf>
    <xf numFmtId="164" fontId="0" fillId="4" borderId="9" applyAlignment="1" pivotButton="0" quotePrefix="0" xfId="2">
      <alignment horizontal="right" vertical="center"/>
    </xf>
    <xf numFmtId="164" fontId="0" fillId="5" borderId="33" applyAlignment="1" pivotButton="0" quotePrefix="0" xfId="2">
      <alignment horizontal="right" vertical="center"/>
    </xf>
    <xf numFmtId="164" fontId="0" fillId="2" borderId="35" applyAlignment="1" pivotButton="0" quotePrefix="0" xfId="2">
      <alignment horizontal="right" vertical="center"/>
    </xf>
    <xf numFmtId="164" fontId="0" fillId="5" borderId="43" applyAlignment="1" pivotButton="0" quotePrefix="0" xfId="2">
      <alignment horizontal="right" vertical="center"/>
    </xf>
    <xf numFmtId="164" fontId="0" fillId="5" borderId="45" applyAlignment="1" pivotButton="0" quotePrefix="0" xfId="2">
      <alignment horizontal="right" vertical="center"/>
    </xf>
    <xf numFmtId="164" fontId="0" fillId="2" borderId="44" applyAlignment="1" pivotButton="0" quotePrefix="0" xfId="2">
      <alignment horizontal="right" vertical="center"/>
    </xf>
    <xf numFmtId="38" fontId="0" fillId="5" borderId="7" applyAlignment="1" pivotButton="0" quotePrefix="0" xfId="1">
      <alignment vertical="center"/>
    </xf>
    <xf numFmtId="0" fontId="0" fillId="5" borderId="9" applyAlignment="1" pivotButton="0" quotePrefix="0" xfId="0">
      <alignment vertical="center"/>
    </xf>
    <xf numFmtId="38" fontId="0" fillId="0" borderId="8" applyAlignment="1" pivotButton="0" quotePrefix="0" xfId="1">
      <alignment vertical="center"/>
    </xf>
    <xf numFmtId="38" fontId="0" fillId="2" borderId="9" applyAlignment="1" pivotButton="0" quotePrefix="0" xfId="1">
      <alignment vertical="center"/>
    </xf>
    <xf numFmtId="38" fontId="0" fillId="0" borderId="19" applyAlignment="1" pivotButton="0" quotePrefix="0" xfId="1">
      <alignment vertical="center"/>
    </xf>
    <xf numFmtId="164" fontId="0" fillId="0" borderId="8" applyAlignment="1" pivotButton="0" quotePrefix="0" xfId="2">
      <alignment horizontal="right" vertical="center"/>
    </xf>
    <xf numFmtId="164" fontId="0" fillId="2" borderId="8" applyAlignment="1" pivotButton="0" quotePrefix="0" xfId="2">
      <alignment horizontal="right" vertical="center"/>
    </xf>
    <xf numFmtId="0" fontId="3" fillId="0" borderId="28" applyAlignment="1" pivotButton="0" quotePrefix="0" xfId="0">
      <alignment vertical="center"/>
    </xf>
    <xf numFmtId="0" fontId="3" fillId="0" borderId="29" applyAlignment="1" pivotButton="0" quotePrefix="0" xfId="0">
      <alignment vertical="center"/>
    </xf>
    <xf numFmtId="0" fontId="3" fillId="0" borderId="6" applyAlignment="1" pivotButton="0" quotePrefix="0" xfId="0">
      <alignment vertical="center"/>
    </xf>
    <xf numFmtId="0" fontId="3" fillId="0" borderId="10" applyAlignment="1" pivotButton="0" quotePrefix="0" xfId="0">
      <alignment vertical="center"/>
    </xf>
    <xf numFmtId="0" fontId="8" fillId="0" borderId="27" applyAlignment="1" pivotButton="0" quotePrefix="0" xfId="0">
      <alignment vertical="center"/>
    </xf>
    <xf numFmtId="0" fontId="0" fillId="0" borderId="15" applyAlignment="1" pivotButton="0" quotePrefix="0" xfId="0">
      <alignment vertical="center"/>
    </xf>
    <xf numFmtId="38" fontId="0" fillId="3" borderId="18" applyAlignment="1" pivotButton="0" quotePrefix="0" xfId="0">
      <alignment vertical="center"/>
    </xf>
    <xf numFmtId="38" fontId="0" fillId="3" borderId="5" applyAlignment="1" pivotButton="0" quotePrefix="0" xfId="0">
      <alignment vertical="center"/>
    </xf>
    <xf numFmtId="38" fontId="0" fillId="2" borderId="25" applyAlignment="1" pivotButton="0" quotePrefix="0" xfId="1">
      <alignment vertical="center"/>
    </xf>
    <xf numFmtId="38" fontId="0" fillId="4" borderId="26" applyAlignment="1" pivotButton="0" quotePrefix="0" xfId="1">
      <alignment vertical="center"/>
    </xf>
    <xf numFmtId="38" fontId="0" fillId="2" borderId="42"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164" fontId="0" fillId="0" borderId="17" applyAlignment="1" pivotButton="0" quotePrefix="0" xfId="2">
      <alignment horizontal="right" vertical="center"/>
    </xf>
    <xf numFmtId="38" fontId="0" fillId="0" borderId="1" applyAlignment="1" pivotButton="0" quotePrefix="0" xfId="1">
      <alignment vertical="center"/>
    </xf>
    <xf numFmtId="38" fontId="0" fillId="0" borderId="46" applyAlignment="1" pivotButton="0" quotePrefix="0" xfId="1">
      <alignment vertical="center"/>
    </xf>
    <xf numFmtId="38" fontId="0" fillId="0" borderId="47" applyAlignment="1" pivotButton="0" quotePrefix="0" xfId="1">
      <alignment vertical="center"/>
    </xf>
    <xf numFmtId="38" fontId="0" fillId="2" borderId="48" applyAlignment="1" pivotButton="0" quotePrefix="0" xfId="1">
      <alignment vertical="center"/>
    </xf>
    <xf numFmtId="38" fontId="0" fillId="2" borderId="36" applyAlignment="1" pivotButton="0" quotePrefix="0" xfId="1">
      <alignment vertical="center"/>
    </xf>
    <xf numFmtId="164" fontId="0" fillId="5" borderId="49" applyAlignment="1" pivotButton="0" quotePrefix="0" xfId="2">
      <alignment horizontal="right" vertical="center"/>
    </xf>
    <xf numFmtId="164" fontId="0" fillId="0" borderId="1" applyAlignment="1" pivotButton="0" quotePrefix="0" xfId="2">
      <alignment horizontal="right" vertical="center"/>
    </xf>
    <xf numFmtId="164" fontId="0" fillId="2" borderId="3" applyAlignment="1" pivotButton="0" quotePrefix="0" xfId="2">
      <alignment horizontal="right" vertical="center"/>
    </xf>
    <xf numFmtId="164" fontId="0" fillId="0" borderId="46" applyAlignment="1" pivotButton="0" quotePrefix="0" xfId="2">
      <alignment horizontal="right" vertical="center"/>
    </xf>
    <xf numFmtId="164" fontId="0" fillId="0" borderId="47" applyAlignment="1" pivotButton="0" quotePrefix="0" xfId="2">
      <alignment horizontal="right" vertical="center"/>
    </xf>
    <xf numFmtId="164" fontId="0" fillId="2" borderId="48" applyAlignment="1" pivotButton="0" quotePrefix="0" xfId="2">
      <alignment horizontal="right" vertical="center"/>
    </xf>
    <xf numFmtId="38" fontId="0" fillId="2" borderId="50" applyAlignment="1" pivotButton="0" quotePrefix="0" xfId="1">
      <alignment vertical="center"/>
    </xf>
    <xf numFmtId="164" fontId="0" fillId="5" borderId="51" applyAlignment="1" pivotButton="0" quotePrefix="0" xfId="2">
      <alignment horizontal="right" vertical="center"/>
    </xf>
    <xf numFmtId="0" fontId="0" fillId="0" borderId="0" pivotButton="0" quotePrefix="0" xfId="0"/>
    <xf numFmtId="38" fontId="0" fillId="0" borderId="31" applyAlignment="1" pivotButton="0" quotePrefix="0" xfId="1">
      <alignment vertical="center"/>
    </xf>
    <xf numFmtId="164" fontId="0" fillId="0" borderId="31" applyAlignment="1" pivotButton="0" quotePrefix="0" xfId="2">
      <alignment horizontal="right" vertical="center"/>
    </xf>
    <xf numFmtId="0" fontId="0" fillId="5" borderId="2" applyAlignment="1" pivotButton="0" quotePrefix="0" xfId="0">
      <alignment vertical="center"/>
    </xf>
    <xf numFmtId="0" fontId="0" fillId="5" borderId="8" applyAlignment="1" pivotButton="0" quotePrefix="0" xfId="0">
      <alignment vertical="center"/>
    </xf>
    <xf numFmtId="38" fontId="0" fillId="2" borderId="8" applyAlignment="1" pivotButton="0" quotePrefix="0" xfId="1">
      <alignment vertical="center"/>
    </xf>
    <xf numFmtId="164" fontId="0" fillId="2" borderId="9" applyAlignment="1" pivotButton="0" quotePrefix="0" xfId="2">
      <alignment horizontal="right" vertical="center"/>
    </xf>
    <xf numFmtId="38" fontId="0" fillId="2" borderId="26" applyAlignment="1" pivotButton="0" quotePrefix="0" xfId="1">
      <alignment vertical="center"/>
    </xf>
    <xf numFmtId="38" fontId="0" fillId="0" borderId="7" applyAlignment="1" pivotButton="0" quotePrefix="0" xfId="1">
      <alignment vertical="center"/>
    </xf>
    <xf numFmtId="164" fontId="0" fillId="0" borderId="19" applyAlignment="1" pivotButton="0" quotePrefix="0" xfId="2">
      <alignment horizontal="right" vertical="center"/>
    </xf>
    <xf numFmtId="38" fontId="1" fillId="0" borderId="5" applyAlignment="1" pivotButton="0" quotePrefix="0" xfId="1">
      <alignment vertical="center"/>
    </xf>
    <xf numFmtId="38" fontId="1" fillId="0" borderId="2" applyAlignment="1" pivotButton="0" quotePrefix="0" xfId="1">
      <alignment vertical="center"/>
    </xf>
    <xf numFmtId="38" fontId="1" fillId="5" borderId="34" applyAlignment="1" pivotButton="0" quotePrefix="0" xfId="0">
      <alignment vertical="center"/>
    </xf>
    <xf numFmtId="38" fontId="1" fillId="5" borderId="45" applyAlignment="1" pivotButton="0" quotePrefix="0" xfId="0">
      <alignment vertical="center"/>
    </xf>
    <xf numFmtId="0" fontId="0" fillId="0" borderId="13" applyAlignment="1" pivotButton="0" quotePrefix="0" xfId="0">
      <alignment horizontal="center" vertical="center"/>
    </xf>
    <xf numFmtId="38" fontId="1" fillId="3" borderId="19" applyAlignment="1" pivotButton="0" quotePrefix="0" xfId="0">
      <alignment vertical="center"/>
    </xf>
    <xf numFmtId="0" fontId="0" fillId="0" borderId="42" applyAlignment="1" pivotButton="0" quotePrefix="0" xfId="0">
      <alignment vertical="center"/>
    </xf>
    <xf numFmtId="38" fontId="7" fillId="0" borderId="25" applyAlignment="1" pivotButton="0" quotePrefix="0" xfId="1">
      <alignment vertical="center"/>
    </xf>
    <xf numFmtId="38" fontId="0" fillId="0" borderId="25" applyAlignment="1" pivotButton="0" quotePrefix="0" xfId="1">
      <alignment vertical="center"/>
    </xf>
    <xf numFmtId="0" fontId="0" fillId="3" borderId="26" applyAlignment="1" pivotButton="0" quotePrefix="0" xfId="0">
      <alignment vertical="center"/>
    </xf>
    <xf numFmtId="0" fontId="0" fillId="5" borderId="42" applyAlignment="1" pivotButton="0" quotePrefix="0" xfId="0">
      <alignment vertical="center"/>
    </xf>
    <xf numFmtId="0" fontId="0" fillId="5" borderId="26" applyAlignment="1" pivotButton="0" quotePrefix="0" xfId="0">
      <alignment vertical="center"/>
    </xf>
    <xf numFmtId="38" fontId="0" fillId="0" borderId="52" applyAlignment="1" pivotButton="0" quotePrefix="0" xfId="1">
      <alignment horizontal="center" vertical="center"/>
    </xf>
    <xf numFmtId="0" fontId="0" fillId="0" borderId="13" pivotButton="0" quotePrefix="0" xfId="0"/>
    <xf numFmtId="0" fontId="0" fillId="0" borderId="14" pivotButton="0" quotePrefix="0" xfId="0"/>
    <xf numFmtId="38" fontId="0" fillId="0" borderId="14" applyAlignment="1" pivotButton="0" quotePrefix="0" xfId="1">
      <alignment horizontal="center" vertical="center"/>
    </xf>
    <xf numFmtId="0" fontId="0" fillId="0" borderId="52"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38" fontId="0" fillId="0" borderId="13" applyAlignment="1" pivotButton="0" quotePrefix="0" xfId="1">
      <alignment horizontal="center" vertical="center"/>
    </xf>
    <xf numFmtId="0" fontId="0" fillId="0" borderId="1" applyAlignment="1" pivotButton="0" quotePrefix="0" xfId="0">
      <alignment horizontal="center" vertical="center"/>
    </xf>
    <xf numFmtId="0" fontId="0" fillId="0" borderId="24" pivotButton="0" quotePrefix="0" xfId="0"/>
    <xf numFmtId="0" fontId="0" fillId="0" borderId="17" pivotButton="0" quotePrefix="0" xfId="0"/>
    <xf numFmtId="0" fontId="4"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21" applyAlignment="1" pivotButton="0" quotePrefix="0" xfId="0">
      <alignment horizontal="center" vertical="center"/>
    </xf>
    <xf numFmtId="0" fontId="0" fillId="0" borderId="23" pivotButton="0" quotePrefix="0" xfId="0"/>
    <xf numFmtId="0" fontId="0" fillId="0" borderId="31" pivotButton="0" quotePrefix="0" xfId="0"/>
    <xf numFmtId="0" fontId="0" fillId="0" borderId="32"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37" pivotButton="0" quotePrefix="0" xfId="0"/>
    <xf numFmtId="164" fontId="0" fillId="3" borderId="8" applyAlignment="1" pivotButton="0" quotePrefix="0" xfId="2">
      <alignment horizontal="right" vertical="center"/>
    </xf>
    <xf numFmtId="164" fontId="0" fillId="4" borderId="8" applyAlignment="1" pivotButton="0" quotePrefix="0" xfId="2">
      <alignment horizontal="right" vertical="center"/>
    </xf>
    <xf numFmtId="164" fontId="0" fillId="3" borderId="5" applyAlignment="1" pivotButton="0" quotePrefix="0" xfId="2">
      <alignment horizontal="right" vertical="center"/>
    </xf>
    <xf numFmtId="164" fontId="0" fillId="4" borderId="5" applyAlignment="1" pivotButton="0" quotePrefix="0" xfId="2">
      <alignment horizontal="right" vertical="center"/>
    </xf>
    <xf numFmtId="164" fontId="0" fillId="0" borderId="0" applyAlignment="1" pivotButton="0" quotePrefix="0" xfId="2">
      <alignment horizontal="right"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0" borderId="2" applyAlignment="1" pivotButton="0" quotePrefix="0" xfId="2">
      <alignment horizontal="right" vertical="center"/>
    </xf>
    <xf numFmtId="164" fontId="0" fillId="2" borderId="2" applyAlignment="1" pivotButton="0" quotePrefix="0" xfId="2">
      <alignment horizontal="righ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164" fontId="0" fillId="0" borderId="17" applyAlignment="1" pivotButton="0" quotePrefix="0" xfId="2">
      <alignment horizontal="right" vertical="center"/>
    </xf>
    <xf numFmtId="164" fontId="0" fillId="0" borderId="19" applyAlignment="1" pivotButton="0" quotePrefix="0" xfId="2">
      <alignment horizontal="right" vertical="center"/>
    </xf>
    <xf numFmtId="164" fontId="0" fillId="0" borderId="8" applyAlignment="1" pivotButton="0" quotePrefix="0" xfId="2">
      <alignment horizontal="right" vertical="center"/>
    </xf>
    <xf numFmtId="164" fontId="0" fillId="2" borderId="8" applyAlignment="1" pivotButton="0" quotePrefix="0" xfId="2">
      <alignment horizontal="right" vertical="center"/>
    </xf>
    <xf numFmtId="164" fontId="0" fillId="0" borderId="31" applyAlignment="1" pivotButton="0" quotePrefix="0" xfId="2">
      <alignment horizontal="right" vertical="center"/>
    </xf>
    <xf numFmtId="164" fontId="0" fillId="9" borderId="0" applyAlignment="1" pivotButton="0" quotePrefix="0" xfId="2">
      <alignment horizontal="right" vertical="center"/>
    </xf>
    <xf numFmtId="164" fontId="0" fillId="0" borderId="4" applyAlignment="1" pivotButton="0" quotePrefix="0" xfId="2">
      <alignment horizontal="right" vertical="center"/>
    </xf>
    <xf numFmtId="164" fontId="0" fillId="2" borderId="6" applyAlignment="1" pivotButton="0" quotePrefix="0" xfId="2">
      <alignment horizontal="right" vertical="center"/>
    </xf>
    <xf numFmtId="164" fontId="0" fillId="3" borderId="7" applyAlignment="1" pivotButton="0" quotePrefix="0" xfId="2">
      <alignment horizontal="right" vertical="center"/>
    </xf>
    <xf numFmtId="164" fontId="0" fillId="4" borderId="9" applyAlignment="1" pivotButton="0" quotePrefix="0" xfId="2">
      <alignment horizontal="right" vertical="center"/>
    </xf>
    <xf numFmtId="164" fontId="0" fillId="0" borderId="1" applyAlignment="1" pivotButton="0" quotePrefix="0" xfId="2">
      <alignment horizontal="right" vertical="center"/>
    </xf>
    <xf numFmtId="164" fontId="0" fillId="2" borderId="3" applyAlignment="1" pivotButton="0" quotePrefix="0" xfId="2">
      <alignment horizontal="right" vertical="center"/>
    </xf>
    <xf numFmtId="164" fontId="0" fillId="0" borderId="46" applyAlignment="1" pivotButton="0" quotePrefix="0" xfId="2">
      <alignment horizontal="right" vertical="center"/>
    </xf>
    <xf numFmtId="164" fontId="0" fillId="0" borderId="47" applyAlignment="1" pivotButton="0" quotePrefix="0" xfId="2">
      <alignment horizontal="right" vertical="center"/>
    </xf>
    <xf numFmtId="164" fontId="0" fillId="2" borderId="48" applyAlignment="1" pivotButton="0" quotePrefix="0" xfId="2">
      <alignment horizontal="right" vertical="center"/>
    </xf>
    <xf numFmtId="164" fontId="0" fillId="2" borderId="9" applyAlignment="1" pivotButton="0" quotePrefix="0" xfId="2">
      <alignment horizontal="right" vertical="center"/>
    </xf>
    <xf numFmtId="164" fontId="0" fillId="5" borderId="33" applyAlignment="1" pivotButton="0" quotePrefix="0" xfId="2">
      <alignment horizontal="right" vertical="center"/>
    </xf>
    <xf numFmtId="164" fontId="0" fillId="5" borderId="34" applyAlignment="1" pivotButton="0" quotePrefix="0" xfId="2">
      <alignment horizontal="right" vertical="center"/>
    </xf>
    <xf numFmtId="164" fontId="0" fillId="2" borderId="35" applyAlignment="1" pivotButton="0" quotePrefix="0" xfId="2">
      <alignment horizontal="right" vertical="center"/>
    </xf>
    <xf numFmtId="164" fontId="0" fillId="5" borderId="43" applyAlignment="1" pivotButton="0" quotePrefix="0" xfId="2">
      <alignment horizontal="right" vertical="center"/>
    </xf>
    <xf numFmtId="164" fontId="0" fillId="5" borderId="45" applyAlignment="1" pivotButton="0" quotePrefix="0" xfId="2">
      <alignment horizontal="right" vertical="center"/>
    </xf>
    <xf numFmtId="164" fontId="0" fillId="2" borderId="44" applyAlignment="1" pivotButton="0" quotePrefix="0" xfId="2">
      <alignment horizontal="right" vertical="center"/>
    </xf>
    <xf numFmtId="164" fontId="0" fillId="5" borderId="49" applyAlignment="1" pivotButton="0" quotePrefix="0" xfId="2">
      <alignment horizontal="right" vertical="center"/>
    </xf>
    <xf numFmtId="164" fontId="0" fillId="5" borderId="51" applyAlignment="1" pivotButton="0" quotePrefix="0" xfId="2">
      <alignment horizontal="right" vertical="center"/>
    </xf>
    <xf numFmtId="164" fontId="0" fillId="8" borderId="0" applyAlignment="1" pivotButton="0" quotePrefix="0" xfId="2">
      <alignment horizontal="right" vertical="center"/>
    </xf>
    <xf numFmtId="164" fontId="0" fillId="2" borderId="34" applyAlignment="1" pivotButton="0" quotePrefix="0" xfId="2">
      <alignment horizontal="right" vertical="center"/>
    </xf>
    <xf numFmtId="164" fontId="0" fillId="0" borderId="35" applyAlignment="1" pivotButton="0" quotePrefix="0" xfId="2">
      <alignment vertical="center"/>
    </xf>
    <xf numFmtId="164" fontId="0" fillId="0" borderId="36" applyAlignment="1" pivotButton="0" quotePrefix="0" xfId="2">
      <alignment vertical="center"/>
    </xf>
    <xf numFmtId="164" fontId="0" fillId="0" borderId="6" applyAlignment="1" pivotButton="0" quotePrefix="0" xfId="2">
      <alignment vertical="center"/>
    </xf>
    <xf numFmtId="164" fontId="0" fillId="0" borderId="25" applyAlignment="1" pivotButton="0" quotePrefix="0" xfId="2">
      <alignment vertical="center"/>
    </xf>
  </cellXfs>
  <cellStyles count="3">
    <cellStyle name="標準" xfId="0" builtinId="0"/>
    <cellStyle name="桁区切り" xfId="1" builtinId="6"/>
    <cellStyle name="パーセント"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ma-takahashi</author>
  </authors>
  <commentList>
    <comment ref="C51" authorId="0" shapeId="0">
      <text>
        <t>ma-takahashi:
過年度平均スライドで設定</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3999755851924192"/>
    <outlinePr summaryBelow="1" summaryRight="1"/>
    <pageSetUpPr fitToPage="1"/>
  </sheetPr>
  <dimension ref="C1:Y70"/>
  <sheetViews>
    <sheetView topLeftCell="B22" workbookViewId="0">
      <pane xSplit="3" ySplit="3" topLeftCell="E33" activePane="bottomRight" state="frozen"/>
      <selection activeCell="B22" sqref="B22"/>
      <selection pane="topRight" activeCell="E22" sqref="E22"/>
      <selection pane="bottomLeft" activeCell="B25" sqref="B25"/>
      <selection pane="bottomRight" activeCell="N61" sqref="N61"/>
    </sheetView>
  </sheetViews>
  <sheetFormatPr baseColWidth="8" defaultColWidth="8.875" defaultRowHeight="18.75"/>
  <cols>
    <col width="9.625" bestFit="1" customWidth="1" style="171" min="3" max="3"/>
    <col width="10.125" customWidth="1" style="171" min="5" max="25"/>
  </cols>
  <sheetData>
    <row r="1" ht="24" customHeight="1" s="171">
      <c r="C1" s="21" t="inlineStr">
        <is>
          <t>キョウワ</t>
        </is>
      </c>
    </row>
    <row r="2" ht="24" customHeight="1" s="171">
      <c r="C2" s="21" t="n"/>
    </row>
    <row r="3" ht="24" customHeight="1" s="171">
      <c r="C3" s="51" t="inlineStr">
        <is>
          <t>売上を増やす営業活動はタカハシ包装が主体になると思いますので、一旦計画は過年度平均比スライドで設定しております。</t>
        </is>
      </c>
    </row>
    <row r="4" ht="24" customHeight="1" s="171">
      <c r="C4" s="21" t="n"/>
    </row>
    <row r="5">
      <c r="C5" s="172" t="inlineStr">
        <is>
          <t>（参考）2019年</t>
        </is>
      </c>
    </row>
    <row r="6">
      <c r="C6" s="163" t="n"/>
      <c r="D6" s="161" t="n"/>
      <c r="E6" s="165" t="n"/>
      <c r="F6" s="160" t="n"/>
      <c r="G6" s="160" t="n"/>
      <c r="H6" s="160" t="n"/>
      <c r="I6" s="160" t="n"/>
      <c r="J6" s="160" t="n"/>
      <c r="K6" s="160" t="n"/>
      <c r="L6" s="166" t="n"/>
      <c r="M6" s="160" t="n"/>
      <c r="N6" s="160" t="n"/>
      <c r="O6" s="160" t="n"/>
      <c r="P6" s="160" t="n"/>
      <c r="Q6" s="160" t="n"/>
      <c r="R6" s="160" t="n"/>
      <c r="S6" s="166" t="n"/>
      <c r="T6" s="160" t="n"/>
      <c r="U6" s="160" t="n"/>
      <c r="V6" s="160" t="n"/>
      <c r="W6" s="160" t="n"/>
      <c r="X6" s="160" t="n"/>
      <c r="Y6" s="160" t="n"/>
    </row>
    <row r="7">
      <c r="C7" s="1" t="n"/>
      <c r="D7" s="19" t="n"/>
      <c r="E7" s="2" t="n">
        <v>43556</v>
      </c>
      <c r="F7" s="2" t="n">
        <v>43586</v>
      </c>
      <c r="G7" s="2" t="n">
        <v>43617</v>
      </c>
      <c r="H7" s="2" t="n">
        <v>43647</v>
      </c>
      <c r="I7" s="2" t="n">
        <v>43678</v>
      </c>
      <c r="J7" s="2" t="n">
        <v>43709</v>
      </c>
      <c r="K7" s="6" t="inlineStr">
        <is>
          <t>合計</t>
        </is>
      </c>
      <c r="L7" s="2" t="n">
        <v>43556</v>
      </c>
      <c r="M7" s="2" t="n">
        <v>43586</v>
      </c>
      <c r="N7" s="2" t="n">
        <v>43617</v>
      </c>
      <c r="O7" s="2" t="n">
        <v>43647</v>
      </c>
      <c r="P7" s="2" t="n">
        <v>43678</v>
      </c>
      <c r="Q7" s="2" t="n">
        <v>43709</v>
      </c>
      <c r="R7" s="6" t="inlineStr">
        <is>
          <t>合計</t>
        </is>
      </c>
      <c r="S7" s="2" t="n">
        <v>43556</v>
      </c>
      <c r="T7" s="2" t="n">
        <v>43586</v>
      </c>
      <c r="U7" s="2" t="n">
        <v>43617</v>
      </c>
      <c r="V7" s="2" t="n">
        <v>43647</v>
      </c>
      <c r="W7" s="2" t="n">
        <v>43678</v>
      </c>
      <c r="X7" s="2" t="n">
        <v>43709</v>
      </c>
      <c r="Y7" s="6" t="inlineStr">
        <is>
          <t>合計</t>
        </is>
      </c>
    </row>
    <row r="8">
      <c r="C8" s="45" t="inlineStr">
        <is>
          <t>合計</t>
        </is>
      </c>
      <c r="D8" s="46" t="n"/>
      <c r="E8" s="7" t="n">
        <v>2493</v>
      </c>
      <c r="F8" s="7" t="n">
        <v>2802</v>
      </c>
      <c r="G8" s="7" t="n">
        <v>1732</v>
      </c>
      <c r="H8" s="7" t="n">
        <v>3012</v>
      </c>
      <c r="I8" s="7" t="n">
        <v>2306</v>
      </c>
      <c r="J8" s="7" t="n">
        <v>1835</v>
      </c>
      <c r="K8" s="8">
        <f>SUM(E8:J8)</f>
        <v/>
      </c>
      <c r="L8" s="7" t="n">
        <v>1774</v>
      </c>
      <c r="M8" s="7" t="n">
        <v>1783</v>
      </c>
      <c r="N8" s="7" t="n">
        <v>965</v>
      </c>
      <c r="O8" s="7" t="n">
        <v>2273</v>
      </c>
      <c r="P8" s="7" t="n">
        <v>1854</v>
      </c>
      <c r="Q8" s="7" t="n">
        <v>1134</v>
      </c>
      <c r="R8" s="8">
        <f>SUM(L8:Q8)</f>
        <v/>
      </c>
      <c r="S8" s="181">
        <f>IF(E8=0,"***",L8/E8)</f>
        <v/>
      </c>
      <c r="T8" s="181">
        <f>IF(F8=0,"***",M8/F8)</f>
        <v/>
      </c>
      <c r="U8" s="181">
        <f>IF(G8=0,"***",N8/G8)</f>
        <v/>
      </c>
      <c r="V8" s="181">
        <f>IF(H8=0,"***",O8/H8)</f>
        <v/>
      </c>
      <c r="W8" s="181">
        <f>IF(I8=0,"***",P8/I8)</f>
        <v/>
      </c>
      <c r="X8" s="181">
        <f>IF(J8=0,"***",Q8/J8)</f>
        <v/>
      </c>
      <c r="Y8" s="182">
        <f>IF(K8=0,"***",R8/K8)</f>
        <v/>
      </c>
    </row>
    <row r="9" ht="24" customHeight="1" s="171">
      <c r="C9" s="21" t="n"/>
    </row>
    <row r="10">
      <c r="C10" s="172" t="inlineStr">
        <is>
          <t>（参考）2020年</t>
        </is>
      </c>
      <c r="H10" s="172" t="inlineStr">
        <is>
          <t>→子会社化</t>
        </is>
      </c>
      <c r="K10" s="172" t="inlineStr">
        <is>
          <t>コロナは5月から</t>
        </is>
      </c>
    </row>
    <row r="11">
      <c r="C11" s="163" t="n"/>
      <c r="D11" s="161" t="n"/>
      <c r="E11" s="165" t="n"/>
      <c r="F11" s="160" t="n"/>
      <c r="G11" s="160" t="n"/>
      <c r="H11" s="160" t="n"/>
      <c r="I11" s="160" t="n"/>
      <c r="J11" s="160" t="n"/>
      <c r="K11" s="160" t="n"/>
      <c r="L11" s="166" t="n"/>
      <c r="M11" s="160" t="n"/>
      <c r="N11" s="160" t="n"/>
      <c r="O11" s="160" t="n"/>
      <c r="P11" s="160" t="n"/>
      <c r="Q11" s="160" t="n"/>
      <c r="R11" s="160" t="n"/>
      <c r="S11" s="166" t="n"/>
      <c r="T11" s="160" t="n"/>
      <c r="U11" s="160" t="n"/>
      <c r="V11" s="160" t="n"/>
      <c r="W11" s="160" t="n"/>
      <c r="X11" s="160" t="n"/>
      <c r="Y11" s="160" t="n"/>
    </row>
    <row r="12">
      <c r="C12" s="1" t="n"/>
      <c r="D12" s="19" t="n"/>
      <c r="E12" s="2" t="n">
        <v>43922</v>
      </c>
      <c r="F12" s="2" t="n">
        <v>43952</v>
      </c>
      <c r="G12" s="2" t="n">
        <v>43983</v>
      </c>
      <c r="H12" s="2" t="n">
        <v>44013</v>
      </c>
      <c r="I12" s="2" t="n">
        <v>44044</v>
      </c>
      <c r="J12" s="2" t="n">
        <v>44075</v>
      </c>
      <c r="K12" s="6" t="inlineStr">
        <is>
          <t>合計</t>
        </is>
      </c>
      <c r="L12" s="2" t="n">
        <v>43922</v>
      </c>
      <c r="M12" s="2" t="n">
        <v>43952</v>
      </c>
      <c r="N12" s="2" t="n">
        <v>43983</v>
      </c>
      <c r="O12" s="2" t="n">
        <v>44013</v>
      </c>
      <c r="P12" s="2" t="n">
        <v>44044</v>
      </c>
      <c r="Q12" s="2" t="n">
        <v>44075</v>
      </c>
      <c r="R12" s="6" t="inlineStr">
        <is>
          <t>合計</t>
        </is>
      </c>
      <c r="S12" s="2" t="n">
        <v>43922</v>
      </c>
      <c r="T12" s="2" t="n">
        <v>43952</v>
      </c>
      <c r="U12" s="2" t="n">
        <v>43983</v>
      </c>
      <c r="V12" s="2" t="n">
        <v>44013</v>
      </c>
      <c r="W12" s="2" t="n">
        <v>44044</v>
      </c>
      <c r="X12" s="2" t="n">
        <v>44075</v>
      </c>
      <c r="Y12" s="6" t="inlineStr">
        <is>
          <t>合計</t>
        </is>
      </c>
    </row>
    <row r="13">
      <c r="C13" s="45" t="inlineStr">
        <is>
          <t>合計</t>
        </is>
      </c>
      <c r="D13" s="46" t="n"/>
      <c r="E13" s="7" t="n">
        <v>2493</v>
      </c>
      <c r="F13" s="7" t="n">
        <v>764</v>
      </c>
      <c r="G13" s="7" t="n">
        <v>996</v>
      </c>
      <c r="H13" s="7" t="n">
        <v>1776</v>
      </c>
      <c r="I13" s="7" t="n">
        <v>1746</v>
      </c>
      <c r="J13" s="7" t="n">
        <v>1050</v>
      </c>
      <c r="K13" s="8">
        <f>SUM(E13:J13)</f>
        <v/>
      </c>
      <c r="L13" s="7" t="n">
        <v>592</v>
      </c>
      <c r="M13" s="7" t="n">
        <v>551</v>
      </c>
      <c r="N13" s="7" t="n">
        <v>790</v>
      </c>
      <c r="O13" s="7" t="n">
        <v>1364</v>
      </c>
      <c r="P13" s="7" t="n">
        <v>720</v>
      </c>
      <c r="Q13" s="7" t="n">
        <v>725</v>
      </c>
      <c r="R13" s="8">
        <f>SUM(L13:Q13)</f>
        <v/>
      </c>
      <c r="S13" s="181">
        <f>IF(E13=0,"***",L13/E13)</f>
        <v/>
      </c>
      <c r="T13" s="181">
        <f>IF(F13=0,"***",M13/F13)</f>
        <v/>
      </c>
      <c r="U13" s="181">
        <f>IF(G13=0,"***",N13/G13)</f>
        <v/>
      </c>
      <c r="V13" s="181">
        <f>IF(H13=0,"***",O13/H13)</f>
        <v/>
      </c>
      <c r="W13" s="181">
        <f>IF(I13=0,"***",P13/I13)</f>
        <v/>
      </c>
      <c r="X13" s="181">
        <f>IF(J13=0,"***",Q13/J13)</f>
        <v/>
      </c>
      <c r="Y13" s="182">
        <f>IF(K13=0,"***",R13/K13)</f>
        <v/>
      </c>
    </row>
    <row r="14" ht="24" customHeight="1" s="171">
      <c r="C14" s="21" t="n"/>
    </row>
    <row r="15">
      <c r="C15" s="172" t="inlineStr">
        <is>
          <t>（参考）2021年</t>
        </is>
      </c>
    </row>
    <row r="16">
      <c r="C16" s="163" t="n"/>
      <c r="D16" s="161" t="n"/>
      <c r="E16" s="165" t="n"/>
      <c r="F16" s="160" t="n"/>
      <c r="G16" s="160" t="n"/>
      <c r="H16" s="160" t="n"/>
      <c r="I16" s="160" t="n"/>
      <c r="J16" s="160" t="n"/>
      <c r="K16" s="160" t="n"/>
      <c r="L16" s="166" t="n"/>
      <c r="M16" s="160" t="n"/>
      <c r="N16" s="160" t="n"/>
      <c r="O16" s="160" t="n"/>
      <c r="P16" s="160" t="n"/>
      <c r="Q16" s="160" t="n"/>
      <c r="R16" s="160" t="n"/>
      <c r="S16" s="166" t="n"/>
      <c r="T16" s="160" t="n"/>
      <c r="U16" s="160" t="n"/>
      <c r="V16" s="160" t="n"/>
      <c r="W16" s="160" t="n"/>
      <c r="X16" s="160" t="n"/>
      <c r="Y16" s="160" t="n"/>
    </row>
    <row r="17">
      <c r="C17" s="1" t="n"/>
      <c r="D17" s="19" t="n"/>
      <c r="E17" s="2" t="n">
        <v>44287</v>
      </c>
      <c r="F17" s="2" t="n">
        <v>44317</v>
      </c>
      <c r="G17" s="2" t="n">
        <v>44348</v>
      </c>
      <c r="H17" s="2" t="n">
        <v>44378</v>
      </c>
      <c r="I17" s="2" t="n">
        <v>44409</v>
      </c>
      <c r="J17" s="2" t="n">
        <v>44440</v>
      </c>
      <c r="K17" s="9" t="inlineStr">
        <is>
          <t>合計</t>
        </is>
      </c>
      <c r="L17" s="2" t="n">
        <v>44287</v>
      </c>
      <c r="M17" s="2" t="n">
        <v>44317</v>
      </c>
      <c r="N17" s="2" t="n">
        <v>44348</v>
      </c>
      <c r="O17" s="2" t="n">
        <v>44378</v>
      </c>
      <c r="P17" s="2" t="n">
        <v>44409</v>
      </c>
      <c r="Q17" s="2" t="n">
        <v>44440</v>
      </c>
      <c r="R17" s="9" t="inlineStr">
        <is>
          <t>合計</t>
        </is>
      </c>
      <c r="S17" s="2" t="n">
        <v>44287</v>
      </c>
      <c r="T17" s="2" t="n">
        <v>44317</v>
      </c>
      <c r="U17" s="2" t="n">
        <v>44348</v>
      </c>
      <c r="V17" s="2" t="n">
        <v>44378</v>
      </c>
      <c r="W17" s="2" t="n">
        <v>44409</v>
      </c>
      <c r="X17" s="2" t="n">
        <v>44440</v>
      </c>
      <c r="Y17" s="9" t="inlineStr">
        <is>
          <t>合計</t>
        </is>
      </c>
    </row>
    <row r="18">
      <c r="C18" s="45" t="inlineStr">
        <is>
          <t>合計</t>
        </is>
      </c>
      <c r="D18" s="46" t="n"/>
      <c r="E18" s="7" t="n">
        <v>2530</v>
      </c>
      <c r="F18" s="7" t="n">
        <v>1033</v>
      </c>
      <c r="G18" s="7" t="n">
        <v>1277</v>
      </c>
      <c r="H18" s="7" t="n">
        <v>2805</v>
      </c>
      <c r="I18" s="7" t="n">
        <v>2044</v>
      </c>
      <c r="J18" s="7" t="n">
        <v>1149</v>
      </c>
      <c r="K18" s="8">
        <f>SUM(E18:J18)</f>
        <v/>
      </c>
      <c r="L18" s="7" t="n">
        <v>1904</v>
      </c>
      <c r="M18" s="7" t="n">
        <v>-377</v>
      </c>
      <c r="N18" s="7" t="n">
        <v>966</v>
      </c>
      <c r="O18" s="7" t="n">
        <v>923</v>
      </c>
      <c r="P18" s="7" t="n">
        <v>860</v>
      </c>
      <c r="Q18" s="7" t="n">
        <v>496</v>
      </c>
      <c r="R18" s="8">
        <f>SUM(L18:Q18)</f>
        <v/>
      </c>
      <c r="S18" s="181">
        <f>IF(E18=0,"***",L18/E18)</f>
        <v/>
      </c>
      <c r="T18" s="181">
        <f>IF(F18=0,"***",M18/F18)</f>
        <v/>
      </c>
      <c r="U18" s="181">
        <f>IF(G18=0,"***",N18/G18)</f>
        <v/>
      </c>
      <c r="V18" s="181">
        <f>IF(H18=0,"***",O18/H18)</f>
        <v/>
      </c>
      <c r="W18" s="181">
        <f>IF(I18=0,"***",P18/I18)</f>
        <v/>
      </c>
      <c r="X18" s="181">
        <f>IF(J18=0,"***",Q18/J18)</f>
        <v/>
      </c>
      <c r="Y18" s="182">
        <f>IF(K18=0,"***",R18/K18)</f>
        <v/>
      </c>
    </row>
    <row r="19" ht="24" customHeight="1" s="171">
      <c r="C19" s="21" t="n"/>
    </row>
    <row r="20">
      <c r="C20" s="172" t="inlineStr">
        <is>
          <t>（参考）2022年</t>
        </is>
      </c>
    </row>
    <row r="21">
      <c r="C21" s="163" t="n"/>
      <c r="D21" s="161" t="n"/>
      <c r="E21" s="165" t="n"/>
      <c r="F21" s="160" t="n"/>
      <c r="G21" s="160" t="n"/>
      <c r="H21" s="160" t="n"/>
      <c r="I21" s="160" t="n"/>
      <c r="J21" s="160" t="n"/>
      <c r="K21" s="160" t="n"/>
      <c r="L21" s="166" t="n"/>
      <c r="M21" s="160" t="n"/>
      <c r="N21" s="160" t="n"/>
      <c r="O21" s="160" t="n"/>
      <c r="P21" s="160" t="n"/>
      <c r="Q21" s="160" t="n"/>
      <c r="R21" s="160" t="n"/>
      <c r="S21" s="166" t="n"/>
      <c r="T21" s="160" t="n"/>
      <c r="U21" s="160" t="n"/>
      <c r="V21" s="160" t="n"/>
      <c r="W21" s="160" t="n"/>
      <c r="X21" s="160" t="n"/>
      <c r="Y21" s="160" t="n"/>
    </row>
    <row r="22">
      <c r="C22" s="1" t="n"/>
      <c r="D22" s="19" t="n"/>
      <c r="E22" s="2" t="n">
        <v>44652</v>
      </c>
      <c r="F22" s="2" t="n">
        <v>44682</v>
      </c>
      <c r="G22" s="2" t="n">
        <v>44713</v>
      </c>
      <c r="H22" s="2" t="n">
        <v>44743</v>
      </c>
      <c r="I22" s="2" t="n">
        <v>44774</v>
      </c>
      <c r="J22" s="2" t="n">
        <v>44805</v>
      </c>
      <c r="K22" s="9" t="inlineStr">
        <is>
          <t>合計</t>
        </is>
      </c>
      <c r="L22" s="2" t="n">
        <v>44652</v>
      </c>
      <c r="M22" s="2" t="n">
        <v>44682</v>
      </c>
      <c r="N22" s="2" t="n">
        <v>44713</v>
      </c>
      <c r="O22" s="2" t="n">
        <v>44743</v>
      </c>
      <c r="P22" s="2" t="n">
        <v>44774</v>
      </c>
      <c r="Q22" s="2" t="n">
        <v>44805</v>
      </c>
      <c r="R22" s="9" t="inlineStr">
        <is>
          <t>合計</t>
        </is>
      </c>
      <c r="S22" s="2" t="n">
        <v>44652</v>
      </c>
      <c r="T22" s="2" t="n">
        <v>44682</v>
      </c>
      <c r="U22" s="2" t="n">
        <v>44713</v>
      </c>
      <c r="V22" s="2" t="n">
        <v>44743</v>
      </c>
      <c r="W22" s="2" t="n">
        <v>44774</v>
      </c>
      <c r="X22" s="2" t="n">
        <v>44805</v>
      </c>
      <c r="Y22" s="9" t="inlineStr">
        <is>
          <t>合計</t>
        </is>
      </c>
    </row>
    <row r="23">
      <c r="C23" s="45" t="inlineStr">
        <is>
          <t>合計</t>
        </is>
      </c>
      <c r="D23" s="46" t="n"/>
      <c r="E23" s="7" t="n">
        <v>1414</v>
      </c>
      <c r="F23" s="7" t="n">
        <v>2156</v>
      </c>
      <c r="G23" s="7" t="n">
        <v>3338</v>
      </c>
      <c r="H23" s="7" t="n">
        <v>2255</v>
      </c>
      <c r="I23" s="7" t="n">
        <v>1581</v>
      </c>
      <c r="J23" s="7" t="n">
        <v>2089</v>
      </c>
      <c r="K23" s="8">
        <f>SUM(E23:J23)</f>
        <v/>
      </c>
      <c r="L23" s="7" t="n">
        <v>797</v>
      </c>
      <c r="M23" s="7" t="n">
        <v>896</v>
      </c>
      <c r="N23" s="7" t="n">
        <v>797</v>
      </c>
      <c r="O23" s="7" t="n">
        <v>1624</v>
      </c>
      <c r="P23" s="7" t="n">
        <v>916</v>
      </c>
      <c r="Q23" s="7" t="n">
        <v>845</v>
      </c>
      <c r="R23" s="8">
        <f>SUM(L23:Q23)</f>
        <v/>
      </c>
      <c r="S23" s="181">
        <f>IF(E23=0,"***",L23/E23)</f>
        <v/>
      </c>
      <c r="T23" s="181">
        <f>IF(F23=0,"***",M23/F23)</f>
        <v/>
      </c>
      <c r="U23" s="181">
        <f>IF(G23=0,"***",N23/G23)</f>
        <v/>
      </c>
      <c r="V23" s="181">
        <f>IF(H23=0,"***",O23/H23)</f>
        <v/>
      </c>
      <c r="W23" s="181">
        <f>IF(I23=0,"***",P23/I23)</f>
        <v/>
      </c>
      <c r="X23" s="181">
        <f>IF(J23=0,"***",Q23/J23)</f>
        <v/>
      </c>
      <c r="Y23" s="182">
        <f>IF(K23=0,"***",R23/K23)</f>
        <v/>
      </c>
    </row>
    <row r="24" ht="24" customHeight="1" s="171">
      <c r="C24" s="21" t="n"/>
    </row>
    <row r="25">
      <c r="C25" s="172" t="inlineStr">
        <is>
          <t>1．2024年</t>
        </is>
      </c>
    </row>
    <row r="26">
      <c r="C26" s="163" t="n"/>
      <c r="D26" s="161" t="n"/>
      <c r="E26" s="163" t="inlineStr">
        <is>
          <t>売上</t>
        </is>
      </c>
      <c r="F26" s="160" t="n"/>
      <c r="G26" s="160" t="n"/>
      <c r="H26" s="160" t="n"/>
      <c r="I26" s="160" t="n"/>
      <c r="J26" s="160" t="n"/>
      <c r="K26" s="161" t="n"/>
      <c r="L26" s="159" t="inlineStr">
        <is>
          <t>粗利益</t>
        </is>
      </c>
      <c r="M26" s="160" t="n"/>
      <c r="N26" s="160" t="n"/>
      <c r="O26" s="160" t="n"/>
      <c r="P26" s="160" t="n"/>
      <c r="Q26" s="160" t="n"/>
      <c r="R26" s="161" t="n"/>
      <c r="S26" s="159" t="inlineStr">
        <is>
          <t>粗利益率</t>
        </is>
      </c>
      <c r="T26" s="160" t="n"/>
      <c r="U26" s="160" t="n"/>
      <c r="V26" s="160" t="n"/>
      <c r="W26" s="160" t="n"/>
      <c r="X26" s="160" t="n"/>
      <c r="Y26" s="161" t="n"/>
    </row>
    <row r="27">
      <c r="C27" s="1" t="n"/>
      <c r="D27" s="19" t="n"/>
      <c r="E27" s="2" t="n">
        <v>45383</v>
      </c>
      <c r="F27" s="2" t="n">
        <v>45413</v>
      </c>
      <c r="G27" s="2" t="n">
        <v>45444</v>
      </c>
      <c r="H27" s="2" t="n">
        <v>45474</v>
      </c>
      <c r="I27" s="2" t="n">
        <v>45505</v>
      </c>
      <c r="J27" s="2" t="n">
        <v>45536</v>
      </c>
      <c r="K27" s="70" t="inlineStr">
        <is>
          <t>合計</t>
        </is>
      </c>
      <c r="L27" s="69" t="n">
        <v>45383</v>
      </c>
      <c r="M27" s="2" t="n">
        <v>45413</v>
      </c>
      <c r="N27" s="2" t="n">
        <v>45444</v>
      </c>
      <c r="O27" s="2" t="n">
        <v>45474</v>
      </c>
      <c r="P27" s="2" t="n">
        <v>45505</v>
      </c>
      <c r="Q27" s="2" t="n">
        <v>45536</v>
      </c>
      <c r="R27" s="9" t="inlineStr">
        <is>
          <t>合計</t>
        </is>
      </c>
      <c r="S27" s="69" t="n">
        <v>45383</v>
      </c>
      <c r="T27" s="2" t="n">
        <v>45413</v>
      </c>
      <c r="U27" s="2" t="n">
        <v>45444</v>
      </c>
      <c r="V27" s="2" t="n">
        <v>45474</v>
      </c>
      <c r="W27" s="2" t="n">
        <v>45505</v>
      </c>
      <c r="X27" s="2" t="n">
        <v>45536</v>
      </c>
      <c r="Y27" s="9" t="inlineStr">
        <is>
          <t>合計</t>
        </is>
      </c>
    </row>
    <row r="28">
      <c r="C28" s="52" t="inlineStr">
        <is>
          <t>合計</t>
        </is>
      </c>
      <c r="D28" s="53" t="n"/>
      <c r="E28" s="117" t="n">
        <v>1956</v>
      </c>
      <c r="F28" s="117" t="n">
        <v>2537</v>
      </c>
      <c r="G28" s="117" t="n">
        <v>3086.5</v>
      </c>
      <c r="H28" s="117" t="n">
        <v>2625</v>
      </c>
      <c r="I28" s="117" t="n">
        <v>1730</v>
      </c>
      <c r="J28" s="117" t="n">
        <v>1896</v>
      </c>
      <c r="K28" s="54">
        <f>SUM(E28:J28)</f>
        <v/>
      </c>
      <c r="L28" s="117" t="n">
        <v>1049.5</v>
      </c>
      <c r="M28" s="117" t="n">
        <v>1242.5</v>
      </c>
      <c r="N28" s="117" t="n">
        <v>1137.5</v>
      </c>
      <c r="O28" s="117" t="n">
        <v>1188</v>
      </c>
      <c r="P28" s="117" t="n">
        <v>1147</v>
      </c>
      <c r="Q28" s="117" t="n">
        <v>980</v>
      </c>
      <c r="R28" s="54">
        <f>SUM(L28:Q28)</f>
        <v/>
      </c>
      <c r="S28" s="183">
        <f>IF(E28=0,"***",L28/E28)</f>
        <v/>
      </c>
      <c r="T28" s="183">
        <f>IF(F28=0,"***",M28/F28)</f>
        <v/>
      </c>
      <c r="U28" s="183">
        <f>IF(G28=0,"***",N28/G28)</f>
        <v/>
      </c>
      <c r="V28" s="183">
        <f>IF(H28=0,"***",O28/H28)</f>
        <v/>
      </c>
      <c r="W28" s="183">
        <f>IF(I28=0,"***",P28/I28)</f>
        <v/>
      </c>
      <c r="X28" s="183">
        <f>IF(J28=0,"***",Q28/J28)</f>
        <v/>
      </c>
      <c r="Y28" s="184">
        <f>IF(K28=0,"***",R28/K28)</f>
        <v/>
      </c>
    </row>
    <row r="29">
      <c r="C29" s="45" t="inlineStr">
        <is>
          <t>合計(税抜）</t>
        </is>
      </c>
      <c r="D29" s="46" t="n"/>
      <c r="E29" s="18">
        <f>ROUND(E28/1.1,-1)</f>
        <v/>
      </c>
      <c r="F29" s="18">
        <f>ROUND(F28/1.1,-1)</f>
        <v/>
      </c>
      <c r="G29" s="18">
        <f>ROUND(G28/1.1,-1)</f>
        <v/>
      </c>
      <c r="H29" s="18">
        <f>ROUND(H28/1.1,-1)</f>
        <v/>
      </c>
      <c r="I29" s="18">
        <f>ROUND(I28/1.1,-1)</f>
        <v/>
      </c>
      <c r="J29" s="18">
        <f>ROUND(J28/1.1,-1)</f>
        <v/>
      </c>
      <c r="K29" s="8">
        <f>SUM(E29:J29)</f>
        <v/>
      </c>
      <c r="L29" s="18">
        <f>ROUND(L28/1.1,-1)</f>
        <v/>
      </c>
      <c r="M29" s="18">
        <f>ROUND(M28/1.1,-1)</f>
        <v/>
      </c>
      <c r="N29" s="18">
        <f>ROUND(N28/1.1,-1)</f>
        <v/>
      </c>
      <c r="O29" s="18">
        <f>ROUND(O28/1.1,-1)</f>
        <v/>
      </c>
      <c r="P29" s="18">
        <f>ROUND(P28/1.1,-1)</f>
        <v/>
      </c>
      <c r="Q29" s="18">
        <f>ROUND(Q28/1.1,-1)</f>
        <v/>
      </c>
      <c r="R29" s="8">
        <f>SUM(L29:Q29)</f>
        <v/>
      </c>
      <c r="S29" s="181">
        <f>IF(E29=0,"***",L29/E29)</f>
        <v/>
      </c>
      <c r="T29" s="181">
        <f>IF(F29=0,"***",M29/F29)</f>
        <v/>
      </c>
      <c r="U29" s="181">
        <f>IF(G29=0,"***",N29/G29)</f>
        <v/>
      </c>
      <c r="V29" s="181">
        <f>IF(H29=0,"***",O29/H29)</f>
        <v/>
      </c>
      <c r="W29" s="181">
        <f>IF(I29=0,"***",P29/I29)</f>
        <v/>
      </c>
      <c r="X29" s="181">
        <f>IF(J29=0,"***",Q29/J29)</f>
        <v/>
      </c>
      <c r="Y29" s="182">
        <f>IF(K29=0,"***",R29/K29)</f>
        <v/>
      </c>
    </row>
    <row r="30">
      <c r="C30" s="15" t="n"/>
      <c r="E30" s="14" t="n"/>
      <c r="F30" s="14" t="n"/>
      <c r="G30" s="14" t="n"/>
      <c r="H30" s="14" t="n"/>
      <c r="I30" s="14" t="n"/>
      <c r="J30" s="14" t="n"/>
      <c r="K30" s="15" t="n"/>
      <c r="L30" s="14" t="n"/>
      <c r="M30" s="14" t="n"/>
      <c r="N30" s="14" t="n"/>
      <c r="O30" s="14" t="n"/>
      <c r="P30" s="14" t="n"/>
      <c r="Q30" s="14" t="n"/>
      <c r="R30" s="15" t="n"/>
      <c r="S30" s="185" t="n"/>
      <c r="T30" s="185" t="n"/>
      <c r="U30" s="185" t="n"/>
      <c r="V30" s="185" t="n"/>
      <c r="W30" s="185" t="n"/>
      <c r="X30" s="185" t="n"/>
      <c r="Y30" s="185" t="n"/>
    </row>
    <row r="31">
      <c r="C31" s="15" t="inlineStr">
        <is>
          <t>2．2025年</t>
        </is>
      </c>
    </row>
    <row r="32">
      <c r="C32" s="163" t="n"/>
      <c r="D32" s="161" t="n"/>
      <c r="E32" s="164" t="inlineStr">
        <is>
          <t>売上</t>
        </is>
      </c>
      <c r="F32" s="160" t="n"/>
      <c r="G32" s="160" t="n"/>
      <c r="H32" s="160" t="n"/>
      <c r="I32" s="160" t="n"/>
      <c r="J32" s="160" t="n"/>
      <c r="K32" s="160" t="n"/>
      <c r="L32" s="159" t="inlineStr">
        <is>
          <t>粗利益</t>
        </is>
      </c>
      <c r="M32" s="160" t="n"/>
      <c r="N32" s="160" t="n"/>
      <c r="O32" s="160" t="n"/>
      <c r="P32" s="160" t="n"/>
      <c r="Q32" s="160" t="n"/>
      <c r="R32" s="161" t="n"/>
      <c r="S32" s="159" t="inlineStr">
        <is>
          <t>粗利益率</t>
        </is>
      </c>
      <c r="T32" s="160" t="n"/>
      <c r="U32" s="160" t="n"/>
      <c r="V32" s="160" t="n"/>
      <c r="W32" s="160" t="n"/>
      <c r="X32" s="160" t="n"/>
      <c r="Y32" s="161" t="n"/>
    </row>
    <row r="33">
      <c r="C33" s="1" t="n"/>
      <c r="D33" s="19" t="n"/>
      <c r="E33" s="2" t="n">
        <v>45748</v>
      </c>
      <c r="F33" s="2" t="n">
        <v>45778</v>
      </c>
      <c r="G33" s="2" t="n">
        <v>45809</v>
      </c>
      <c r="H33" s="2" t="n">
        <v>45839</v>
      </c>
      <c r="I33" s="2" t="n">
        <v>45870</v>
      </c>
      <c r="J33" s="2" t="n">
        <v>45901</v>
      </c>
      <c r="K33" s="6" t="inlineStr">
        <is>
          <t>合計</t>
        </is>
      </c>
      <c r="L33" s="2" t="n">
        <v>45748</v>
      </c>
      <c r="M33" s="2" t="n">
        <v>45778</v>
      </c>
      <c r="N33" s="2" t="n">
        <v>45809</v>
      </c>
      <c r="O33" s="2" t="n">
        <v>45839</v>
      </c>
      <c r="P33" s="2" t="n">
        <v>45870</v>
      </c>
      <c r="Q33" s="2" t="n">
        <v>45901</v>
      </c>
      <c r="R33" s="6" t="inlineStr">
        <is>
          <t>合計</t>
        </is>
      </c>
      <c r="S33" s="2" t="n">
        <v>45748</v>
      </c>
      <c r="T33" s="2" t="n">
        <v>45778</v>
      </c>
      <c r="U33" s="2" t="n">
        <v>45809</v>
      </c>
      <c r="V33" s="2" t="n">
        <v>45839</v>
      </c>
      <c r="W33" s="2" t="n">
        <v>45870</v>
      </c>
      <c r="X33" s="2" t="n">
        <v>45901</v>
      </c>
      <c r="Y33" s="6" t="inlineStr">
        <is>
          <t>合計</t>
        </is>
      </c>
    </row>
    <row r="34">
      <c r="C34" s="52" t="inlineStr">
        <is>
          <t>合計</t>
        </is>
      </c>
      <c r="D34" s="53" t="n"/>
      <c r="E34" s="116" t="n">
        <v>2671</v>
      </c>
      <c r="F34" s="116" t="n">
        <v>1888</v>
      </c>
      <c r="G34" s="116" t="n">
        <v>4052</v>
      </c>
      <c r="H34" s="116" t="n">
        <v>2201</v>
      </c>
      <c r="I34" s="116" t="n">
        <v>1251</v>
      </c>
      <c r="J34" s="116" t="n">
        <v>1422</v>
      </c>
      <c r="K34" s="54">
        <f>SUM(E34:J34)</f>
        <v/>
      </c>
      <c r="L34" s="116" t="n">
        <v>1634</v>
      </c>
      <c r="M34" s="116" t="n">
        <v>1214</v>
      </c>
      <c r="N34" s="116" t="n">
        <v>2753</v>
      </c>
      <c r="O34" s="116" t="n">
        <v>1206</v>
      </c>
      <c r="P34" s="116" t="n">
        <v>783</v>
      </c>
      <c r="Q34" s="116" t="n">
        <v>993</v>
      </c>
      <c r="R34" s="54">
        <f>SUM(L34:Q34)</f>
        <v/>
      </c>
      <c r="S34" s="183">
        <f>IF(E34=0,"***",L34/E34)</f>
        <v/>
      </c>
      <c r="T34" s="183">
        <f>IF(F34=0,"***",M34/F34)</f>
        <v/>
      </c>
      <c r="U34" s="183">
        <f>IF(G34=0,"***",N34/G34)</f>
        <v/>
      </c>
      <c r="V34" s="183">
        <f>IF(H34=0,"***",O34/H34)</f>
        <v/>
      </c>
      <c r="W34" s="183">
        <f>IF(I34=0,"***",P34/I34)</f>
        <v/>
      </c>
      <c r="X34" s="183">
        <f>IF(J34=0,"***",Q34/J34)</f>
        <v/>
      </c>
      <c r="Y34" s="184">
        <f>IF(K34=0,"***",R34/K34)</f>
        <v/>
      </c>
    </row>
    <row r="35">
      <c r="C35" s="45" t="inlineStr">
        <is>
          <t>合計(税抜）</t>
        </is>
      </c>
      <c r="D35" s="46" t="n"/>
      <c r="E35" s="18">
        <f>ROUND(E34/1.05,-1)</f>
        <v/>
      </c>
      <c r="F35" s="18">
        <f>ROUND(F34/1.05,-1)</f>
        <v/>
      </c>
      <c r="G35" s="18">
        <f>ROUND(G34/1.05,-1)</f>
        <v/>
      </c>
      <c r="H35" s="18">
        <f>ROUND(H34/1.05,-1)</f>
        <v/>
      </c>
      <c r="I35" s="18">
        <f>ROUND(I34/1.05,-1)</f>
        <v/>
      </c>
      <c r="J35" s="18">
        <f>ROUND(J34/1.05,-1)</f>
        <v/>
      </c>
      <c r="K35" s="8">
        <f>SUM(E35:J35)</f>
        <v/>
      </c>
      <c r="L35" s="18">
        <f>ROUND(L34/1.05,-1)</f>
        <v/>
      </c>
      <c r="M35" s="18">
        <f>ROUND(M34/1.05,-1)</f>
        <v/>
      </c>
      <c r="N35" s="18">
        <f>ROUND(N34/1.05,-1)</f>
        <v/>
      </c>
      <c r="O35" s="18">
        <f>ROUND(O34/1.05,-1)</f>
        <v/>
      </c>
      <c r="P35" s="18">
        <f>ROUND(P34/1.05,-1)</f>
        <v/>
      </c>
      <c r="Q35" s="18">
        <f>ROUND(Q34/1.05,-1)</f>
        <v/>
      </c>
      <c r="R35" s="8">
        <f>SUM(L35:Q35)</f>
        <v/>
      </c>
      <c r="S35" s="181">
        <f>IF(E35=0,"***",L35/E35)</f>
        <v/>
      </c>
      <c r="T35" s="181">
        <f>IF(F35=0,"***",M35/F35)</f>
        <v/>
      </c>
      <c r="U35" s="181">
        <f>IF(G35=0,"***",N35/G35)</f>
        <v/>
      </c>
      <c r="V35" s="181">
        <f>IF(H35=0,"***",O35/H35)</f>
        <v/>
      </c>
      <c r="W35" s="181">
        <f>IF(I35=0,"***",P35/I35)</f>
        <v/>
      </c>
      <c r="X35" s="181">
        <f>IF(J35=0,"***",Q35/J35)</f>
        <v/>
      </c>
      <c r="Y35" s="182">
        <f>IF(K35=0,"***",R35/K35)</f>
        <v/>
      </c>
    </row>
    <row r="36">
      <c r="C36" s="15" t="n"/>
      <c r="E36" s="14" t="n"/>
      <c r="F36" s="14" t="n"/>
      <c r="G36" s="14" t="n"/>
      <c r="H36" s="14" t="n"/>
      <c r="I36" s="14" t="n"/>
      <c r="J36" s="14" t="n"/>
      <c r="K36" s="15" t="n"/>
      <c r="L36" s="14" t="n"/>
      <c r="M36" s="14" t="n"/>
      <c r="N36" s="14" t="n"/>
      <c r="O36" s="14" t="n"/>
      <c r="P36" s="14" t="n"/>
      <c r="Q36" s="14" t="n"/>
      <c r="R36" s="15" t="n"/>
      <c r="S36" s="185" t="n"/>
      <c r="T36" s="185" t="n"/>
      <c r="U36" s="185" t="n"/>
      <c r="V36" s="185" t="n"/>
      <c r="W36" s="185" t="n"/>
      <c r="X36" s="185" t="n"/>
      <c r="Y36" s="185" t="n"/>
    </row>
    <row r="37">
      <c r="C37" s="15" t="inlineStr">
        <is>
          <t>3．過年度平均</t>
        </is>
      </c>
    </row>
    <row r="38">
      <c r="C38" s="163" t="n"/>
      <c r="D38" s="161" t="n"/>
      <c r="E38" s="164" t="inlineStr">
        <is>
          <t>売上</t>
        </is>
      </c>
      <c r="F38" s="160" t="n"/>
      <c r="G38" s="160" t="n"/>
      <c r="H38" s="160" t="n"/>
      <c r="I38" s="160" t="n"/>
      <c r="J38" s="160" t="n"/>
      <c r="K38" s="160" t="n"/>
      <c r="L38" s="159" t="inlineStr">
        <is>
          <t>粗利益</t>
        </is>
      </c>
      <c r="M38" s="160" t="n"/>
      <c r="N38" s="160" t="n"/>
      <c r="O38" s="160" t="n"/>
      <c r="P38" s="160" t="n"/>
      <c r="Q38" s="160" t="n"/>
      <c r="R38" s="161" t="n"/>
      <c r="S38" s="159" t="inlineStr">
        <is>
          <t>粗利益率</t>
        </is>
      </c>
      <c r="T38" s="160" t="n"/>
      <c r="U38" s="160" t="n"/>
      <c r="V38" s="160" t="n"/>
      <c r="W38" s="160" t="n"/>
      <c r="X38" s="160" t="n"/>
      <c r="Y38" s="161" t="n"/>
    </row>
    <row r="39">
      <c r="C39" s="1" t="n"/>
      <c r="D39" s="19" t="n"/>
      <c r="E39" s="2" t="n">
        <v>45748</v>
      </c>
      <c r="F39" s="2" t="n">
        <v>45778</v>
      </c>
      <c r="G39" s="2" t="n">
        <v>45809</v>
      </c>
      <c r="H39" s="2" t="n">
        <v>45839</v>
      </c>
      <c r="I39" s="2" t="n">
        <v>45870</v>
      </c>
      <c r="J39" s="2" t="n">
        <v>45901</v>
      </c>
      <c r="K39" s="6" t="inlineStr">
        <is>
          <t>合計</t>
        </is>
      </c>
      <c r="L39" s="2" t="n">
        <v>45748</v>
      </c>
      <c r="M39" s="2" t="n">
        <v>45778</v>
      </c>
      <c r="N39" s="2" t="n">
        <v>45809</v>
      </c>
      <c r="O39" s="2" t="n">
        <v>45839</v>
      </c>
      <c r="P39" s="2" t="n">
        <v>45870</v>
      </c>
      <c r="Q39" s="2" t="n">
        <v>45901</v>
      </c>
      <c r="R39" s="6" t="inlineStr">
        <is>
          <t>合計</t>
        </is>
      </c>
      <c r="S39" s="2" t="n">
        <v>45748</v>
      </c>
      <c r="T39" s="2" t="n">
        <v>45778</v>
      </c>
      <c r="U39" s="2" t="n">
        <v>45809</v>
      </c>
      <c r="V39" s="2" t="n">
        <v>45839</v>
      </c>
      <c r="W39" s="2" t="n">
        <v>45870</v>
      </c>
      <c r="X39" s="2" t="n">
        <v>45901</v>
      </c>
      <c r="Y39" s="6" t="inlineStr">
        <is>
          <t>合計</t>
        </is>
      </c>
    </row>
    <row r="40">
      <c r="C40" s="45" t="inlineStr">
        <is>
          <t>合計</t>
        </is>
      </c>
      <c r="D40" s="46" t="n"/>
      <c r="E40" s="7">
        <f>ROUND((E28+E34)/2/1.1,0)</f>
        <v/>
      </c>
      <c r="F40" s="7">
        <f>ROUND((F28+F34)/2/1.1,0)</f>
        <v/>
      </c>
      <c r="G40" s="7">
        <f>ROUND((G28+G34)/2/1.1,0)</f>
        <v/>
      </c>
      <c r="H40" s="7">
        <f>ROUND((H28+H34)/2/1.1,0)</f>
        <v/>
      </c>
      <c r="I40" s="7">
        <f>ROUND((I28+I34)/2/1.1,0)</f>
        <v/>
      </c>
      <c r="J40" s="7">
        <f>ROUND((J28+J34)/2/1.1,0)</f>
        <v/>
      </c>
      <c r="K40" s="8">
        <f>SUM(E40:J40)</f>
        <v/>
      </c>
      <c r="L40" s="7">
        <f>ROUND((L28+L34)/2/1.1,0)</f>
        <v/>
      </c>
      <c r="M40" s="7">
        <f>ROUND((M28+M34)/2/1.1,0)</f>
        <v/>
      </c>
      <c r="N40" s="7">
        <f>ROUND((N28+N34)/2/1.1,0)</f>
        <v/>
      </c>
      <c r="O40" s="7">
        <f>ROUND((O28+O34)/2/1.1,0)</f>
        <v/>
      </c>
      <c r="P40" s="7">
        <f>ROUND((P28+P34)/2/1.1,0)</f>
        <v/>
      </c>
      <c r="Q40" s="7">
        <f>ROUND((Q28+Q34)/2/1.1,0)</f>
        <v/>
      </c>
      <c r="R40" s="8">
        <f>SUM(L40:Q40)</f>
        <v/>
      </c>
      <c r="S40" s="181">
        <f>IF(E40=0,"***",L40/E40)</f>
        <v/>
      </c>
      <c r="T40" s="181">
        <f>IF(F40=0,"***",M40/F40)</f>
        <v/>
      </c>
      <c r="U40" s="181">
        <f>IF(G40=0,"***",N40/G40)</f>
        <v/>
      </c>
      <c r="V40" s="181">
        <f>IF(H40=0,"***",O40/H40)</f>
        <v/>
      </c>
      <c r="W40" s="181">
        <f>IF(I40=0,"***",P40/I40)</f>
        <v/>
      </c>
      <c r="X40" s="181">
        <f>IF(J40=0,"***",Q40/J40)</f>
        <v/>
      </c>
      <c r="Y40" s="182">
        <f>IF(K40=0,"***",R40/K40)</f>
        <v/>
      </c>
    </row>
    <row r="41">
      <c r="C41" s="15" t="n"/>
      <c r="E41" s="14" t="n"/>
      <c r="F41" s="14" t="n"/>
      <c r="G41" s="14" t="n"/>
      <c r="H41" s="14" t="n"/>
      <c r="I41" s="14" t="n"/>
      <c r="J41" s="14" t="n"/>
      <c r="K41" s="15" t="n"/>
      <c r="L41" s="14" t="n"/>
      <c r="M41" s="14" t="n"/>
      <c r="N41" s="14" t="n"/>
      <c r="O41" s="14" t="n"/>
      <c r="P41" s="14" t="n"/>
      <c r="Q41" s="14" t="n"/>
      <c r="R41" s="15" t="n"/>
      <c r="S41" s="185" t="n"/>
      <c r="T41" s="185" t="n"/>
      <c r="U41" s="185" t="n"/>
      <c r="V41" s="185" t="n"/>
      <c r="W41" s="185" t="n"/>
      <c r="X41" s="185" t="n"/>
      <c r="Y41" s="185" t="n"/>
    </row>
    <row r="42">
      <c r="C42" s="15" t="inlineStr">
        <is>
          <t>4．計画</t>
        </is>
      </c>
    </row>
    <row r="43">
      <c r="C43" s="163" t="n"/>
      <c r="D43" s="161" t="n"/>
      <c r="E43" s="164" t="inlineStr">
        <is>
          <t>売上</t>
        </is>
      </c>
      <c r="F43" s="160" t="n"/>
      <c r="G43" s="160" t="n"/>
      <c r="H43" s="160" t="n"/>
      <c r="I43" s="160" t="n"/>
      <c r="J43" s="160" t="n"/>
      <c r="K43" s="160" t="n"/>
      <c r="L43" s="159" t="inlineStr">
        <is>
          <t>粗利益</t>
        </is>
      </c>
      <c r="M43" s="160" t="n"/>
      <c r="N43" s="160" t="n"/>
      <c r="O43" s="160" t="n"/>
      <c r="P43" s="160" t="n"/>
      <c r="Q43" s="160" t="n"/>
      <c r="R43" s="161" t="n"/>
      <c r="S43" s="159" t="inlineStr">
        <is>
          <t>粗利益率</t>
        </is>
      </c>
      <c r="T43" s="160" t="n"/>
      <c r="U43" s="160" t="n"/>
      <c r="V43" s="160" t="n"/>
      <c r="W43" s="160" t="n"/>
      <c r="X43" s="160" t="n"/>
      <c r="Y43" s="161" t="n"/>
    </row>
    <row r="44">
      <c r="C44" s="1" t="n"/>
      <c r="D44" s="19" t="n"/>
      <c r="E44" s="2" t="n">
        <v>46113</v>
      </c>
      <c r="F44" s="2" t="n">
        <v>46143</v>
      </c>
      <c r="G44" s="2" t="n">
        <v>46174</v>
      </c>
      <c r="H44" s="2" t="n">
        <v>46204</v>
      </c>
      <c r="I44" s="2" t="n">
        <v>46235</v>
      </c>
      <c r="J44" s="2" t="n">
        <v>46266</v>
      </c>
      <c r="K44" s="70" t="inlineStr">
        <is>
          <t>合計</t>
        </is>
      </c>
      <c r="L44" s="2" t="n">
        <v>46113</v>
      </c>
      <c r="M44" s="2" t="n">
        <v>46143</v>
      </c>
      <c r="N44" s="2" t="n">
        <v>46174</v>
      </c>
      <c r="O44" s="2" t="n">
        <v>46204</v>
      </c>
      <c r="P44" s="2" t="n">
        <v>46235</v>
      </c>
      <c r="Q44" s="2" t="n">
        <v>46266</v>
      </c>
      <c r="R44" s="70" t="inlineStr">
        <is>
          <t>合計</t>
        </is>
      </c>
      <c r="S44" s="69" t="n">
        <v>46113</v>
      </c>
      <c r="T44" s="2" t="n">
        <v>46143</v>
      </c>
      <c r="U44" s="2" t="n">
        <v>46174</v>
      </c>
      <c r="V44" s="2" t="n">
        <v>46204</v>
      </c>
      <c r="W44" s="2" t="n">
        <v>46235</v>
      </c>
      <c r="X44" s="2" t="n">
        <v>46266</v>
      </c>
      <c r="Y44" s="9" t="inlineStr">
        <is>
          <t>合計</t>
        </is>
      </c>
    </row>
    <row r="45">
      <c r="C45" s="45" t="inlineStr">
        <is>
          <t>合計(税抜）</t>
        </is>
      </c>
      <c r="D45" s="46" t="n"/>
      <c r="E45" s="18">
        <f>ROUND(E40,-1)</f>
        <v/>
      </c>
      <c r="F45" s="18">
        <f>ROUND(F40,-1)</f>
        <v/>
      </c>
      <c r="G45" s="18">
        <f>ROUND(G40,-1)</f>
        <v/>
      </c>
      <c r="H45" s="18">
        <f>ROUND(H40,-1)</f>
        <v/>
      </c>
      <c r="I45" s="18">
        <f>ROUND(I40,-1)</f>
        <v/>
      </c>
      <c r="J45" s="18">
        <f>ROUND(J40,-1)</f>
        <v/>
      </c>
      <c r="K45" s="8">
        <f>SUM(E45:J45)</f>
        <v/>
      </c>
      <c r="L45" s="18">
        <f>ROUND(L40,-1)</f>
        <v/>
      </c>
      <c r="M45" s="18">
        <f>ROUND(M40,-1)</f>
        <v/>
      </c>
      <c r="N45" s="18">
        <f>ROUND(N40,-1)</f>
        <v/>
      </c>
      <c r="O45" s="18">
        <f>ROUND(O40,-1)</f>
        <v/>
      </c>
      <c r="P45" s="18">
        <f>ROUND(P40,-1)</f>
        <v/>
      </c>
      <c r="Q45" s="18">
        <f>ROUND(Q40,-1)</f>
        <v/>
      </c>
      <c r="R45" s="8">
        <f>SUM(L45:Q45)</f>
        <v/>
      </c>
      <c r="S45" s="181">
        <f>IF(E45=0,"***",L45/E45)</f>
        <v/>
      </c>
      <c r="T45" s="181">
        <f>IF(F45=0,"***",M45/F45)</f>
        <v/>
      </c>
      <c r="U45" s="181">
        <f>IF(G45=0,"***",N45/G45)</f>
        <v/>
      </c>
      <c r="V45" s="181">
        <f>IF(H45=0,"***",O45/H45)</f>
        <v/>
      </c>
      <c r="W45" s="181">
        <f>IF(I45=0,"***",P45/I45)</f>
        <v/>
      </c>
      <c r="X45" s="181">
        <f>IF(J45=0,"***",Q45/J45)</f>
        <v/>
      </c>
      <c r="Y45" s="182">
        <f>IF(K45=0,"***",R45/K45)</f>
        <v/>
      </c>
    </row>
    <row r="46" hidden="1" s="171">
      <c r="C46" s="15" t="n"/>
      <c r="E46" s="14" t="n"/>
      <c r="F46" s="14" t="n"/>
      <c r="G46" s="14" t="n"/>
      <c r="H46" s="14" t="n"/>
      <c r="I46" s="14" t="n"/>
      <c r="J46" s="14" t="n"/>
      <c r="K46" s="15" t="n"/>
      <c r="L46" s="14" t="n"/>
      <c r="M46" s="14" t="n"/>
      <c r="N46" s="14" t="n"/>
      <c r="O46" s="14" t="n"/>
      <c r="P46" s="14" t="n"/>
      <c r="Q46" s="14" t="n"/>
      <c r="R46" s="15" t="n"/>
      <c r="S46" s="185" t="n"/>
      <c r="T46" s="185" t="n"/>
      <c r="U46" s="185" t="n"/>
      <c r="V46" s="185" t="n"/>
      <c r="W46" s="185" t="n"/>
      <c r="X46" s="185" t="n"/>
      <c r="Y46" s="185" t="n"/>
    </row>
    <row r="47" hidden="1" s="171">
      <c r="C47" s="15" t="inlineStr">
        <is>
          <t>５．前期比</t>
        </is>
      </c>
    </row>
    <row r="48" hidden="1" s="171">
      <c r="C48" s="163" t="n"/>
      <c r="D48" s="161" t="n"/>
      <c r="E48" s="164" t="inlineStr">
        <is>
          <t>売上</t>
        </is>
      </c>
      <c r="F48" s="160" t="n"/>
      <c r="G48" s="160" t="n"/>
      <c r="H48" s="160" t="n"/>
      <c r="I48" s="160" t="n"/>
      <c r="J48" s="160" t="n"/>
      <c r="K48" s="160" t="n"/>
      <c r="L48" s="159" t="inlineStr">
        <is>
          <t>粗利益</t>
        </is>
      </c>
      <c r="M48" s="160" t="n"/>
      <c r="N48" s="160" t="n"/>
      <c r="O48" s="160" t="n"/>
      <c r="P48" s="160" t="n"/>
      <c r="Q48" s="160" t="n"/>
      <c r="R48" s="161" t="n"/>
      <c r="S48" s="159" t="inlineStr">
        <is>
          <t>粗利益率</t>
        </is>
      </c>
      <c r="T48" s="160" t="n"/>
      <c r="U48" s="160" t="n"/>
      <c r="V48" s="160" t="n"/>
      <c r="W48" s="160" t="n"/>
      <c r="X48" s="160" t="n"/>
      <c r="Y48" s="161" t="n"/>
    </row>
    <row r="49" hidden="1" s="171">
      <c r="C49" s="1" t="n"/>
      <c r="D49" s="19" t="n"/>
      <c r="E49" s="2" t="n">
        <v>46113</v>
      </c>
      <c r="F49" s="2" t="n">
        <v>46143</v>
      </c>
      <c r="G49" s="2" t="n">
        <v>46174</v>
      </c>
      <c r="H49" s="2" t="n">
        <v>46204</v>
      </c>
      <c r="I49" s="2" t="n">
        <v>46235</v>
      </c>
      <c r="J49" s="2" t="n">
        <v>46266</v>
      </c>
      <c r="K49" s="70" t="inlineStr">
        <is>
          <t>合計</t>
        </is>
      </c>
      <c r="L49" s="2" t="n">
        <v>46113</v>
      </c>
      <c r="M49" s="2" t="n">
        <v>46143</v>
      </c>
      <c r="N49" s="2" t="n">
        <v>46174</v>
      </c>
      <c r="O49" s="2" t="n">
        <v>46204</v>
      </c>
      <c r="P49" s="2" t="n">
        <v>46235</v>
      </c>
      <c r="Q49" s="2" t="n">
        <v>46266</v>
      </c>
      <c r="R49" s="70" t="inlineStr">
        <is>
          <t>合計</t>
        </is>
      </c>
      <c r="S49" s="69" t="n">
        <v>46113</v>
      </c>
      <c r="T49" s="2" t="n">
        <v>46143</v>
      </c>
      <c r="U49" s="2" t="n">
        <v>46174</v>
      </c>
      <c r="V49" s="2" t="n">
        <v>46204</v>
      </c>
      <c r="W49" s="2" t="n">
        <v>46235</v>
      </c>
      <c r="X49" s="2" t="n">
        <v>46266</v>
      </c>
      <c r="Y49" s="9" t="inlineStr">
        <is>
          <t>合計</t>
        </is>
      </c>
    </row>
    <row r="50" hidden="1" s="171">
      <c r="C50" s="45" t="inlineStr">
        <is>
          <t>合計(税抜）</t>
        </is>
      </c>
      <c r="D50" s="46" t="n"/>
      <c r="E50" s="18">
        <f>E45-E35</f>
        <v/>
      </c>
      <c r="F50" s="18">
        <f>F45-F35</f>
        <v/>
      </c>
      <c r="G50" s="18">
        <f>G45-G35</f>
        <v/>
      </c>
      <c r="H50" s="18">
        <f>H45-H35</f>
        <v/>
      </c>
      <c r="I50" s="18">
        <f>I45-I35</f>
        <v/>
      </c>
      <c r="J50" s="18">
        <f>J45-J35</f>
        <v/>
      </c>
      <c r="K50" s="8">
        <f>SUM(E50:J50)</f>
        <v/>
      </c>
      <c r="L50" s="18">
        <f>L45-L35</f>
        <v/>
      </c>
      <c r="M50" s="18">
        <f>M45-M35</f>
        <v/>
      </c>
      <c r="N50" s="18">
        <f>N45-N35</f>
        <v/>
      </c>
      <c r="O50" s="18">
        <f>O45-O35</f>
        <v/>
      </c>
      <c r="P50" s="18">
        <f>P45-P35</f>
        <v/>
      </c>
      <c r="Q50" s="18">
        <f>Q45-Q35</f>
        <v/>
      </c>
      <c r="R50" s="8">
        <f>SUM(L50:Q50)</f>
        <v/>
      </c>
      <c r="S50" s="181">
        <f>S45-S35</f>
        <v/>
      </c>
      <c r="T50" s="181">
        <f>T45-T35</f>
        <v/>
      </c>
      <c r="U50" s="181">
        <f>U45-U35</f>
        <v/>
      </c>
      <c r="V50" s="181">
        <f>V45-V35</f>
        <v/>
      </c>
      <c r="W50" s="181">
        <f>W45-W35</f>
        <v/>
      </c>
      <c r="X50" s="181">
        <f>X45-X35</f>
        <v/>
      </c>
      <c r="Y50" s="182">
        <f>Y45-Y35</f>
        <v/>
      </c>
    </row>
    <row r="51" hidden="1" s="171"/>
    <row r="52" hidden="1" s="171">
      <c r="C52" s="15" t="inlineStr">
        <is>
          <t>６．過年度平均比</t>
        </is>
      </c>
    </row>
    <row r="53" hidden="1" s="171">
      <c r="C53" s="163" t="n"/>
      <c r="D53" s="161" t="n"/>
      <c r="E53" s="164" t="inlineStr">
        <is>
          <t>売上</t>
        </is>
      </c>
      <c r="F53" s="160" t="n"/>
      <c r="G53" s="160" t="n"/>
      <c r="H53" s="160" t="n"/>
      <c r="I53" s="160" t="n"/>
      <c r="J53" s="160" t="n"/>
      <c r="K53" s="160" t="n"/>
      <c r="L53" s="159" t="inlineStr">
        <is>
          <t>粗利益</t>
        </is>
      </c>
      <c r="M53" s="160" t="n"/>
      <c r="N53" s="160" t="n"/>
      <c r="O53" s="160" t="n"/>
      <c r="P53" s="160" t="n"/>
      <c r="Q53" s="160" t="n"/>
      <c r="R53" s="161" t="n"/>
      <c r="S53" s="159" t="inlineStr">
        <is>
          <t>粗利益率</t>
        </is>
      </c>
      <c r="T53" s="160" t="n"/>
      <c r="U53" s="160" t="n"/>
      <c r="V53" s="160" t="n"/>
      <c r="W53" s="160" t="n"/>
      <c r="X53" s="160" t="n"/>
      <c r="Y53" s="161" t="n"/>
    </row>
    <row r="54" hidden="1" s="171">
      <c r="C54" s="1" t="n"/>
      <c r="D54" s="19" t="n"/>
      <c r="E54" s="2" t="n">
        <v>46113</v>
      </c>
      <c r="F54" s="2" t="n">
        <v>46143</v>
      </c>
      <c r="G54" s="2" t="n">
        <v>46174</v>
      </c>
      <c r="H54" s="2" t="n">
        <v>46204</v>
      </c>
      <c r="I54" s="2" t="n">
        <v>46235</v>
      </c>
      <c r="J54" s="2" t="n">
        <v>46266</v>
      </c>
      <c r="K54" s="70" t="inlineStr">
        <is>
          <t>合計</t>
        </is>
      </c>
      <c r="L54" s="2" t="n">
        <v>46113</v>
      </c>
      <c r="M54" s="2" t="n">
        <v>46143</v>
      </c>
      <c r="N54" s="2" t="n">
        <v>46174</v>
      </c>
      <c r="O54" s="2" t="n">
        <v>46204</v>
      </c>
      <c r="P54" s="2" t="n">
        <v>46235</v>
      </c>
      <c r="Q54" s="2" t="n">
        <v>46266</v>
      </c>
      <c r="R54" s="70" t="inlineStr">
        <is>
          <t>合計</t>
        </is>
      </c>
      <c r="S54" s="69" t="n">
        <v>46113</v>
      </c>
      <c r="T54" s="2" t="n">
        <v>46143</v>
      </c>
      <c r="U54" s="2" t="n">
        <v>46174</v>
      </c>
      <c r="V54" s="2" t="n">
        <v>46204</v>
      </c>
      <c r="W54" s="2" t="n">
        <v>46235</v>
      </c>
      <c r="X54" s="2" t="n">
        <v>46266</v>
      </c>
      <c r="Y54" s="9" t="inlineStr">
        <is>
          <t>合計</t>
        </is>
      </c>
    </row>
    <row r="55" hidden="1" s="171">
      <c r="C55" s="45" t="inlineStr">
        <is>
          <t>合計(税抜）</t>
        </is>
      </c>
      <c r="D55" s="46" t="n"/>
      <c r="E55" s="18">
        <f>E45-E40</f>
        <v/>
      </c>
      <c r="F55" s="18">
        <f>F45-F40</f>
        <v/>
      </c>
      <c r="G55" s="18">
        <f>G45-G40</f>
        <v/>
      </c>
      <c r="H55" s="18">
        <f>H45-H40</f>
        <v/>
      </c>
      <c r="I55" s="18">
        <f>I45-I40</f>
        <v/>
      </c>
      <c r="J55" s="18">
        <f>J45-J40</f>
        <v/>
      </c>
      <c r="K55" s="8">
        <f>SUM(E55:J55)</f>
        <v/>
      </c>
      <c r="L55" s="18">
        <f>L45-L40</f>
        <v/>
      </c>
      <c r="M55" s="18">
        <f>M45-M40</f>
        <v/>
      </c>
      <c r="N55" s="18">
        <f>N45-N40</f>
        <v/>
      </c>
      <c r="O55" s="18">
        <f>O45-O40</f>
        <v/>
      </c>
      <c r="P55" s="18">
        <f>P45-P40</f>
        <v/>
      </c>
      <c r="Q55" s="18">
        <f>Q45-Q40</f>
        <v/>
      </c>
      <c r="R55" s="8">
        <f>SUM(L55:Q55)</f>
        <v/>
      </c>
      <c r="S55" s="181">
        <f>S45-S40</f>
        <v/>
      </c>
      <c r="T55" s="181">
        <f>T45-T40</f>
        <v/>
      </c>
      <c r="U55" s="181">
        <f>U45-U40</f>
        <v/>
      </c>
      <c r="V55" s="181">
        <f>V45-V40</f>
        <v/>
      </c>
      <c r="W55" s="181">
        <f>W45-W40</f>
        <v/>
      </c>
      <c r="X55" s="181">
        <f>X45-X40</f>
        <v/>
      </c>
      <c r="Y55" s="182" t="n"/>
    </row>
    <row r="56">
      <c r="C56" s="15" t="n"/>
      <c r="E56" s="14" t="n"/>
      <c r="F56" s="14" t="n"/>
      <c r="G56" s="14" t="n"/>
      <c r="H56" s="14" t="n"/>
      <c r="I56" s="14" t="n"/>
      <c r="J56" s="14" t="n"/>
      <c r="K56" s="15" t="n"/>
      <c r="L56" s="14" t="n"/>
      <c r="M56" s="14" t="n"/>
      <c r="N56" s="14" t="n"/>
      <c r="O56" s="14" t="n"/>
      <c r="P56" s="14" t="n"/>
      <c r="Q56" s="14" t="n"/>
      <c r="R56" s="15" t="n"/>
      <c r="S56" s="185" t="n"/>
      <c r="T56" s="185" t="n"/>
      <c r="U56" s="185" t="n"/>
      <c r="V56" s="185" t="n"/>
      <c r="W56" s="185" t="n"/>
      <c r="X56" s="185" t="n"/>
      <c r="Y56" s="185" t="n"/>
    </row>
    <row r="57">
      <c r="C57" s="15" t="inlineStr">
        <is>
          <t>7．実績</t>
        </is>
      </c>
    </row>
    <row r="58">
      <c r="C58" s="163" t="n"/>
      <c r="D58" s="161" t="n"/>
      <c r="E58" s="164" t="inlineStr">
        <is>
          <t>売上</t>
        </is>
      </c>
      <c r="F58" s="160" t="n"/>
      <c r="G58" s="160" t="n"/>
      <c r="H58" s="160" t="n"/>
      <c r="I58" s="160" t="n"/>
      <c r="J58" s="160" t="n"/>
      <c r="K58" s="160" t="n"/>
      <c r="L58" s="159" t="inlineStr">
        <is>
          <t>粗利益</t>
        </is>
      </c>
      <c r="M58" s="160" t="n"/>
      <c r="N58" s="160" t="n"/>
      <c r="O58" s="160" t="n"/>
      <c r="P58" s="160" t="n"/>
      <c r="Q58" s="160" t="n"/>
      <c r="R58" s="161" t="n"/>
      <c r="S58" s="159" t="inlineStr">
        <is>
          <t>粗利益率</t>
        </is>
      </c>
      <c r="T58" s="160" t="n"/>
      <c r="U58" s="160" t="n"/>
      <c r="V58" s="160" t="n"/>
      <c r="W58" s="160" t="n"/>
      <c r="X58" s="160" t="n"/>
      <c r="Y58" s="161" t="n"/>
    </row>
    <row r="59">
      <c r="C59" s="1" t="n"/>
      <c r="D59" s="19" t="n"/>
      <c r="E59" s="2" t="n">
        <v>46113</v>
      </c>
      <c r="F59" s="2" t="n">
        <v>46143</v>
      </c>
      <c r="G59" s="2" t="n">
        <v>46174</v>
      </c>
      <c r="H59" s="2" t="n">
        <v>46204</v>
      </c>
      <c r="I59" s="2" t="n">
        <v>46235</v>
      </c>
      <c r="J59" s="2" t="n">
        <v>46266</v>
      </c>
      <c r="K59" s="70" t="inlineStr">
        <is>
          <t>合計</t>
        </is>
      </c>
      <c r="L59" s="2" t="n">
        <v>46113</v>
      </c>
      <c r="M59" s="2" t="n">
        <v>46143</v>
      </c>
      <c r="N59" s="2" t="n">
        <v>46174</v>
      </c>
      <c r="O59" s="2" t="n">
        <v>46204</v>
      </c>
      <c r="P59" s="2" t="n">
        <v>46235</v>
      </c>
      <c r="Q59" s="2" t="n">
        <v>46266</v>
      </c>
      <c r="R59" s="70" t="inlineStr">
        <is>
          <t>合計</t>
        </is>
      </c>
      <c r="S59" s="69" t="n">
        <v>46113</v>
      </c>
      <c r="T59" s="2" t="n">
        <v>46143</v>
      </c>
      <c r="U59" s="2" t="n">
        <v>46174</v>
      </c>
      <c r="V59" s="2" t="n">
        <v>46204</v>
      </c>
      <c r="W59" s="2" t="n">
        <v>46235</v>
      </c>
      <c r="X59" s="2" t="n">
        <v>46266</v>
      </c>
      <c r="Y59" s="9" t="inlineStr">
        <is>
          <t>合計</t>
        </is>
      </c>
    </row>
    <row r="60">
      <c r="C60" s="45" t="inlineStr">
        <is>
          <t>合計(税抜）</t>
        </is>
      </c>
      <c r="D60" s="46" t="n"/>
      <c r="E60" s="18" t="n">
        <v>1899</v>
      </c>
      <c r="F60" s="18" t="n">
        <v>1869</v>
      </c>
      <c r="G60" s="152" t="n">
        <v>2382</v>
      </c>
      <c r="H60" s="18" t="n">
        <v>2329</v>
      </c>
      <c r="I60" s="18" t="n">
        <v>3950</v>
      </c>
      <c r="J60" s="18" t="n">
        <v>1734</v>
      </c>
      <c r="K60" s="8">
        <f>SUM(E60:J60)</f>
        <v/>
      </c>
      <c r="L60" s="18" t="n">
        <v>1242</v>
      </c>
      <c r="M60" s="18" t="n">
        <v>1317</v>
      </c>
      <c r="N60" s="152" t="n">
        <v>1466</v>
      </c>
      <c r="O60" s="18" t="n">
        <v>1227</v>
      </c>
      <c r="P60" s="18" t="n">
        <v>1723</v>
      </c>
      <c r="Q60" s="18" t="n">
        <v>1025</v>
      </c>
      <c r="R60" s="8">
        <f>SUM(L60:Q60)</f>
        <v/>
      </c>
      <c r="S60" s="181">
        <f>IF(E60=0,"***",L60/E60)</f>
        <v/>
      </c>
      <c r="T60" s="181">
        <f>IF(F60=0,"***",M60/F60)</f>
        <v/>
      </c>
      <c r="U60" s="181">
        <f>IF(G60=0,"***",N60/G60)</f>
        <v/>
      </c>
      <c r="V60" s="181">
        <f>IF(H60=0,"***",O60/H60)</f>
        <v/>
      </c>
      <c r="W60" s="181">
        <f>IF(I60=0,"***",P60/I60)</f>
        <v/>
      </c>
      <c r="X60" s="181">
        <f>IF(J60=0,"***",Q60/J60)</f>
        <v/>
      </c>
      <c r="Y60" s="182">
        <f>IF(K60=0,"***",R60/K60)</f>
        <v/>
      </c>
    </row>
    <row r="61">
      <c r="C61" s="15" t="n"/>
      <c r="E61" s="14" t="n"/>
      <c r="F61" s="14" t="n"/>
      <c r="G61" s="14" t="n"/>
      <c r="H61" s="14" t="n"/>
      <c r="I61" s="14" t="n"/>
      <c r="J61" s="14" t="n"/>
      <c r="K61" s="15" t="n"/>
      <c r="L61" s="14" t="n"/>
      <c r="M61" s="14" t="n"/>
      <c r="N61" s="14" t="n"/>
      <c r="O61" s="14" t="n"/>
      <c r="P61" s="14" t="n"/>
      <c r="Q61" s="14" t="n"/>
      <c r="R61" s="15" t="n"/>
      <c r="S61" s="185" t="n"/>
      <c r="T61" s="185" t="n"/>
      <c r="U61" s="185" t="n"/>
      <c r="V61" s="185" t="n"/>
      <c r="W61" s="185" t="n"/>
      <c r="X61" s="185" t="n"/>
      <c r="Y61" s="185" t="n"/>
    </row>
    <row r="62">
      <c r="C62" s="15" t="inlineStr">
        <is>
          <t>8．計画比</t>
        </is>
      </c>
    </row>
    <row r="63">
      <c r="C63" s="163" t="n"/>
      <c r="D63" s="161" t="n"/>
      <c r="E63" s="164" t="inlineStr">
        <is>
          <t>売上</t>
        </is>
      </c>
      <c r="F63" s="160" t="n"/>
      <c r="G63" s="160" t="n"/>
      <c r="H63" s="160" t="n"/>
      <c r="I63" s="160" t="n"/>
      <c r="J63" s="160" t="n"/>
      <c r="K63" s="160" t="n"/>
      <c r="L63" s="159" t="inlineStr">
        <is>
          <t>粗利益</t>
        </is>
      </c>
      <c r="M63" s="160" t="n"/>
      <c r="N63" s="160" t="n"/>
      <c r="O63" s="160" t="n"/>
      <c r="P63" s="160" t="n"/>
      <c r="Q63" s="160" t="n"/>
      <c r="R63" s="161" t="n"/>
      <c r="S63" s="159" t="inlineStr">
        <is>
          <t>粗利益率</t>
        </is>
      </c>
      <c r="T63" s="160" t="n"/>
      <c r="U63" s="160" t="n"/>
      <c r="V63" s="160" t="n"/>
      <c r="W63" s="160" t="n"/>
      <c r="X63" s="160" t="n"/>
      <c r="Y63" s="161" t="n"/>
    </row>
    <row r="64">
      <c r="C64" s="1" t="n"/>
      <c r="D64" s="19" t="n"/>
      <c r="E64" s="2" t="n">
        <v>46113</v>
      </c>
      <c r="F64" s="2" t="n">
        <v>46143</v>
      </c>
      <c r="G64" s="2" t="n">
        <v>46174</v>
      </c>
      <c r="H64" s="2" t="n">
        <v>46204</v>
      </c>
      <c r="I64" s="2" t="n">
        <v>46235</v>
      </c>
      <c r="J64" s="2" t="n">
        <v>46266</v>
      </c>
      <c r="K64" s="70" t="inlineStr">
        <is>
          <t>合計</t>
        </is>
      </c>
      <c r="L64" s="2" t="n">
        <v>46113</v>
      </c>
      <c r="M64" s="2" t="n">
        <v>46143</v>
      </c>
      <c r="N64" s="2" t="n">
        <v>46174</v>
      </c>
      <c r="O64" s="2" t="n">
        <v>46204</v>
      </c>
      <c r="P64" s="2" t="n">
        <v>46235</v>
      </c>
      <c r="Q64" s="2" t="n">
        <v>46266</v>
      </c>
      <c r="R64" s="70" t="inlineStr">
        <is>
          <t>合計</t>
        </is>
      </c>
      <c r="S64" s="69" t="n">
        <v>46113</v>
      </c>
      <c r="T64" s="2" t="n">
        <v>46143</v>
      </c>
      <c r="U64" s="2" t="n">
        <v>46174</v>
      </c>
      <c r="V64" s="2" t="n">
        <v>46204</v>
      </c>
      <c r="W64" s="2" t="n">
        <v>46235</v>
      </c>
      <c r="X64" s="2" t="n">
        <v>46266</v>
      </c>
      <c r="Y64" s="9" t="inlineStr">
        <is>
          <t>合計</t>
        </is>
      </c>
    </row>
    <row r="65">
      <c r="C65" s="45" t="inlineStr">
        <is>
          <t>合計(税抜）</t>
        </is>
      </c>
      <c r="D65" s="46" t="n"/>
      <c r="E65" s="18">
        <f>E60-E45</f>
        <v/>
      </c>
      <c r="F65" s="18">
        <f>F60-F45</f>
        <v/>
      </c>
      <c r="G65" s="18">
        <f>G60-G45</f>
        <v/>
      </c>
      <c r="H65" s="18">
        <f>H60-H45</f>
        <v/>
      </c>
      <c r="I65" s="18">
        <f>I60-I45</f>
        <v/>
      </c>
      <c r="J65" s="18">
        <f>J60-J45</f>
        <v/>
      </c>
      <c r="K65" s="8">
        <f>SUM(E65:J65)</f>
        <v/>
      </c>
      <c r="L65" s="18">
        <f>L60-L45</f>
        <v/>
      </c>
      <c r="M65" s="18">
        <f>M60-M45</f>
        <v/>
      </c>
      <c r="N65" s="18">
        <f>N60-N45</f>
        <v/>
      </c>
      <c r="O65" s="18">
        <f>O60-O45</f>
        <v/>
      </c>
      <c r="P65" s="18">
        <f>P60-P45</f>
        <v/>
      </c>
      <c r="Q65" s="18">
        <f>Q60-Q45</f>
        <v/>
      </c>
      <c r="R65" s="8">
        <f>SUM(L65:Q65)</f>
        <v/>
      </c>
      <c r="S65" s="181" t="n"/>
      <c r="T65" s="181" t="n"/>
      <c r="U65" s="181" t="n"/>
      <c r="V65" s="181" t="n"/>
      <c r="W65" s="181" t="n"/>
      <c r="X65" s="181" t="n"/>
      <c r="Y65" s="182">
        <f>Y60-Y45</f>
        <v/>
      </c>
    </row>
    <row r="66">
      <c r="C66" s="15" t="n"/>
      <c r="E66" s="14" t="n"/>
      <c r="F66" s="14" t="n"/>
      <c r="G66" s="14" t="n"/>
      <c r="H66" s="14" t="n"/>
      <c r="I66" s="14" t="n"/>
      <c r="J66" s="14" t="n"/>
      <c r="K66" s="15" t="n"/>
      <c r="L66" s="14" t="n"/>
      <c r="M66" s="14" t="n"/>
      <c r="N66" s="14" t="n"/>
      <c r="O66" s="14" t="n"/>
      <c r="P66" s="14" t="n"/>
      <c r="Q66" s="14" t="n"/>
      <c r="R66" s="15" t="n"/>
      <c r="S66" s="185" t="n"/>
      <c r="T66" s="185" t="n"/>
      <c r="U66" s="185" t="n"/>
      <c r="V66" s="185" t="n"/>
      <c r="W66" s="185" t="n"/>
      <c r="X66" s="185" t="n"/>
      <c r="Y66" s="185" t="n"/>
    </row>
    <row r="67">
      <c r="C67" s="15" t="inlineStr">
        <is>
          <t>9,前期比</t>
        </is>
      </c>
    </row>
    <row r="68">
      <c r="C68" s="163" t="n"/>
      <c r="D68" s="161" t="n"/>
      <c r="E68" s="164" t="inlineStr">
        <is>
          <t>売上</t>
        </is>
      </c>
      <c r="F68" s="160" t="n"/>
      <c r="G68" s="160" t="n"/>
      <c r="H68" s="160" t="n"/>
      <c r="I68" s="160" t="n"/>
      <c r="J68" s="160" t="n"/>
      <c r="K68" s="160" t="n"/>
      <c r="L68" s="159" t="inlineStr">
        <is>
          <t>粗利益</t>
        </is>
      </c>
      <c r="M68" s="160" t="n"/>
      <c r="N68" s="160" t="n"/>
      <c r="O68" s="160" t="n"/>
      <c r="P68" s="160" t="n"/>
      <c r="Q68" s="160" t="n"/>
      <c r="R68" s="161" t="n"/>
      <c r="S68" s="159" t="inlineStr">
        <is>
          <t>粗利益率</t>
        </is>
      </c>
      <c r="T68" s="160" t="n"/>
      <c r="U68" s="160" t="n"/>
      <c r="V68" s="160" t="n"/>
      <c r="W68" s="160" t="n"/>
      <c r="X68" s="160" t="n"/>
      <c r="Y68" s="161" t="n"/>
    </row>
    <row r="69">
      <c r="C69" s="1" t="n"/>
      <c r="D69" s="19" t="n"/>
      <c r="E69" s="2" t="n">
        <v>45748</v>
      </c>
      <c r="F69" s="2" t="n">
        <v>45778</v>
      </c>
      <c r="G69" s="2" t="n">
        <v>45809</v>
      </c>
      <c r="H69" s="2" t="n">
        <v>45839</v>
      </c>
      <c r="I69" s="2" t="n">
        <v>45870</v>
      </c>
      <c r="J69" s="2" t="n">
        <v>45901</v>
      </c>
      <c r="K69" s="6" t="inlineStr">
        <is>
          <t>合計</t>
        </is>
      </c>
      <c r="L69" s="2" t="n">
        <v>45748</v>
      </c>
      <c r="M69" s="2" t="n">
        <v>45778</v>
      </c>
      <c r="N69" s="2" t="n">
        <v>45809</v>
      </c>
      <c r="O69" s="2" t="n">
        <v>45839</v>
      </c>
      <c r="P69" s="2" t="n">
        <v>45870</v>
      </c>
      <c r="Q69" s="2" t="n">
        <v>45901</v>
      </c>
      <c r="R69" s="6" t="inlineStr">
        <is>
          <t>合計</t>
        </is>
      </c>
      <c r="S69" s="2" t="n">
        <v>45748</v>
      </c>
      <c r="T69" s="2" t="n">
        <v>45778</v>
      </c>
      <c r="U69" s="2" t="n">
        <v>45809</v>
      </c>
      <c r="V69" s="2" t="n">
        <v>45839</v>
      </c>
      <c r="W69" s="2" t="n">
        <v>45870</v>
      </c>
      <c r="X69" s="2" t="n">
        <v>45901</v>
      </c>
      <c r="Y69" s="6" t="inlineStr">
        <is>
          <t>合計</t>
        </is>
      </c>
    </row>
    <row r="70">
      <c r="C70" s="45" t="inlineStr">
        <is>
          <t>合計(税抜）</t>
        </is>
      </c>
      <c r="D70" s="46" t="n"/>
      <c r="E70" s="18">
        <f>E60-E35</f>
        <v/>
      </c>
      <c r="F70" s="18">
        <f>F60-F35</f>
        <v/>
      </c>
      <c r="G70" s="18">
        <f>G60-G35</f>
        <v/>
      </c>
      <c r="H70" s="18">
        <f>H60-H35</f>
        <v/>
      </c>
      <c r="I70" s="18">
        <f>I60-I35</f>
        <v/>
      </c>
      <c r="J70" s="18">
        <f>J60-J35</f>
        <v/>
      </c>
      <c r="K70" s="8">
        <f>SUM(E70:J70)</f>
        <v/>
      </c>
      <c r="L70" s="18">
        <f>L60-L35</f>
        <v/>
      </c>
      <c r="M70" s="18">
        <f>M60-M35</f>
        <v/>
      </c>
      <c r="N70" s="18">
        <f>N60-N35</f>
        <v/>
      </c>
      <c r="O70" s="18">
        <f>O60-O35</f>
        <v/>
      </c>
      <c r="P70" s="18">
        <f>P60-P35</f>
        <v/>
      </c>
      <c r="Q70" s="18">
        <f>Q60-Q35</f>
        <v/>
      </c>
      <c r="R70" s="8">
        <f>SUM(L70:Q70)</f>
        <v/>
      </c>
      <c r="S70" s="181">
        <f>S60-S35</f>
        <v/>
      </c>
      <c r="T70" s="181">
        <f>T65-T50</f>
        <v/>
      </c>
      <c r="U70" s="181">
        <f>U65-U50</f>
        <v/>
      </c>
      <c r="V70" s="181">
        <f>V65-V50</f>
        <v/>
      </c>
      <c r="W70" s="181">
        <f>W65-W50</f>
        <v/>
      </c>
      <c r="X70" s="181">
        <f>X65-X50</f>
        <v/>
      </c>
      <c r="Y70" s="182">
        <f>Y60-Y35</f>
        <v/>
      </c>
    </row>
  </sheetData>
  <mergeCells count="52">
    <mergeCell ref="L63:R63"/>
    <mergeCell ref="C6:D6"/>
    <mergeCell ref="C68:D68"/>
    <mergeCell ref="E26:K26"/>
    <mergeCell ref="C58:D58"/>
    <mergeCell ref="E16:K16"/>
    <mergeCell ref="L21:R21"/>
    <mergeCell ref="L6:R6"/>
    <mergeCell ref="E32:K32"/>
    <mergeCell ref="C26:D26"/>
    <mergeCell ref="S63:Y63"/>
    <mergeCell ref="L11:R11"/>
    <mergeCell ref="E53:K53"/>
    <mergeCell ref="S32:Y32"/>
    <mergeCell ref="S26:Y26"/>
    <mergeCell ref="C16:D16"/>
    <mergeCell ref="E58:K58"/>
    <mergeCell ref="C63:D63"/>
    <mergeCell ref="E21:K21"/>
    <mergeCell ref="L48:R48"/>
    <mergeCell ref="E43:K43"/>
    <mergeCell ref="C53:D53"/>
    <mergeCell ref="S16:Y16"/>
    <mergeCell ref="E68:K68"/>
    <mergeCell ref="L16:R16"/>
    <mergeCell ref="S21:Y21"/>
    <mergeCell ref="S43:Y43"/>
    <mergeCell ref="L32:R32"/>
    <mergeCell ref="C43:D43"/>
    <mergeCell ref="C21:D21"/>
    <mergeCell ref="L53:R53"/>
    <mergeCell ref="S58:Y58"/>
    <mergeCell ref="E48:K48"/>
    <mergeCell ref="C11:D11"/>
    <mergeCell ref="S48:Y48"/>
    <mergeCell ref="E38:K38"/>
    <mergeCell ref="L68:R68"/>
    <mergeCell ref="L43:R43"/>
    <mergeCell ref="S11:Y11"/>
    <mergeCell ref="C48:D48"/>
    <mergeCell ref="E63:K63"/>
    <mergeCell ref="S38:Y38"/>
    <mergeCell ref="C32:D32"/>
    <mergeCell ref="C38:D38"/>
    <mergeCell ref="L26:R26"/>
    <mergeCell ref="E6:K6"/>
    <mergeCell ref="L58:R58"/>
    <mergeCell ref="L38:R38"/>
    <mergeCell ref="S68:Y68"/>
    <mergeCell ref="S53:Y53"/>
    <mergeCell ref="E11:K11"/>
    <mergeCell ref="S6:Y6"/>
  </mergeCells>
  <printOptions horizontalCentered="1" verticalCentered="1"/>
  <pageMargins left="0.7086614173228347" right="0.7086614173228347" top="0.7480314960629921" bottom="0.7480314960629921" header="0.3149606299212598" footer="0.3149606299212598"/>
  <pageSetup orientation="landscape" paperSize="8" scale="65"/>
</worksheet>
</file>

<file path=xl/worksheets/sheet2.xml><?xml version="1.0" encoding="utf-8"?>
<worksheet xmlns="http://schemas.openxmlformats.org/spreadsheetml/2006/main">
  <sheetPr>
    <tabColor theme="8" tint="-0.249977111117893"/>
    <outlinePr summaryBelow="1" summaryRight="1"/>
    <pageSetUpPr fitToPage="1"/>
  </sheetPr>
  <dimension ref="A1:Z117"/>
  <sheetViews>
    <sheetView zoomScaleNormal="100" workbookViewId="0">
      <pane xSplit="4" ySplit="1" topLeftCell="E100" activePane="bottomRight" state="frozen"/>
      <selection activeCell="F117" sqref="F117:J117"/>
      <selection pane="topRight" activeCell="F117" sqref="F117:J117"/>
      <selection pane="bottomLeft" activeCell="F117" sqref="F117:J117"/>
      <selection pane="bottomRight" activeCell="Q117" sqref="O115:Q117"/>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広域営業部包装資材</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70"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3" t="inlineStr">
        <is>
          <t>0042 集計</t>
        </is>
      </c>
      <c r="D5" s="76" t="inlineStr">
        <is>
          <t>馬場部長（鳥栖）</t>
        </is>
      </c>
      <c r="E5" s="4">
        <f>全体!E5-機械!E5</f>
        <v/>
      </c>
      <c r="F5" s="4">
        <f>全体!F5-機械!F5</f>
        <v/>
      </c>
      <c r="G5" s="4">
        <f>全体!G5-機械!G5</f>
        <v/>
      </c>
      <c r="H5" s="4">
        <f>全体!H5-機械!H5</f>
        <v/>
      </c>
      <c r="I5" s="4">
        <f>全体!I5-機械!I5</f>
        <v/>
      </c>
      <c r="J5" s="4">
        <f>全体!J5-機械!J5</f>
        <v/>
      </c>
      <c r="K5" s="5">
        <f>SUM(E5:J5)</f>
        <v/>
      </c>
      <c r="L5" s="4">
        <f>全体!L5-機械!L5</f>
        <v/>
      </c>
      <c r="M5" s="4">
        <f>全体!M5-機械!M5</f>
        <v/>
      </c>
      <c r="N5" s="4">
        <f>全体!N5-機械!N5</f>
        <v/>
      </c>
      <c r="O5" s="4">
        <f>全体!O5-機械!O5</f>
        <v/>
      </c>
      <c r="P5" s="4">
        <f>全体!P5-機械!P5</f>
        <v/>
      </c>
      <c r="Q5" s="4">
        <f>全体!Q5-機械!Q5</f>
        <v/>
      </c>
      <c r="R5" s="5">
        <f>SUM(L5:Q5)</f>
        <v/>
      </c>
      <c r="S5" s="186">
        <f>IF(E5=0,"***",L5/E5)</f>
        <v/>
      </c>
      <c r="T5" s="186">
        <f>IF(F5=0,"***",M5/F5)</f>
        <v/>
      </c>
      <c r="U5" s="186">
        <f>IF(G5=0,"***",N5/G5)</f>
        <v/>
      </c>
      <c r="V5" s="186">
        <f>IF(H5=0,"***",O5/H5)</f>
        <v/>
      </c>
      <c r="W5" s="186">
        <f>IF(I5=0,"***",P5/I5)</f>
        <v/>
      </c>
      <c r="X5" s="186">
        <f>IF(J5=0,"***",Q5/J5)</f>
        <v/>
      </c>
      <c r="Y5" s="187">
        <f>IF(K5=0,"***",R5/K5)</f>
        <v/>
      </c>
    </row>
    <row r="6">
      <c r="C6" s="43" t="inlineStr">
        <is>
          <t>0045 集計</t>
        </is>
      </c>
      <c r="D6" s="76" t="inlineStr">
        <is>
          <t>ペーパーハグ</t>
        </is>
      </c>
      <c r="E6" s="4">
        <f>全体!E6-機械!E6</f>
        <v/>
      </c>
      <c r="F6" s="4">
        <f>全体!F6-機械!F6</f>
        <v/>
      </c>
      <c r="G6" s="4">
        <f>全体!G6-機械!G6</f>
        <v/>
      </c>
      <c r="H6" s="4">
        <f>全体!H6-機械!H6</f>
        <v/>
      </c>
      <c r="I6" s="4">
        <f>全体!I6-機械!I6</f>
        <v/>
      </c>
      <c r="J6" s="4">
        <f>全体!J6-機械!J6</f>
        <v/>
      </c>
      <c r="K6" s="5">
        <f>SUM(E6:J6)</f>
        <v/>
      </c>
      <c r="L6" s="4">
        <f>全体!L6-機械!L6</f>
        <v/>
      </c>
      <c r="M6" s="4">
        <f>全体!M6-機械!M6</f>
        <v/>
      </c>
      <c r="N6" s="4">
        <f>全体!N6-機械!N6</f>
        <v/>
      </c>
      <c r="O6" s="4">
        <f>全体!O6-機械!O6</f>
        <v/>
      </c>
      <c r="P6" s="4">
        <f>全体!P6-機械!P6</f>
        <v/>
      </c>
      <c r="Q6" s="4">
        <f>全体!Q6-機械!Q6</f>
        <v/>
      </c>
      <c r="R6" s="5" t="n"/>
      <c r="S6" s="186" t="n"/>
      <c r="T6" s="186" t="n"/>
      <c r="U6" s="186" t="n"/>
      <c r="V6" s="186" t="n"/>
      <c r="W6" s="186" t="n"/>
      <c r="X6" s="186" t="n"/>
      <c r="Y6" s="187" t="n"/>
    </row>
    <row r="7">
      <c r="C7" s="44" t="inlineStr">
        <is>
          <t>0046 集計</t>
        </is>
      </c>
      <c r="D7" s="20" t="inlineStr">
        <is>
          <t>角田</t>
        </is>
      </c>
      <c r="E7" s="4">
        <f>全体!E7-機械!E7</f>
        <v/>
      </c>
      <c r="F7" s="4">
        <f>全体!F7-機械!F7</f>
        <v/>
      </c>
      <c r="G7" s="4">
        <f>全体!G7-機械!G7</f>
        <v/>
      </c>
      <c r="H7" s="4">
        <f>全体!H7-機械!H7</f>
        <v/>
      </c>
      <c r="I7" s="4">
        <f>全体!I7-機械!I7</f>
        <v/>
      </c>
      <c r="J7" s="4">
        <f>全体!J7-機械!J7</f>
        <v/>
      </c>
      <c r="K7" s="5">
        <f>SUM(E7:J7)</f>
        <v/>
      </c>
      <c r="L7" s="4">
        <f>全体!L7-機械!L7</f>
        <v/>
      </c>
      <c r="M7" s="4">
        <f>全体!M7-機械!M7</f>
        <v/>
      </c>
      <c r="N7" s="4">
        <f>全体!N7-機械!N7</f>
        <v/>
      </c>
      <c r="O7" s="4">
        <f>全体!O7-機械!O7</f>
        <v/>
      </c>
      <c r="P7" s="4">
        <f>全体!P7-機械!P7</f>
        <v/>
      </c>
      <c r="Q7" s="4">
        <f>全体!Q7-機械!Q7</f>
        <v/>
      </c>
      <c r="R7" s="5">
        <f>SUM(L7:Q7)</f>
        <v/>
      </c>
      <c r="S7" s="186">
        <f>IF(E7=0,"***",L7/E7)</f>
        <v/>
      </c>
      <c r="T7" s="186">
        <f>IF(F7=0,"***",M7/F7)</f>
        <v/>
      </c>
      <c r="U7" s="186">
        <f>IF(G7=0,"***",N7/G7)</f>
        <v/>
      </c>
      <c r="V7" s="186">
        <f>IF(H7=0,"***",O7/H7)</f>
        <v/>
      </c>
      <c r="W7" s="186">
        <f>IF(I7=0,"***",P7/I7)</f>
        <v/>
      </c>
      <c r="X7" s="186">
        <f>IF(J7=0,"***",Q7/J7)</f>
        <v/>
      </c>
      <c r="Y7" s="187">
        <f>IF(K7=0,"***",R7/K7)</f>
        <v/>
      </c>
    </row>
    <row r="8">
      <c r="C8" s="43" t="inlineStr">
        <is>
          <t>0047 集計</t>
        </is>
      </c>
      <c r="D8" s="76" t="inlineStr">
        <is>
          <t>馬場部長（静岡）</t>
        </is>
      </c>
      <c r="E8" s="4">
        <f>全体!E8-機械!E8</f>
        <v/>
      </c>
      <c r="F8" s="4">
        <f>全体!F8-機械!F8</f>
        <v/>
      </c>
      <c r="G8" s="4">
        <f>全体!G8-機械!G8</f>
        <v/>
      </c>
      <c r="H8" s="4">
        <f>全体!H8-機械!H8</f>
        <v/>
      </c>
      <c r="I8" s="4">
        <f>全体!I8-機械!I8</f>
        <v/>
      </c>
      <c r="J8" s="4">
        <f>全体!J8-機械!J8</f>
        <v/>
      </c>
      <c r="K8" s="5">
        <f>SUM(E8:J8)</f>
        <v/>
      </c>
      <c r="L8" s="4">
        <f>全体!L8-機械!L8</f>
        <v/>
      </c>
      <c r="M8" s="4">
        <f>全体!M8-機械!M8</f>
        <v/>
      </c>
      <c r="N8" s="4">
        <f>全体!N8-機械!N8</f>
        <v/>
      </c>
      <c r="O8" s="4">
        <f>全体!O8-機械!O8</f>
        <v/>
      </c>
      <c r="P8" s="4">
        <f>全体!P8-機械!P8</f>
        <v/>
      </c>
      <c r="Q8" s="4">
        <f>全体!Q8-機械!Q8</f>
        <v/>
      </c>
      <c r="R8" s="5" t="n"/>
      <c r="S8" s="186" t="n"/>
      <c r="T8" s="186" t="n"/>
      <c r="U8" s="186" t="n"/>
      <c r="V8" s="186" t="n"/>
      <c r="W8" s="186" t="n"/>
      <c r="X8" s="186" t="n"/>
      <c r="Y8" s="187" t="n"/>
    </row>
    <row r="9">
      <c r="C9" s="31" t="inlineStr">
        <is>
          <t>0550 集計</t>
        </is>
      </c>
      <c r="D9" s="20" t="inlineStr">
        <is>
          <t>馬場所長（東京）</t>
        </is>
      </c>
      <c r="E9" s="4">
        <f>全体!E9-機械!E9</f>
        <v/>
      </c>
      <c r="F9" s="4">
        <f>全体!F9-機械!F9</f>
        <v/>
      </c>
      <c r="G9" s="4">
        <f>全体!G9-機械!G9</f>
        <v/>
      </c>
      <c r="H9" s="4">
        <f>全体!H9-機械!H9</f>
        <v/>
      </c>
      <c r="I9" s="4">
        <f>全体!I9-機械!I9</f>
        <v/>
      </c>
      <c r="J9" s="4">
        <f>全体!J9-機械!J9</f>
        <v/>
      </c>
      <c r="K9" s="5">
        <f>SUM(E9:J9)</f>
        <v/>
      </c>
      <c r="L9" s="4">
        <f>全体!L9-機械!L9</f>
        <v/>
      </c>
      <c r="M9" s="4">
        <f>全体!M9-機械!M9</f>
        <v/>
      </c>
      <c r="N9" s="4">
        <f>全体!N9-機械!N9</f>
        <v/>
      </c>
      <c r="O9" s="4">
        <f>全体!O9-機械!O9</f>
        <v/>
      </c>
      <c r="P9" s="4">
        <f>全体!P9-機械!P9</f>
        <v/>
      </c>
      <c r="Q9" s="4">
        <f>全体!Q9-機械!Q9</f>
        <v/>
      </c>
      <c r="R9" s="5">
        <f>SUM(L9:Q9)</f>
        <v/>
      </c>
      <c r="S9" s="186">
        <f>IF(E9=0,"***",L9/E9)</f>
        <v/>
      </c>
      <c r="T9" s="186">
        <f>IF(F9=0,"***",M9/F9)</f>
        <v/>
      </c>
      <c r="U9" s="186">
        <f>IF(G9=0,"***",N9/G9)</f>
        <v/>
      </c>
      <c r="V9" s="186">
        <f>IF(H9=0,"***",O9/H9)</f>
        <v/>
      </c>
      <c r="W9" s="186">
        <f>IF(I9=0,"***",P9/I9)</f>
        <v/>
      </c>
      <c r="X9" s="186">
        <f>IF(J9=0,"***",Q9/J9)</f>
        <v/>
      </c>
      <c r="Y9" s="187">
        <f>IF(K9=0,"***",R9/K9)</f>
        <v/>
      </c>
    </row>
    <row r="10">
      <c r="C10" s="31" t="inlineStr">
        <is>
          <t>0552 集計</t>
        </is>
      </c>
      <c r="D10" s="20" t="inlineStr">
        <is>
          <t>馬場部長（東京）</t>
        </is>
      </c>
      <c r="E10" s="4">
        <f>全体!E10-機械!E10</f>
        <v/>
      </c>
      <c r="F10" s="4">
        <f>全体!F10-機械!F10</f>
        <v/>
      </c>
      <c r="G10" s="4">
        <f>全体!G10-機械!G10</f>
        <v/>
      </c>
      <c r="H10" s="4">
        <f>全体!H10-機械!H10</f>
        <v/>
      </c>
      <c r="I10" s="4">
        <f>全体!I10-機械!I10</f>
        <v/>
      </c>
      <c r="J10" s="4">
        <f>全体!J10-機械!J10</f>
        <v/>
      </c>
      <c r="K10" s="5">
        <f>SUM(E10:J10)</f>
        <v/>
      </c>
      <c r="L10" s="4">
        <f>全体!L10-機械!L10</f>
        <v/>
      </c>
      <c r="M10" s="4">
        <f>全体!M10-機械!M10</f>
        <v/>
      </c>
      <c r="N10" s="4">
        <f>全体!N10-機械!N10</f>
        <v/>
      </c>
      <c r="O10" s="4">
        <f>全体!O10-機械!O10</f>
        <v/>
      </c>
      <c r="P10" s="4">
        <f>全体!P10-機械!P10</f>
        <v/>
      </c>
      <c r="Q10" s="4">
        <f>全体!Q10-機械!Q10</f>
        <v/>
      </c>
      <c r="R10" s="5">
        <f>SUM(L10:Q10)</f>
        <v/>
      </c>
      <c r="S10" s="186">
        <f>IF(E10=0,"***",L10/E10)</f>
        <v/>
      </c>
      <c r="T10" s="186">
        <f>IF(F10=0,"***",M10/F10)</f>
        <v/>
      </c>
      <c r="U10" s="186">
        <f>IF(G10=0,"***",N10/G10)</f>
        <v/>
      </c>
      <c r="V10" s="186">
        <f>IF(H10=0,"***",O10/H10)</f>
        <v/>
      </c>
      <c r="W10" s="186">
        <f>IF(I10=0,"***",P10/I10)</f>
        <v/>
      </c>
      <c r="X10" s="186">
        <f>IF(J10=0,"***",Q10/J10)</f>
        <v/>
      </c>
      <c r="Y10" s="187">
        <f>IF(K10=0,"***",R10/K10)</f>
        <v/>
      </c>
    </row>
    <row r="11">
      <c r="C11" s="45" t="inlineStr">
        <is>
          <t>合計</t>
        </is>
      </c>
      <c r="D11" s="46" t="n"/>
      <c r="E11" s="7">
        <f>SUM(E5:E10)</f>
        <v/>
      </c>
      <c r="F11" s="7">
        <f>SUM(F5:F10)</f>
        <v/>
      </c>
      <c r="G11" s="7">
        <f>SUM(G5:G10)</f>
        <v/>
      </c>
      <c r="H11" s="7">
        <f>SUM(H5:H10)</f>
        <v/>
      </c>
      <c r="I11" s="7">
        <f>SUM(I5:I10)</f>
        <v/>
      </c>
      <c r="J11" s="7">
        <f>SUM(J5:J10)</f>
        <v/>
      </c>
      <c r="K11" s="8">
        <f>SUM(K5:K10)</f>
        <v/>
      </c>
      <c r="L11" s="7">
        <f>SUM(L5:L10)</f>
        <v/>
      </c>
      <c r="M11" s="7">
        <f>SUM(M5:M10)</f>
        <v/>
      </c>
      <c r="N11" s="7">
        <f>SUM(N5:N10)</f>
        <v/>
      </c>
      <c r="O11" s="7">
        <f>SUM(O5:O10)</f>
        <v/>
      </c>
      <c r="P11" s="7">
        <f>SUM(P5:P10)</f>
        <v/>
      </c>
      <c r="Q11" s="7">
        <f>SUM(Q5:Q10)</f>
        <v/>
      </c>
      <c r="R11" s="8">
        <f>SUM(R5:R10)</f>
        <v/>
      </c>
      <c r="S11" s="181">
        <f>SUM(S5:S10)</f>
        <v/>
      </c>
      <c r="T11" s="181">
        <f>SUM(T5:T10)</f>
        <v/>
      </c>
      <c r="U11" s="181">
        <f>SUM(U5:U10)</f>
        <v/>
      </c>
      <c r="V11" s="181">
        <f>SUM(V5:V10)</f>
        <v/>
      </c>
      <c r="W11" s="181">
        <f>SUM(W5:W10)</f>
        <v/>
      </c>
      <c r="X11" s="181">
        <f>SUM(X5:X10)</f>
        <v/>
      </c>
      <c r="Y11" s="182">
        <f>SUM(Y5:Y10)</f>
        <v/>
      </c>
    </row>
    <row r="12" customFormat="1" s="60">
      <c r="C12" s="61" t="inlineStr">
        <is>
          <t>リンガーハット</t>
        </is>
      </c>
      <c r="D12" s="63" t="n"/>
      <c r="E12" s="4">
        <f>全体!E12-機械!E12</f>
        <v/>
      </c>
      <c r="F12" s="4">
        <f>全体!F12-機械!F12</f>
        <v/>
      </c>
      <c r="G12" s="4">
        <f>全体!G12-機械!G12</f>
        <v/>
      </c>
      <c r="H12" s="4">
        <f>全体!H12-機械!H12</f>
        <v/>
      </c>
      <c r="I12" s="4">
        <f>全体!I12-機械!I12</f>
        <v/>
      </c>
      <c r="J12" s="4">
        <f>全体!J12-機械!J12</f>
        <v/>
      </c>
      <c r="K12" s="5">
        <f>SUM(E12:J12)</f>
        <v/>
      </c>
      <c r="L12" s="4">
        <f>全体!L12-機械!L12</f>
        <v/>
      </c>
      <c r="M12" s="4">
        <f>全体!M12-機械!M12</f>
        <v/>
      </c>
      <c r="N12" s="4">
        <f>全体!N12-機械!N12</f>
        <v/>
      </c>
      <c r="O12" s="4">
        <f>全体!O12-機械!O12</f>
        <v/>
      </c>
      <c r="P12" s="4">
        <f>全体!P12-機械!P12</f>
        <v/>
      </c>
      <c r="Q12" s="4">
        <f>全体!Q12-機械!Q12</f>
        <v/>
      </c>
      <c r="R12" s="5">
        <f>SUM(L12:Q12)</f>
        <v/>
      </c>
      <c r="S12" s="188">
        <f>IF(E12=0,"***",L12/E12)</f>
        <v/>
      </c>
      <c r="T12" s="188">
        <f>IF(F12=0,"***",M12/F12)</f>
        <v/>
      </c>
      <c r="U12" s="188">
        <f>IF(G12=0,"***",N12/G12)</f>
        <v/>
      </c>
      <c r="V12" s="188">
        <f>IF(H12=0,"***",O12/H12)</f>
        <v/>
      </c>
      <c r="W12" s="188">
        <f>IF(I12=0,"***",P12/I12)</f>
        <v/>
      </c>
      <c r="X12" s="188">
        <f>IF(J12=0,"***",Q12/J12)</f>
        <v/>
      </c>
      <c r="Y12" s="189">
        <f>IF(K12=0,"***",R12/K12)</f>
        <v/>
      </c>
      <c r="Z12" s="60" t="inlineStr">
        <is>
          <t>0042と0550からカネゲン引く</t>
        </is>
      </c>
    </row>
    <row r="13" customFormat="1" s="60">
      <c r="C13" s="61" t="inlineStr">
        <is>
          <t>リンガーハット以外</t>
        </is>
      </c>
      <c r="D13" s="63" t="n"/>
      <c r="E13" s="59">
        <f>E11-E12</f>
        <v/>
      </c>
      <c r="F13" s="59">
        <f>F11-F12</f>
        <v/>
      </c>
      <c r="G13" s="59">
        <f>G11-G12</f>
        <v/>
      </c>
      <c r="H13" s="59">
        <f>H11-H12</f>
        <v/>
      </c>
      <c r="I13" s="59">
        <f>I11-I12</f>
        <v/>
      </c>
      <c r="J13" s="59">
        <f>J11-J12</f>
        <v/>
      </c>
      <c r="K13" s="57">
        <f>SUM(E13:J13)</f>
        <v/>
      </c>
      <c r="L13" s="59">
        <f>L11-L12</f>
        <v/>
      </c>
      <c r="M13" s="59">
        <f>M11-M12</f>
        <v/>
      </c>
      <c r="N13" s="59">
        <f>N11-N12</f>
        <v/>
      </c>
      <c r="O13" s="59">
        <f>O11-O12</f>
        <v/>
      </c>
      <c r="P13" s="59">
        <f>P11-P12</f>
        <v/>
      </c>
      <c r="Q13" s="59">
        <f>Q11-Q12</f>
        <v/>
      </c>
      <c r="R13" s="57">
        <f>SUM(L13:Q13)</f>
        <v/>
      </c>
      <c r="S13" s="188">
        <f>IF(E13=0,"***",L13/E13)</f>
        <v/>
      </c>
      <c r="T13" s="188">
        <f>IF(F13=0,"***",M13/F13)</f>
        <v/>
      </c>
      <c r="U13" s="188">
        <f>IF(G13=0,"***",N13/G13)</f>
        <v/>
      </c>
      <c r="V13" s="188">
        <f>IF(H13=0,"***",O13/H13)</f>
        <v/>
      </c>
      <c r="W13" s="188">
        <f>IF(I13=0,"***",P13/I13)</f>
        <v/>
      </c>
      <c r="X13" s="188">
        <f>IF(J13=0,"***",Q13/J13)</f>
        <v/>
      </c>
      <c r="Y13" s="189">
        <f>IF(K13=0,"***",R13/K13)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70"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3" t="inlineStr">
        <is>
          <t>0042 集計</t>
        </is>
      </c>
      <c r="D18" s="76" t="inlineStr">
        <is>
          <t>馬場部長（鳥栖）</t>
        </is>
      </c>
      <c r="E18" s="4">
        <f>全体!E18-機械!E18</f>
        <v/>
      </c>
      <c r="F18" s="4">
        <f>全体!F18-機械!F18</f>
        <v/>
      </c>
      <c r="G18" s="4">
        <f>全体!G18-機械!G18</f>
        <v/>
      </c>
      <c r="H18" s="4">
        <f>全体!H18-機械!H18</f>
        <v/>
      </c>
      <c r="I18" s="4">
        <f>全体!I18-機械!I18</f>
        <v/>
      </c>
      <c r="J18" s="4">
        <f>全体!J18-機械!J18</f>
        <v/>
      </c>
      <c r="K18" s="5">
        <f>SUM(E18:J18)</f>
        <v/>
      </c>
      <c r="L18" s="4">
        <f>全体!L18-機械!L18</f>
        <v/>
      </c>
      <c r="M18" s="4">
        <f>全体!M18-機械!M18</f>
        <v/>
      </c>
      <c r="N18" s="4">
        <f>全体!N18-機械!N18</f>
        <v/>
      </c>
      <c r="O18" s="4">
        <f>全体!O18-機械!O18</f>
        <v/>
      </c>
      <c r="P18" s="4">
        <f>全体!P18-機械!P18</f>
        <v/>
      </c>
      <c r="Q18" s="4">
        <f>全体!Q18-機械!Q18</f>
        <v/>
      </c>
      <c r="R18" s="5">
        <f>SUM(L18:Q18)</f>
        <v/>
      </c>
      <c r="S18" s="186">
        <f>IF(E18=0,"***",L18/E18)</f>
        <v/>
      </c>
      <c r="T18" s="186">
        <f>IF(F18=0,"***",M18/F18)</f>
        <v/>
      </c>
      <c r="U18" s="186">
        <f>IF(G18=0,"***",N18/G18)</f>
        <v/>
      </c>
      <c r="V18" s="186">
        <f>IF(H18=0,"***",O18/H18)</f>
        <v/>
      </c>
      <c r="W18" s="186">
        <f>IF(I18=0,"***",P18/I18)</f>
        <v/>
      </c>
      <c r="X18" s="186">
        <f>IF(J18=0,"***",Q18/J18)</f>
        <v/>
      </c>
      <c r="Y18" s="187">
        <f>IF(K18=0,"***",R18/K18)</f>
        <v/>
      </c>
    </row>
    <row r="19">
      <c r="C19" s="43" t="inlineStr">
        <is>
          <t>0045 集計</t>
        </is>
      </c>
      <c r="D19" s="76" t="inlineStr">
        <is>
          <t>ペーパーハグ</t>
        </is>
      </c>
      <c r="E19" s="4">
        <f>全体!E19-機械!E19</f>
        <v/>
      </c>
      <c r="F19" s="4">
        <f>全体!F19-機械!F19</f>
        <v/>
      </c>
      <c r="G19" s="4">
        <f>全体!G19-機械!G19</f>
        <v/>
      </c>
      <c r="H19" s="4">
        <f>全体!H19-機械!H19</f>
        <v/>
      </c>
      <c r="I19" s="4">
        <f>全体!I19-機械!I19</f>
        <v/>
      </c>
      <c r="J19" s="4">
        <f>全体!J19-機械!J19</f>
        <v/>
      </c>
      <c r="K19" s="5">
        <f>SUM(E19:J19)</f>
        <v/>
      </c>
      <c r="L19" s="4">
        <f>全体!L19-機械!L19</f>
        <v/>
      </c>
      <c r="M19" s="4">
        <f>全体!M19-機械!M19</f>
        <v/>
      </c>
      <c r="N19" s="4">
        <f>全体!N19-機械!N19</f>
        <v/>
      </c>
      <c r="O19" s="4">
        <f>全体!O19-機械!O19</f>
        <v/>
      </c>
      <c r="P19" s="4">
        <f>全体!P19-機械!P19</f>
        <v/>
      </c>
      <c r="Q19" s="4">
        <f>全体!Q19-機械!Q19</f>
        <v/>
      </c>
      <c r="R19" s="5">
        <f>SUM(L19:Q19)</f>
        <v/>
      </c>
      <c r="S19" s="186">
        <f>IF(E19=0,"***",L19/E19)</f>
        <v/>
      </c>
      <c r="T19" s="186">
        <f>IF(F19=0,"***",M19/F19)</f>
        <v/>
      </c>
      <c r="U19" s="186">
        <f>IF(G19=0,"***",N19/G19)</f>
        <v/>
      </c>
      <c r="V19" s="186">
        <f>IF(H19=0,"***",O19/H19)</f>
        <v/>
      </c>
      <c r="W19" s="186">
        <f>IF(I19=0,"***",P19/I19)</f>
        <v/>
      </c>
      <c r="X19" s="186">
        <f>IF(J19=0,"***",Q19/J19)</f>
        <v/>
      </c>
      <c r="Y19" s="187">
        <f>IF(K19=0,"***",R19/K19)</f>
        <v/>
      </c>
    </row>
    <row r="20">
      <c r="C20" s="44" t="inlineStr">
        <is>
          <t>0046 集計</t>
        </is>
      </c>
      <c r="D20" s="20" t="inlineStr">
        <is>
          <t>角田</t>
        </is>
      </c>
      <c r="E20" s="4">
        <f>全体!E20-機械!E20</f>
        <v/>
      </c>
      <c r="F20" s="4">
        <f>全体!F20-機械!F20</f>
        <v/>
      </c>
      <c r="G20" s="4">
        <f>全体!G20-機械!G20</f>
        <v/>
      </c>
      <c r="H20" s="4">
        <f>全体!H20-機械!H20</f>
        <v/>
      </c>
      <c r="I20" s="4">
        <f>全体!I20-機械!I20</f>
        <v/>
      </c>
      <c r="J20" s="4">
        <f>全体!J20-機械!J20</f>
        <v/>
      </c>
      <c r="K20" s="5">
        <f>SUM(E20:J20)</f>
        <v/>
      </c>
      <c r="L20" s="4">
        <f>全体!L20-機械!L20</f>
        <v/>
      </c>
      <c r="M20" s="4">
        <f>全体!M20-機械!M20</f>
        <v/>
      </c>
      <c r="N20" s="4">
        <f>全体!N20-機械!N20</f>
        <v/>
      </c>
      <c r="O20" s="4">
        <f>全体!O20-機械!O20</f>
        <v/>
      </c>
      <c r="P20" s="4">
        <f>全体!P20-機械!P20</f>
        <v/>
      </c>
      <c r="Q20" s="4">
        <f>全体!Q20-機械!Q20</f>
        <v/>
      </c>
      <c r="R20" s="5">
        <f>SUM(L20:Q20)</f>
        <v/>
      </c>
      <c r="S20" s="186">
        <f>IF(E20=0,"***",L20/E20)</f>
        <v/>
      </c>
      <c r="T20" s="186">
        <f>IF(F20=0,"***",M20/F20)</f>
        <v/>
      </c>
      <c r="U20" s="186">
        <f>IF(G20=0,"***",N20/G20)</f>
        <v/>
      </c>
      <c r="V20" s="186">
        <f>IF(H20=0,"***",O20/H20)</f>
        <v/>
      </c>
      <c r="W20" s="186">
        <f>IF(I20=0,"***",P20/I20)</f>
        <v/>
      </c>
      <c r="X20" s="186">
        <f>IF(J20=0,"***",Q20/J20)</f>
        <v/>
      </c>
      <c r="Y20" s="187">
        <f>IF(K20=0,"***",R20/K20)</f>
        <v/>
      </c>
    </row>
    <row r="21">
      <c r="C21" s="43" t="inlineStr">
        <is>
          <t>0047 集計</t>
        </is>
      </c>
      <c r="D21" s="76" t="inlineStr">
        <is>
          <t>馬場部長（静岡）</t>
        </is>
      </c>
      <c r="E21" s="4">
        <f>全体!E21-機械!E21</f>
        <v/>
      </c>
      <c r="F21" s="4">
        <f>全体!F21-機械!F21</f>
        <v/>
      </c>
      <c r="G21" s="4">
        <f>全体!G21-機械!G21</f>
        <v/>
      </c>
      <c r="H21" s="4">
        <f>全体!H21-機械!H21</f>
        <v/>
      </c>
      <c r="I21" s="4">
        <f>全体!I21-機械!I21</f>
        <v/>
      </c>
      <c r="J21" s="4">
        <f>全体!J21-機械!J21</f>
        <v/>
      </c>
      <c r="K21" s="5" t="n"/>
      <c r="L21" s="4">
        <f>全体!L21-機械!L21</f>
        <v/>
      </c>
      <c r="M21" s="4">
        <f>全体!M21-機械!M21</f>
        <v/>
      </c>
      <c r="N21" s="4">
        <f>全体!N21-機械!N21</f>
        <v/>
      </c>
      <c r="O21" s="4">
        <f>全体!O21-機械!O21</f>
        <v/>
      </c>
      <c r="P21" s="4">
        <f>全体!P21-機械!P21</f>
        <v/>
      </c>
      <c r="Q21" s="4">
        <f>全体!Q21-機械!Q21</f>
        <v/>
      </c>
      <c r="R21" s="5" t="n"/>
      <c r="S21" s="186" t="n"/>
      <c r="T21" s="186" t="n"/>
      <c r="U21" s="186" t="n"/>
      <c r="V21" s="186" t="n"/>
      <c r="W21" s="186" t="n"/>
      <c r="X21" s="186" t="n"/>
      <c r="Y21" s="187" t="n"/>
    </row>
    <row r="22">
      <c r="C22" s="31" t="inlineStr">
        <is>
          <t>0550 集計</t>
        </is>
      </c>
      <c r="D22" s="20" t="inlineStr">
        <is>
          <t>馬場所長（東京）</t>
        </is>
      </c>
      <c r="E22" s="4">
        <f>全体!E22-機械!E22</f>
        <v/>
      </c>
      <c r="F22" s="4">
        <f>全体!F22-機械!F22</f>
        <v/>
      </c>
      <c r="G22" s="4">
        <f>全体!G22-機械!G22</f>
        <v/>
      </c>
      <c r="H22" s="4">
        <f>全体!H22-機械!H22</f>
        <v/>
      </c>
      <c r="I22" s="4">
        <f>全体!I22-機械!I22</f>
        <v/>
      </c>
      <c r="J22" s="4">
        <f>全体!J22-機械!J22</f>
        <v/>
      </c>
      <c r="K22" s="5">
        <f>SUM(E22:J22)</f>
        <v/>
      </c>
      <c r="L22" s="4">
        <f>全体!L22-機械!L22</f>
        <v/>
      </c>
      <c r="M22" s="4">
        <f>全体!M22-機械!M22</f>
        <v/>
      </c>
      <c r="N22" s="4">
        <f>全体!N22-機械!N22</f>
        <v/>
      </c>
      <c r="O22" s="4">
        <f>全体!O22-機械!O22</f>
        <v/>
      </c>
      <c r="P22" s="4">
        <f>全体!P22-機械!P22</f>
        <v/>
      </c>
      <c r="Q22" s="4">
        <f>全体!Q22-機械!Q22</f>
        <v/>
      </c>
      <c r="R22" s="5">
        <f>SUM(L22:Q22)</f>
        <v/>
      </c>
      <c r="S22" s="186">
        <f>IF(E22=0,"***",L22/E22)</f>
        <v/>
      </c>
      <c r="T22" s="186">
        <f>IF(F22=0,"***",M22/F22)</f>
        <v/>
      </c>
      <c r="U22" s="186">
        <f>IF(G22=0,"***",N22/G22)</f>
        <v/>
      </c>
      <c r="V22" s="186">
        <f>IF(H22=0,"***",O22/H22)</f>
        <v/>
      </c>
      <c r="W22" s="186">
        <f>IF(I22=0,"***",P22/I22)</f>
        <v/>
      </c>
      <c r="X22" s="186">
        <f>IF(J22=0,"***",Q22/J22)</f>
        <v/>
      </c>
      <c r="Y22" s="187">
        <f>IF(K22=0,"***",R22/K22)</f>
        <v/>
      </c>
    </row>
    <row r="23">
      <c r="C23" s="31" t="inlineStr">
        <is>
          <t>0552 集計</t>
        </is>
      </c>
      <c r="D23" s="20" t="inlineStr">
        <is>
          <t>馬場部長（東京）</t>
        </is>
      </c>
      <c r="E23" s="4">
        <f>全体!E23-機械!E23</f>
        <v/>
      </c>
      <c r="F23" s="4">
        <f>全体!F23-機械!F23</f>
        <v/>
      </c>
      <c r="G23" s="4">
        <f>全体!G23-機械!G23</f>
        <v/>
      </c>
      <c r="H23" s="4">
        <f>全体!H23-機械!H23</f>
        <v/>
      </c>
      <c r="I23" s="4">
        <f>全体!I23-機械!I23</f>
        <v/>
      </c>
      <c r="J23" s="4">
        <f>全体!J23-機械!J23</f>
        <v/>
      </c>
      <c r="K23" s="5">
        <f>SUM(E23:J23)</f>
        <v/>
      </c>
      <c r="L23" s="4">
        <f>全体!L23-機械!L23</f>
        <v/>
      </c>
      <c r="M23" s="4">
        <f>全体!M23-機械!M23</f>
        <v/>
      </c>
      <c r="N23" s="4">
        <f>全体!N23-機械!N23</f>
        <v/>
      </c>
      <c r="O23" s="4">
        <f>全体!O23-機械!O23</f>
        <v/>
      </c>
      <c r="P23" s="4">
        <f>全体!P23-機械!P23</f>
        <v/>
      </c>
      <c r="Q23" s="4">
        <f>全体!Q23-機械!Q23</f>
        <v/>
      </c>
      <c r="R23" s="5">
        <f>SUM(L23:Q23)</f>
        <v/>
      </c>
      <c r="S23" s="186">
        <f>IF(E23=0,"***",L23/E23)</f>
        <v/>
      </c>
      <c r="T23" s="186">
        <f>IF(F23=0,"***",M23/F23)</f>
        <v/>
      </c>
      <c r="U23" s="186">
        <f>IF(G23=0,"***",N23/G23)</f>
        <v/>
      </c>
      <c r="V23" s="186">
        <f>IF(H23=0,"***",O23/H23)</f>
        <v/>
      </c>
      <c r="W23" s="186">
        <f>IF(I23=0,"***",P23/I23)</f>
        <v/>
      </c>
      <c r="X23" s="186">
        <f>IF(J23=0,"***",Q23/J23)</f>
        <v/>
      </c>
      <c r="Y23" s="187">
        <f>IF(K23=0,"***",R23/K23)</f>
        <v/>
      </c>
    </row>
    <row r="24">
      <c r="C24" s="45" t="inlineStr">
        <is>
          <t>合計</t>
        </is>
      </c>
      <c r="D24" s="46" t="n"/>
      <c r="E24" s="7">
        <f>SUM(E18:E23)</f>
        <v/>
      </c>
      <c r="F24" s="7">
        <f>SUM(F18:F23)</f>
        <v/>
      </c>
      <c r="G24" s="7">
        <f>SUM(G18:G23)</f>
        <v/>
      </c>
      <c r="H24" s="7">
        <f>SUM(H18:H23)</f>
        <v/>
      </c>
      <c r="I24" s="7">
        <f>SUM(I18:I23)</f>
        <v/>
      </c>
      <c r="J24" s="7">
        <f>SUM(J18:J23)</f>
        <v/>
      </c>
      <c r="K24" s="8">
        <f>SUM(K18:K23)</f>
        <v/>
      </c>
      <c r="L24" s="7">
        <f>SUM(L18:L23)</f>
        <v/>
      </c>
      <c r="M24" s="7">
        <f>SUM(M18:M23)</f>
        <v/>
      </c>
      <c r="N24" s="7">
        <f>SUM(N18:N23)</f>
        <v/>
      </c>
      <c r="O24" s="7">
        <f>SUM(O18:O23)</f>
        <v/>
      </c>
      <c r="P24" s="7">
        <f>SUM(P18:P23)</f>
        <v/>
      </c>
      <c r="Q24" s="7">
        <f>SUM(Q18:Q23)</f>
        <v/>
      </c>
      <c r="R24" s="8">
        <f>SUM(R18:R23)</f>
        <v/>
      </c>
      <c r="S24" s="181">
        <f>IF(E24=0,"***",L24/E24)</f>
        <v/>
      </c>
      <c r="T24" s="181">
        <f>IF(F24=0,"***",M24/F24)</f>
        <v/>
      </c>
      <c r="U24" s="181">
        <f>IF(G24=0,"***",N24/G24)</f>
        <v/>
      </c>
      <c r="V24" s="181">
        <f>IF(H24=0,"***",O24/H24)</f>
        <v/>
      </c>
      <c r="W24" s="181">
        <f>IF(I24=0,"***",P24/I24)</f>
        <v/>
      </c>
      <c r="X24" s="181">
        <f>IF(J24=0,"***",Q24/J24)</f>
        <v/>
      </c>
      <c r="Y24" s="182">
        <f>IF(K24=0,"***",R24/K24)</f>
        <v/>
      </c>
    </row>
    <row r="25" customFormat="1" s="60">
      <c r="C25" s="61" t="inlineStr">
        <is>
          <t>内リンガーハット</t>
        </is>
      </c>
      <c r="D25" s="63" t="n"/>
      <c r="E25" s="4">
        <f>全体!E25-機械!E25</f>
        <v/>
      </c>
      <c r="F25" s="4">
        <f>全体!F25-機械!F25</f>
        <v/>
      </c>
      <c r="G25" s="4">
        <f>全体!G25-機械!G25</f>
        <v/>
      </c>
      <c r="H25" s="4">
        <f>全体!H25-機械!H25</f>
        <v/>
      </c>
      <c r="I25" s="4">
        <f>全体!I25-機械!I25</f>
        <v/>
      </c>
      <c r="J25" s="4">
        <f>全体!J25-機械!J25</f>
        <v/>
      </c>
      <c r="K25" s="5">
        <f>SUM(E25:J25)</f>
        <v/>
      </c>
      <c r="L25" s="4">
        <f>全体!L25-機械!L25</f>
        <v/>
      </c>
      <c r="M25" s="4">
        <f>全体!M25-機械!M25</f>
        <v/>
      </c>
      <c r="N25" s="4">
        <f>全体!N25-機械!N25</f>
        <v/>
      </c>
      <c r="O25" s="4">
        <f>全体!O25-機械!O25</f>
        <v/>
      </c>
      <c r="P25" s="4">
        <f>全体!P25-機械!P25</f>
        <v/>
      </c>
      <c r="Q25" s="4">
        <f>全体!Q25-機械!Q25</f>
        <v/>
      </c>
      <c r="R25" s="5">
        <f>SUM(L25:Q25)</f>
        <v/>
      </c>
      <c r="S25" s="188">
        <f>IF(E25=0,"***",L25/E25)</f>
        <v/>
      </c>
      <c r="T25" s="188">
        <f>IF(F25=0,"***",M25/F25)</f>
        <v/>
      </c>
      <c r="U25" s="188">
        <f>IF(G25=0,"***",N25/G25)</f>
        <v/>
      </c>
      <c r="V25" s="188">
        <f>IF(H25=0,"***",O25/H25)</f>
        <v/>
      </c>
      <c r="W25" s="188">
        <f>IF(I25=0,"***",P25/I25)</f>
        <v/>
      </c>
      <c r="X25" s="188">
        <f>IF(J25=0,"***",Q25/J25)</f>
        <v/>
      </c>
      <c r="Y25" s="189">
        <f>IF(K25=0,"***",R25/K25)</f>
        <v/>
      </c>
      <c r="Z25" s="60" t="inlineStr">
        <is>
          <t>0042と0550からカネゲン引く</t>
        </is>
      </c>
    </row>
    <row r="26" customFormat="1" s="60">
      <c r="C26" s="61" t="inlineStr">
        <is>
          <t>リンガーハット以外</t>
        </is>
      </c>
      <c r="D26" s="63" t="n"/>
      <c r="E26" s="59">
        <f>E24-E25</f>
        <v/>
      </c>
      <c r="F26" s="59">
        <f>F24-F25</f>
        <v/>
      </c>
      <c r="G26" s="59">
        <f>G24-G25</f>
        <v/>
      </c>
      <c r="H26" s="59">
        <f>H24-H25</f>
        <v/>
      </c>
      <c r="I26" s="59">
        <f>I24-I25</f>
        <v/>
      </c>
      <c r="J26" s="59">
        <f>J24-J25</f>
        <v/>
      </c>
      <c r="K26" s="57">
        <f>SUM(E26:J26)</f>
        <v/>
      </c>
      <c r="L26" s="59">
        <f>L24-L25</f>
        <v/>
      </c>
      <c r="M26" s="59">
        <f>M24-M25</f>
        <v/>
      </c>
      <c r="N26" s="59">
        <f>N24-N25</f>
        <v/>
      </c>
      <c r="O26" s="59">
        <f>O24-O25</f>
        <v/>
      </c>
      <c r="P26" s="59">
        <f>P24-P25</f>
        <v/>
      </c>
      <c r="Q26" s="59">
        <f>Q24-Q25</f>
        <v/>
      </c>
      <c r="R26" s="57">
        <f>SUM(L26:Q26)</f>
        <v/>
      </c>
      <c r="S26" s="188">
        <f>IF(E26=0,"***",L26/E26)</f>
        <v/>
      </c>
      <c r="T26" s="188">
        <f>IF(F26=0,"***",M26/F26)</f>
        <v/>
      </c>
      <c r="U26" s="188">
        <f>IF(G26=0,"***",N26/G26)</f>
        <v/>
      </c>
      <c r="V26" s="188">
        <f>IF(H26=0,"***",O26/H26)</f>
        <v/>
      </c>
      <c r="W26" s="188">
        <f>IF(I26=0,"***",P26/I26)</f>
        <v/>
      </c>
      <c r="X26" s="188">
        <f>IF(J26=0,"***",Q26/J26)</f>
        <v/>
      </c>
      <c r="Y26" s="189">
        <f>IF(K26=0,"***",R26/K26)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70"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3" t="inlineStr">
        <is>
          <t>0042 集計</t>
        </is>
      </c>
      <c r="D31" s="76" t="inlineStr">
        <is>
          <t>馬場部長（鳥栖）</t>
        </is>
      </c>
      <c r="E31" s="4">
        <f>(E18+E5)/2</f>
        <v/>
      </c>
      <c r="F31" s="4">
        <f>(F18+F5)/2</f>
        <v/>
      </c>
      <c r="G31" s="4">
        <f>(G18+G5)/2</f>
        <v/>
      </c>
      <c r="H31" s="4">
        <f>(H18+H5)/2</f>
        <v/>
      </c>
      <c r="I31" s="4">
        <f>(I18+I5)/2</f>
        <v/>
      </c>
      <c r="J31" s="4">
        <f>(J18+J5)/2</f>
        <v/>
      </c>
      <c r="K31" s="5">
        <f>SUM(E31:J31)</f>
        <v/>
      </c>
      <c r="L31" s="4">
        <f>(L18+L5)/2</f>
        <v/>
      </c>
      <c r="M31" s="4">
        <f>(M18+M5)/2</f>
        <v/>
      </c>
      <c r="N31" s="4">
        <f>(N18+N5)/2</f>
        <v/>
      </c>
      <c r="O31" s="4">
        <f>(O18+O5)/2</f>
        <v/>
      </c>
      <c r="P31" s="4">
        <f>(P18+P5)/2</f>
        <v/>
      </c>
      <c r="Q31" s="4">
        <f>(Q18+Q5)/2</f>
        <v/>
      </c>
      <c r="R31" s="5">
        <f>SUM(L31:Q31)</f>
        <v/>
      </c>
      <c r="S31" s="186">
        <f>IF(E31=0,"***",L31/E31)</f>
        <v/>
      </c>
      <c r="T31" s="186">
        <f>IF(F31=0,"***",M31/F31)</f>
        <v/>
      </c>
      <c r="U31" s="186">
        <f>IF(G31=0,"***",N31/G31)</f>
        <v/>
      </c>
      <c r="V31" s="186">
        <f>IF(H31=0,"***",O31/H31)</f>
        <v/>
      </c>
      <c r="W31" s="186">
        <f>IF(I31=0,"***",P31/I31)</f>
        <v/>
      </c>
      <c r="X31" s="186">
        <f>IF(J31=0,"***",Q31/J31)</f>
        <v/>
      </c>
      <c r="Y31" s="187">
        <f>IF(K31=0,"***",R31/K31)</f>
        <v/>
      </c>
    </row>
    <row r="32">
      <c r="C32" s="43" t="inlineStr">
        <is>
          <t>0045 集計</t>
        </is>
      </c>
      <c r="D32" s="76" t="inlineStr">
        <is>
          <t>ペーパーハグ</t>
        </is>
      </c>
      <c r="E32" s="4">
        <f>(E19+E6)/2</f>
        <v/>
      </c>
      <c r="F32" s="4">
        <f>(F19+F6)/2</f>
        <v/>
      </c>
      <c r="G32" s="4">
        <f>(G19+G6)/2</f>
        <v/>
      </c>
      <c r="H32" s="4">
        <f>(H19+H6)/2</f>
        <v/>
      </c>
      <c r="I32" s="4">
        <f>(I19+I6)/2</f>
        <v/>
      </c>
      <c r="J32" s="4">
        <f>(J19+J6)/2</f>
        <v/>
      </c>
      <c r="K32" s="5">
        <f>SUM(E32:J32)</f>
        <v/>
      </c>
      <c r="L32" s="4">
        <f>(L19+L6)/2</f>
        <v/>
      </c>
      <c r="M32" s="4">
        <f>(M19+M6)/2</f>
        <v/>
      </c>
      <c r="N32" s="4">
        <f>(N19+N6)/2</f>
        <v/>
      </c>
      <c r="O32" s="4">
        <f>(O19+O6)/2</f>
        <v/>
      </c>
      <c r="P32" s="4">
        <f>(P19+P6)/2</f>
        <v/>
      </c>
      <c r="Q32" s="4">
        <f>(Q19+Q6)/2</f>
        <v/>
      </c>
      <c r="R32" s="5">
        <f>SUM(L32:Q32)</f>
        <v/>
      </c>
      <c r="S32" s="186">
        <f>IF(E32=0,"***",L32/E32)</f>
        <v/>
      </c>
      <c r="T32" s="186">
        <f>IF(F32=0,"***",M32/F32)</f>
        <v/>
      </c>
      <c r="U32" s="186">
        <f>IF(G32=0,"***",N32/G32)</f>
        <v/>
      </c>
      <c r="V32" s="186">
        <f>IF(H32=0,"***",O32/H32)</f>
        <v/>
      </c>
      <c r="W32" s="186">
        <f>IF(I32=0,"***",P32/I32)</f>
        <v/>
      </c>
      <c r="X32" s="186">
        <f>IF(J32=0,"***",Q32/J32)</f>
        <v/>
      </c>
      <c r="Y32" s="187">
        <f>IF(K32=0,"***",R32/K32)</f>
        <v/>
      </c>
    </row>
    <row r="33">
      <c r="C33" s="44" t="inlineStr">
        <is>
          <t>0046 集計</t>
        </is>
      </c>
      <c r="D33" s="20" t="inlineStr">
        <is>
          <t>角田</t>
        </is>
      </c>
      <c r="E33" s="4">
        <f>(E20+E7)/2</f>
        <v/>
      </c>
      <c r="F33" s="4">
        <f>(F20+F7)/2</f>
        <v/>
      </c>
      <c r="G33" s="4">
        <f>(G20+G7)/2</f>
        <v/>
      </c>
      <c r="H33" s="4">
        <f>(H20+H7)/2</f>
        <v/>
      </c>
      <c r="I33" s="4">
        <f>(I20+I7)/2</f>
        <v/>
      </c>
      <c r="J33" s="4">
        <f>(J20+J7)/2</f>
        <v/>
      </c>
      <c r="K33" s="5">
        <f>SUM(E33:J33)</f>
        <v/>
      </c>
      <c r="L33" s="4">
        <f>(L20+L7)/2</f>
        <v/>
      </c>
      <c r="M33" s="4">
        <f>(M20+M7)/2</f>
        <v/>
      </c>
      <c r="N33" s="4">
        <f>(N20+N7)/2</f>
        <v/>
      </c>
      <c r="O33" s="4">
        <f>(O20+O7)/2</f>
        <v/>
      </c>
      <c r="P33" s="4">
        <f>(P20+P7)/2</f>
        <v/>
      </c>
      <c r="Q33" s="4">
        <f>(Q20+Q7)/2</f>
        <v/>
      </c>
      <c r="R33" s="5">
        <f>SUM(L33:Q33)</f>
        <v/>
      </c>
      <c r="S33" s="186">
        <f>IF(E33=0,"***",L33/E33)</f>
        <v/>
      </c>
      <c r="T33" s="186">
        <f>IF(F33=0,"***",M33/F33)</f>
        <v/>
      </c>
      <c r="U33" s="186">
        <f>IF(G33=0,"***",N33/G33)</f>
        <v/>
      </c>
      <c r="V33" s="186">
        <f>IF(H33=0,"***",O33/H33)</f>
        <v/>
      </c>
      <c r="W33" s="186">
        <f>IF(I33=0,"***",P33/I33)</f>
        <v/>
      </c>
      <c r="X33" s="186">
        <f>IF(J33=0,"***",Q33/J33)</f>
        <v/>
      </c>
      <c r="Y33" s="187">
        <f>IF(K33=0,"***",R33/K33)</f>
        <v/>
      </c>
    </row>
    <row r="34">
      <c r="C34" s="43" t="inlineStr">
        <is>
          <t>0047 集計</t>
        </is>
      </c>
      <c r="D34" s="76" t="inlineStr">
        <is>
          <t>馬場部長（静岡）</t>
        </is>
      </c>
      <c r="E34" s="4">
        <f>(E21+E8)/2</f>
        <v/>
      </c>
      <c r="F34" s="4">
        <f>(F21+F8)/2</f>
        <v/>
      </c>
      <c r="G34" s="4">
        <f>(G21+G8)/2</f>
        <v/>
      </c>
      <c r="H34" s="4">
        <f>(H21+H8)/2</f>
        <v/>
      </c>
      <c r="I34" s="4">
        <f>(I21+I8)/2</f>
        <v/>
      </c>
      <c r="J34" s="4">
        <f>(J21+J8)/2</f>
        <v/>
      </c>
      <c r="K34" s="5" t="n"/>
      <c r="L34" s="4">
        <f>(L21+L8)/2</f>
        <v/>
      </c>
      <c r="M34" s="4">
        <f>(M21+M8)/2</f>
        <v/>
      </c>
      <c r="N34" s="4">
        <f>(N21+N8)/2</f>
        <v/>
      </c>
      <c r="O34" s="4">
        <f>(O21+O8)/2</f>
        <v/>
      </c>
      <c r="P34" s="4">
        <f>(P21+P8)/2</f>
        <v/>
      </c>
      <c r="Q34" s="4">
        <f>(Q21+Q8)/2</f>
        <v/>
      </c>
      <c r="R34" s="5" t="n"/>
      <c r="S34" s="186" t="n"/>
      <c r="T34" s="186" t="n"/>
      <c r="U34" s="186" t="n"/>
      <c r="V34" s="186" t="n"/>
      <c r="W34" s="186" t="n"/>
      <c r="X34" s="186" t="n"/>
      <c r="Y34" s="187" t="n"/>
    </row>
    <row r="35">
      <c r="C35" s="31" t="inlineStr">
        <is>
          <t>0550 集計</t>
        </is>
      </c>
      <c r="D35" s="20" t="inlineStr">
        <is>
          <t>馬場所長（東京）</t>
        </is>
      </c>
      <c r="E35" s="4">
        <f>(E22+E9)/2</f>
        <v/>
      </c>
      <c r="F35" s="4">
        <f>(F22+F9)/2</f>
        <v/>
      </c>
      <c r="G35" s="4">
        <f>(G22+G9)/2</f>
        <v/>
      </c>
      <c r="H35" s="4">
        <f>(H22+H9)/2</f>
        <v/>
      </c>
      <c r="I35" s="4">
        <f>(I22+I9)/2</f>
        <v/>
      </c>
      <c r="J35" s="4">
        <f>(J22+J9)/2</f>
        <v/>
      </c>
      <c r="K35" s="5">
        <f>SUM(E35:J35)</f>
        <v/>
      </c>
      <c r="L35" s="4">
        <f>(L22+L9)/2</f>
        <v/>
      </c>
      <c r="M35" s="4">
        <f>(M22+M9)/2</f>
        <v/>
      </c>
      <c r="N35" s="4">
        <f>(N22+N9)/2</f>
        <v/>
      </c>
      <c r="O35" s="4">
        <f>(O22+O9)/2</f>
        <v/>
      </c>
      <c r="P35" s="4">
        <f>(P22+P9)/2</f>
        <v/>
      </c>
      <c r="Q35" s="4">
        <f>(Q22+Q9)/2</f>
        <v/>
      </c>
      <c r="R35" s="5">
        <f>SUM(L35:Q35)</f>
        <v/>
      </c>
      <c r="S35" s="186">
        <f>IF(E35=0,"***",L35/E35)</f>
        <v/>
      </c>
      <c r="T35" s="186">
        <f>IF(F35=0,"***",M35/F35)</f>
        <v/>
      </c>
      <c r="U35" s="186">
        <f>IF(G35=0,"***",N35/G35)</f>
        <v/>
      </c>
      <c r="V35" s="186">
        <f>IF(H35=0,"***",O35/H35)</f>
        <v/>
      </c>
      <c r="W35" s="186">
        <f>IF(I35=0,"***",P35/I35)</f>
        <v/>
      </c>
      <c r="X35" s="186">
        <f>IF(J35=0,"***",Q35/J35)</f>
        <v/>
      </c>
      <c r="Y35" s="187">
        <f>IF(K35=0,"***",R35/K35)</f>
        <v/>
      </c>
    </row>
    <row r="36">
      <c r="C36" s="31" t="inlineStr">
        <is>
          <t>0552 集計</t>
        </is>
      </c>
      <c r="D36" s="20" t="inlineStr">
        <is>
          <t>馬場部長（東京）</t>
        </is>
      </c>
      <c r="E36" s="4">
        <f>(E23+E10)/2</f>
        <v/>
      </c>
      <c r="F36" s="4">
        <f>(F23+F10)/2</f>
        <v/>
      </c>
      <c r="G36" s="4">
        <f>(G23+G10)/2</f>
        <v/>
      </c>
      <c r="H36" s="4">
        <f>(H23+H10)/2</f>
        <v/>
      </c>
      <c r="I36" s="4">
        <f>(I23+I10)/2</f>
        <v/>
      </c>
      <c r="J36" s="4">
        <f>(J23+J10)/2</f>
        <v/>
      </c>
      <c r="K36" s="5">
        <f>SUM(E36:J36)</f>
        <v/>
      </c>
      <c r="L36" s="4">
        <f>(L23+L10)/2</f>
        <v/>
      </c>
      <c r="M36" s="4">
        <f>(M23+M10)/2</f>
        <v/>
      </c>
      <c r="N36" s="4">
        <f>(N23+N10)/2</f>
        <v/>
      </c>
      <c r="O36" s="4">
        <f>(O23+O10)/2</f>
        <v/>
      </c>
      <c r="P36" s="4">
        <f>(P23+P10)/2</f>
        <v/>
      </c>
      <c r="Q36" s="4">
        <f>(Q23+Q10)/2</f>
        <v/>
      </c>
      <c r="R36" s="5">
        <f>SUM(L36:Q36)</f>
        <v/>
      </c>
      <c r="S36" s="186">
        <f>IF(E36=0,"***",L36/E36)</f>
        <v/>
      </c>
      <c r="T36" s="186">
        <f>IF(F36=0,"***",M36/F36)</f>
        <v/>
      </c>
      <c r="U36" s="186">
        <f>IF(G36=0,"***",N36/G36)</f>
        <v/>
      </c>
      <c r="V36" s="186">
        <f>IF(H36=0,"***",O36/H36)</f>
        <v/>
      </c>
      <c r="W36" s="186">
        <f>IF(I36=0,"***",P36/I36)</f>
        <v/>
      </c>
      <c r="X36" s="186">
        <f>IF(J36=0,"***",Q36/J36)</f>
        <v/>
      </c>
      <c r="Y36" s="187">
        <f>IF(K36=0,"***",R36/K36)</f>
        <v/>
      </c>
    </row>
    <row r="37">
      <c r="C37" s="45" t="inlineStr">
        <is>
          <t>合計</t>
        </is>
      </c>
      <c r="D37" s="46" t="n"/>
      <c r="E37" s="7">
        <f>SUM(E31:E36)</f>
        <v/>
      </c>
      <c r="F37" s="7">
        <f>SUM(F31:F36)</f>
        <v/>
      </c>
      <c r="G37" s="7">
        <f>SUM(G31:G36)</f>
        <v/>
      </c>
      <c r="H37" s="7">
        <f>SUM(H31:H36)</f>
        <v/>
      </c>
      <c r="I37" s="7">
        <f>SUM(I31:I36)</f>
        <v/>
      </c>
      <c r="J37" s="7">
        <f>SUM(J31:J36)</f>
        <v/>
      </c>
      <c r="K37" s="8">
        <f>SUM(K31:K36)</f>
        <v/>
      </c>
      <c r="L37" s="7">
        <f>SUM(L31:L36)</f>
        <v/>
      </c>
      <c r="M37" s="7">
        <f>SUM(M31:M36)</f>
        <v/>
      </c>
      <c r="N37" s="7">
        <f>SUM(N31:N36)</f>
        <v/>
      </c>
      <c r="O37" s="7">
        <f>SUM(O31:O36)</f>
        <v/>
      </c>
      <c r="P37" s="7">
        <f>SUM(P31:P36)</f>
        <v/>
      </c>
      <c r="Q37" s="7">
        <f>SUM(Q31:Q36)</f>
        <v/>
      </c>
      <c r="R37" s="8">
        <f>SUM(R31:R36)</f>
        <v/>
      </c>
      <c r="S37" s="181">
        <f>IF(E37=0,"***",L37/E37)</f>
        <v/>
      </c>
      <c r="T37" s="181">
        <f>IF(F37=0,"***",M37/F37)</f>
        <v/>
      </c>
      <c r="U37" s="181">
        <f>IF(G37=0,"***",N37/G37)</f>
        <v/>
      </c>
      <c r="V37" s="181">
        <f>IF(H37=0,"***",O37/H37)</f>
        <v/>
      </c>
      <c r="W37" s="181">
        <f>IF(I37=0,"***",P37/I37)</f>
        <v/>
      </c>
      <c r="X37" s="181">
        <f>IF(J37=0,"***",Q37/J37)</f>
        <v/>
      </c>
      <c r="Y37" s="182">
        <f>IF(K37=0,"***",R37/K37)</f>
        <v/>
      </c>
    </row>
    <row r="38" customFormat="1" s="60">
      <c r="C38" s="61" t="inlineStr">
        <is>
          <t>内リンガーハット</t>
        </is>
      </c>
      <c r="D38" s="63" t="n"/>
      <c r="E38" s="59">
        <f>(E25+E12)/2</f>
        <v/>
      </c>
      <c r="F38" s="59">
        <f>(F25+F12)/2</f>
        <v/>
      </c>
      <c r="G38" s="59">
        <f>(G25+G12)/2</f>
        <v/>
      </c>
      <c r="H38" s="59">
        <f>(H25+H12)/2</f>
        <v/>
      </c>
      <c r="I38" s="59">
        <f>(I25+I12)/2</f>
        <v/>
      </c>
      <c r="J38" s="59">
        <f>(J25+J12)/2</f>
        <v/>
      </c>
      <c r="K38" s="57">
        <f>SUM(E38:J38)</f>
        <v/>
      </c>
      <c r="L38" s="59">
        <f>(L25+L12)/2</f>
        <v/>
      </c>
      <c r="M38" s="59">
        <f>(M25+M12)/2</f>
        <v/>
      </c>
      <c r="N38" s="59">
        <f>(N25+N12)/2</f>
        <v/>
      </c>
      <c r="O38" s="59">
        <f>(O25+O12)/2</f>
        <v/>
      </c>
      <c r="P38" s="59">
        <f>(P25+P12)/2</f>
        <v/>
      </c>
      <c r="Q38" s="59">
        <f>(Q25+Q12)/2</f>
        <v/>
      </c>
      <c r="R38" s="57">
        <f>SUM(L38:Q38)</f>
        <v/>
      </c>
      <c r="S38" s="188">
        <f>IF(E38=0,"***",L38/E38)</f>
        <v/>
      </c>
      <c r="T38" s="188">
        <f>IF(F38=0,"***",M38/F38)</f>
        <v/>
      </c>
      <c r="U38" s="188">
        <f>IF(G38=0,"***",N38/G38)</f>
        <v/>
      </c>
      <c r="V38" s="188">
        <f>IF(H38=0,"***",O38/H38)</f>
        <v/>
      </c>
      <c r="W38" s="188">
        <f>IF(I38=0,"***",P38/I38)</f>
        <v/>
      </c>
      <c r="X38" s="188">
        <f>IF(J38=0,"***",Q38/J38)</f>
        <v/>
      </c>
      <c r="Y38" s="189">
        <f>IF(K38=0,"***",R38/K38)</f>
        <v/>
      </c>
      <c r="Z38" s="60" t="inlineStr">
        <is>
          <t>0042と0550からカネゲン引く</t>
        </is>
      </c>
    </row>
    <row r="39" customFormat="1" s="60">
      <c r="C39" s="61" t="inlineStr">
        <is>
          <t>リンガーハット以外</t>
        </is>
      </c>
      <c r="D39" s="63" t="n"/>
      <c r="E39" s="59">
        <f>E37-E38</f>
        <v/>
      </c>
      <c r="F39" s="59">
        <f>F37-F38</f>
        <v/>
      </c>
      <c r="G39" s="59">
        <f>G37-G38</f>
        <v/>
      </c>
      <c r="H39" s="59">
        <f>H37-H38</f>
        <v/>
      </c>
      <c r="I39" s="59">
        <f>I37-I38</f>
        <v/>
      </c>
      <c r="J39" s="59">
        <f>J37-J38</f>
        <v/>
      </c>
      <c r="K39" s="57">
        <f>SUM(E39:J39)</f>
        <v/>
      </c>
      <c r="L39" s="59">
        <f>L37-L38</f>
        <v/>
      </c>
      <c r="M39" s="59">
        <f>M37-M38</f>
        <v/>
      </c>
      <c r="N39" s="59">
        <f>N37-N38</f>
        <v/>
      </c>
      <c r="O39" s="59">
        <f>O37-O38</f>
        <v/>
      </c>
      <c r="P39" s="59">
        <f>P37-P38</f>
        <v/>
      </c>
      <c r="Q39" s="59">
        <f>Q37-Q38</f>
        <v/>
      </c>
      <c r="R39" s="57">
        <f>SUM(L39:Q39)</f>
        <v/>
      </c>
      <c r="S39" s="188">
        <f>IF(E39=0,"***",L39/E39)</f>
        <v/>
      </c>
      <c r="T39" s="188">
        <f>IF(F39=0,"***",M39/F39)</f>
        <v/>
      </c>
      <c r="U39" s="188">
        <f>IF(G39=0,"***",N39/G39)</f>
        <v/>
      </c>
      <c r="V39" s="188">
        <f>IF(H39=0,"***",O39/H39)</f>
        <v/>
      </c>
      <c r="W39" s="188">
        <f>IF(I39=0,"***",P39/I39)</f>
        <v/>
      </c>
      <c r="X39" s="188">
        <f>IF(J39=0,"***",Q39/J39)</f>
        <v/>
      </c>
      <c r="Y39" s="189">
        <f>IF(K39=0,"***",R39/K39)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C44" s="43" t="inlineStr">
        <is>
          <t>0042 集計</t>
        </is>
      </c>
      <c r="D44" s="76" t="inlineStr">
        <is>
          <t>馬場部長（鳥栖）</t>
        </is>
      </c>
      <c r="E44" s="4" t="n">
        <v>31000</v>
      </c>
      <c r="F44" s="4" t="n">
        <v>28000</v>
      </c>
      <c r="G44" s="4" t="n">
        <v>29000</v>
      </c>
      <c r="H44" s="4" t="n">
        <v>33500</v>
      </c>
      <c r="I44" s="4" t="n">
        <v>33800</v>
      </c>
      <c r="J44" s="4" t="n">
        <v>33600</v>
      </c>
      <c r="K44" s="118">
        <f>SUM(E44:J44)</f>
        <v/>
      </c>
      <c r="L44" s="3" t="n">
        <v>4500</v>
      </c>
      <c r="M44" s="4" t="n">
        <v>4100</v>
      </c>
      <c r="N44" s="4" t="n">
        <v>4200</v>
      </c>
      <c r="O44" s="4" t="n">
        <v>4860</v>
      </c>
      <c r="P44" s="4" t="n">
        <v>4900</v>
      </c>
      <c r="Q44" s="4" t="n">
        <v>4800</v>
      </c>
      <c r="R44" s="84">
        <f>SUM(L44:Q44)</f>
        <v/>
      </c>
      <c r="S44" s="190">
        <f>IF(E44=0,"***",L44/E44)</f>
        <v/>
      </c>
      <c r="T44" s="186">
        <f>IF(F44=0,"***",M44/F44)</f>
        <v/>
      </c>
      <c r="U44" s="186">
        <f>IF(G44=0,"***",N44/G44)</f>
        <v/>
      </c>
      <c r="V44" s="186">
        <f>IF(H44=0,"***",O44/H44)</f>
        <v/>
      </c>
      <c r="W44" s="186">
        <f>IF(I44=0,"***",P44/I44)</f>
        <v/>
      </c>
      <c r="X44" s="186">
        <f>IF(J44=0,"***",Q44/J44)</f>
        <v/>
      </c>
      <c r="Y44" s="187">
        <f>IF(K44=0,"***",R44/K44)</f>
        <v/>
      </c>
    </row>
    <row r="45">
      <c r="C45" s="43" t="inlineStr">
        <is>
          <t>0045 集計</t>
        </is>
      </c>
      <c r="D45" s="76" t="inlineStr">
        <is>
          <t>ペーパーハグ</t>
        </is>
      </c>
      <c r="E45" s="4" t="n"/>
      <c r="F45" s="4" t="n"/>
      <c r="G45" s="4" t="n"/>
      <c r="H45" s="4" t="n"/>
      <c r="I45" s="4" t="n"/>
      <c r="J45" s="4" t="n"/>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87">
        <f>IF(K45=0,"***",R45/K45)</f>
        <v/>
      </c>
    </row>
    <row r="46" ht="19.5" customHeight="1" s="171">
      <c r="C46" s="44" t="inlineStr">
        <is>
          <t>0046 集計</t>
        </is>
      </c>
      <c r="D46" s="20" t="inlineStr">
        <is>
          <t>角田</t>
        </is>
      </c>
      <c r="E46" s="4" t="n">
        <v>7000</v>
      </c>
      <c r="F46" s="4" t="n">
        <v>4500</v>
      </c>
      <c r="G46" s="4" t="n">
        <v>5600</v>
      </c>
      <c r="H46" s="4" t="n">
        <v>7180</v>
      </c>
      <c r="I46" s="4" t="n">
        <v>6300</v>
      </c>
      <c r="J46" s="4" t="n">
        <v>5000</v>
      </c>
      <c r="K46" s="118">
        <f>SUM(E46:J46)</f>
        <v/>
      </c>
      <c r="L46" s="3" t="n">
        <v>1365</v>
      </c>
      <c r="M46" s="4" t="n">
        <v>900</v>
      </c>
      <c r="N46" s="4" t="n">
        <v>1100</v>
      </c>
      <c r="O46" s="4" t="n">
        <v>1500</v>
      </c>
      <c r="P46" s="4" t="n">
        <v>1300</v>
      </c>
      <c r="Q46" s="4" t="n">
        <v>1000</v>
      </c>
      <c r="R46" s="84">
        <f>SUM(L46:Q46)</f>
        <v/>
      </c>
      <c r="S46" s="190">
        <f>IF(E46=0,"***",L46/E46)</f>
        <v/>
      </c>
      <c r="T46" s="186">
        <f>IF(F46=0,"***",M46/F46)</f>
        <v/>
      </c>
      <c r="U46" s="186">
        <f>IF(G46=0,"***",N46/G46)</f>
        <v/>
      </c>
      <c r="V46" s="186">
        <f>IF(H46=0,"***",O46/H46)</f>
        <v/>
      </c>
      <c r="W46" s="186">
        <f>IF(I46=0,"***",P46/I46)</f>
        <v/>
      </c>
      <c r="X46" s="186">
        <f>IF(J46=0,"***",Q46/J46)</f>
        <v/>
      </c>
      <c r="Y46" s="187">
        <f>IF(K46=0,"***",R46/K46)</f>
        <v/>
      </c>
    </row>
    <row r="47" ht="19.5" customHeight="1" s="171">
      <c r="C47" s="43" t="inlineStr">
        <is>
          <t>0047 集計</t>
        </is>
      </c>
      <c r="D47" s="76" t="inlineStr">
        <is>
          <t>馬場部長（静岡）</t>
        </is>
      </c>
      <c r="E47" s="4" t="n"/>
      <c r="F47" s="4" t="n"/>
      <c r="G47" s="4" t="n"/>
      <c r="H47" s="4" t="n"/>
      <c r="I47" s="4" t="n"/>
      <c r="J47" s="4" t="n"/>
      <c r="K47" s="118">
        <f>SUM(E47:J47)</f>
        <v/>
      </c>
      <c r="L47" s="3" t="n"/>
      <c r="M47" s="4" t="n"/>
      <c r="N47" s="4" t="n"/>
      <c r="O47" s="4" t="n"/>
      <c r="P47" s="4" t="n"/>
      <c r="Q47" s="4" t="n"/>
      <c r="R47" s="84">
        <f>SUM(L47:Q47)</f>
        <v/>
      </c>
      <c r="S47" s="190" t="n"/>
      <c r="T47" s="186" t="n"/>
      <c r="U47" s="186" t="n"/>
      <c r="V47" s="186" t="n"/>
      <c r="W47" s="186" t="n"/>
      <c r="X47" s="186" t="n"/>
      <c r="Y47" s="187" t="n"/>
    </row>
    <row r="48">
      <c r="C48" s="31" t="inlineStr">
        <is>
          <t>0550 集計</t>
        </is>
      </c>
      <c r="D48" s="20" t="inlineStr">
        <is>
          <t>馬場所長（東京）</t>
        </is>
      </c>
      <c r="E48" s="4" t="n"/>
      <c r="F48" s="4" t="n"/>
      <c r="G48" s="4" t="n"/>
      <c r="H48" s="4" t="n"/>
      <c r="I48" s="4" t="n"/>
      <c r="J48" s="4" t="n"/>
      <c r="K48" s="118">
        <f>SUM(E48:J48)</f>
        <v/>
      </c>
      <c r="L48" s="3">
        <f>ROUND(E48*S48,-1)</f>
        <v/>
      </c>
      <c r="M48" s="4">
        <f>ROUND(F48*T48,-1)</f>
        <v/>
      </c>
      <c r="N48" s="4">
        <f>ROUND(G48*U48,-1)</f>
        <v/>
      </c>
      <c r="O48" s="4">
        <f>ROUND(H48*V48,-1)</f>
        <v/>
      </c>
      <c r="P48" s="4">
        <f>ROUND(I48*W48,-1)</f>
        <v/>
      </c>
      <c r="Q48" s="4">
        <f>ROUND(J48*X48,-1)</f>
        <v/>
      </c>
      <c r="R48" s="84">
        <f>SUM(L48:Q48)</f>
        <v/>
      </c>
      <c r="S48" s="190" t="n">
        <v>0.12</v>
      </c>
      <c r="T48" s="186" t="n">
        <v>0.12</v>
      </c>
      <c r="U48" s="186" t="n">
        <v>0.1166666666666667</v>
      </c>
      <c r="V48" s="186" t="n">
        <v>0.1</v>
      </c>
      <c r="W48" s="186" t="n">
        <v>0.12</v>
      </c>
      <c r="X48" s="186" t="n">
        <v>0.12</v>
      </c>
      <c r="Y48" s="187">
        <f>IF(K48=0,"***",R48/K48)</f>
        <v/>
      </c>
    </row>
    <row r="49">
      <c r="C49" s="31" t="inlineStr">
        <is>
          <t>0552 集計</t>
        </is>
      </c>
      <c r="D49" s="20" t="inlineStr">
        <is>
          <t>馬場部長（東京）</t>
        </is>
      </c>
      <c r="E49" s="4" t="n">
        <v>8900</v>
      </c>
      <c r="F49" s="4" t="n">
        <v>6500</v>
      </c>
      <c r="G49" s="4" t="n">
        <v>6600</v>
      </c>
      <c r="H49" s="4" t="n">
        <v>4250</v>
      </c>
      <c r="I49" s="4" t="n">
        <v>3890</v>
      </c>
      <c r="J49" s="4" t="n">
        <v>6100</v>
      </c>
      <c r="K49" s="118">
        <f>SUM(E49:J49)</f>
        <v/>
      </c>
      <c r="L49" s="3" t="n">
        <v>1150</v>
      </c>
      <c r="M49" s="4" t="n">
        <v>715</v>
      </c>
      <c r="N49" s="4" t="n">
        <v>860</v>
      </c>
      <c r="O49" s="4" t="n">
        <v>550</v>
      </c>
      <c r="P49" s="4" t="n">
        <v>500</v>
      </c>
      <c r="Q49" s="4" t="n">
        <v>800</v>
      </c>
      <c r="R49" s="84">
        <f>SUM(L49:Q49)</f>
        <v/>
      </c>
      <c r="S49" s="190">
        <f>IF(E49=0,"***",L49/E49)</f>
        <v/>
      </c>
      <c r="T49" s="186">
        <f>IF(F49=0,"***",M49/F49)</f>
        <v/>
      </c>
      <c r="U49" s="186">
        <f>IF(G49=0,"***",N49/G49)</f>
        <v/>
      </c>
      <c r="V49" s="186">
        <f>IF(H49=0,"***",O49/H49)</f>
        <v/>
      </c>
      <c r="W49" s="186">
        <f>IF(I49=0,"***",P49/I49)</f>
        <v/>
      </c>
      <c r="X49" s="186">
        <f>IF(J49=0,"***",Q49/J49)</f>
        <v/>
      </c>
      <c r="Y49" s="187">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182">
        <f>IF(K50=0,"***",R50/K50)</f>
        <v/>
      </c>
    </row>
    <row r="51" customFormat="1" s="60">
      <c r="A51" s="172" t="n"/>
      <c r="B51" s="172" t="n"/>
      <c r="C51" s="61" t="inlineStr">
        <is>
          <t>内リンガーハット</t>
        </is>
      </c>
      <c r="D51" s="63" t="n"/>
      <c r="E51" s="59">
        <f>(E38+E25)/2</f>
        <v/>
      </c>
      <c r="F51" s="59">
        <f>(F38+F25)/2</f>
        <v/>
      </c>
      <c r="G51" s="59">
        <f>(G38+G25)/2</f>
        <v/>
      </c>
      <c r="H51" s="59">
        <f>(H38+H25)/2</f>
        <v/>
      </c>
      <c r="I51" s="59">
        <f>(I38+I25)/2</f>
        <v/>
      </c>
      <c r="J51" s="59">
        <f>(J38+J25)/2</f>
        <v/>
      </c>
      <c r="K51" s="120">
        <f>SUM(E51:J51)</f>
        <v/>
      </c>
      <c r="L51" s="124">
        <f>(L38+L25)/2</f>
        <v/>
      </c>
      <c r="M51" s="59">
        <f>(M38+M25)/2</f>
        <v/>
      </c>
      <c r="N51" s="59">
        <f>(N38+N25)/2</f>
        <v/>
      </c>
      <c r="O51" s="59">
        <f>(O38+O25)/2</f>
        <v/>
      </c>
      <c r="P51" s="59">
        <f>(P38+P25)/2</f>
        <v/>
      </c>
      <c r="Q51" s="59">
        <f>(Q38+Q25)/2</f>
        <v/>
      </c>
      <c r="R51" s="72">
        <f>SUM(L51:Q51)</f>
        <v/>
      </c>
      <c r="S51" s="192">
        <f>IF(E51=0,"***",L51/E51)</f>
        <v/>
      </c>
      <c r="T51" s="188">
        <f>IF(F51=0,"***",M51/F51)</f>
        <v/>
      </c>
      <c r="U51" s="188">
        <f>IF(G51=0,"***",N51/G51)</f>
        <v/>
      </c>
      <c r="V51" s="188">
        <f>IF(H51=0,"***",O51/H51)</f>
        <v/>
      </c>
      <c r="W51" s="188">
        <f>IF(I51=0,"***",P51/I51)</f>
        <v/>
      </c>
      <c r="X51" s="188">
        <f>IF(J51=0,"***",Q51/J51)</f>
        <v/>
      </c>
      <c r="Y51" s="189">
        <f>IF(K51=0,"***",R51/K51)</f>
        <v/>
      </c>
      <c r="Z51" s="60" t="inlineStr">
        <is>
          <t>0042と0550からカネゲン引く</t>
        </is>
      </c>
    </row>
    <row r="52" customFormat="1" s="60">
      <c r="A52" s="172" t="n"/>
      <c r="B52" s="172" t="n"/>
      <c r="C52" s="103" t="inlineStr">
        <is>
          <t>リンガーハット以外</t>
        </is>
      </c>
      <c r="D52" s="104" t="n"/>
      <c r="E52" s="105">
        <f>E50-E51</f>
        <v/>
      </c>
      <c r="F52" s="105">
        <f>F50-F51</f>
        <v/>
      </c>
      <c r="G52" s="105">
        <f>G50-G51</f>
        <v/>
      </c>
      <c r="H52" s="105">
        <f>H50-H51</f>
        <v/>
      </c>
      <c r="I52" s="105">
        <f>I50-I51</f>
        <v/>
      </c>
      <c r="J52" s="105">
        <f>J50-J51</f>
        <v/>
      </c>
      <c r="K52" s="144">
        <f>SUM(E52:J52)</f>
        <v/>
      </c>
      <c r="L52" s="145">
        <f>L50-L51</f>
        <v/>
      </c>
      <c r="M52" s="105">
        <f>M50-M51</f>
        <v/>
      </c>
      <c r="N52" s="105">
        <f>N50-N51</f>
        <v/>
      </c>
      <c r="O52" s="105">
        <f>O50-O51</f>
        <v/>
      </c>
      <c r="P52" s="105">
        <f>P50-P51</f>
        <v/>
      </c>
      <c r="Q52" s="105">
        <f>Q50-Q51</f>
        <v/>
      </c>
      <c r="R52" s="106">
        <f>SUM(L52:Q52)</f>
        <v/>
      </c>
      <c r="S52" s="193">
        <f>IF(E52=0,"***",L52/E52)</f>
        <v/>
      </c>
      <c r="T52" s="194">
        <f>IF(F52=0,"***",M52/F52)</f>
        <v/>
      </c>
      <c r="U52" s="194">
        <f>IF(G52=0,"***",N52/G52)</f>
        <v/>
      </c>
      <c r="V52" s="194">
        <f>IF(H52=0,"***",O52/H52)</f>
        <v/>
      </c>
      <c r="W52" s="194">
        <f>IF(I52=0,"***",P52/I52)</f>
        <v/>
      </c>
      <c r="X52" s="194">
        <f>IF(J52=0,"***",Q52/J52)</f>
        <v/>
      </c>
      <c r="Y52" s="195">
        <f>IF(K52=0,"***",R52/K52)</f>
        <v/>
      </c>
      <c r="Z52" s="60" t="inlineStr">
        <is>
          <t>0042と0550からカネゲン引く</t>
        </is>
      </c>
    </row>
    <row r="53" hidden="1" s="171">
      <c r="C53" s="138" t="n"/>
      <c r="D53" s="29" t="n"/>
      <c r="E53" s="138" t="n"/>
      <c r="F53" s="138" t="n"/>
      <c r="G53" s="138" t="n"/>
      <c r="H53" s="138" t="n"/>
      <c r="I53" s="138" t="n"/>
      <c r="J53" s="138" t="n"/>
      <c r="K53" s="138" t="n"/>
      <c r="L53" s="138" t="n"/>
      <c r="M53" s="138" t="n"/>
      <c r="N53" s="138" t="n"/>
      <c r="O53" s="138" t="n"/>
      <c r="P53" s="138" t="n"/>
      <c r="Q53" s="138" t="n"/>
      <c r="R53" s="138" t="n"/>
      <c r="S53" s="196" t="n"/>
      <c r="T53" s="196" t="n"/>
      <c r="U53" s="196" t="n"/>
      <c r="V53" s="196" t="n"/>
      <c r="W53" s="196" t="n"/>
      <c r="X53" s="196" t="n"/>
      <c r="Y53" s="196" t="n"/>
    </row>
    <row r="54" hidden="1" customFormat="1" s="82">
      <c r="A54" s="172" t="n"/>
      <c r="B54" s="172" t="n"/>
      <c r="C54" s="78" t="inlineStr">
        <is>
          <t>5．前期比</t>
        </is>
      </c>
      <c r="D54" s="81" t="n"/>
      <c r="E54" s="78" t="n"/>
      <c r="F54" s="78" t="n"/>
      <c r="G54" s="78" t="n"/>
      <c r="H54" s="78" t="n"/>
      <c r="I54" s="78" t="n"/>
      <c r="J54" s="78" t="n"/>
      <c r="K54" s="78" t="n"/>
      <c r="L54" s="78" t="n"/>
      <c r="M54" s="78" t="n"/>
      <c r="N54" s="78" t="n"/>
      <c r="O54" s="78" t="n"/>
      <c r="P54" s="78" t="n"/>
      <c r="Q54" s="78" t="n"/>
      <c r="R54" s="78" t="n"/>
      <c r="S54" s="197" t="n"/>
      <c r="T54" s="197" t="n"/>
      <c r="U54" s="197" t="n"/>
      <c r="V54" s="197" t="n"/>
      <c r="W54" s="197" t="n"/>
      <c r="X54" s="197"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3"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3" t="inlineStr">
        <is>
          <t>0045 集計</t>
        </is>
      </c>
      <c r="D58" s="76"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t="n"/>
      <c r="T58" s="186" t="n"/>
      <c r="U58" s="186" t="n"/>
      <c r="V58" s="186" t="n"/>
      <c r="W58" s="186" t="n"/>
      <c r="X58" s="186" t="n"/>
      <c r="Y58" s="199" t="n"/>
    </row>
    <row r="59" hidden="1" s="171">
      <c r="C59" s="44"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3"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31" t="inlineStr">
        <is>
          <t>0550 集計</t>
        </is>
      </c>
      <c r="D61" s="20" t="inlineStr">
        <is>
          <t>馬場所長（東京）</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31" t="inlineStr">
        <is>
          <t>0552 集計</t>
        </is>
      </c>
      <c r="D62" s="20" t="inlineStr">
        <is>
          <t>馬場部長（東京）</t>
        </is>
      </c>
      <c r="E62" s="3">
        <f>E49-E23</f>
        <v/>
      </c>
      <c r="F62" s="17">
        <f>F49-F23</f>
        <v/>
      </c>
      <c r="G62" s="17">
        <f>G49-G23</f>
        <v/>
      </c>
      <c r="H62" s="17">
        <f>H49-H23</f>
        <v/>
      </c>
      <c r="I62" s="17">
        <f>I49-I23</f>
        <v/>
      </c>
      <c r="J62" s="17">
        <f>J49-J23</f>
        <v/>
      </c>
      <c r="K62" s="84">
        <f>SUM(E62:J62)</f>
        <v/>
      </c>
      <c r="L62" s="3">
        <f>L49-L23</f>
        <v/>
      </c>
      <c r="M62" s="17">
        <f>M49-M23</f>
        <v/>
      </c>
      <c r="N62" s="17">
        <f>N49-N23</f>
        <v/>
      </c>
      <c r="O62" s="17">
        <f>O49-O23</f>
        <v/>
      </c>
      <c r="P62" s="17">
        <f>P49-P23</f>
        <v/>
      </c>
      <c r="Q62" s="17">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1" t="inlineStr">
        <is>
          <t>内リンガーハット</t>
        </is>
      </c>
      <c r="D64" s="63"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2">
        <f>S51-S25</f>
        <v/>
      </c>
      <c r="T64" s="188">
        <f>T51-T25</f>
        <v/>
      </c>
      <c r="U64" s="188">
        <f>U51-U25</f>
        <v/>
      </c>
      <c r="V64" s="188">
        <f>V51-V25</f>
        <v/>
      </c>
      <c r="W64" s="188">
        <f>W51-W25</f>
        <v/>
      </c>
      <c r="X64" s="188">
        <f>X51-X25</f>
        <v/>
      </c>
      <c r="Y64" s="203">
        <f>Y51-Y25</f>
        <v/>
      </c>
    </row>
    <row r="65" hidden="1" customFormat="1" s="60">
      <c r="A65" s="172" t="n"/>
      <c r="B65" s="172" t="n"/>
      <c r="C65" s="61" t="inlineStr">
        <is>
          <t>リンガーハット以外</t>
        </is>
      </c>
      <c r="D65" s="63" t="n"/>
      <c r="E65" s="125">
        <f>E63-E64</f>
        <v/>
      </c>
      <c r="F65" s="126">
        <f>F63-F64</f>
        <v/>
      </c>
      <c r="G65" s="126">
        <f>G63-G64</f>
        <v/>
      </c>
      <c r="H65" s="126">
        <f>H63-H64</f>
        <v/>
      </c>
      <c r="I65" s="126">
        <f>I63-I64</f>
        <v/>
      </c>
      <c r="J65" s="126">
        <f>J63-J64</f>
        <v/>
      </c>
      <c r="K65" s="127">
        <f>SUM(E65:J65)</f>
        <v/>
      </c>
      <c r="L65" s="125">
        <f>L63-L64</f>
        <v/>
      </c>
      <c r="M65" s="126">
        <f>M63-M64</f>
        <v/>
      </c>
      <c r="N65" s="126">
        <f>N63-N64</f>
        <v/>
      </c>
      <c r="O65" s="126">
        <f>O63-O64</f>
        <v/>
      </c>
      <c r="P65" s="126">
        <f>P63-P64</f>
        <v/>
      </c>
      <c r="Q65" s="126">
        <f>Q63-Q64</f>
        <v/>
      </c>
      <c r="R65" s="127">
        <f>SUM(L65:Q65)</f>
        <v/>
      </c>
      <c r="S65" s="204">
        <f>IF(E65=0,"***",L65/E65)</f>
        <v/>
      </c>
      <c r="T65" s="205">
        <f>IF(F65=0,"***",M65/F65)</f>
        <v/>
      </c>
      <c r="U65" s="205">
        <f>IF(G65=0,"***",N65/G65)</f>
        <v/>
      </c>
      <c r="V65" s="205">
        <f>IF(H65=0,"***",O65/H65)</f>
        <v/>
      </c>
      <c r="W65" s="205">
        <f>IF(I65=0,"***",P65/I65)</f>
        <v/>
      </c>
      <c r="X65" s="205">
        <f>IF(J65=0,"***",Q65/J65)</f>
        <v/>
      </c>
      <c r="Y65" s="206">
        <f>IF(K65=0,"***",R65/K65)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3"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f>O44-O31</f>
        <v/>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3" t="inlineStr">
        <is>
          <t>0045 集計</t>
        </is>
      </c>
      <c r="D71" s="76"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4"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3"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31" t="inlineStr">
        <is>
          <t>0550 集計</t>
        </is>
      </c>
      <c r="D74" s="20" t="inlineStr">
        <is>
          <t>馬場所長（東京）</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31" t="inlineStr">
        <is>
          <t>0552 集計</t>
        </is>
      </c>
      <c r="D75" s="20" t="inlineStr">
        <is>
          <t>馬場部長（東京）</t>
        </is>
      </c>
      <c r="E75" s="17">
        <f>E49-E36</f>
        <v/>
      </c>
      <c r="F75" s="17">
        <f>F49-F36</f>
        <v/>
      </c>
      <c r="G75" s="17">
        <f>G49-G36</f>
        <v/>
      </c>
      <c r="H75" s="17">
        <f>H49-H36</f>
        <v/>
      </c>
      <c r="I75" s="17">
        <f>I49-I36</f>
        <v/>
      </c>
      <c r="J75" s="17">
        <f>J49-J36</f>
        <v/>
      </c>
      <c r="K75" s="118">
        <f>SUM(E75:J75)</f>
        <v/>
      </c>
      <c r="L75" s="3">
        <f>L49-L36</f>
        <v/>
      </c>
      <c r="M75" s="17">
        <f>M49-M36</f>
        <v/>
      </c>
      <c r="N75" s="17">
        <f>N49-N36</f>
        <v/>
      </c>
      <c r="O75" s="17">
        <f>O49-O36</f>
        <v/>
      </c>
      <c r="P75" s="17">
        <f>P49-P36</f>
        <v/>
      </c>
      <c r="Q75" s="17">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1" t="inlineStr">
        <is>
          <t>内リンガーハット</t>
        </is>
      </c>
      <c r="D77" s="63" t="n"/>
      <c r="E77" s="17">
        <f>E51-E38</f>
        <v/>
      </c>
      <c r="F77" s="17">
        <f>F51-F38</f>
        <v/>
      </c>
      <c r="G77" s="17">
        <f>G51-G38</f>
        <v/>
      </c>
      <c r="H77" s="17">
        <f>H51-H38</f>
        <v/>
      </c>
      <c r="I77" s="17">
        <f>I51-I38</f>
        <v/>
      </c>
      <c r="J77" s="17">
        <f>J51-J38</f>
        <v/>
      </c>
      <c r="K77" s="118">
        <f>SUM(E77:J77)</f>
        <v/>
      </c>
      <c r="L77" s="3">
        <f>L51-L38</f>
        <v/>
      </c>
      <c r="M77" s="17">
        <f>M51-M38</f>
        <v/>
      </c>
      <c r="N77" s="17">
        <f>N51-N38</f>
        <v/>
      </c>
      <c r="O77" s="17">
        <f>O51-O38</f>
        <v/>
      </c>
      <c r="P77" s="17">
        <f>P51-P38</f>
        <v/>
      </c>
      <c r="Q77" s="17">
        <f>Q51-Q38</f>
        <v/>
      </c>
      <c r="R77" s="84">
        <f>SUM(L77:Q77)</f>
        <v/>
      </c>
      <c r="S77" s="192">
        <f>IF(E77=0,"***",L77/E77)</f>
        <v/>
      </c>
      <c r="T77" s="188">
        <f>IF(F77=0,"***",M77/F77)</f>
        <v/>
      </c>
      <c r="U77" s="188">
        <f>IF(G77=0,"***",N77/G77)</f>
        <v/>
      </c>
      <c r="V77" s="188">
        <f>IF(H77=0,"***",O77/H77)</f>
        <v/>
      </c>
      <c r="W77" s="188">
        <f>IF(I77=0,"***",P77/I77)</f>
        <v/>
      </c>
      <c r="X77" s="188">
        <f>IF(J77=0,"***",Q77/J77)</f>
        <v/>
      </c>
      <c r="Y77" s="189">
        <f>IF(K77=0,"***",R77/K77)</f>
        <v/>
      </c>
      <c r="Z77" s="60" t="inlineStr">
        <is>
          <t>0042と0550からカネゲン引く</t>
        </is>
      </c>
    </row>
    <row r="78" hidden="1" customFormat="1" s="60">
      <c r="A78" s="172" t="n"/>
      <c r="B78" s="172" t="n"/>
      <c r="C78" s="61" t="inlineStr">
        <is>
          <t>リンガーハット以外</t>
        </is>
      </c>
      <c r="D78" s="63" t="n"/>
      <c r="E78" s="59">
        <f>E76-E77</f>
        <v/>
      </c>
      <c r="F78" s="59">
        <f>F76-F77</f>
        <v/>
      </c>
      <c r="G78" s="59">
        <f>G76-G77</f>
        <v/>
      </c>
      <c r="H78" s="59">
        <f>H76-H77</f>
        <v/>
      </c>
      <c r="I78" s="59">
        <f>I76-I77</f>
        <v/>
      </c>
      <c r="J78" s="59">
        <f>J76-J77</f>
        <v/>
      </c>
      <c r="K78" s="120">
        <f>SUM(E78:J78)</f>
        <v/>
      </c>
      <c r="L78" s="125">
        <f>L76-L77</f>
        <v/>
      </c>
      <c r="M78" s="126">
        <f>M76-M77</f>
        <v/>
      </c>
      <c r="N78" s="126">
        <f>N76-N77</f>
        <v/>
      </c>
      <c r="O78" s="126">
        <f>O76-O77</f>
        <v/>
      </c>
      <c r="P78" s="126">
        <f>P76-P77</f>
        <v/>
      </c>
      <c r="Q78" s="126">
        <f>Q76-Q77</f>
        <v/>
      </c>
      <c r="R78" s="127">
        <f>SUM(L78:Q78)</f>
        <v/>
      </c>
      <c r="S78" s="192">
        <f>IF(E78=0,"***",L78/E78)</f>
        <v/>
      </c>
      <c r="T78" s="188">
        <f>IF(F78=0,"***",M78/F78)</f>
        <v/>
      </c>
      <c r="U78" s="188">
        <f>IF(G78=0,"***",N78/G78)</f>
        <v/>
      </c>
      <c r="V78" s="188">
        <f>IF(H78=0,"***",O78/H78)</f>
        <v/>
      </c>
      <c r="W78" s="188">
        <f>IF(I78=0,"***",P78/I78)</f>
        <v/>
      </c>
      <c r="X78" s="188">
        <f>IF(J78=0,"***",Q78/J78)</f>
        <v/>
      </c>
      <c r="Y78" s="189">
        <f>IF(K78=0,"***",R78/K78)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165" t="n"/>
      <c r="E81" s="163" t="inlineStr">
        <is>
          <t>売上</t>
        </is>
      </c>
      <c r="F81" s="160" t="n"/>
      <c r="G81" s="160" t="n"/>
      <c r="H81" s="160" t="n"/>
      <c r="I81" s="160" t="n"/>
      <c r="J81" s="160" t="n"/>
      <c r="K81" s="161" t="n"/>
      <c r="L81" s="162"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53" t="n"/>
      <c r="E82" s="69" t="n">
        <v>46113</v>
      </c>
      <c r="F82" s="2" t="n">
        <v>46143</v>
      </c>
      <c r="G82" s="2" t="n">
        <v>46174</v>
      </c>
      <c r="H82" s="2" t="n">
        <v>46204</v>
      </c>
      <c r="I82" s="2" t="n">
        <v>46235</v>
      </c>
      <c r="J82" s="2" t="n">
        <v>46266</v>
      </c>
      <c r="K82" s="9" t="inlineStr">
        <is>
          <t>合計</t>
        </is>
      </c>
      <c r="L82" s="83"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3" t="inlineStr">
        <is>
          <t>0042 集計</t>
        </is>
      </c>
      <c r="D83" s="154" t="inlineStr">
        <is>
          <t>馬場部長（鳥栖）</t>
        </is>
      </c>
      <c r="E83" s="3">
        <f>全体!E83-機械!E83</f>
        <v/>
      </c>
      <c r="F83" s="4">
        <f>全体!F83-機械!F83</f>
        <v/>
      </c>
      <c r="G83" s="147">
        <f>全体!G83-機械!G83</f>
        <v/>
      </c>
      <c r="H83" s="4">
        <f>全体!H83-機械!H83</f>
        <v/>
      </c>
      <c r="I83" s="4">
        <f>全体!I83-機械!I83</f>
        <v/>
      </c>
      <c r="J83" s="4">
        <f>全体!J83-機械!J83</f>
        <v/>
      </c>
      <c r="K83" s="84">
        <f>SUM(E83:J83)</f>
        <v/>
      </c>
      <c r="L83" s="17">
        <f>全体!L83-機械!L83</f>
        <v/>
      </c>
      <c r="M83" s="4">
        <f>全体!M83-機械!M83</f>
        <v/>
      </c>
      <c r="N83" s="147">
        <f>全体!N83-機械!N83</f>
        <v/>
      </c>
      <c r="O83" s="4">
        <f>全体!O83-機械!O83</f>
        <v/>
      </c>
      <c r="P83" s="4">
        <f>全体!P83-機械!P83</f>
        <v/>
      </c>
      <c r="Q83" s="4">
        <f>全体!Q83-機械!Q83</f>
        <v/>
      </c>
      <c r="R83" s="5">
        <f>SUM(L83:Q83)</f>
        <v/>
      </c>
      <c r="S83" s="186">
        <f>IF(E83=0,"***",L83/E83)</f>
        <v/>
      </c>
      <c r="T83" s="186">
        <f>IF(F83=0,"***",M83/F83)</f>
        <v/>
      </c>
      <c r="U83" s="186">
        <f>IF(G83=0,"***",N83/G83)</f>
        <v/>
      </c>
      <c r="V83" s="186">
        <f>IF(H83=0,"***",O83/H83)</f>
        <v/>
      </c>
      <c r="W83" s="186">
        <f>IF(I83=0,"***",P83/I83)</f>
        <v/>
      </c>
      <c r="X83" s="186">
        <f>IF(J83=0,"***",Q83/J83)</f>
        <v/>
      </c>
      <c r="Y83" s="187">
        <f>IF(K83=0,"***",R83/K83)</f>
        <v/>
      </c>
    </row>
    <row r="84">
      <c r="C84" s="49" t="inlineStr">
        <is>
          <t>0045 集計</t>
        </is>
      </c>
      <c r="D84" s="154" t="inlineStr">
        <is>
          <t>ペーパーハグ</t>
        </is>
      </c>
      <c r="E84" s="3">
        <f>全体!E84-機械!E84</f>
        <v/>
      </c>
      <c r="F84" s="4" t="n"/>
      <c r="G84" s="147">
        <f>全体!G84-機械!G84</f>
        <v/>
      </c>
      <c r="H84" s="4">
        <f>全体!H84-機械!H84</f>
        <v/>
      </c>
      <c r="I84" s="4">
        <f>全体!I84-機械!I84</f>
        <v/>
      </c>
      <c r="J84" s="4">
        <f>全体!J84-機械!J84</f>
        <v/>
      </c>
      <c r="K84" s="84">
        <f>SUM(E84:J84)</f>
        <v/>
      </c>
      <c r="L84" s="17">
        <f>全体!L84-機械!L84</f>
        <v/>
      </c>
      <c r="M84" s="4" t="n"/>
      <c r="N84" s="147">
        <f>全体!N84-機械!N84</f>
        <v/>
      </c>
      <c r="O84" s="4">
        <f>全体!O84-機械!O84</f>
        <v/>
      </c>
      <c r="P84" s="4">
        <f>全体!P84-機械!P84</f>
        <v/>
      </c>
      <c r="Q84" s="4">
        <f>全体!Q84-機械!Q84</f>
        <v/>
      </c>
      <c r="R84" s="5">
        <f>SUM(L84:Q84)</f>
        <v/>
      </c>
      <c r="S84" s="186">
        <f>IF(E84=0,"***",L84/E84)</f>
        <v/>
      </c>
      <c r="T84" s="186">
        <f>IF(F84=0,"***",M84/F84)</f>
        <v/>
      </c>
      <c r="U84" s="186">
        <f>IF(G84=0,"***",N84/G84)</f>
        <v/>
      </c>
      <c r="V84" s="186">
        <f>IF(H84=0,"***",O84/H84)</f>
        <v/>
      </c>
      <c r="W84" s="186">
        <f>IF(I84=0,"***",P84/I84)</f>
        <v/>
      </c>
      <c r="X84" s="186">
        <f>IF(J84=0,"***",Q84/J84)</f>
        <v/>
      </c>
      <c r="Y84" s="187">
        <f>IF(K84=0,"***",R84/K84)</f>
        <v/>
      </c>
    </row>
    <row r="85">
      <c r="C85" s="49" t="inlineStr">
        <is>
          <t>0046 集計</t>
        </is>
      </c>
      <c r="D85" s="155" t="inlineStr">
        <is>
          <t>角田</t>
        </is>
      </c>
      <c r="E85" s="3">
        <f>全体!E85-機械!E85</f>
        <v/>
      </c>
      <c r="F85" s="4">
        <f>全体!F85-機械!F85</f>
        <v/>
      </c>
      <c r="G85" s="147">
        <f>全体!G85-機械!G85</f>
        <v/>
      </c>
      <c r="H85" s="4">
        <f>全体!H85-機械!H85</f>
        <v/>
      </c>
      <c r="I85" s="4">
        <f>全体!I85-機械!I85</f>
        <v/>
      </c>
      <c r="J85" s="4">
        <f>全体!J85-機械!J85</f>
        <v/>
      </c>
      <c r="K85" s="84">
        <f>SUM(E85:J85)</f>
        <v/>
      </c>
      <c r="L85" s="17">
        <f>全体!L85-機械!L85</f>
        <v/>
      </c>
      <c r="M85" s="4">
        <f>全体!M85-機械!M85</f>
        <v/>
      </c>
      <c r="N85" s="147">
        <f>全体!N85-機械!N85</f>
        <v/>
      </c>
      <c r="O85" s="4">
        <f>全体!O85-機械!O85</f>
        <v/>
      </c>
      <c r="P85" s="4">
        <f>全体!P85-機械!P85</f>
        <v/>
      </c>
      <c r="Q85" s="4">
        <f>全体!Q85-機械!Q85</f>
        <v/>
      </c>
      <c r="R85" s="5">
        <f>SUM(L85:Q85)</f>
        <v/>
      </c>
      <c r="S85" s="186">
        <f>IF(E85=0,"***",L85/E85)</f>
        <v/>
      </c>
      <c r="T85" s="186">
        <f>IF(F85=0,"***",M85/F85)</f>
        <v/>
      </c>
      <c r="U85" s="186">
        <f>IF(G85=0,"***",N85/G85)</f>
        <v/>
      </c>
      <c r="V85" s="186">
        <f>IF(H85=0,"***",O85/H85)</f>
        <v/>
      </c>
      <c r="W85" s="186">
        <f>IF(I85=0,"***",P85/I85)</f>
        <v/>
      </c>
      <c r="X85" s="186">
        <f>IF(J85=0,"***",Q85/J85)</f>
        <v/>
      </c>
      <c r="Y85" s="187">
        <f>IF(K85=0,"***",R85/K85)</f>
        <v/>
      </c>
    </row>
    <row r="86">
      <c r="C86" s="49" t="inlineStr">
        <is>
          <t>0047 集計</t>
        </is>
      </c>
      <c r="D86" s="154" t="inlineStr">
        <is>
          <t>馬場部長（静岡）</t>
        </is>
      </c>
      <c r="E86" s="3">
        <f>全体!E86-機械!E86</f>
        <v/>
      </c>
      <c r="F86" s="4">
        <f>全体!F86-機械!F86</f>
        <v/>
      </c>
      <c r="G86" s="147">
        <f>全体!G86-機械!G86</f>
        <v/>
      </c>
      <c r="H86" s="4">
        <f>全体!H86-機械!H86</f>
        <v/>
      </c>
      <c r="I86" s="4">
        <f>全体!I86-機械!I86</f>
        <v/>
      </c>
      <c r="J86" s="4">
        <f>全体!J86-機械!J86</f>
        <v/>
      </c>
      <c r="K86" s="84">
        <f>SUM(E86:J86)</f>
        <v/>
      </c>
      <c r="L86" s="17">
        <f>全体!L86-機械!L86</f>
        <v/>
      </c>
      <c r="M86" s="4">
        <f>全体!M86-機械!M86</f>
        <v/>
      </c>
      <c r="N86" s="147">
        <f>全体!N86-機械!N86</f>
        <v/>
      </c>
      <c r="O86" s="4">
        <f>全体!O86-機械!O86</f>
        <v/>
      </c>
      <c r="P86" s="4">
        <f>全体!P86-機械!P86</f>
        <v/>
      </c>
      <c r="Q86" s="4">
        <f>全体!Q86-機械!Q86</f>
        <v/>
      </c>
      <c r="R86" s="5">
        <f>SUM(L86:Q86)</f>
        <v/>
      </c>
      <c r="S86" s="186">
        <f>IF(E86=0,"***",L86/E86)</f>
        <v/>
      </c>
      <c r="T86" s="186">
        <f>IF(F86=0,"***",M86/F86)</f>
        <v/>
      </c>
      <c r="U86" s="186">
        <f>IF(G86=0,"***",N86/G86)</f>
        <v/>
      </c>
      <c r="V86" s="186">
        <f>IF(H86=0,"***",O86/H86)</f>
        <v/>
      </c>
      <c r="W86" s="186">
        <f>IF(I86=0,"***",P86/I86)</f>
        <v/>
      </c>
      <c r="X86" s="186">
        <f>IF(J86=0,"***",Q86/J86)</f>
        <v/>
      </c>
      <c r="Y86" s="187">
        <f>IF(K86=0,"***",R86/K86)</f>
        <v/>
      </c>
    </row>
    <row r="87">
      <c r="C87" s="49" t="inlineStr">
        <is>
          <t>0550 集計</t>
        </is>
      </c>
      <c r="D87" s="155" t="inlineStr">
        <is>
          <t>馬場所長（東京）</t>
        </is>
      </c>
      <c r="E87" s="3">
        <f>全体!E87-機械!E87</f>
        <v/>
      </c>
      <c r="F87" s="4">
        <f>全体!F87-機械!F87</f>
        <v/>
      </c>
      <c r="G87" s="147">
        <f>全体!G87-機械!G87</f>
        <v/>
      </c>
      <c r="H87" s="4">
        <f>全体!H87-機械!H87</f>
        <v/>
      </c>
      <c r="I87" s="4">
        <f>全体!I87-機械!I87</f>
        <v/>
      </c>
      <c r="J87" s="4">
        <f>全体!J87-機械!J87</f>
        <v/>
      </c>
      <c r="K87" s="84">
        <f>SUM(E87:J87)</f>
        <v/>
      </c>
      <c r="L87" s="17">
        <f>全体!L87-機械!L87</f>
        <v/>
      </c>
      <c r="M87" s="4">
        <f>全体!M87-機械!M87</f>
        <v/>
      </c>
      <c r="N87" s="147">
        <f>全体!N87-機械!N87</f>
        <v/>
      </c>
      <c r="O87" s="4">
        <f>全体!O87-機械!O87</f>
        <v/>
      </c>
      <c r="P87" s="4">
        <f>全体!P87-機械!P87</f>
        <v/>
      </c>
      <c r="Q87" s="4">
        <f>全体!Q87-機械!Q87</f>
        <v/>
      </c>
      <c r="R87" s="5">
        <f>SUM(L87:Q87)</f>
        <v/>
      </c>
      <c r="S87" s="186">
        <f>IF(E87=0,"***",L87/E87)</f>
        <v/>
      </c>
      <c r="T87" s="186">
        <f>IF(F87=0,"***",M87/F87)</f>
        <v/>
      </c>
      <c r="U87" s="186">
        <f>IF(G87=0,"***",N87/G87)</f>
        <v/>
      </c>
      <c r="V87" s="186">
        <f>IF(H87=0,"***",O87/H87)</f>
        <v/>
      </c>
      <c r="W87" s="186">
        <f>IF(I87=0,"***",P87/I87)</f>
        <v/>
      </c>
      <c r="X87" s="186">
        <f>IF(J87=0,"***",Q87/J87)</f>
        <v/>
      </c>
      <c r="Y87" s="187">
        <f>IF(K87=0,"***",R87/K87)</f>
        <v/>
      </c>
    </row>
    <row r="88">
      <c r="C88" s="49" t="inlineStr">
        <is>
          <t>0552 集計</t>
        </is>
      </c>
      <c r="D88" s="155" t="inlineStr">
        <is>
          <t>馬場部長（東京）</t>
        </is>
      </c>
      <c r="E88" s="3">
        <f>全体!E88-機械!E88</f>
        <v/>
      </c>
      <c r="F88" s="4">
        <f>全体!F88-機械!F88</f>
        <v/>
      </c>
      <c r="G88" s="147">
        <f>全体!G88-機械!G88</f>
        <v/>
      </c>
      <c r="H88" s="4">
        <f>全体!H88-機械!H88</f>
        <v/>
      </c>
      <c r="I88" s="4">
        <f>全体!I88-機械!I88</f>
        <v/>
      </c>
      <c r="J88" s="4">
        <f>全体!J88-機械!J88</f>
        <v/>
      </c>
      <c r="K88" s="84">
        <f>SUM(E88:J88)</f>
        <v/>
      </c>
      <c r="L88" s="17">
        <f>全体!L88-機械!L88</f>
        <v/>
      </c>
      <c r="M88" s="4">
        <f>全体!M88-機械!M88</f>
        <v/>
      </c>
      <c r="N88" s="147">
        <f>全体!N88-機械!N88</f>
        <v/>
      </c>
      <c r="O88" s="4">
        <f>全体!O88-機械!O88</f>
        <v/>
      </c>
      <c r="P88" s="4">
        <f>全体!P88-機械!P88</f>
        <v/>
      </c>
      <c r="Q88" s="4">
        <f>全体!Q88-機械!Q88</f>
        <v/>
      </c>
      <c r="R88" s="5">
        <f>SUM(L88:Q88)</f>
        <v/>
      </c>
      <c r="S88" s="186">
        <f>IF(E88=0,"***",L88/E88)</f>
        <v/>
      </c>
      <c r="T88" s="186">
        <f>IF(F88=0,"***",M88/F88)</f>
        <v/>
      </c>
      <c r="U88" s="186">
        <f>IF(G88=0,"***",N88/G88)</f>
        <v/>
      </c>
      <c r="V88" s="186">
        <f>IF(H88=0,"***",O88/H88)</f>
        <v/>
      </c>
      <c r="W88" s="186">
        <f>IF(I88=0,"***",P88/I88)</f>
        <v/>
      </c>
      <c r="X88" s="186">
        <f>IF(J88=0,"***",Q88/J88)</f>
        <v/>
      </c>
      <c r="Y88" s="187">
        <f>IF(K88=0,"***",R88/K88)</f>
        <v/>
      </c>
    </row>
    <row r="89">
      <c r="C89" s="45" t="inlineStr">
        <is>
          <t>合計</t>
        </is>
      </c>
      <c r="D89" s="156" t="n"/>
      <c r="E89" s="91">
        <f>SUM(E83:E88)</f>
        <v/>
      </c>
      <c r="F89" s="7">
        <f>SUM(F83:F88)</f>
        <v/>
      </c>
      <c r="G89" s="7">
        <f>SUM(G83:G88)</f>
        <v/>
      </c>
      <c r="H89" s="7">
        <f>SUM(H83:H88)</f>
        <v/>
      </c>
      <c r="I89" s="7">
        <f>SUM(I83:I88)</f>
        <v/>
      </c>
      <c r="J89" s="7">
        <f>SUM(J83:J88)</f>
        <v/>
      </c>
      <c r="K89" s="85">
        <f>SUM(K83:K88)</f>
        <v/>
      </c>
      <c r="L89" s="18">
        <f>SUM(L83:L88)</f>
        <v/>
      </c>
      <c r="M89" s="7">
        <f>SUM(M83:M88)</f>
        <v/>
      </c>
      <c r="N89" s="7">
        <f>SUM(N83:N88)</f>
        <v/>
      </c>
      <c r="O89" s="7">
        <f>SUM(O83:O88)</f>
        <v/>
      </c>
      <c r="P89" s="7">
        <f>SUM(P83:P88)</f>
        <v/>
      </c>
      <c r="Q89" s="7">
        <f>SUM(Q83:Q88)</f>
        <v/>
      </c>
      <c r="R89" s="8">
        <f>SUM(R83:R88)</f>
        <v/>
      </c>
      <c r="S89" s="181">
        <f>IF(E89=0,"***",L89/E89)</f>
        <v/>
      </c>
      <c r="T89" s="181">
        <f>IF(F89=0,"***",M89/F89)</f>
        <v/>
      </c>
      <c r="U89" s="181">
        <f>IF(G89=0,"***",N89/G89)</f>
        <v/>
      </c>
      <c r="V89" s="181">
        <f>IF(H89=0,"***",O89/H89)</f>
        <v/>
      </c>
      <c r="W89" s="181">
        <f>IF(I89=0,"***",P89/I89)</f>
        <v/>
      </c>
      <c r="X89" s="181">
        <f>IF(J89=0,"***",Q89/J89)</f>
        <v/>
      </c>
      <c r="Y89" s="182">
        <f>IF(K89=0,"***",R89/K89)</f>
        <v/>
      </c>
    </row>
    <row r="90" customFormat="1" s="60">
      <c r="A90" s="172" t="n"/>
      <c r="B90" s="172" t="n"/>
      <c r="C90" s="61" t="inlineStr">
        <is>
          <t>内リンガーハット</t>
        </is>
      </c>
      <c r="D90" s="157" t="n"/>
      <c r="E90" s="124" t="n">
        <v>29277.996</v>
      </c>
      <c r="F90" s="59" t="n">
        <v>31673.622</v>
      </c>
      <c r="G90" s="148">
        <f>全体!G90-機械!G90</f>
        <v/>
      </c>
      <c r="H90" s="59">
        <f>全体!H90-機械!H90</f>
        <v/>
      </c>
      <c r="I90" s="59">
        <f>全体!I90-機械!I90</f>
        <v/>
      </c>
      <c r="J90" s="59">
        <f>全体!J90-機械!J90</f>
        <v/>
      </c>
      <c r="K90" s="72">
        <f>SUM(E90:J90)</f>
        <v/>
      </c>
      <c r="L90" s="71" t="n">
        <v>4709.931</v>
      </c>
      <c r="M90" s="59" t="n">
        <v>7747.61</v>
      </c>
      <c r="N90" s="148">
        <f>全体!N90-機械!N90</f>
        <v/>
      </c>
      <c r="O90" s="59">
        <f>全体!O90-機械!O90</f>
        <v/>
      </c>
      <c r="P90" s="59">
        <f>全体!P90-機械!P90</f>
        <v/>
      </c>
      <c r="Q90" s="59">
        <f>全体!Q90-機械!Q90</f>
        <v/>
      </c>
      <c r="R90" s="57">
        <f>SUM(L90:Q90)</f>
        <v/>
      </c>
      <c r="S90" s="188">
        <f>IF(E90=0,"***",L90/E90)</f>
        <v/>
      </c>
      <c r="T90" s="188">
        <f>IF(F90=0,"***",M90/F90)</f>
        <v/>
      </c>
      <c r="U90" s="188">
        <f>IF(G90=0,"***",N90/G90)</f>
        <v/>
      </c>
      <c r="V90" s="188">
        <f>IF(H90=0,"***",O90/H90)</f>
        <v/>
      </c>
      <c r="W90" s="188">
        <f>IF(I90=0,"***",P90/I90)</f>
        <v/>
      </c>
      <c r="X90" s="188">
        <f>IF(J90=0,"***",Q90/J90)</f>
        <v/>
      </c>
      <c r="Y90" s="203">
        <f>IF(K90=0,"***",R90/K90)</f>
        <v/>
      </c>
      <c r="Z90" s="60" t="inlineStr">
        <is>
          <t>0042と0550からカネゲン引く</t>
        </is>
      </c>
    </row>
    <row r="91" customFormat="1" s="60">
      <c r="A91" s="172" t="n"/>
      <c r="B91" s="172" t="n"/>
      <c r="C91" s="103" t="inlineStr">
        <is>
          <t>リンガーハット以外</t>
        </is>
      </c>
      <c r="D91" s="158" t="n"/>
      <c r="E91" s="145">
        <f>E89-E90</f>
        <v/>
      </c>
      <c r="F91" s="105">
        <f>F89-F90</f>
        <v/>
      </c>
      <c r="G91" s="105">
        <f>G89-G90</f>
        <v/>
      </c>
      <c r="H91" s="105">
        <f>H89-H90</f>
        <v/>
      </c>
      <c r="I91" s="105">
        <f>I89-I90</f>
        <v/>
      </c>
      <c r="J91" s="105">
        <f>J89-J90</f>
        <v/>
      </c>
      <c r="K91" s="106">
        <f>SUM(E91:J91)</f>
        <v/>
      </c>
      <c r="L91" s="107">
        <f>L89-L90</f>
        <v/>
      </c>
      <c r="M91" s="105">
        <f>M89-M90</f>
        <v/>
      </c>
      <c r="N91" s="105">
        <f>N89-N90</f>
        <v/>
      </c>
      <c r="O91" s="105">
        <f>O89-O90</f>
        <v/>
      </c>
      <c r="P91" s="105">
        <f>P89-P90</f>
        <v/>
      </c>
      <c r="Q91" s="105">
        <f>Q89-Q90</f>
        <v/>
      </c>
      <c r="R91" s="142">
        <f>SUM(L91:Q91)</f>
        <v/>
      </c>
      <c r="S91" s="194">
        <f>IF(E91=0,"***",L91/E91)</f>
        <v/>
      </c>
      <c r="T91" s="194">
        <f>IF(F91=0,"***",M91/F91)</f>
        <v/>
      </c>
      <c r="U91" s="194">
        <f>IF(G91=0,"***",N91/G91)</f>
        <v/>
      </c>
      <c r="V91" s="194">
        <f>IF(H91=0,"***",O91/H91)</f>
        <v/>
      </c>
      <c r="W91" s="194">
        <f>IF(I91=0,"***",P91/I91)</f>
        <v/>
      </c>
      <c r="X91" s="194">
        <f>IF(J91=0,"***",Q91/J91)</f>
        <v/>
      </c>
      <c r="Y91" s="207">
        <f>IF(K91=0,"***",R91/K91)</f>
        <v/>
      </c>
      <c r="Z91" s="60" t="inlineStr">
        <is>
          <t>0042と0550からカネゲン引く</t>
        </is>
      </c>
    </row>
    <row r="92">
      <c r="C92" s="15" t="n"/>
      <c r="E92" s="14" t="n"/>
      <c r="F92" s="14" t="n"/>
      <c r="G92" s="14" t="n"/>
      <c r="H92" s="14" t="n"/>
      <c r="I92" s="14" t="n"/>
      <c r="J92" s="14" t="n"/>
      <c r="K92" s="15" t="n"/>
      <c r="L92" s="14" t="n"/>
      <c r="M92" s="14" t="n"/>
      <c r="N92" s="14">
        <f>全体!N92-機械!N92</f>
        <v/>
      </c>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70"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3" t="inlineStr">
        <is>
          <t>0042 集計</t>
        </is>
      </c>
      <c r="D96" s="76" t="inlineStr">
        <is>
          <t>馬場部長（鳥栖）</t>
        </is>
      </c>
      <c r="E96" s="4">
        <f>E83-E44</f>
        <v/>
      </c>
      <c r="F96" s="4">
        <f>F83-F44</f>
        <v/>
      </c>
      <c r="G96" s="147">
        <f>G83-G44</f>
        <v/>
      </c>
      <c r="H96" s="4">
        <f>H83-H44</f>
        <v/>
      </c>
      <c r="I96" s="4">
        <f>I83-I44</f>
        <v/>
      </c>
      <c r="J96" s="4">
        <f>J83-J44</f>
        <v/>
      </c>
      <c r="K96" s="5">
        <f>SUM(E96:J96)</f>
        <v/>
      </c>
      <c r="L96" s="4">
        <f>L83-L44</f>
        <v/>
      </c>
      <c r="M96" s="4">
        <f>M83-M44</f>
        <v/>
      </c>
      <c r="N96" s="147">
        <f>N83-N44</f>
        <v/>
      </c>
      <c r="O96" s="4">
        <f>O83-O44</f>
        <v/>
      </c>
      <c r="P96" s="4">
        <f>P83-P44</f>
        <v/>
      </c>
      <c r="Q96" s="4">
        <f>Q83-Q44</f>
        <v/>
      </c>
      <c r="R96" s="5">
        <f>SUM(L96:Q96)</f>
        <v/>
      </c>
      <c r="S96" s="186">
        <f>S83-S44</f>
        <v/>
      </c>
      <c r="T96" s="186">
        <f>T83-T44</f>
        <v/>
      </c>
      <c r="U96" s="186">
        <f>U83-U44</f>
        <v/>
      </c>
      <c r="V96" s="186">
        <f>V83-V44</f>
        <v/>
      </c>
      <c r="W96" s="186">
        <f>W83-W44</f>
        <v/>
      </c>
      <c r="X96" s="186">
        <f>X83-X44</f>
        <v/>
      </c>
      <c r="Y96" s="187">
        <f>Y83-Y44</f>
        <v/>
      </c>
    </row>
    <row r="97">
      <c r="C97" s="43" t="inlineStr">
        <is>
          <t>0045 集計</t>
        </is>
      </c>
      <c r="D97" s="76" t="inlineStr">
        <is>
          <t>ペーパーハグ</t>
        </is>
      </c>
      <c r="E97" s="4">
        <f>E84-E45</f>
        <v/>
      </c>
      <c r="F97" s="4">
        <f>F84-F45</f>
        <v/>
      </c>
      <c r="G97" s="147">
        <f>G84-G45</f>
        <v/>
      </c>
      <c r="H97" s="4">
        <f>H84-H45</f>
        <v/>
      </c>
      <c r="I97" s="4">
        <f>I84-I45</f>
        <v/>
      </c>
      <c r="J97" s="4">
        <f>J84-J45</f>
        <v/>
      </c>
      <c r="K97" s="5">
        <f>SUM(E97:J97)</f>
        <v/>
      </c>
      <c r="L97" s="4">
        <f>L84-L45</f>
        <v/>
      </c>
      <c r="M97" s="4">
        <f>M84-M45</f>
        <v/>
      </c>
      <c r="N97" s="147">
        <f>N84-N45</f>
        <v/>
      </c>
      <c r="O97" s="4">
        <f>O84-O45</f>
        <v/>
      </c>
      <c r="P97" s="4">
        <f>P84-P45</f>
        <v/>
      </c>
      <c r="Q97" s="4">
        <f>Q84-Q45</f>
        <v/>
      </c>
      <c r="R97" s="5">
        <f>SUM(L97:Q97)</f>
        <v/>
      </c>
      <c r="S97" s="186">
        <f>S84-S45</f>
        <v/>
      </c>
      <c r="T97" s="186">
        <f>T84-T45</f>
        <v/>
      </c>
      <c r="U97" s="186">
        <f>U84-U45</f>
        <v/>
      </c>
      <c r="V97" s="186">
        <f>V84-V45</f>
        <v/>
      </c>
      <c r="W97" s="186">
        <f>W84-W45</f>
        <v/>
      </c>
      <c r="X97" s="186">
        <f>X84-X45</f>
        <v/>
      </c>
      <c r="Y97" s="187">
        <f>Y84-Y45</f>
        <v/>
      </c>
    </row>
    <row r="98">
      <c r="C98" s="44" t="inlineStr">
        <is>
          <t>0046 集計</t>
        </is>
      </c>
      <c r="D98" s="20" t="inlineStr">
        <is>
          <t>角田</t>
        </is>
      </c>
      <c r="E98" s="4">
        <f>E85-E46</f>
        <v/>
      </c>
      <c r="F98" s="4">
        <f>F85-F46</f>
        <v/>
      </c>
      <c r="G98" s="147">
        <f>G85-G46</f>
        <v/>
      </c>
      <c r="H98" s="4">
        <f>H85-H46</f>
        <v/>
      </c>
      <c r="I98" s="4">
        <f>I85-I46</f>
        <v/>
      </c>
      <c r="J98" s="4">
        <f>J85-J46</f>
        <v/>
      </c>
      <c r="K98" s="5">
        <f>SUM(E98:J98)</f>
        <v/>
      </c>
      <c r="L98" s="4">
        <f>L85-L46</f>
        <v/>
      </c>
      <c r="M98" s="4">
        <f>M85-M46</f>
        <v/>
      </c>
      <c r="N98" s="147">
        <f>N85-N46</f>
        <v/>
      </c>
      <c r="O98" s="4">
        <f>O85-O46</f>
        <v/>
      </c>
      <c r="P98" s="4">
        <f>P85-P46</f>
        <v/>
      </c>
      <c r="Q98" s="4">
        <f>Q85-Q46</f>
        <v/>
      </c>
      <c r="R98" s="5">
        <f>SUM(L98:Q98)</f>
        <v/>
      </c>
      <c r="S98" s="186">
        <f>S85-S46</f>
        <v/>
      </c>
      <c r="T98" s="186">
        <f>T85-T46</f>
        <v/>
      </c>
      <c r="U98" s="186">
        <f>U85-U46</f>
        <v/>
      </c>
      <c r="V98" s="186">
        <f>V85-V46</f>
        <v/>
      </c>
      <c r="W98" s="186">
        <f>W85-W46</f>
        <v/>
      </c>
      <c r="X98" s="186">
        <f>X85-X46</f>
        <v/>
      </c>
      <c r="Y98" s="187">
        <f>Y85-Y46</f>
        <v/>
      </c>
    </row>
    <row r="99">
      <c r="C99" s="43" t="inlineStr">
        <is>
          <t>0047 集計</t>
        </is>
      </c>
      <c r="D99" s="76" t="inlineStr">
        <is>
          <t>馬場部長（静岡）</t>
        </is>
      </c>
      <c r="E99" s="4">
        <f>E86-E47</f>
        <v/>
      </c>
      <c r="F99" s="4">
        <f>F86-F47</f>
        <v/>
      </c>
      <c r="G99" s="147">
        <f>G86-G47</f>
        <v/>
      </c>
      <c r="H99" s="4">
        <f>H86-H47</f>
        <v/>
      </c>
      <c r="I99" s="4">
        <f>I86-I47</f>
        <v/>
      </c>
      <c r="J99" s="4">
        <f>J86-J47</f>
        <v/>
      </c>
      <c r="K99" s="5">
        <f>SUM(E99:J99)</f>
        <v/>
      </c>
      <c r="L99" s="4">
        <f>L86-L47</f>
        <v/>
      </c>
      <c r="M99" s="4">
        <f>M86-M47</f>
        <v/>
      </c>
      <c r="N99" s="147">
        <f>N86-N47</f>
        <v/>
      </c>
      <c r="O99" s="4">
        <f>O86-O47</f>
        <v/>
      </c>
      <c r="P99" s="4">
        <f>P86-P47</f>
        <v/>
      </c>
      <c r="Q99" s="4">
        <f>Q86-Q47</f>
        <v/>
      </c>
      <c r="R99" s="5">
        <f>SUM(L99:Q99)</f>
        <v/>
      </c>
      <c r="S99" s="186">
        <f>S86-S47</f>
        <v/>
      </c>
      <c r="T99" s="186">
        <f>T86-T47</f>
        <v/>
      </c>
      <c r="U99" s="186">
        <f>U86-U47</f>
        <v/>
      </c>
      <c r="V99" s="186">
        <f>V86-V47</f>
        <v/>
      </c>
      <c r="W99" s="186">
        <f>W86-W47</f>
        <v/>
      </c>
      <c r="X99" s="186">
        <f>X86-X47</f>
        <v/>
      </c>
      <c r="Y99" s="187">
        <f>Y86-Y47</f>
        <v/>
      </c>
    </row>
    <row r="100">
      <c r="C100" s="31" t="inlineStr">
        <is>
          <t>0550 集計</t>
        </is>
      </c>
      <c r="D100" s="20" t="inlineStr">
        <is>
          <t>馬場所長（東京）</t>
        </is>
      </c>
      <c r="E100" s="4">
        <f>E87-E48</f>
        <v/>
      </c>
      <c r="F100" s="4">
        <f>F87-F48</f>
        <v/>
      </c>
      <c r="G100" s="147">
        <f>G87-G48</f>
        <v/>
      </c>
      <c r="H100" s="4">
        <f>H87-H48</f>
        <v/>
      </c>
      <c r="I100" s="4">
        <f>I87-I48</f>
        <v/>
      </c>
      <c r="J100" s="4">
        <f>J87-J48</f>
        <v/>
      </c>
      <c r="K100" s="5">
        <f>SUM(E100:J100)</f>
        <v/>
      </c>
      <c r="L100" s="4">
        <f>L87-L48</f>
        <v/>
      </c>
      <c r="M100" s="4">
        <f>M87-M48</f>
        <v/>
      </c>
      <c r="N100" s="147">
        <f>N87-N48</f>
        <v/>
      </c>
      <c r="O100" s="4">
        <f>O87-O48</f>
        <v/>
      </c>
      <c r="P100" s="4">
        <f>P87-P48</f>
        <v/>
      </c>
      <c r="Q100" s="4">
        <f>Q87-Q48</f>
        <v/>
      </c>
      <c r="R100" s="5">
        <f>SUM(L100:Q100)</f>
        <v/>
      </c>
      <c r="S100" s="186">
        <f>S87-S48</f>
        <v/>
      </c>
      <c r="T100" s="186">
        <f>T87-T48</f>
        <v/>
      </c>
      <c r="U100" s="186">
        <f>U87-U48</f>
        <v/>
      </c>
      <c r="V100" s="186">
        <f>V87-V48</f>
        <v/>
      </c>
      <c r="W100" s="186">
        <f>W87-W48</f>
        <v/>
      </c>
      <c r="X100" s="186">
        <f>X87-X48</f>
        <v/>
      </c>
      <c r="Y100" s="187">
        <f>Y87-Y48</f>
        <v/>
      </c>
    </row>
    <row r="101">
      <c r="C101" s="31" t="inlineStr">
        <is>
          <t>0552 集計</t>
        </is>
      </c>
      <c r="D101" s="20" t="inlineStr">
        <is>
          <t>馬場部長（東京）</t>
        </is>
      </c>
      <c r="E101" s="4">
        <f>E88-E49</f>
        <v/>
      </c>
      <c r="F101" s="4">
        <f>F88-F49</f>
        <v/>
      </c>
      <c r="G101" s="147">
        <f>G88-G49</f>
        <v/>
      </c>
      <c r="H101" s="4">
        <f>H88-H49</f>
        <v/>
      </c>
      <c r="I101" s="4">
        <f>I88-I49</f>
        <v/>
      </c>
      <c r="J101" s="4">
        <f>J88-J49</f>
        <v/>
      </c>
      <c r="K101" s="5">
        <f>SUM(E101:J101)</f>
        <v/>
      </c>
      <c r="L101" s="4">
        <f>L88-L49</f>
        <v/>
      </c>
      <c r="M101" s="4">
        <f>M88-M49</f>
        <v/>
      </c>
      <c r="N101" s="147">
        <f>N88-N49</f>
        <v/>
      </c>
      <c r="O101" s="4">
        <f>O88-O49</f>
        <v/>
      </c>
      <c r="P101" s="4">
        <f>P88-P49</f>
        <v/>
      </c>
      <c r="Q101" s="4">
        <f>Q88-Q49</f>
        <v/>
      </c>
      <c r="R101" s="5">
        <f>SUM(L101:Q101)</f>
        <v/>
      </c>
      <c r="S101" s="186">
        <f>S88-S49</f>
        <v/>
      </c>
      <c r="T101" s="186">
        <f>T88-T49</f>
        <v/>
      </c>
      <c r="U101" s="186">
        <f>U88-U49</f>
        <v/>
      </c>
      <c r="V101" s="186">
        <f>V88-V49</f>
        <v/>
      </c>
      <c r="W101" s="186">
        <f>W88-W49</f>
        <v/>
      </c>
      <c r="X101" s="186">
        <f>X88-X49</f>
        <v/>
      </c>
      <c r="Y101" s="187">
        <f>Y88-Y49</f>
        <v/>
      </c>
    </row>
    <row r="102">
      <c r="C102" s="45" t="inlineStr">
        <is>
          <t>合計</t>
        </is>
      </c>
      <c r="D102" s="46" t="n"/>
      <c r="E102" s="7">
        <f>SUM(E96:E101)</f>
        <v/>
      </c>
      <c r="F102" s="7">
        <f>SUM(F96:F101)</f>
        <v/>
      </c>
      <c r="G102" s="7">
        <f>SUM(G96:G101)</f>
        <v/>
      </c>
      <c r="H102" s="7">
        <f>SUM(H96:H101)</f>
        <v/>
      </c>
      <c r="I102" s="7">
        <f>SUM(I96:I101)</f>
        <v/>
      </c>
      <c r="J102" s="7">
        <f>SUM(J96:J101)</f>
        <v/>
      </c>
      <c r="K102" s="8">
        <f>SUM(K96:K101)</f>
        <v/>
      </c>
      <c r="L102" s="7">
        <f>SUM(L96:L101)</f>
        <v/>
      </c>
      <c r="M102" s="7">
        <f>SUM(M96:M101)</f>
        <v/>
      </c>
      <c r="N102" s="7">
        <f>SUM(N96:N101)</f>
        <v/>
      </c>
      <c r="O102" s="7">
        <f>SUM(O96:O101)</f>
        <v/>
      </c>
      <c r="P102" s="7">
        <f>SUM(P96:P101)</f>
        <v/>
      </c>
      <c r="Q102" s="7">
        <f>SUM(Q96:Q101)</f>
        <v/>
      </c>
      <c r="R102" s="8">
        <f>SUM(R96:R101)</f>
        <v/>
      </c>
      <c r="S102" s="181">
        <f>S89-S50</f>
        <v/>
      </c>
      <c r="T102" s="181">
        <f>T89-T50</f>
        <v/>
      </c>
      <c r="U102" s="181">
        <f>U89-U50</f>
        <v/>
      </c>
      <c r="V102" s="181">
        <f>V89-V50</f>
        <v/>
      </c>
      <c r="W102" s="181">
        <f>W89-W50</f>
        <v/>
      </c>
      <c r="X102" s="181">
        <f>X89-X50</f>
        <v/>
      </c>
      <c r="Y102" s="182">
        <f>Y89-Y50</f>
        <v/>
      </c>
    </row>
    <row r="103" customFormat="1" s="60">
      <c r="A103" s="172" t="n"/>
      <c r="B103" s="172" t="n"/>
      <c r="C103" s="61" t="inlineStr">
        <is>
          <t>内リンガーハット</t>
        </is>
      </c>
      <c r="D103" s="140" t="n"/>
      <c r="E103" s="59">
        <f>E90-E51</f>
        <v/>
      </c>
      <c r="F103" s="59">
        <f>F90-F51</f>
        <v/>
      </c>
      <c r="G103" s="148">
        <f>G90-G51</f>
        <v/>
      </c>
      <c r="H103" s="59">
        <f>H90-H51</f>
        <v/>
      </c>
      <c r="I103" s="59">
        <f>I90-I51</f>
        <v/>
      </c>
      <c r="J103" s="59">
        <f>J90-J51</f>
        <v/>
      </c>
      <c r="K103" s="57">
        <f>SUM(E103:J103)</f>
        <v/>
      </c>
      <c r="L103" s="59">
        <f>L90-L51</f>
        <v/>
      </c>
      <c r="M103" s="59">
        <f>M90-M51</f>
        <v/>
      </c>
      <c r="N103" s="148">
        <f>N90-N51</f>
        <v/>
      </c>
      <c r="O103" s="59">
        <f>O90-O51</f>
        <v/>
      </c>
      <c r="P103" s="59">
        <f>P90-P51</f>
        <v/>
      </c>
      <c r="Q103" s="59">
        <f>Q90-Q51</f>
        <v/>
      </c>
      <c r="R103" s="57">
        <f>SUM(L103:Q103)</f>
        <v/>
      </c>
      <c r="S103" s="188">
        <f>S90-S51</f>
        <v/>
      </c>
      <c r="T103" s="188">
        <f>T90-T51</f>
        <v/>
      </c>
      <c r="U103" s="188">
        <f>U90-U51</f>
        <v/>
      </c>
      <c r="V103" s="188">
        <f>V90-V51</f>
        <v/>
      </c>
      <c r="W103" s="188">
        <f>W90-W51</f>
        <v/>
      </c>
      <c r="X103" s="188">
        <f>X90-X51</f>
        <v/>
      </c>
      <c r="Y103" s="203">
        <f>Y90-Y51</f>
        <v/>
      </c>
      <c r="Z103" s="60" t="inlineStr">
        <is>
          <t>0042と0550からカネゲン引く</t>
        </is>
      </c>
    </row>
    <row r="104" customFormat="1" s="60">
      <c r="A104" s="172" t="n"/>
      <c r="B104" s="172" t="n"/>
      <c r="C104" s="103" t="inlineStr">
        <is>
          <t>リンガーハット以外</t>
        </is>
      </c>
      <c r="D104" s="141" t="n"/>
      <c r="E104" s="105">
        <f>E102-E103</f>
        <v/>
      </c>
      <c r="F104" s="105">
        <f>F102-F103</f>
        <v/>
      </c>
      <c r="G104" s="105">
        <f>G102-G103</f>
        <v/>
      </c>
      <c r="H104" s="105">
        <f>H102-H103</f>
        <v/>
      </c>
      <c r="I104" s="105">
        <f>I102-I103</f>
        <v/>
      </c>
      <c r="J104" s="105">
        <f>J102-J103</f>
        <v/>
      </c>
      <c r="K104" s="142">
        <f>SUM(E104:J104)</f>
        <v/>
      </c>
      <c r="L104" s="105">
        <f>L102-L103</f>
        <v/>
      </c>
      <c r="M104" s="105">
        <f>M102-M103</f>
        <v/>
      </c>
      <c r="N104" s="105">
        <f>N102-N103</f>
        <v/>
      </c>
      <c r="O104" s="105">
        <f>O102-O103</f>
        <v/>
      </c>
      <c r="P104" s="105">
        <f>P102-P103</f>
        <v/>
      </c>
      <c r="Q104" s="105">
        <f>Q102-Q103</f>
        <v/>
      </c>
      <c r="R104" s="142">
        <f>SUM(L104:Q104)</f>
        <v/>
      </c>
      <c r="S104" s="194">
        <f>S91-S52</f>
        <v/>
      </c>
      <c r="T104" s="194">
        <f>T91-T52</f>
        <v/>
      </c>
      <c r="U104" s="194">
        <f>U91-U52</f>
        <v/>
      </c>
      <c r="V104" s="194">
        <f>V91-V52</f>
        <v/>
      </c>
      <c r="W104" s="194">
        <f>W91-W52</f>
        <v/>
      </c>
      <c r="X104" s="194">
        <f>X91-X52</f>
        <v/>
      </c>
      <c r="Y104" s="207">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70"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3" t="inlineStr">
        <is>
          <t>0042 集計</t>
        </is>
      </c>
      <c r="D109" s="76" t="inlineStr">
        <is>
          <t>馬場部長（鳥栖）</t>
        </is>
      </c>
      <c r="E109" s="4">
        <f>E83-E18</f>
        <v/>
      </c>
      <c r="F109" s="4">
        <f>F83-F18</f>
        <v/>
      </c>
      <c r="G109" s="147">
        <f>G83-G18</f>
        <v/>
      </c>
      <c r="H109" s="4">
        <f>H83-H18</f>
        <v/>
      </c>
      <c r="I109" s="4">
        <f>I83-I18</f>
        <v/>
      </c>
      <c r="J109" s="4">
        <f>J83-J18</f>
        <v/>
      </c>
      <c r="K109" s="84">
        <f>SUM(E109:J109)</f>
        <v/>
      </c>
      <c r="L109" s="4">
        <f>L83-L18</f>
        <v/>
      </c>
      <c r="M109" s="4">
        <f>M83-M18</f>
        <v/>
      </c>
      <c r="N109" s="147">
        <f>N83-N18</f>
        <v/>
      </c>
      <c r="O109" s="4">
        <f>O83-O18</f>
        <v/>
      </c>
      <c r="P109" s="4">
        <f>P83-P18</f>
        <v/>
      </c>
      <c r="Q109" s="4">
        <f>Q83-Q18</f>
        <v/>
      </c>
      <c r="R109" s="84">
        <f>SUM(L109:Q109)</f>
        <v/>
      </c>
      <c r="S109" s="186">
        <f>S83-S18</f>
        <v/>
      </c>
      <c r="T109" s="186">
        <f>T83-T18</f>
        <v/>
      </c>
      <c r="U109" s="186">
        <f>U83-U18</f>
        <v/>
      </c>
      <c r="V109" s="186">
        <f>V83-V18</f>
        <v/>
      </c>
      <c r="W109" s="186">
        <f>W83-W18</f>
        <v/>
      </c>
      <c r="X109" s="186">
        <f>X83-X18</f>
        <v/>
      </c>
      <c r="Y109" s="187">
        <f>Y83-Y18</f>
        <v/>
      </c>
    </row>
    <row r="110">
      <c r="C110" s="43" t="inlineStr">
        <is>
          <t>0045 集計</t>
        </is>
      </c>
      <c r="D110" s="76" t="inlineStr">
        <is>
          <t>ペーパーハグ</t>
        </is>
      </c>
      <c r="E110" s="4">
        <f>E84-E19</f>
        <v/>
      </c>
      <c r="F110" s="4">
        <f>F84-F19</f>
        <v/>
      </c>
      <c r="G110" s="147">
        <f>G84-G19</f>
        <v/>
      </c>
      <c r="H110" s="4">
        <f>H84-H19</f>
        <v/>
      </c>
      <c r="I110" s="4">
        <f>I84-I19</f>
        <v/>
      </c>
      <c r="J110" s="4">
        <f>J84-J19</f>
        <v/>
      </c>
      <c r="K110" s="84">
        <f>SUM(E110:J110)</f>
        <v/>
      </c>
      <c r="L110" s="4">
        <f>L84-L19</f>
        <v/>
      </c>
      <c r="M110" s="4">
        <f>M84-M19</f>
        <v/>
      </c>
      <c r="N110" s="147">
        <f>N84-N19</f>
        <v/>
      </c>
      <c r="O110" s="4">
        <f>O84-O19</f>
        <v/>
      </c>
      <c r="P110" s="4">
        <f>P84-P19</f>
        <v/>
      </c>
      <c r="Q110" s="4">
        <f>Q84-Q19</f>
        <v/>
      </c>
      <c r="R110" s="84">
        <f>SUM(L110:Q110)</f>
        <v/>
      </c>
      <c r="S110" s="186">
        <f>S84-S19</f>
        <v/>
      </c>
      <c r="T110" s="186">
        <f>T84-T19</f>
        <v/>
      </c>
      <c r="U110" s="186">
        <f>U84-U19</f>
        <v/>
      </c>
      <c r="V110" s="186">
        <f>V84-V19</f>
        <v/>
      </c>
      <c r="W110" s="186">
        <f>W84-W19</f>
        <v/>
      </c>
      <c r="X110" s="186">
        <f>X84-X19</f>
        <v/>
      </c>
      <c r="Y110" s="187">
        <f>Y84-Y19</f>
        <v/>
      </c>
    </row>
    <row r="111">
      <c r="C111" s="44" t="inlineStr">
        <is>
          <t>0046 集計</t>
        </is>
      </c>
      <c r="D111" s="20" t="inlineStr">
        <is>
          <t>角田</t>
        </is>
      </c>
      <c r="E111" s="4">
        <f>E85-E20</f>
        <v/>
      </c>
      <c r="F111" s="4">
        <f>F85-F20</f>
        <v/>
      </c>
      <c r="G111" s="147">
        <f>G85-G20</f>
        <v/>
      </c>
      <c r="H111" s="4">
        <f>H85-H20</f>
        <v/>
      </c>
      <c r="I111" s="4">
        <f>I85-I20</f>
        <v/>
      </c>
      <c r="J111" s="4">
        <f>J85-J20</f>
        <v/>
      </c>
      <c r="K111" s="84">
        <f>SUM(E111:J111)</f>
        <v/>
      </c>
      <c r="L111" s="4">
        <f>L85-L20</f>
        <v/>
      </c>
      <c r="M111" s="4">
        <f>M85-M20</f>
        <v/>
      </c>
      <c r="N111" s="147">
        <f>N85-N20</f>
        <v/>
      </c>
      <c r="O111" s="4">
        <f>O85-O20</f>
        <v/>
      </c>
      <c r="P111" s="4">
        <f>P85-P20</f>
        <v/>
      </c>
      <c r="Q111" s="4">
        <f>Q85-Q20</f>
        <v/>
      </c>
      <c r="R111" s="84">
        <f>SUM(L111:Q111)</f>
        <v/>
      </c>
      <c r="S111" s="186">
        <f>S85-S20</f>
        <v/>
      </c>
      <c r="T111" s="186">
        <f>T85-T20</f>
        <v/>
      </c>
      <c r="U111" s="186">
        <f>U85-U20</f>
        <v/>
      </c>
      <c r="V111" s="186">
        <f>V85-V20</f>
        <v/>
      </c>
      <c r="W111" s="186">
        <f>W85-W20</f>
        <v/>
      </c>
      <c r="X111" s="186">
        <f>X85-X20</f>
        <v/>
      </c>
      <c r="Y111" s="187">
        <f>Y85-Y20</f>
        <v/>
      </c>
    </row>
    <row r="112">
      <c r="C112" s="43" t="inlineStr">
        <is>
          <t>0047 集計</t>
        </is>
      </c>
      <c r="D112" s="76" t="inlineStr">
        <is>
          <t>馬場部長（静岡）</t>
        </is>
      </c>
      <c r="E112" s="4">
        <f>E86-E21</f>
        <v/>
      </c>
      <c r="F112" s="4">
        <f>F86-F21</f>
        <v/>
      </c>
      <c r="G112" s="147">
        <f>G86-G21</f>
        <v/>
      </c>
      <c r="H112" s="4">
        <f>H86-H21</f>
        <v/>
      </c>
      <c r="I112" s="4">
        <f>I86-I21</f>
        <v/>
      </c>
      <c r="J112" s="4">
        <f>J86-J21</f>
        <v/>
      </c>
      <c r="K112" s="84">
        <f>SUM(E112:J112)</f>
        <v/>
      </c>
      <c r="L112" s="4">
        <f>L86-L21</f>
        <v/>
      </c>
      <c r="M112" s="4">
        <f>M86-M21</f>
        <v/>
      </c>
      <c r="N112" s="147">
        <f>N86-N21</f>
        <v/>
      </c>
      <c r="O112" s="4">
        <f>O86-O21</f>
        <v/>
      </c>
      <c r="P112" s="4">
        <f>P86-P21</f>
        <v/>
      </c>
      <c r="Q112" s="4">
        <f>Q86-Q21</f>
        <v/>
      </c>
      <c r="R112" s="84">
        <f>SUM(L112:Q112)</f>
        <v/>
      </c>
      <c r="S112" s="186">
        <f>S86-S21</f>
        <v/>
      </c>
      <c r="T112" s="186">
        <f>T86-T21</f>
        <v/>
      </c>
      <c r="U112" s="186">
        <f>U86-U21</f>
        <v/>
      </c>
      <c r="V112" s="186">
        <f>V86-V21</f>
        <v/>
      </c>
      <c r="W112" s="186">
        <f>W86-W21</f>
        <v/>
      </c>
      <c r="X112" s="186">
        <f>X86-X21</f>
        <v/>
      </c>
      <c r="Y112" s="187">
        <f>Y86-Y21</f>
        <v/>
      </c>
    </row>
    <row r="113">
      <c r="C113" s="31" t="inlineStr">
        <is>
          <t>0550 集計</t>
        </is>
      </c>
      <c r="D113" s="20" t="inlineStr">
        <is>
          <t>馬場所長（東京）</t>
        </is>
      </c>
      <c r="E113" s="4">
        <f>E87-E22</f>
        <v/>
      </c>
      <c r="F113" s="4">
        <f>F87-F22</f>
        <v/>
      </c>
      <c r="G113" s="147">
        <f>G87-G22</f>
        <v/>
      </c>
      <c r="H113" s="4">
        <f>H87-H22</f>
        <v/>
      </c>
      <c r="I113" s="4">
        <f>I87-I22</f>
        <v/>
      </c>
      <c r="J113" s="4">
        <f>J87-J22</f>
        <v/>
      </c>
      <c r="K113" s="84">
        <f>SUM(E113:J113)</f>
        <v/>
      </c>
      <c r="L113" s="4">
        <f>L87-L22</f>
        <v/>
      </c>
      <c r="M113" s="4">
        <f>M87-M22</f>
        <v/>
      </c>
      <c r="N113" s="147">
        <f>N87-N22</f>
        <v/>
      </c>
      <c r="O113" s="4">
        <f>O87-O22</f>
        <v/>
      </c>
      <c r="P113" s="4">
        <f>P87-P22</f>
        <v/>
      </c>
      <c r="Q113" s="4">
        <f>Q87-Q22</f>
        <v/>
      </c>
      <c r="R113" s="84">
        <f>SUM(L113:Q113)</f>
        <v/>
      </c>
      <c r="S113" s="186">
        <f>S87-S22</f>
        <v/>
      </c>
      <c r="T113" s="186">
        <f>T87-T22</f>
        <v/>
      </c>
      <c r="U113" s="186">
        <f>U87-U22</f>
        <v/>
      </c>
      <c r="V113" s="186">
        <f>V87-V22</f>
        <v/>
      </c>
      <c r="W113" s="186">
        <f>W87-W22</f>
        <v/>
      </c>
      <c r="X113" s="186">
        <f>X87-X22</f>
        <v/>
      </c>
      <c r="Y113" s="187">
        <f>Y87-Y22</f>
        <v/>
      </c>
    </row>
    <row r="114">
      <c r="C114" s="31" t="inlineStr">
        <is>
          <t>0552 集計</t>
        </is>
      </c>
      <c r="D114" s="20" t="inlineStr">
        <is>
          <t>馬場部長（東京）</t>
        </is>
      </c>
      <c r="E114" s="4">
        <f>E88-E23</f>
        <v/>
      </c>
      <c r="F114" s="4">
        <f>F88-F23</f>
        <v/>
      </c>
      <c r="G114" s="147">
        <f>G88-G23</f>
        <v/>
      </c>
      <c r="H114" s="4">
        <f>H88-H23</f>
        <v/>
      </c>
      <c r="I114" s="4">
        <f>I88-I23</f>
        <v/>
      </c>
      <c r="J114" s="4">
        <f>J88-J23</f>
        <v/>
      </c>
      <c r="K114" s="84">
        <f>SUM(E114:J114)</f>
        <v/>
      </c>
      <c r="L114" s="4">
        <f>L88-L23</f>
        <v/>
      </c>
      <c r="M114" s="4">
        <f>M88-M23</f>
        <v/>
      </c>
      <c r="N114" s="147">
        <f>N88-N23</f>
        <v/>
      </c>
      <c r="O114" s="4">
        <f>O88-O23</f>
        <v/>
      </c>
      <c r="P114" s="4">
        <f>P88-P23</f>
        <v/>
      </c>
      <c r="Q114" s="4">
        <f>Q88-Q23</f>
        <v/>
      </c>
      <c r="R114" s="84">
        <f>SUM(L114:Q114)</f>
        <v/>
      </c>
      <c r="S114" s="186">
        <f>S88-S23</f>
        <v/>
      </c>
      <c r="T114" s="186">
        <f>T88-T23</f>
        <v/>
      </c>
      <c r="U114" s="186">
        <f>U88-U23</f>
        <v/>
      </c>
      <c r="V114" s="186">
        <f>V88-V23</f>
        <v/>
      </c>
      <c r="W114" s="186">
        <f>W88-W23</f>
        <v/>
      </c>
      <c r="X114" s="186">
        <f>X88-X23</f>
        <v/>
      </c>
      <c r="Y114" s="187">
        <f>Y88-Y23</f>
        <v/>
      </c>
    </row>
    <row r="115">
      <c r="C115" s="45" t="inlineStr">
        <is>
          <t>合計</t>
        </is>
      </c>
      <c r="D115" s="46" t="n"/>
      <c r="E115" s="7">
        <f>E89-E24</f>
        <v/>
      </c>
      <c r="F115" s="7">
        <f>F89-F24</f>
        <v/>
      </c>
      <c r="G115" s="7">
        <f>G89-G24</f>
        <v/>
      </c>
      <c r="H115" s="7">
        <f>H89-H24</f>
        <v/>
      </c>
      <c r="I115" s="7">
        <f>I89-I24</f>
        <v/>
      </c>
      <c r="J115" s="7">
        <f>J89-J24</f>
        <v/>
      </c>
      <c r="K115" s="85">
        <f>SUM(K109:K114)</f>
        <v/>
      </c>
      <c r="L115" s="7">
        <f>L89-L24</f>
        <v/>
      </c>
      <c r="M115" s="7">
        <f>M89-M24</f>
        <v/>
      </c>
      <c r="N115" s="7">
        <f>N89-N24</f>
        <v/>
      </c>
      <c r="O115" s="7">
        <f>O89-O24</f>
        <v/>
      </c>
      <c r="P115" s="7">
        <f>P89-P24</f>
        <v/>
      </c>
      <c r="Q115" s="7">
        <f>Q89-Q24</f>
        <v/>
      </c>
      <c r="R115" s="85">
        <f>SUM(R109:R114)</f>
        <v/>
      </c>
      <c r="S115" s="181">
        <f>S89-S24</f>
        <v/>
      </c>
      <c r="T115" s="181">
        <f>T89-T24</f>
        <v/>
      </c>
      <c r="U115" s="181">
        <f>U89-U24</f>
        <v/>
      </c>
      <c r="V115" s="181">
        <f>V89-V24</f>
        <v/>
      </c>
      <c r="W115" s="181">
        <f>W89-W24</f>
        <v/>
      </c>
      <c r="X115" s="181">
        <f>X89-X24</f>
        <v/>
      </c>
      <c r="Y115" s="182">
        <f>Y89-Y24</f>
        <v/>
      </c>
    </row>
    <row r="116" customFormat="1" s="60">
      <c r="A116" s="172" t="n"/>
      <c r="B116" s="172" t="n"/>
      <c r="C116" s="61" t="inlineStr">
        <is>
          <t>内リンガーハット</t>
        </is>
      </c>
      <c r="D116" s="63" t="n"/>
      <c r="E116" s="59">
        <f>E90-E25</f>
        <v/>
      </c>
      <c r="F116" s="59">
        <f>F90-F25</f>
        <v/>
      </c>
      <c r="G116" s="59">
        <f>G90-G25</f>
        <v/>
      </c>
      <c r="H116" s="59">
        <f>H90-H25</f>
        <v/>
      </c>
      <c r="I116" s="59">
        <f>I90-I25</f>
        <v/>
      </c>
      <c r="J116" s="59">
        <f>J90-J25</f>
        <v/>
      </c>
      <c r="K116" s="86">
        <f>SUM(E116:J116)</f>
        <v/>
      </c>
      <c r="L116" s="59">
        <f>L90-L25</f>
        <v/>
      </c>
      <c r="M116" s="59">
        <f>M90-M25</f>
        <v/>
      </c>
      <c r="N116" s="59">
        <f>N90-N25</f>
        <v/>
      </c>
      <c r="O116" s="59">
        <f>O90-O25</f>
        <v/>
      </c>
      <c r="P116" s="59">
        <f>P90-P25</f>
        <v/>
      </c>
      <c r="Q116" s="59">
        <f>Q90-Q25</f>
        <v/>
      </c>
      <c r="R116" s="86">
        <f>SUM(L116:Q116)</f>
        <v/>
      </c>
      <c r="S116" s="188">
        <f>S90-S25</f>
        <v/>
      </c>
      <c r="T116" s="188">
        <f>T90-T25</f>
        <v/>
      </c>
      <c r="U116" s="188">
        <f>U90-U25</f>
        <v/>
      </c>
      <c r="V116" s="188">
        <f>V90-V25</f>
        <v/>
      </c>
      <c r="W116" s="188">
        <f>W90-W25</f>
        <v/>
      </c>
      <c r="X116" s="188">
        <f>X90-X25</f>
        <v/>
      </c>
      <c r="Y116" s="189">
        <f>Y90-Y25</f>
        <v/>
      </c>
      <c r="Z116" s="60" t="inlineStr">
        <is>
          <t>0042と0550からカネゲン引く</t>
        </is>
      </c>
    </row>
    <row r="117" customFormat="1" s="60">
      <c r="A117" s="172" t="n"/>
      <c r="B117" s="172" t="n"/>
      <c r="C117" s="61" t="inlineStr">
        <is>
          <t>リンガーハット以外</t>
        </is>
      </c>
      <c r="D117" s="63" t="n"/>
      <c r="E117" s="59">
        <f>E91-E26</f>
        <v/>
      </c>
      <c r="F117" s="59">
        <f>F91-F26</f>
        <v/>
      </c>
      <c r="G117" s="59">
        <f>G91-G26</f>
        <v/>
      </c>
      <c r="H117" s="59">
        <f>H91-H26</f>
        <v/>
      </c>
      <c r="I117" s="59">
        <f>I91-I26</f>
        <v/>
      </c>
      <c r="J117" s="59">
        <f>J91-J26</f>
        <v/>
      </c>
      <c r="K117" s="90">
        <f>SUM(E117:J117)</f>
        <v/>
      </c>
      <c r="L117" s="59">
        <f>L91-L26</f>
        <v/>
      </c>
      <c r="M117" s="59">
        <f>M91-M26</f>
        <v/>
      </c>
      <c r="N117" s="59">
        <f>N91-N26</f>
        <v/>
      </c>
      <c r="O117" s="59">
        <f>O91-O26</f>
        <v/>
      </c>
      <c r="P117" s="59">
        <f>P91-P26</f>
        <v/>
      </c>
      <c r="Q117" s="59">
        <f>Q91-Q26</f>
        <v/>
      </c>
      <c r="R117" s="90">
        <f>SUM(L117:Q117)</f>
        <v/>
      </c>
      <c r="S117" s="188">
        <f>S115-S116</f>
        <v/>
      </c>
      <c r="T117" s="188">
        <f>T115-T116</f>
        <v/>
      </c>
      <c r="U117" s="188">
        <f>U115-U116</f>
        <v/>
      </c>
      <c r="V117" s="188">
        <f>V115-V116</f>
        <v/>
      </c>
      <c r="W117" s="188">
        <f>W115-W116</f>
        <v/>
      </c>
      <c r="X117" s="188">
        <f>X115-X116</f>
        <v/>
      </c>
      <c r="Y117" s="189">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legacyDrawing xmlns:r="http://schemas.openxmlformats.org/officeDocument/2006/relationships" r:id="anysvml"/>
</worksheet>
</file>

<file path=xl/worksheets/sheet3.xml><?xml version="1.0" encoding="utf-8"?>
<worksheet xmlns="http://schemas.openxmlformats.org/spreadsheetml/2006/main">
  <sheetPr>
    <tabColor theme="8" tint="-0.249977111117893"/>
    <outlinePr summaryBelow="1" summaryRight="1"/>
    <pageSetUpPr fitToPage="1"/>
  </sheetPr>
  <dimension ref="A1:Z117"/>
  <sheetViews>
    <sheetView workbookViewId="0">
      <pane xSplit="4" ySplit="1" topLeftCell="E82" activePane="bottomRight" state="frozen"/>
      <selection activeCell="K109" sqref="K109"/>
      <selection pane="topRight" activeCell="K109" sqref="K109"/>
      <selection pane="bottomLeft" activeCell="K109" sqref="K109"/>
      <selection pane="bottomRight" activeCell="K100" sqref="K100"/>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広域営業部機械</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70"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3" t="inlineStr">
        <is>
          <t>0042 集計</t>
        </is>
      </c>
      <c r="D5" s="76" t="inlineStr">
        <is>
          <t>馬場部長（鳥栖）</t>
        </is>
      </c>
      <c r="E5" s="4" t="n">
        <v>22</v>
      </c>
      <c r="F5" s="4" t="n">
        <v>148</v>
      </c>
      <c r="G5" s="4" t="n">
        <v>27</v>
      </c>
      <c r="H5" s="4" t="n">
        <v>46</v>
      </c>
      <c r="I5" s="4" t="n">
        <v>83</v>
      </c>
      <c r="J5" s="4" t="n">
        <v>27</v>
      </c>
      <c r="K5" s="5">
        <f>SUM(E5:J5)</f>
        <v/>
      </c>
      <c r="L5" s="4" t="n">
        <v>1</v>
      </c>
      <c r="M5" s="4" t="n">
        <v>4</v>
      </c>
      <c r="N5" s="4" t="n">
        <v>-1</v>
      </c>
      <c r="O5" s="4" t="n">
        <v>5</v>
      </c>
      <c r="P5" s="4" t="n">
        <v>1</v>
      </c>
      <c r="Q5" s="4" t="n">
        <v>-1</v>
      </c>
      <c r="R5" s="5">
        <f>SUM(L5:Q5)</f>
        <v/>
      </c>
      <c r="S5" s="186">
        <f>IF(E5=0,"***",L5/E5)</f>
        <v/>
      </c>
      <c r="T5" s="186">
        <f>IF(F5=0,"***",M5/F5)</f>
        <v/>
      </c>
      <c r="U5" s="186">
        <f>IF(G5=0,"***",N5/G5)</f>
        <v/>
      </c>
      <c r="V5" s="186">
        <f>IF(H5=0,"***",O5/H5)</f>
        <v/>
      </c>
      <c r="W5" s="186">
        <f>IF(I5=0,"***",P5/I5)</f>
        <v/>
      </c>
      <c r="X5" s="186">
        <f>IF(J5=0,"***",Q5/J5)</f>
        <v/>
      </c>
      <c r="Y5" s="187">
        <f>IF(K5=0,"***",R5/K5)</f>
        <v/>
      </c>
    </row>
    <row r="6">
      <c r="C6" s="43" t="inlineStr">
        <is>
          <t>0045 集計</t>
        </is>
      </c>
      <c r="D6" s="76" t="inlineStr">
        <is>
          <t>ペーパーハグ</t>
        </is>
      </c>
      <c r="E6" s="4" t="n"/>
      <c r="F6" s="4" t="n"/>
      <c r="G6" s="4" t="n"/>
      <c r="H6" s="4" t="n"/>
      <c r="I6" s="4" t="n"/>
      <c r="J6" s="4" t="n"/>
      <c r="K6" s="5" t="n"/>
      <c r="L6" s="4" t="n"/>
      <c r="M6" s="4" t="n"/>
      <c r="N6" s="4" t="n"/>
      <c r="O6" s="4" t="n"/>
      <c r="P6" s="4" t="n"/>
      <c r="Q6" s="4" t="n"/>
      <c r="R6" s="5" t="n"/>
      <c r="S6" s="186" t="n"/>
      <c r="T6" s="186" t="n"/>
      <c r="U6" s="186" t="n"/>
      <c r="V6" s="186" t="n"/>
      <c r="W6" s="186" t="n"/>
      <c r="X6" s="186" t="n"/>
      <c r="Y6" s="187" t="n"/>
    </row>
    <row r="7">
      <c r="C7" s="44" t="inlineStr">
        <is>
          <t>0046 集計</t>
        </is>
      </c>
      <c r="D7" s="20" t="inlineStr">
        <is>
          <t>角田</t>
        </is>
      </c>
      <c r="E7" s="4" t="n">
        <v>15</v>
      </c>
      <c r="F7" s="4" t="n">
        <v>80</v>
      </c>
      <c r="G7" s="4" t="n">
        <v>91</v>
      </c>
      <c r="H7" s="4" t="n">
        <v>10</v>
      </c>
      <c r="I7" s="4" t="n">
        <v>70</v>
      </c>
      <c r="J7" s="4" t="n">
        <v>0</v>
      </c>
      <c r="K7" s="5">
        <f>SUM(E7:J7)</f>
        <v/>
      </c>
      <c r="L7" s="4" t="n">
        <v>2</v>
      </c>
      <c r="M7" s="4" t="n">
        <v>5</v>
      </c>
      <c r="N7" s="4" t="n">
        <v>11</v>
      </c>
      <c r="O7" s="4" t="n">
        <v>1</v>
      </c>
      <c r="P7" s="4" t="n">
        <v>7</v>
      </c>
      <c r="Q7" s="4" t="n">
        <v>0</v>
      </c>
      <c r="R7" s="5">
        <f>SUM(L7:Q7)</f>
        <v/>
      </c>
      <c r="S7" s="186">
        <f>IF(E7=0,"***",L7/E7)</f>
        <v/>
      </c>
      <c r="T7" s="186">
        <f>IF(F7=0,"***",M7/F7)</f>
        <v/>
      </c>
      <c r="U7" s="186">
        <f>IF(G7=0,"***",N7/G7)</f>
        <v/>
      </c>
      <c r="V7" s="186">
        <f>IF(H7=0,"***",O7/H7)</f>
        <v/>
      </c>
      <c r="W7" s="186">
        <f>IF(I7=0,"***",P7/I7)</f>
        <v/>
      </c>
      <c r="X7" s="186">
        <f>IF(J7=0,"***",Q7/J7)</f>
        <v/>
      </c>
      <c r="Y7" s="187">
        <f>IF(K7=0,"***",R7/K7)</f>
        <v/>
      </c>
    </row>
    <row r="8">
      <c r="C8" s="43" t="inlineStr">
        <is>
          <t>0047 集計</t>
        </is>
      </c>
      <c r="D8" s="76" t="inlineStr">
        <is>
          <t>馬場部長（静岡）</t>
        </is>
      </c>
      <c r="E8" s="4" t="n"/>
      <c r="F8" s="4" t="n"/>
      <c r="G8" s="4" t="n"/>
      <c r="H8" s="4" t="n"/>
      <c r="I8" s="4" t="n"/>
      <c r="J8" s="4" t="n"/>
      <c r="K8" s="5" t="n"/>
      <c r="L8" s="4" t="n"/>
      <c r="M8" s="4" t="n"/>
      <c r="N8" s="4" t="n"/>
      <c r="O8" s="4" t="n"/>
      <c r="P8" s="4" t="n"/>
      <c r="Q8" s="4" t="n"/>
      <c r="R8" s="5" t="n"/>
      <c r="S8" s="186" t="n"/>
      <c r="T8" s="186" t="n"/>
      <c r="U8" s="186" t="n"/>
      <c r="V8" s="186" t="n"/>
      <c r="W8" s="186" t="n"/>
      <c r="X8" s="186" t="n"/>
      <c r="Y8" s="187" t="n"/>
    </row>
    <row r="9">
      <c r="C9" s="31" t="inlineStr">
        <is>
          <t>0550 集計</t>
        </is>
      </c>
      <c r="D9" s="20" t="inlineStr">
        <is>
          <t>馬場所長（東京）</t>
        </is>
      </c>
      <c r="E9" s="4" t="n"/>
      <c r="F9" s="4" t="n"/>
      <c r="G9" s="4" t="n">
        <v>3</v>
      </c>
      <c r="H9" s="4" t="n">
        <v>1</v>
      </c>
      <c r="I9" s="4" t="n"/>
      <c r="J9" s="4" t="n"/>
      <c r="K9" s="5">
        <f>SUM(E9:J9)</f>
        <v/>
      </c>
      <c r="L9" s="4" t="n"/>
      <c r="M9" s="4" t="n">
        <v>0</v>
      </c>
      <c r="N9" s="4" t="n"/>
      <c r="O9" s="4" t="n"/>
      <c r="P9" s="4" t="n"/>
      <c r="Q9" s="4" t="n"/>
      <c r="R9" s="5">
        <f>SUM(L9:Q9)</f>
        <v/>
      </c>
      <c r="S9" s="186">
        <f>IF(E9=0,"***",L9/E9)</f>
        <v/>
      </c>
      <c r="T9" s="186">
        <f>IF(F9=0,"***",M9/F9)</f>
        <v/>
      </c>
      <c r="U9" s="186">
        <f>IF(G9=0,"***",N9/G9)</f>
        <v/>
      </c>
      <c r="V9" s="186">
        <f>IF(H9=0,"***",O9/H9)</f>
        <v/>
      </c>
      <c r="W9" s="186">
        <f>IF(I9=0,"***",P9/I9)</f>
        <v/>
      </c>
      <c r="X9" s="186">
        <f>IF(J9=0,"***",Q9/J9)</f>
        <v/>
      </c>
      <c r="Y9" s="187">
        <f>IF(K9=0,"***",R9/K9)</f>
        <v/>
      </c>
    </row>
    <row r="10">
      <c r="C10" s="31" t="inlineStr">
        <is>
          <t>0552 集計</t>
        </is>
      </c>
      <c r="D10" s="20" t="inlineStr">
        <is>
          <t>馬場部長（東京）</t>
        </is>
      </c>
      <c r="E10" s="4" t="n">
        <v>18</v>
      </c>
      <c r="F10" s="4" t="n">
        <v>18</v>
      </c>
      <c r="G10" s="4" t="n">
        <v>18</v>
      </c>
      <c r="H10" s="4" t="n">
        <v>35</v>
      </c>
      <c r="I10" s="4" t="n">
        <v>54</v>
      </c>
      <c r="J10" s="4" t="n">
        <v>18</v>
      </c>
      <c r="K10" s="5">
        <f>SUM(E10:J10)</f>
        <v/>
      </c>
      <c r="L10" s="4" t="n">
        <v>3</v>
      </c>
      <c r="M10" s="4" t="n">
        <v>3</v>
      </c>
      <c r="N10" s="4" t="n">
        <v>3</v>
      </c>
      <c r="O10" s="4" t="n">
        <v>6</v>
      </c>
      <c r="P10" s="4" t="n">
        <v>14</v>
      </c>
      <c r="Q10" s="4" t="n">
        <v>3</v>
      </c>
      <c r="R10" s="5">
        <f>SUM(L10:Q10)</f>
        <v/>
      </c>
      <c r="S10" s="186">
        <f>IF(E10=0,"***",L10/E10)</f>
        <v/>
      </c>
      <c r="T10" s="186">
        <f>IF(F10=0,"***",M10/F10)</f>
        <v/>
      </c>
      <c r="U10" s="186">
        <f>IF(G10=0,"***",N10/G10)</f>
        <v/>
      </c>
      <c r="V10" s="186">
        <f>IF(H10=0,"***",O10/H10)</f>
        <v/>
      </c>
      <c r="W10" s="186">
        <f>IF(I10=0,"***",P10/I10)</f>
        <v/>
      </c>
      <c r="X10" s="186">
        <f>IF(J10=0,"***",Q10/J10)</f>
        <v/>
      </c>
      <c r="Y10" s="187">
        <f>IF(K10=0,"***",R10/K10)</f>
        <v/>
      </c>
    </row>
    <row r="11">
      <c r="C11" s="45" t="inlineStr">
        <is>
          <t>合計</t>
        </is>
      </c>
      <c r="D11" s="46" t="n"/>
      <c r="E11" s="7">
        <f>SUM(E5:E10)</f>
        <v/>
      </c>
      <c r="F11" s="7">
        <f>SUM(F5:F10)</f>
        <v/>
      </c>
      <c r="G11" s="7">
        <f>SUM(G5:G10)</f>
        <v/>
      </c>
      <c r="H11" s="7">
        <f>SUM(H5:H10)</f>
        <v/>
      </c>
      <c r="I11" s="7">
        <f>SUM(I5:I10)</f>
        <v/>
      </c>
      <c r="J11" s="7">
        <f>SUM(J5:J10)</f>
        <v/>
      </c>
      <c r="K11" s="8">
        <f>SUM(K5:K10)</f>
        <v/>
      </c>
      <c r="L11" s="7">
        <f>SUM(L5:L10)</f>
        <v/>
      </c>
      <c r="M11" s="7">
        <f>SUM(M5:M10)</f>
        <v/>
      </c>
      <c r="N11" s="7">
        <f>SUM(N5:N10)</f>
        <v/>
      </c>
      <c r="O11" s="7">
        <f>SUM(O5:O10)</f>
        <v/>
      </c>
      <c r="P11" s="7">
        <f>SUM(P5:P10)</f>
        <v/>
      </c>
      <c r="Q11" s="7">
        <f>SUM(Q5:Q10)</f>
        <v/>
      </c>
      <c r="R11" s="8">
        <f>SUM(R5:R10)</f>
        <v/>
      </c>
      <c r="S11" s="181">
        <f>SUM(S5:S10)</f>
        <v/>
      </c>
      <c r="T11" s="181">
        <f>SUM(T5:T10)</f>
        <v/>
      </c>
      <c r="U11" s="181">
        <f>SUM(U5:U10)</f>
        <v/>
      </c>
      <c r="V11" s="181">
        <f>SUM(V5:V10)</f>
        <v/>
      </c>
      <c r="W11" s="181">
        <f>SUM(W5:W10)</f>
        <v/>
      </c>
      <c r="X11" s="181">
        <f>SUM(X5:X10)</f>
        <v/>
      </c>
      <c r="Y11" s="182">
        <f>SUM(Y5:Y10)</f>
        <v/>
      </c>
    </row>
    <row r="12" customFormat="1" s="60">
      <c r="C12" s="61" t="inlineStr">
        <is>
          <t>リンガーハット</t>
        </is>
      </c>
      <c r="D12" s="63" t="n"/>
      <c r="E12" s="4" t="n">
        <v>22</v>
      </c>
      <c r="F12" s="4" t="n">
        <v>148</v>
      </c>
      <c r="G12" s="4" t="n">
        <v>27</v>
      </c>
      <c r="H12" s="4" t="n">
        <v>46</v>
      </c>
      <c r="I12" s="4" t="n">
        <v>83</v>
      </c>
      <c r="J12" s="4" t="n">
        <v>27</v>
      </c>
      <c r="K12" s="72">
        <f>SUM(E12:J12)</f>
        <v/>
      </c>
      <c r="L12" s="4" t="n">
        <v>1</v>
      </c>
      <c r="M12" s="4" t="n">
        <v>4</v>
      </c>
      <c r="N12" s="4" t="n">
        <v>-1</v>
      </c>
      <c r="O12" s="4" t="n">
        <v>5</v>
      </c>
      <c r="P12" s="4" t="n">
        <v>1</v>
      </c>
      <c r="Q12" s="4" t="n">
        <v>-1</v>
      </c>
      <c r="R12" s="72">
        <f>SUM(L12:Q12)</f>
        <v/>
      </c>
      <c r="S12" s="188">
        <f>IF(E12=0,"***",L12/E12)</f>
        <v/>
      </c>
      <c r="T12" s="188">
        <f>IF(F12=0,"***",M12/F12)</f>
        <v/>
      </c>
      <c r="U12" s="188">
        <f>IF(G12=0,"***",N12/G12)</f>
        <v/>
      </c>
      <c r="V12" s="188">
        <f>IF(H12=0,"***",O12/H12)</f>
        <v/>
      </c>
      <c r="W12" s="188">
        <f>IF(I12=0,"***",P12/I12)</f>
        <v/>
      </c>
      <c r="X12" s="188">
        <f>IF(J12=0,"***",Q12/J12)</f>
        <v/>
      </c>
      <c r="Y12" s="189">
        <f>IF(K12=0,"***",R12/K12)</f>
        <v/>
      </c>
      <c r="Z12" s="60" t="inlineStr">
        <is>
          <t>0042と0550からカネゲン引く</t>
        </is>
      </c>
    </row>
    <row r="13" customFormat="1" s="60">
      <c r="C13" s="103" t="inlineStr">
        <is>
          <t>リンガーハット以外</t>
        </is>
      </c>
      <c r="D13" s="104" t="n"/>
      <c r="E13" s="105">
        <f>E11-E12</f>
        <v/>
      </c>
      <c r="F13" s="105">
        <f>F11-F12</f>
        <v/>
      </c>
      <c r="G13" s="105">
        <f>G11-G12</f>
        <v/>
      </c>
      <c r="H13" s="105">
        <f>H11-H12</f>
        <v/>
      </c>
      <c r="I13" s="105">
        <f>I11-I12</f>
        <v/>
      </c>
      <c r="J13" s="105">
        <f>J11-J12</f>
        <v/>
      </c>
      <c r="K13" s="106">
        <f>SUM(E13:J13)</f>
        <v/>
      </c>
      <c r="L13" s="107">
        <f>L11-L12</f>
        <v/>
      </c>
      <c r="M13" s="105">
        <f>M11-M12</f>
        <v/>
      </c>
      <c r="N13" s="105">
        <f>N11-N12</f>
        <v/>
      </c>
      <c r="O13" s="105">
        <f>O11-O12</f>
        <v/>
      </c>
      <c r="P13" s="105">
        <f>P11-P12</f>
        <v/>
      </c>
      <c r="Q13" s="105">
        <f>Q11-Q12</f>
        <v/>
      </c>
      <c r="R13" s="106">
        <f>SUM(L13:Q13)</f>
        <v/>
      </c>
      <c r="S13" s="194">
        <f>IF(E13=0,"***",L13/E13)</f>
        <v/>
      </c>
      <c r="T13" s="194">
        <f>IF(F13=0,"***",M13/F13)</f>
        <v/>
      </c>
      <c r="U13" s="194">
        <f>IF(G13=0,"***",N13/G13)</f>
        <v/>
      </c>
      <c r="V13" s="194">
        <f>IF(H13=0,"***",O13/H13)</f>
        <v/>
      </c>
      <c r="W13" s="194">
        <f>IF(I13=0,"***",P13/I13)</f>
        <v/>
      </c>
      <c r="X13" s="194">
        <f>IF(J13=0,"***",Q13/J13)</f>
        <v/>
      </c>
      <c r="Y13" s="195">
        <f>IF(K13=0,"***",R13/K13)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70"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3" t="inlineStr">
        <is>
          <t>0042 集計</t>
        </is>
      </c>
      <c r="D18" s="76" t="inlineStr">
        <is>
          <t>馬場部長（鳥栖）</t>
        </is>
      </c>
      <c r="E18" s="4" t="n">
        <v>49</v>
      </c>
      <c r="F18" s="4" t="n">
        <v>62</v>
      </c>
      <c r="G18" s="4" t="n">
        <v>155</v>
      </c>
      <c r="H18" s="4" t="n">
        <v>77</v>
      </c>
      <c r="I18" s="4" t="n">
        <v>23</v>
      </c>
      <c r="J18" s="4" t="n">
        <v>78</v>
      </c>
      <c r="K18" s="5">
        <f>SUM(E18:J18)</f>
        <v/>
      </c>
      <c r="L18" s="4" t="n">
        <v>1</v>
      </c>
      <c r="M18" s="4" t="n">
        <v>4</v>
      </c>
      <c r="N18" s="4" t="n">
        <v>-1</v>
      </c>
      <c r="O18" s="4" t="n">
        <v>7</v>
      </c>
      <c r="P18" s="4" t="n">
        <v>1</v>
      </c>
      <c r="Q18" s="4" t="n">
        <v>-1</v>
      </c>
      <c r="R18" s="5">
        <f>SUM(L18:Q18)</f>
        <v/>
      </c>
      <c r="S18" s="186">
        <f>IF(E18=0,"***",L18/E18)</f>
        <v/>
      </c>
      <c r="T18" s="186">
        <f>IF(F18=0,"***",M18/F18)</f>
        <v/>
      </c>
      <c r="U18" s="186">
        <f>IF(G18=0,"***",N18/G18)</f>
        <v/>
      </c>
      <c r="V18" s="186">
        <f>IF(H18=0,"***",O18/H18)</f>
        <v/>
      </c>
      <c r="W18" s="186">
        <f>IF(I18=0,"***",P18/I18)</f>
        <v/>
      </c>
      <c r="X18" s="186">
        <f>IF(J18=0,"***",Q18/J18)</f>
        <v/>
      </c>
      <c r="Y18" s="187">
        <f>IF(K18=0,"***",R18/K18)</f>
        <v/>
      </c>
    </row>
    <row r="19">
      <c r="C19" s="43" t="inlineStr">
        <is>
          <t>0045 集計</t>
        </is>
      </c>
      <c r="D19" s="76" t="inlineStr">
        <is>
          <t>ペーパーハグ</t>
        </is>
      </c>
      <c r="E19" s="4" t="n">
        <v>0</v>
      </c>
      <c r="F19" s="4" t="n">
        <v>0</v>
      </c>
      <c r="G19" s="4" t="n">
        <v>0</v>
      </c>
      <c r="H19" s="4" t="n">
        <v>0</v>
      </c>
      <c r="I19" s="4" t="n">
        <v>0</v>
      </c>
      <c r="J19" s="4" t="n">
        <v>0</v>
      </c>
      <c r="K19" s="5">
        <f>SUM(E19:J19)</f>
        <v/>
      </c>
      <c r="L19" s="4" t="n"/>
      <c r="M19" s="4" t="n"/>
      <c r="N19" s="4" t="n"/>
      <c r="O19" s="4" t="n"/>
      <c r="P19" s="4" t="n"/>
      <c r="Q19" s="4" t="n"/>
      <c r="R19" s="5">
        <f>SUM(L19:Q19)</f>
        <v/>
      </c>
      <c r="S19" s="186">
        <f>IF(E19=0,"***",L19/E19)</f>
        <v/>
      </c>
      <c r="T19" s="186">
        <f>IF(F19=0,"***",M19/F19)</f>
        <v/>
      </c>
      <c r="U19" s="186">
        <f>IF(G19=0,"***",N19/G19)</f>
        <v/>
      </c>
      <c r="V19" s="186">
        <f>IF(H19=0,"***",O19/H19)</f>
        <v/>
      </c>
      <c r="W19" s="186">
        <f>IF(I19=0,"***",P19/I19)</f>
        <v/>
      </c>
      <c r="X19" s="186">
        <f>IF(J19=0,"***",Q19/J19)</f>
        <v/>
      </c>
      <c r="Y19" s="187">
        <f>IF(K19=0,"***",R19/K19)</f>
        <v/>
      </c>
    </row>
    <row r="20">
      <c r="C20" s="44" t="inlineStr">
        <is>
          <t>0046 集計</t>
        </is>
      </c>
      <c r="D20" s="20" t="inlineStr">
        <is>
          <t>角田</t>
        </is>
      </c>
      <c r="E20" s="4" t="n">
        <v>26</v>
      </c>
      <c r="F20" s="4" t="n">
        <v>0</v>
      </c>
      <c r="G20" s="4" t="n">
        <v>0</v>
      </c>
      <c r="H20" s="4" t="n">
        <v>0</v>
      </c>
      <c r="I20" s="4" t="n">
        <v>18</v>
      </c>
      <c r="J20" s="4" t="n">
        <v>33</v>
      </c>
      <c r="K20" s="5">
        <f>SUM(E20:J20)</f>
        <v/>
      </c>
      <c r="L20" s="4">
        <f>L18+L19</f>
        <v/>
      </c>
      <c r="M20" s="4">
        <f>M18+M19</f>
        <v/>
      </c>
      <c r="N20" s="4">
        <f>N18+N19</f>
        <v/>
      </c>
      <c r="O20" s="4">
        <f>O18+O19</f>
        <v/>
      </c>
      <c r="P20" s="4">
        <f>P18+P19</f>
        <v/>
      </c>
      <c r="Q20" s="4">
        <f>Q18+Q19</f>
        <v/>
      </c>
      <c r="R20" s="5">
        <f>SUM(L20:Q20)</f>
        <v/>
      </c>
      <c r="S20" s="186">
        <f>IF(E20=0,"***",L20/E20)</f>
        <v/>
      </c>
      <c r="T20" s="186">
        <f>IF(F20=0,"***",M20/F20)</f>
        <v/>
      </c>
      <c r="U20" s="186">
        <f>IF(G20=0,"***",N20/G20)</f>
        <v/>
      </c>
      <c r="V20" s="186">
        <f>IF(H20=0,"***",O20/H20)</f>
        <v/>
      </c>
      <c r="W20" s="186">
        <f>IF(I20=0,"***",P20/I20)</f>
        <v/>
      </c>
      <c r="X20" s="186">
        <f>IF(J20=0,"***",Q20/J20)</f>
        <v/>
      </c>
      <c r="Y20" s="187">
        <f>IF(K20=0,"***",R20/K20)</f>
        <v/>
      </c>
    </row>
    <row r="21">
      <c r="C21" s="43" t="inlineStr">
        <is>
          <t>0047 集計</t>
        </is>
      </c>
      <c r="D21" s="76" t="inlineStr">
        <is>
          <t>馬場部長（静岡）</t>
        </is>
      </c>
      <c r="E21" s="4" t="n"/>
      <c r="F21" s="4" t="n"/>
      <c r="G21" s="4" t="n"/>
      <c r="H21" s="4" t="n"/>
      <c r="I21" s="4" t="n"/>
      <c r="J21" s="4" t="n"/>
      <c r="K21" s="5" t="n"/>
      <c r="L21" s="4" t="n"/>
      <c r="M21" s="4" t="n"/>
      <c r="N21" s="4" t="n"/>
      <c r="O21" s="4" t="n"/>
      <c r="P21" s="4" t="n"/>
      <c r="Q21" s="4" t="n"/>
      <c r="R21" s="5" t="n"/>
      <c r="S21" s="186" t="n"/>
      <c r="T21" s="186" t="n"/>
      <c r="U21" s="186" t="n"/>
      <c r="V21" s="186" t="n"/>
      <c r="W21" s="186" t="n"/>
      <c r="X21" s="186" t="n"/>
      <c r="Y21" s="187" t="n"/>
    </row>
    <row r="22">
      <c r="C22" s="31" t="inlineStr">
        <is>
          <t>0550 集計</t>
        </is>
      </c>
      <c r="D22" s="20" t="inlineStr">
        <is>
          <t>馬場所長（東京）</t>
        </is>
      </c>
      <c r="E22" s="4" t="n"/>
      <c r="F22" s="4" t="n"/>
      <c r="G22" s="4" t="n">
        <v>0</v>
      </c>
      <c r="H22" s="4" t="n">
        <v>0</v>
      </c>
      <c r="I22" s="4" t="n"/>
      <c r="J22" s="4" t="n"/>
      <c r="K22" s="5">
        <f>SUM(E22:J22)</f>
        <v/>
      </c>
      <c r="L22" s="4" t="n"/>
      <c r="M22" s="4" t="n"/>
      <c r="N22" s="4" t="n">
        <v>0</v>
      </c>
      <c r="O22" s="4" t="n">
        <v>0</v>
      </c>
      <c r="P22" s="4" t="n"/>
      <c r="Q22" s="4" t="n"/>
      <c r="R22" s="5">
        <f>SUM(L22:Q22)</f>
        <v/>
      </c>
      <c r="S22" s="186">
        <f>IF(E22=0,"***",L22/E22)</f>
        <v/>
      </c>
      <c r="T22" s="186">
        <f>IF(F22=0,"***",M22/F22)</f>
        <v/>
      </c>
      <c r="U22" s="186">
        <f>IF(G22=0,"***",N22/G22)</f>
        <v/>
      </c>
      <c r="V22" s="186">
        <f>IF(H22=0,"***",O22/H22)</f>
        <v/>
      </c>
      <c r="W22" s="186">
        <f>IF(I22=0,"***",P22/I22)</f>
        <v/>
      </c>
      <c r="X22" s="186">
        <f>IF(J22=0,"***",Q22/J22)</f>
        <v/>
      </c>
      <c r="Y22" s="187">
        <f>IF(K22=0,"***",R22/K22)</f>
        <v/>
      </c>
    </row>
    <row r="23">
      <c r="C23" s="31" t="inlineStr">
        <is>
          <t>0552 集計</t>
        </is>
      </c>
      <c r="D23" s="20" t="inlineStr">
        <is>
          <t>馬場部長（東京）</t>
        </is>
      </c>
      <c r="E23" s="4" t="n">
        <v>85</v>
      </c>
      <c r="F23" s="4" t="n">
        <v>18</v>
      </c>
      <c r="G23" s="4" t="n">
        <v>52</v>
      </c>
      <c r="H23" s="4" t="n">
        <v>18</v>
      </c>
      <c r="I23" s="4" t="n">
        <v>29</v>
      </c>
      <c r="J23" s="4" t="n">
        <v>22</v>
      </c>
      <c r="K23" s="5">
        <f>SUM(E23:J23)</f>
        <v/>
      </c>
      <c r="L23" s="4" t="n">
        <v>39</v>
      </c>
      <c r="M23" s="4" t="n">
        <v>3</v>
      </c>
      <c r="N23" s="4" t="n">
        <v>36</v>
      </c>
      <c r="O23" s="4" t="n">
        <v>3</v>
      </c>
      <c r="P23" s="4" t="n">
        <v>4</v>
      </c>
      <c r="Q23" s="4" t="n">
        <v>7</v>
      </c>
      <c r="R23" s="5">
        <f>SUM(L23:Q23)</f>
        <v/>
      </c>
      <c r="S23" s="186">
        <f>IF(E23=0,"***",L23/E23)</f>
        <v/>
      </c>
      <c r="T23" s="186">
        <f>IF(F23=0,"***",M23/F23)</f>
        <v/>
      </c>
      <c r="U23" s="186">
        <f>IF(G23=0,"***",N23/G23)</f>
        <v/>
      </c>
      <c r="V23" s="186">
        <f>IF(H23=0,"***",O23/H23)</f>
        <v/>
      </c>
      <c r="W23" s="186">
        <f>IF(I23=0,"***",P23/I23)</f>
        <v/>
      </c>
      <c r="X23" s="186">
        <f>IF(J23=0,"***",Q23/J23)</f>
        <v/>
      </c>
      <c r="Y23" s="187">
        <f>IF(K23=0,"***",R23/K23)</f>
        <v/>
      </c>
    </row>
    <row r="24">
      <c r="C24" s="45" t="inlineStr">
        <is>
          <t>合計</t>
        </is>
      </c>
      <c r="D24" s="46" t="n"/>
      <c r="E24" s="7">
        <f>SUM(E18:E23)</f>
        <v/>
      </c>
      <c r="F24" s="7">
        <f>SUM(F18:F23)</f>
        <v/>
      </c>
      <c r="G24" s="7">
        <f>SUM(G18:G23)</f>
        <v/>
      </c>
      <c r="H24" s="7">
        <f>SUM(H18:H23)</f>
        <v/>
      </c>
      <c r="I24" s="7">
        <f>SUM(I18:I23)</f>
        <v/>
      </c>
      <c r="J24" s="7">
        <f>SUM(J18:J23)</f>
        <v/>
      </c>
      <c r="K24" s="8">
        <f>SUM(K18:K23)</f>
        <v/>
      </c>
      <c r="L24" s="7">
        <f>SUM(L18:L23)</f>
        <v/>
      </c>
      <c r="M24" s="7">
        <f>SUM(M18:M23)</f>
        <v/>
      </c>
      <c r="N24" s="7">
        <f>SUM(N18:N23)</f>
        <v/>
      </c>
      <c r="O24" s="7">
        <f>SUM(O18:O23)</f>
        <v/>
      </c>
      <c r="P24" s="7">
        <f>SUM(P18:P23)</f>
        <v/>
      </c>
      <c r="Q24" s="7">
        <f>SUM(Q18:Q23)</f>
        <v/>
      </c>
      <c r="R24" s="8">
        <f>SUM(R18:R23)</f>
        <v/>
      </c>
      <c r="S24" s="181">
        <f>IF(E24=0,"***",L24/E24)</f>
        <v/>
      </c>
      <c r="T24" s="181">
        <f>IF(F24=0,"***",M24/F24)</f>
        <v/>
      </c>
      <c r="U24" s="181">
        <f>IF(G24=0,"***",N24/G24)</f>
        <v/>
      </c>
      <c r="V24" s="181">
        <f>IF(H24=0,"***",O24/H24)</f>
        <v/>
      </c>
      <c r="W24" s="181">
        <f>IF(I24=0,"***",P24/I24)</f>
        <v/>
      </c>
      <c r="X24" s="181">
        <f>IF(J24=0,"***",Q24/J24)</f>
        <v/>
      </c>
      <c r="Y24" s="182">
        <f>IF(K24=0,"***",R24/K24)</f>
        <v/>
      </c>
    </row>
    <row r="25" customFormat="1" s="60">
      <c r="C25" s="61" t="inlineStr">
        <is>
          <t>内リンガーハット</t>
        </is>
      </c>
      <c r="D25" s="63" t="n"/>
      <c r="E25" s="4" t="n">
        <v>49</v>
      </c>
      <c r="F25" s="4" t="n">
        <v>62</v>
      </c>
      <c r="G25" s="4" t="n">
        <v>155</v>
      </c>
      <c r="H25" s="4" t="n">
        <v>77</v>
      </c>
      <c r="I25" s="4" t="n">
        <v>23</v>
      </c>
      <c r="J25" s="4" t="n">
        <v>78</v>
      </c>
      <c r="K25" s="72">
        <f>SUM(E25:J25)</f>
        <v/>
      </c>
      <c r="L25" s="71" t="n"/>
      <c r="M25" s="59" t="n">
        <v>44</v>
      </c>
      <c r="N25" s="59" t="n"/>
      <c r="O25" s="59" t="n">
        <v>45</v>
      </c>
      <c r="P25" s="59" t="n"/>
      <c r="Q25" s="59" t="n"/>
      <c r="R25" s="72">
        <f>SUM(L25:Q25)</f>
        <v/>
      </c>
      <c r="S25" s="188">
        <f>IF(E25=0,"***",L25/E25)</f>
        <v/>
      </c>
      <c r="T25" s="188">
        <f>IF(F25=0,"***",M25/F25)</f>
        <v/>
      </c>
      <c r="U25" s="188">
        <f>IF(G25=0,"***",N25/G25)</f>
        <v/>
      </c>
      <c r="V25" s="188">
        <f>IF(H25=0,"***",O25/H25)</f>
        <v/>
      </c>
      <c r="W25" s="188">
        <f>IF(I25=0,"***",P25/I25)</f>
        <v/>
      </c>
      <c r="X25" s="188">
        <f>IF(J25=0,"***",Q25/J25)</f>
        <v/>
      </c>
      <c r="Y25" s="189">
        <f>IF(K25=0,"***",R25/K25)</f>
        <v/>
      </c>
      <c r="Z25" s="60" t="inlineStr">
        <is>
          <t>0042と0550からカネゲン引く</t>
        </is>
      </c>
    </row>
    <row r="26" customFormat="1" s="60">
      <c r="C26" s="61" t="inlineStr">
        <is>
          <t>リンガーハット以外</t>
        </is>
      </c>
      <c r="D26" s="63" t="n"/>
      <c r="E26" s="59">
        <f>E24-E25</f>
        <v/>
      </c>
      <c r="F26" s="59">
        <f>F24-F25</f>
        <v/>
      </c>
      <c r="G26" s="59">
        <f>G24-G25</f>
        <v/>
      </c>
      <c r="H26" s="59">
        <f>H24-H25</f>
        <v/>
      </c>
      <c r="I26" s="59">
        <f>I24-I25</f>
        <v/>
      </c>
      <c r="J26" s="59">
        <f>J24-J25</f>
        <v/>
      </c>
      <c r="K26" s="72">
        <f>SUM(E26:J26)</f>
        <v/>
      </c>
      <c r="L26" s="71">
        <f>L24-L25</f>
        <v/>
      </c>
      <c r="M26" s="59">
        <f>M24-M25</f>
        <v/>
      </c>
      <c r="N26" s="59">
        <f>N24-N25</f>
        <v/>
      </c>
      <c r="O26" s="59">
        <f>O24-O25</f>
        <v/>
      </c>
      <c r="P26" s="59">
        <f>P24-P25</f>
        <v/>
      </c>
      <c r="Q26" s="59">
        <f>Q24-Q25</f>
        <v/>
      </c>
      <c r="R26" s="72">
        <f>SUM(L26:Q26)</f>
        <v/>
      </c>
      <c r="S26" s="188">
        <f>IF(E26=0,"***",L26/E26)</f>
        <v/>
      </c>
      <c r="T26" s="188">
        <f>IF(F26=0,"***",M26/F26)</f>
        <v/>
      </c>
      <c r="U26" s="188">
        <f>IF(G26=0,"***",N26/G26)</f>
        <v/>
      </c>
      <c r="V26" s="188">
        <f>IF(H26=0,"***",O26/H26)</f>
        <v/>
      </c>
      <c r="W26" s="188">
        <f>IF(I26=0,"***",P26/I26)</f>
        <v/>
      </c>
      <c r="X26" s="188">
        <f>IF(J26=0,"***",Q26/J26)</f>
        <v/>
      </c>
      <c r="Y26" s="189">
        <f>IF(K26=0,"***",R26/K26)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70"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3" t="inlineStr">
        <is>
          <t>0042 集計</t>
        </is>
      </c>
      <c r="D31" s="76" t="inlineStr">
        <is>
          <t>馬場部長（鳥栖）</t>
        </is>
      </c>
      <c r="E31" s="4">
        <f>(E18+E5)/2</f>
        <v/>
      </c>
      <c r="F31" s="4">
        <f>(F18+F5)/2</f>
        <v/>
      </c>
      <c r="G31" s="4">
        <f>(G18+G5)/2</f>
        <v/>
      </c>
      <c r="H31" s="4">
        <f>(H18+H5)/2</f>
        <v/>
      </c>
      <c r="I31" s="4">
        <f>(I18+I5)/2</f>
        <v/>
      </c>
      <c r="J31" s="4">
        <f>(J18+J5)/2</f>
        <v/>
      </c>
      <c r="K31" s="5">
        <f>SUM(E31:J31)</f>
        <v/>
      </c>
      <c r="L31" s="4">
        <f>(L18+L5)/2</f>
        <v/>
      </c>
      <c r="M31" s="4">
        <f>(M18+M5)/2</f>
        <v/>
      </c>
      <c r="N31" s="4">
        <f>(N18+N5)/2</f>
        <v/>
      </c>
      <c r="O31" s="4">
        <f>(O18+O5)/2</f>
        <v/>
      </c>
      <c r="P31" s="4">
        <f>(P18+P5)/2</f>
        <v/>
      </c>
      <c r="Q31" s="4">
        <f>(Q18+Q5)/2</f>
        <v/>
      </c>
      <c r="R31" s="5">
        <f>SUM(L31:Q31)</f>
        <v/>
      </c>
      <c r="S31" s="186">
        <f>IF(E31=0,"***",L31/E31)</f>
        <v/>
      </c>
      <c r="T31" s="186">
        <f>IF(F31=0,"***",M31/F31)</f>
        <v/>
      </c>
      <c r="U31" s="186">
        <f>IF(G31=0,"***",N31/G31)</f>
        <v/>
      </c>
      <c r="V31" s="186">
        <f>IF(H31=0,"***",O31/H31)</f>
        <v/>
      </c>
      <c r="W31" s="186">
        <f>IF(I31=0,"***",P31/I31)</f>
        <v/>
      </c>
      <c r="X31" s="186">
        <f>IF(J31=0,"***",Q31/J31)</f>
        <v/>
      </c>
      <c r="Y31" s="187">
        <f>IF(K31=0,"***",R31/K31)</f>
        <v/>
      </c>
    </row>
    <row r="32">
      <c r="C32" s="43" t="inlineStr">
        <is>
          <t>0045 集計</t>
        </is>
      </c>
      <c r="D32" s="76" t="inlineStr">
        <is>
          <t>ペーパーハグ</t>
        </is>
      </c>
      <c r="E32" s="4">
        <f>(E19+E6)/2</f>
        <v/>
      </c>
      <c r="F32" s="4">
        <f>(F19+F6)/2</f>
        <v/>
      </c>
      <c r="G32" s="4">
        <f>(G19+G6)/2</f>
        <v/>
      </c>
      <c r="H32" s="4">
        <f>(H19+H6)/2</f>
        <v/>
      </c>
      <c r="I32" s="4">
        <f>(I19+I6)/2</f>
        <v/>
      </c>
      <c r="J32" s="4">
        <f>(J19+J6)/2</f>
        <v/>
      </c>
      <c r="K32" s="5">
        <f>SUM(E32:J32)</f>
        <v/>
      </c>
      <c r="L32" s="4">
        <f>(L19+L6)/2</f>
        <v/>
      </c>
      <c r="M32" s="4">
        <f>(M19+M6)/2</f>
        <v/>
      </c>
      <c r="N32" s="4">
        <f>(N19+N6)/2</f>
        <v/>
      </c>
      <c r="O32" s="4">
        <f>(O19+O6)/2</f>
        <v/>
      </c>
      <c r="P32" s="4">
        <f>(P19+P6)/2</f>
        <v/>
      </c>
      <c r="Q32" s="4">
        <f>(Q19+Q6)/2</f>
        <v/>
      </c>
      <c r="R32" s="5">
        <f>SUM(L32:Q32)</f>
        <v/>
      </c>
      <c r="S32" s="186">
        <f>IF(E32=0,"***",L32/E32)</f>
        <v/>
      </c>
      <c r="T32" s="186">
        <f>IF(F32=0,"***",M32/F32)</f>
        <v/>
      </c>
      <c r="U32" s="186">
        <f>IF(G32=0,"***",N32/G32)</f>
        <v/>
      </c>
      <c r="V32" s="186">
        <f>IF(H32=0,"***",O32/H32)</f>
        <v/>
      </c>
      <c r="W32" s="186">
        <f>IF(I32=0,"***",P32/I32)</f>
        <v/>
      </c>
      <c r="X32" s="186">
        <f>IF(J32=0,"***",Q32/J32)</f>
        <v/>
      </c>
      <c r="Y32" s="187">
        <f>IF(K32=0,"***",R32/K32)</f>
        <v/>
      </c>
    </row>
    <row r="33">
      <c r="C33" s="44" t="inlineStr">
        <is>
          <t>0046 集計</t>
        </is>
      </c>
      <c r="D33" s="20" t="inlineStr">
        <is>
          <t>角田</t>
        </is>
      </c>
      <c r="E33" s="4">
        <f>(E20+E7)/2</f>
        <v/>
      </c>
      <c r="F33" s="4">
        <f>(F20+F7)/2</f>
        <v/>
      </c>
      <c r="G33" s="4">
        <f>(G20+G7)/2</f>
        <v/>
      </c>
      <c r="H33" s="4">
        <f>(H20+H7)/2</f>
        <v/>
      </c>
      <c r="I33" s="4">
        <f>(I20+I7)/2</f>
        <v/>
      </c>
      <c r="J33" s="4">
        <f>(J20+J7)/2</f>
        <v/>
      </c>
      <c r="K33" s="5">
        <f>SUM(E33:J33)</f>
        <v/>
      </c>
      <c r="L33" s="4">
        <f>(L20+L7)/2</f>
        <v/>
      </c>
      <c r="M33" s="4">
        <f>(M20+M7)/2</f>
        <v/>
      </c>
      <c r="N33" s="4">
        <f>(N20+N7)/2</f>
        <v/>
      </c>
      <c r="O33" s="4">
        <f>(O20+O7)/2</f>
        <v/>
      </c>
      <c r="P33" s="4">
        <f>(P20+P7)/2</f>
        <v/>
      </c>
      <c r="Q33" s="4">
        <f>(Q20+Q7)/2</f>
        <v/>
      </c>
      <c r="R33" s="5">
        <f>SUM(L33:Q33)</f>
        <v/>
      </c>
      <c r="S33" s="186">
        <f>IF(E33=0,"***",L33/E33)</f>
        <v/>
      </c>
      <c r="T33" s="186">
        <f>IF(F33=0,"***",M33/F33)</f>
        <v/>
      </c>
      <c r="U33" s="186">
        <f>IF(G33=0,"***",N33/G33)</f>
        <v/>
      </c>
      <c r="V33" s="186">
        <f>IF(H33=0,"***",O33/H33)</f>
        <v/>
      </c>
      <c r="W33" s="186">
        <f>IF(I33=0,"***",P33/I33)</f>
        <v/>
      </c>
      <c r="X33" s="186">
        <f>IF(J33=0,"***",Q33/J33)</f>
        <v/>
      </c>
      <c r="Y33" s="187">
        <f>IF(K33=0,"***",R33/K33)</f>
        <v/>
      </c>
    </row>
    <row r="34">
      <c r="C34" s="43" t="inlineStr">
        <is>
          <t>0047 集計</t>
        </is>
      </c>
      <c r="D34" s="76" t="inlineStr">
        <is>
          <t>馬場部長（静岡）</t>
        </is>
      </c>
      <c r="E34" s="4">
        <f>(E21+E8)/2</f>
        <v/>
      </c>
      <c r="F34" s="4">
        <f>(F21+F8)/2</f>
        <v/>
      </c>
      <c r="G34" s="4">
        <f>(G21+G8)/2</f>
        <v/>
      </c>
      <c r="H34" s="4">
        <f>(H21+H8)/2</f>
        <v/>
      </c>
      <c r="I34" s="4">
        <f>(I21+I8)/2</f>
        <v/>
      </c>
      <c r="J34" s="4">
        <f>(J21+J8)/2</f>
        <v/>
      </c>
      <c r="K34" s="5" t="n"/>
      <c r="L34" s="4">
        <f>(L21+L8)/2</f>
        <v/>
      </c>
      <c r="M34" s="4">
        <f>(M21+M8)/2</f>
        <v/>
      </c>
      <c r="N34" s="4">
        <f>(N21+N8)/2</f>
        <v/>
      </c>
      <c r="O34" s="4">
        <f>(O21+O8)/2</f>
        <v/>
      </c>
      <c r="P34" s="4">
        <f>(P21+P8)/2</f>
        <v/>
      </c>
      <c r="Q34" s="4">
        <f>(Q21+Q8)/2</f>
        <v/>
      </c>
      <c r="R34" s="5">
        <f>SUM(L34:Q34)</f>
        <v/>
      </c>
      <c r="S34" s="186" t="n"/>
      <c r="T34" s="186" t="n"/>
      <c r="U34" s="186" t="n"/>
      <c r="V34" s="186" t="n"/>
      <c r="W34" s="186" t="n"/>
      <c r="X34" s="186" t="n"/>
      <c r="Y34" s="187" t="n"/>
    </row>
    <row r="35">
      <c r="C35" s="31" t="inlineStr">
        <is>
          <t>0550 集計</t>
        </is>
      </c>
      <c r="D35" s="20" t="inlineStr">
        <is>
          <t>馬場所長（東京）</t>
        </is>
      </c>
      <c r="E35" s="4">
        <f>(E22+E9)/2</f>
        <v/>
      </c>
      <c r="F35" s="4">
        <f>(F22+F9)/2</f>
        <v/>
      </c>
      <c r="G35" s="4">
        <f>(G22+G9)/2</f>
        <v/>
      </c>
      <c r="H35" s="4">
        <f>(H22+H9)/2</f>
        <v/>
      </c>
      <c r="I35" s="4">
        <f>(I22+I9)/2</f>
        <v/>
      </c>
      <c r="J35" s="4">
        <f>(J22+J9)/2</f>
        <v/>
      </c>
      <c r="K35" s="5">
        <f>SUM(E35:J35)</f>
        <v/>
      </c>
      <c r="L35" s="4">
        <f>(L22+L9)/2</f>
        <v/>
      </c>
      <c r="M35" s="4">
        <f>(M22+M9)/2</f>
        <v/>
      </c>
      <c r="N35" s="4">
        <f>(N22+N9)/2</f>
        <v/>
      </c>
      <c r="O35" s="4">
        <f>(O22+O9)/2</f>
        <v/>
      </c>
      <c r="P35" s="4">
        <f>(P22+P9)/2</f>
        <v/>
      </c>
      <c r="Q35" s="4">
        <f>(Q22+Q9)/2</f>
        <v/>
      </c>
      <c r="R35" s="5">
        <f>SUM(L35:Q35)</f>
        <v/>
      </c>
      <c r="S35" s="186">
        <f>IF(E35=0,"***",L35/E35)</f>
        <v/>
      </c>
      <c r="T35" s="186">
        <f>IF(F35=0,"***",M35/F35)</f>
        <v/>
      </c>
      <c r="U35" s="186">
        <f>IF(G35=0,"***",N35/G35)</f>
        <v/>
      </c>
      <c r="V35" s="186">
        <f>IF(H35=0,"***",O35/H35)</f>
        <v/>
      </c>
      <c r="W35" s="186">
        <f>IF(I35=0,"***",P35/I35)</f>
        <v/>
      </c>
      <c r="X35" s="186">
        <f>IF(J35=0,"***",Q35/J35)</f>
        <v/>
      </c>
      <c r="Y35" s="187">
        <f>IF(K35=0,"***",R35/K35)</f>
        <v/>
      </c>
    </row>
    <row r="36">
      <c r="C36" s="31" t="inlineStr">
        <is>
          <t>0552 集計</t>
        </is>
      </c>
      <c r="D36" s="20" t="inlineStr">
        <is>
          <t>馬場部長（東京）</t>
        </is>
      </c>
      <c r="E36" s="4">
        <f>(E23+E10)/2</f>
        <v/>
      </c>
      <c r="F36" s="4">
        <f>(F23+F10)/2</f>
        <v/>
      </c>
      <c r="G36" s="4">
        <f>(G23+G10)/2</f>
        <v/>
      </c>
      <c r="H36" s="4">
        <f>(H23+H10)/2</f>
        <v/>
      </c>
      <c r="I36" s="4">
        <f>(I23+I10)/2</f>
        <v/>
      </c>
      <c r="J36" s="4">
        <f>(J23+J10)/2</f>
        <v/>
      </c>
      <c r="K36" s="5">
        <f>SUM(E36:J36)</f>
        <v/>
      </c>
      <c r="L36" s="4">
        <f>(L23+L10)/2</f>
        <v/>
      </c>
      <c r="M36" s="4">
        <f>(M23+M10)/2</f>
        <v/>
      </c>
      <c r="N36" s="4">
        <f>(N23+N10)/2</f>
        <v/>
      </c>
      <c r="O36" s="4">
        <f>(O23+O10)/2</f>
        <v/>
      </c>
      <c r="P36" s="4">
        <f>(P23+P10)/2</f>
        <v/>
      </c>
      <c r="Q36" s="4">
        <f>(Q23+Q10)/2</f>
        <v/>
      </c>
      <c r="R36" s="5">
        <f>SUM(L36:Q36)</f>
        <v/>
      </c>
      <c r="S36" s="186">
        <f>IF(E36=0,"***",L36/E36)</f>
        <v/>
      </c>
      <c r="T36" s="186">
        <f>IF(F36=0,"***",M36/F36)</f>
        <v/>
      </c>
      <c r="U36" s="186">
        <f>IF(G36=0,"***",N36/G36)</f>
        <v/>
      </c>
      <c r="V36" s="186">
        <f>IF(H36=0,"***",O36/H36)</f>
        <v/>
      </c>
      <c r="W36" s="186">
        <f>IF(I36=0,"***",P36/I36)</f>
        <v/>
      </c>
      <c r="X36" s="186">
        <f>IF(J36=0,"***",Q36/J36)</f>
        <v/>
      </c>
      <c r="Y36" s="187">
        <f>IF(K36=0,"***",R36/K36)</f>
        <v/>
      </c>
    </row>
    <row r="37">
      <c r="C37" s="45" t="inlineStr">
        <is>
          <t>合計</t>
        </is>
      </c>
      <c r="D37" s="46" t="n"/>
      <c r="E37" s="7">
        <f>SUM(E31:E36)</f>
        <v/>
      </c>
      <c r="F37" s="7">
        <f>SUM(F31:F36)</f>
        <v/>
      </c>
      <c r="G37" s="7">
        <f>SUM(G31:G36)</f>
        <v/>
      </c>
      <c r="H37" s="7">
        <f>SUM(H31:H36)</f>
        <v/>
      </c>
      <c r="I37" s="7">
        <f>SUM(I31:I36)</f>
        <v/>
      </c>
      <c r="J37" s="7">
        <f>SUM(J31:J36)</f>
        <v/>
      </c>
      <c r="K37" s="8">
        <f>SUM(K31:K36)</f>
        <v/>
      </c>
      <c r="L37" s="7">
        <f>SUM(L31:L36)</f>
        <v/>
      </c>
      <c r="M37" s="7">
        <f>SUM(M31:M36)</f>
        <v/>
      </c>
      <c r="N37" s="7">
        <f>SUM(N31:N36)</f>
        <v/>
      </c>
      <c r="O37" s="7">
        <f>SUM(O31:O36)</f>
        <v/>
      </c>
      <c r="P37" s="7">
        <f>SUM(P31:P36)</f>
        <v/>
      </c>
      <c r="Q37" s="7">
        <f>SUM(Q31:Q36)</f>
        <v/>
      </c>
      <c r="R37" s="8">
        <f>SUM(R31:R36)</f>
        <v/>
      </c>
      <c r="S37" s="181">
        <f>IF(E37=0,"***",L37/E37)</f>
        <v/>
      </c>
      <c r="T37" s="181">
        <f>IF(F37=0,"***",M37/F37)</f>
        <v/>
      </c>
      <c r="U37" s="181">
        <f>IF(G37=0,"***",N37/G37)</f>
        <v/>
      </c>
      <c r="V37" s="181">
        <f>IF(H37=0,"***",O37/H37)</f>
        <v/>
      </c>
      <c r="W37" s="181">
        <f>IF(I37=0,"***",P37/I37)</f>
        <v/>
      </c>
      <c r="X37" s="181">
        <f>IF(J37=0,"***",Q37/J37)</f>
        <v/>
      </c>
      <c r="Y37" s="182">
        <f>IF(K37=0,"***",R37/K37)</f>
        <v/>
      </c>
    </row>
    <row r="38" customFormat="1" s="60">
      <c r="C38" s="61" t="inlineStr">
        <is>
          <t>内リンガーハット</t>
        </is>
      </c>
      <c r="D38" s="63" t="n"/>
      <c r="E38" s="59">
        <f>(E25+E12)/2</f>
        <v/>
      </c>
      <c r="F38" s="59">
        <f>(F25+F12)/2</f>
        <v/>
      </c>
      <c r="G38" s="59">
        <f>(G25+G12)/2</f>
        <v/>
      </c>
      <c r="H38" s="59">
        <f>(H25+H12)/2</f>
        <v/>
      </c>
      <c r="I38" s="59">
        <f>(I25+I12)/2</f>
        <v/>
      </c>
      <c r="J38" s="59">
        <f>(J25+J12)/2</f>
        <v/>
      </c>
      <c r="K38" s="72">
        <f>SUM(E38:J38)</f>
        <v/>
      </c>
      <c r="L38" s="71">
        <f>(L25+L12)/2</f>
        <v/>
      </c>
      <c r="M38" s="59">
        <f>(M25+M12)/2</f>
        <v/>
      </c>
      <c r="N38" s="59">
        <f>(N25+N12)/2</f>
        <v/>
      </c>
      <c r="O38" s="59">
        <f>(O25+O12)/2</f>
        <v/>
      </c>
      <c r="P38" s="59">
        <f>(P25+P12)/2</f>
        <v/>
      </c>
      <c r="Q38" s="59">
        <f>(Q25+Q12)/2</f>
        <v/>
      </c>
      <c r="R38" s="72">
        <f>SUM(L38:Q38)</f>
        <v/>
      </c>
      <c r="S38" s="188">
        <f>IF(E38=0,"***",L38/E38)</f>
        <v/>
      </c>
      <c r="T38" s="188">
        <f>IF(F38=0,"***",M38/F38)</f>
        <v/>
      </c>
      <c r="U38" s="188">
        <f>IF(G38=0,"***",N38/G38)</f>
        <v/>
      </c>
      <c r="V38" s="188">
        <f>IF(H38=0,"***",O38/H38)</f>
        <v/>
      </c>
      <c r="W38" s="188">
        <f>IF(I38=0,"***",P38/I38)</f>
        <v/>
      </c>
      <c r="X38" s="188">
        <f>IF(J38=0,"***",Q38/J38)</f>
        <v/>
      </c>
      <c r="Y38" s="189">
        <f>IF(K38=0,"***",R38/K38)</f>
        <v/>
      </c>
      <c r="Z38" s="60" t="inlineStr">
        <is>
          <t>0042と0550からカネゲン引く</t>
        </is>
      </c>
    </row>
    <row r="39" customFormat="1" s="60">
      <c r="C39" s="61" t="inlineStr">
        <is>
          <t>リンガーハット以外</t>
        </is>
      </c>
      <c r="D39" s="63" t="n"/>
      <c r="E39" s="59">
        <f>E37-E38</f>
        <v/>
      </c>
      <c r="F39" s="59">
        <f>F37-F38</f>
        <v/>
      </c>
      <c r="G39" s="59">
        <f>G37-G38</f>
        <v/>
      </c>
      <c r="H39" s="59">
        <f>H37-H38</f>
        <v/>
      </c>
      <c r="I39" s="59">
        <f>I37-I38</f>
        <v/>
      </c>
      <c r="J39" s="59">
        <f>J37-J38</f>
        <v/>
      </c>
      <c r="K39" s="72">
        <f>SUM(E39:J39)</f>
        <v/>
      </c>
      <c r="L39" s="71">
        <f>L37-L38</f>
        <v/>
      </c>
      <c r="M39" s="59">
        <f>M37-M38</f>
        <v/>
      </c>
      <c r="N39" s="59">
        <f>N37-N38</f>
        <v/>
      </c>
      <c r="O39" s="59">
        <f>O37-O38</f>
        <v/>
      </c>
      <c r="P39" s="59">
        <f>P37-P38</f>
        <v/>
      </c>
      <c r="Q39" s="59">
        <f>Q37-Q38</f>
        <v/>
      </c>
      <c r="R39" s="72">
        <f>SUM(L39:Q39)</f>
        <v/>
      </c>
      <c r="S39" s="188">
        <f>IF(E39=0,"***",L39/E39)</f>
        <v/>
      </c>
      <c r="T39" s="188">
        <f>IF(F39=0,"***",M39/F39)</f>
        <v/>
      </c>
      <c r="U39" s="188">
        <f>IF(G39=0,"***",N39/G39)</f>
        <v/>
      </c>
      <c r="V39" s="188">
        <f>IF(H39=0,"***",O39/H39)</f>
        <v/>
      </c>
      <c r="W39" s="188">
        <f>IF(I39=0,"***",P39/I39)</f>
        <v/>
      </c>
      <c r="X39" s="188">
        <f>IF(J39=0,"***",Q39/J39)</f>
        <v/>
      </c>
      <c r="Y39" s="189">
        <f>IF(K39=0,"***",R39/K39)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C44" s="43" t="inlineStr">
        <is>
          <t>0042 集計</t>
        </is>
      </c>
      <c r="D44" s="76" t="inlineStr">
        <is>
          <t>馬場部長（鳥栖）</t>
        </is>
      </c>
      <c r="E44" s="4" t="n">
        <v>500</v>
      </c>
      <c r="F44" s="4" t="n">
        <v>500</v>
      </c>
      <c r="G44" s="4" t="n">
        <v>500</v>
      </c>
      <c r="H44" s="4" t="n">
        <v>500</v>
      </c>
      <c r="I44" s="4" t="n">
        <v>500</v>
      </c>
      <c r="J44" s="4" t="n">
        <v>500</v>
      </c>
      <c r="K44" s="118">
        <f>SUM(E44:J44)</f>
        <v/>
      </c>
      <c r="L44" s="3" t="n">
        <v>50</v>
      </c>
      <c r="M44" s="4" t="n">
        <v>50</v>
      </c>
      <c r="N44" s="4" t="n">
        <v>50</v>
      </c>
      <c r="O44" s="4" t="n">
        <v>50</v>
      </c>
      <c r="P44" s="4" t="n">
        <v>50</v>
      </c>
      <c r="Q44" s="4" t="n">
        <v>50</v>
      </c>
      <c r="R44" s="84">
        <f>SUM(L44:Q44)</f>
        <v/>
      </c>
      <c r="S44" s="190">
        <f>IF(E44=0,"***",L44/E44)</f>
        <v/>
      </c>
      <c r="T44" s="186">
        <f>IF(F44=0,"***",M44/F44)</f>
        <v/>
      </c>
      <c r="U44" s="186">
        <f>IF(G44=0,"***",N44/G44)</f>
        <v/>
      </c>
      <c r="V44" s="186">
        <f>IF(H44=0,"***",O44/H44)</f>
        <v/>
      </c>
      <c r="W44" s="186">
        <f>IF(I44=0,"***",P44/I44)</f>
        <v/>
      </c>
      <c r="X44" s="186">
        <f>IF(J44=0,"***",Q44/J44)</f>
        <v/>
      </c>
      <c r="Y44" s="187">
        <f>IF(K44=0,"***",R44/K44)</f>
        <v/>
      </c>
    </row>
    <row r="45">
      <c r="C45" s="43" t="inlineStr">
        <is>
          <t>0045 集計</t>
        </is>
      </c>
      <c r="D45" s="76" t="inlineStr">
        <is>
          <t>ペーパーハグ</t>
        </is>
      </c>
      <c r="E45" s="4" t="n"/>
      <c r="F45" s="4" t="n"/>
      <c r="G45" s="4" t="n"/>
      <c r="H45" s="4" t="n"/>
      <c r="I45" s="4" t="n"/>
      <c r="J45" s="4" t="n"/>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87">
        <f>IF(K45=0,"***",R45/K45)</f>
        <v/>
      </c>
    </row>
    <row r="46" ht="19.5" customHeight="1" s="171">
      <c r="C46" s="44" t="inlineStr">
        <is>
          <t>0046 集計</t>
        </is>
      </c>
      <c r="D46" s="20" t="inlineStr">
        <is>
          <t>角田</t>
        </is>
      </c>
      <c r="E46" s="4" t="n">
        <v>250</v>
      </c>
      <c r="F46" s="4" t="n">
        <v>250</v>
      </c>
      <c r="G46" s="4" t="n">
        <v>250</v>
      </c>
      <c r="H46" s="4" t="n">
        <v>250</v>
      </c>
      <c r="I46" s="4" t="n">
        <v>250</v>
      </c>
      <c r="J46" s="4" t="n">
        <v>250</v>
      </c>
      <c r="K46" s="118">
        <f>SUM(E46:J46)</f>
        <v/>
      </c>
      <c r="L46" s="3" t="n">
        <v>30</v>
      </c>
      <c r="M46" s="4" t="n">
        <v>30</v>
      </c>
      <c r="N46" s="4" t="n">
        <v>30</v>
      </c>
      <c r="O46" s="4" t="n">
        <v>30</v>
      </c>
      <c r="P46" s="4" t="n">
        <v>30</v>
      </c>
      <c r="Q46" s="4" t="n">
        <v>30</v>
      </c>
      <c r="R46" s="84">
        <f>SUM(L46:Q46)</f>
        <v/>
      </c>
      <c r="S46" s="190">
        <f>IF(E46=0,"***",L46/E46)</f>
        <v/>
      </c>
      <c r="T46" s="186">
        <f>IF(F46=0,"***",M46/F46)</f>
        <v/>
      </c>
      <c r="U46" s="186">
        <f>IF(G46=0,"***",N46/G46)</f>
        <v/>
      </c>
      <c r="V46" s="186">
        <f>IF(H46=0,"***",O46/H46)</f>
        <v/>
      </c>
      <c r="W46" s="186">
        <f>IF(I46=0,"***",P46/I46)</f>
        <v/>
      </c>
      <c r="X46" s="186">
        <f>IF(J46=0,"***",Q46/J46)</f>
        <v/>
      </c>
      <c r="Y46" s="187">
        <f>IF(K46=0,"***",R46/K46)</f>
        <v/>
      </c>
    </row>
    <row r="47" ht="19.5" customHeight="1" s="171">
      <c r="C47" s="43" t="inlineStr">
        <is>
          <t>0047 集計</t>
        </is>
      </c>
      <c r="D47" s="76" t="inlineStr">
        <is>
          <t>馬場部長（静岡）</t>
        </is>
      </c>
      <c r="E47" s="4" t="n"/>
      <c r="F47" s="4" t="n"/>
      <c r="G47" s="4" t="n"/>
      <c r="H47" s="4" t="n"/>
      <c r="I47" s="4" t="n"/>
      <c r="J47" s="4" t="n"/>
      <c r="K47" s="118">
        <f>SUM(E47:J47)</f>
        <v/>
      </c>
      <c r="L47" s="3" t="n"/>
      <c r="M47" s="4" t="n"/>
      <c r="N47" s="4" t="n"/>
      <c r="O47" s="4" t="n"/>
      <c r="P47" s="4" t="n"/>
      <c r="Q47" s="4" t="n"/>
      <c r="R47" s="84">
        <f>SUM(L47:Q47)</f>
        <v/>
      </c>
      <c r="S47" s="190" t="n"/>
      <c r="T47" s="186" t="n"/>
      <c r="U47" s="186" t="n"/>
      <c r="V47" s="186" t="n"/>
      <c r="W47" s="186" t="n"/>
      <c r="X47" s="186" t="n"/>
      <c r="Y47" s="187" t="n"/>
    </row>
    <row r="48">
      <c r="C48" s="31" t="inlineStr">
        <is>
          <t>0550 集計</t>
        </is>
      </c>
      <c r="D48" s="20" t="inlineStr">
        <is>
          <t>馬場所長（東京）</t>
        </is>
      </c>
      <c r="E48" s="4" t="n"/>
      <c r="F48" s="4" t="n"/>
      <c r="G48" s="4" t="n"/>
      <c r="H48" s="4" t="n"/>
      <c r="I48" s="4" t="n"/>
      <c r="J48" s="4" t="n"/>
      <c r="K48" s="118">
        <f>SUM(E48:J48)</f>
        <v/>
      </c>
      <c r="L48" s="3" t="n"/>
      <c r="M48" s="4" t="n"/>
      <c r="N48" s="4" t="n"/>
      <c r="O48" s="4" t="n"/>
      <c r="P48" s="4" t="n"/>
      <c r="Q48" s="4" t="n"/>
      <c r="R48" s="84">
        <f>SUM(L48:Q48)</f>
        <v/>
      </c>
      <c r="S48" s="190">
        <f>IF(E48=0,"***",L48/E48)</f>
        <v/>
      </c>
      <c r="T48" s="186">
        <f>IF(F48=0,"***",M48/F48)</f>
        <v/>
      </c>
      <c r="U48" s="186">
        <f>IF(G48=0,"***",N48/G48)</f>
        <v/>
      </c>
      <c r="V48" s="186">
        <f>IF(H48=0,"***",O48/H48)</f>
        <v/>
      </c>
      <c r="W48" s="186">
        <f>IF(I48=0,"***",P48/I48)</f>
        <v/>
      </c>
      <c r="X48" s="186">
        <f>IF(J48=0,"***",Q48/J48)</f>
        <v/>
      </c>
      <c r="Y48" s="187">
        <f>IF(K48=0,"***",R48/K48)</f>
        <v/>
      </c>
    </row>
    <row r="49">
      <c r="C49" s="31" t="inlineStr">
        <is>
          <t>0552 集計</t>
        </is>
      </c>
      <c r="D49" s="20" t="inlineStr">
        <is>
          <t>馬場部長（東京）</t>
        </is>
      </c>
      <c r="E49" s="4" t="n">
        <v>250</v>
      </c>
      <c r="F49" s="4" t="n">
        <v>250</v>
      </c>
      <c r="G49" s="4" t="n">
        <v>250</v>
      </c>
      <c r="H49" s="4" t="n">
        <v>250</v>
      </c>
      <c r="I49" s="4" t="n">
        <v>250</v>
      </c>
      <c r="J49" s="4" t="n">
        <v>250</v>
      </c>
      <c r="K49" s="118">
        <f>SUM(E49:J49)</f>
        <v/>
      </c>
      <c r="L49" s="3" t="n">
        <v>30</v>
      </c>
      <c r="M49" s="4" t="n">
        <v>30</v>
      </c>
      <c r="N49" s="4" t="n">
        <v>30</v>
      </c>
      <c r="O49" s="4" t="n">
        <v>30</v>
      </c>
      <c r="P49" s="4" t="n">
        <v>30</v>
      </c>
      <c r="Q49" s="4" t="n">
        <v>30</v>
      </c>
      <c r="R49" s="84">
        <f>SUM(L49:Q49)</f>
        <v/>
      </c>
      <c r="S49" s="190">
        <f>IF(E49=0,"***",L49/E49)</f>
        <v/>
      </c>
      <c r="T49" s="186">
        <f>IF(F49=0,"***",M49/F49)</f>
        <v/>
      </c>
      <c r="U49" s="186">
        <f>IF(G49=0,"***",N49/G49)</f>
        <v/>
      </c>
      <c r="V49" s="186">
        <f>IF(H49=0,"***",O49/H49)</f>
        <v/>
      </c>
      <c r="W49" s="186">
        <f>IF(I49=0,"***",P49/I49)</f>
        <v/>
      </c>
      <c r="X49" s="186">
        <f>IF(J49=0,"***",Q49/J49)</f>
        <v/>
      </c>
      <c r="Y49" s="187">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182">
        <f>IF(K50=0,"***",R50/K50)</f>
        <v/>
      </c>
    </row>
    <row r="51" customFormat="1" s="60">
      <c r="A51" s="172" t="n"/>
      <c r="B51" s="172" t="n"/>
      <c r="C51" s="61" t="inlineStr">
        <is>
          <t>内リンガーハット</t>
        </is>
      </c>
      <c r="D51" s="63" t="n"/>
      <c r="E51" s="59">
        <f>(E38+E25)/2</f>
        <v/>
      </c>
      <c r="F51" s="59">
        <f>(F38+F25)/2</f>
        <v/>
      </c>
      <c r="G51" s="59">
        <f>(G38+G25)/2</f>
        <v/>
      </c>
      <c r="H51" s="59">
        <f>(H38+H25)/2</f>
        <v/>
      </c>
      <c r="I51" s="59">
        <f>(I38+I25)/2</f>
        <v/>
      </c>
      <c r="J51" s="59">
        <f>(J38+J25)/2</f>
        <v/>
      </c>
      <c r="K51" s="120">
        <f>SUM(E51:J51)</f>
        <v/>
      </c>
      <c r="L51" s="124">
        <f>(L38+L25)/2</f>
        <v/>
      </c>
      <c r="M51" s="59">
        <f>(M38+M25)/2</f>
        <v/>
      </c>
      <c r="N51" s="59">
        <f>(N38+N25)/2</f>
        <v/>
      </c>
      <c r="O51" s="59">
        <f>(O38+O25)/2</f>
        <v/>
      </c>
      <c r="P51" s="59">
        <f>(P38+P25)/2</f>
        <v/>
      </c>
      <c r="Q51" s="59">
        <f>(Q38+Q25)/2</f>
        <v/>
      </c>
      <c r="R51" s="72">
        <f>SUM(L51:Q51)</f>
        <v/>
      </c>
      <c r="S51" s="192">
        <f>IF(E51=0,"***",L51/E51)</f>
        <v/>
      </c>
      <c r="T51" s="188">
        <f>IF(F51=0,"***",M51/F51)</f>
        <v/>
      </c>
      <c r="U51" s="188">
        <f>IF(G51=0,"***",N51/G51)</f>
        <v/>
      </c>
      <c r="V51" s="188">
        <f>IF(H51=0,"***",O51/H51)</f>
        <v/>
      </c>
      <c r="W51" s="188">
        <f>IF(I51=0,"***",P51/I51)</f>
        <v/>
      </c>
      <c r="X51" s="188">
        <f>IF(J51=0,"***",Q51/J51)</f>
        <v/>
      </c>
      <c r="Y51" s="189">
        <f>IF(K51=0,"***",R51/K51)</f>
        <v/>
      </c>
      <c r="Z51" s="60" t="inlineStr">
        <is>
          <t>0042と0550からカネゲン引く</t>
        </is>
      </c>
    </row>
    <row r="52" customFormat="1" s="60">
      <c r="A52" s="172" t="n"/>
      <c r="B52" s="172" t="n"/>
      <c r="C52" s="61" t="inlineStr">
        <is>
          <t>リンガーハット以外</t>
        </is>
      </c>
      <c r="D52" s="63" t="n"/>
      <c r="E52" s="59">
        <f>E50-E51</f>
        <v/>
      </c>
      <c r="F52" s="59">
        <f>F50-F51</f>
        <v/>
      </c>
      <c r="G52" s="59">
        <f>G50-G51</f>
        <v/>
      </c>
      <c r="H52" s="59">
        <f>H50-H51</f>
        <v/>
      </c>
      <c r="I52" s="59">
        <f>I50-I51</f>
        <v/>
      </c>
      <c r="J52" s="59">
        <f>J50-J51</f>
        <v/>
      </c>
      <c r="K52" s="120">
        <f>SUM(E52:J52)</f>
        <v/>
      </c>
      <c r="L52" s="125">
        <f>L50-L51</f>
        <v/>
      </c>
      <c r="M52" s="126">
        <f>M50-M51</f>
        <v/>
      </c>
      <c r="N52" s="126">
        <f>N50-N51</f>
        <v/>
      </c>
      <c r="O52" s="126">
        <f>O50-O51</f>
        <v/>
      </c>
      <c r="P52" s="126">
        <f>P50-P51</f>
        <v/>
      </c>
      <c r="Q52" s="126">
        <f>Q50-Q51</f>
        <v/>
      </c>
      <c r="R52" s="127">
        <f>SUM(L52:Q52)</f>
        <v/>
      </c>
      <c r="S52" s="192">
        <f>IF(E52=0,"***",L52/E52)</f>
        <v/>
      </c>
      <c r="T52" s="188">
        <f>IF(F52=0,"***",M52/F52)</f>
        <v/>
      </c>
      <c r="U52" s="188">
        <f>IF(G52=0,"***",N52/G52)</f>
        <v/>
      </c>
      <c r="V52" s="188">
        <f>IF(H52=0,"***",O52/H52)</f>
        <v/>
      </c>
      <c r="W52" s="188">
        <f>IF(I52=0,"***",P52/I52)</f>
        <v/>
      </c>
      <c r="X52" s="188">
        <f>IF(J52=0,"***",Q52/J52)</f>
        <v/>
      </c>
      <c r="Y52" s="189">
        <f>IF(K52=0,"***",R52/K52)</f>
        <v/>
      </c>
      <c r="Z52" s="60" t="inlineStr">
        <is>
          <t>0042と0550からカネゲン引く</t>
        </is>
      </c>
    </row>
    <row r="53" hidden="1" s="171">
      <c r="C53" s="138" t="n"/>
      <c r="D53" s="29" t="n"/>
      <c r="E53" s="138" t="n"/>
      <c r="F53" s="138" t="n"/>
      <c r="G53" s="138" t="n"/>
      <c r="H53" s="138" t="n"/>
      <c r="I53" s="138" t="n"/>
      <c r="J53" s="138" t="n"/>
      <c r="K53" s="138" t="n"/>
      <c r="L53" s="138" t="n"/>
      <c r="M53" s="138" t="n"/>
      <c r="N53" s="138" t="n"/>
      <c r="O53" s="138" t="n"/>
      <c r="P53" s="138" t="n"/>
      <c r="Q53" s="138" t="n"/>
      <c r="R53" s="138" t="n"/>
      <c r="S53" s="196" t="n"/>
      <c r="T53" s="196" t="n"/>
      <c r="U53" s="196" t="n"/>
      <c r="V53" s="196" t="n"/>
      <c r="W53" s="196" t="n"/>
      <c r="X53" s="196" t="n"/>
      <c r="Y53" s="196" t="n"/>
    </row>
    <row r="54" hidden="1" customFormat="1" s="82">
      <c r="A54" s="172" t="n"/>
      <c r="B54" s="172" t="n"/>
      <c r="C54" s="78" t="inlineStr">
        <is>
          <t>5．前期比</t>
        </is>
      </c>
      <c r="D54" s="81" t="n"/>
      <c r="E54" s="78" t="n"/>
      <c r="F54" s="78" t="n"/>
      <c r="G54" s="78" t="n"/>
      <c r="H54" s="78" t="n"/>
      <c r="I54" s="78" t="n"/>
      <c r="J54" s="78" t="n"/>
      <c r="K54" s="78" t="n"/>
      <c r="L54" s="78" t="n"/>
      <c r="M54" s="78" t="n"/>
      <c r="N54" s="78" t="n"/>
      <c r="O54" s="78" t="n"/>
      <c r="P54" s="78" t="n"/>
      <c r="Q54" s="78" t="n"/>
      <c r="R54" s="78" t="n"/>
      <c r="S54" s="197" t="n"/>
      <c r="T54" s="197" t="n"/>
      <c r="U54" s="197" t="n"/>
      <c r="V54" s="197" t="n"/>
      <c r="W54" s="197" t="n"/>
      <c r="X54" s="197"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3"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3" t="inlineStr">
        <is>
          <t>0045 集計</t>
        </is>
      </c>
      <c r="D58" s="76"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f>S45-S19</f>
        <v/>
      </c>
      <c r="T58" s="186">
        <f>T45-T19</f>
        <v/>
      </c>
      <c r="U58" s="186">
        <f>U45-U19</f>
        <v/>
      </c>
      <c r="V58" s="186">
        <f>V45-V19</f>
        <v/>
      </c>
      <c r="W58" s="186">
        <f>W45-W19</f>
        <v/>
      </c>
      <c r="X58" s="186">
        <f>X45-X19</f>
        <v/>
      </c>
      <c r="Y58" s="199">
        <f>Y45-Y19</f>
        <v/>
      </c>
    </row>
    <row r="59" hidden="1" s="171">
      <c r="C59" s="44"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3"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31" t="inlineStr">
        <is>
          <t>0550 集計</t>
        </is>
      </c>
      <c r="D61" s="20" t="inlineStr">
        <is>
          <t>馬場所長（東京）</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31" t="inlineStr">
        <is>
          <t>0552 集計</t>
        </is>
      </c>
      <c r="D62" s="20" t="inlineStr">
        <is>
          <t>馬場部長（東京）</t>
        </is>
      </c>
      <c r="E62" s="3">
        <f>E49-E23</f>
        <v/>
      </c>
      <c r="F62" s="17">
        <f>F49-F23</f>
        <v/>
      </c>
      <c r="G62" s="17">
        <f>G49-G23</f>
        <v/>
      </c>
      <c r="H62" s="17">
        <f>H49-H23</f>
        <v/>
      </c>
      <c r="I62" s="17">
        <f>I49-I23</f>
        <v/>
      </c>
      <c r="J62" s="17">
        <f>J49-J23</f>
        <v/>
      </c>
      <c r="K62" s="84">
        <f>SUM(E62:J62)</f>
        <v/>
      </c>
      <c r="L62" s="3">
        <f>L49-L23</f>
        <v/>
      </c>
      <c r="M62" s="17">
        <f>M49-M23</f>
        <v/>
      </c>
      <c r="N62" s="17">
        <f>N49-N23</f>
        <v/>
      </c>
      <c r="O62" s="17">
        <f>O49-O23</f>
        <v/>
      </c>
      <c r="P62" s="17">
        <f>P49-P23</f>
        <v/>
      </c>
      <c r="Q62" s="17">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1" t="inlineStr">
        <is>
          <t>内リンガーハット</t>
        </is>
      </c>
      <c r="D64" s="63"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2">
        <f>S51-S25</f>
        <v/>
      </c>
      <c r="T64" s="188">
        <f>T51-T25</f>
        <v/>
      </c>
      <c r="U64" s="188">
        <f>U51-U25</f>
        <v/>
      </c>
      <c r="V64" s="188">
        <f>V51-V25</f>
        <v/>
      </c>
      <c r="W64" s="188">
        <f>W51-W25</f>
        <v/>
      </c>
      <c r="X64" s="188">
        <f>X51-X25</f>
        <v/>
      </c>
      <c r="Y64" s="203">
        <f>Y51-Y25</f>
        <v/>
      </c>
    </row>
    <row r="65" hidden="1" customFormat="1" s="60">
      <c r="A65" s="172" t="n"/>
      <c r="B65" s="172" t="n"/>
      <c r="C65" s="61" t="inlineStr">
        <is>
          <t>リンガーハット以外</t>
        </is>
      </c>
      <c r="D65" s="63" t="n"/>
      <c r="E65" s="125">
        <f>E63-E64</f>
        <v/>
      </c>
      <c r="F65" s="126">
        <f>F63-F64</f>
        <v/>
      </c>
      <c r="G65" s="126">
        <f>G63-G64</f>
        <v/>
      </c>
      <c r="H65" s="126">
        <f>H63-H64</f>
        <v/>
      </c>
      <c r="I65" s="126">
        <f>I63-I64</f>
        <v/>
      </c>
      <c r="J65" s="126">
        <f>J63-J64</f>
        <v/>
      </c>
      <c r="K65" s="127">
        <f>SUM(E65:J65)</f>
        <v/>
      </c>
      <c r="L65" s="125">
        <f>L63-L64</f>
        <v/>
      </c>
      <c r="M65" s="126">
        <f>M63-M64</f>
        <v/>
      </c>
      <c r="N65" s="126">
        <f>N63-N64</f>
        <v/>
      </c>
      <c r="O65" s="126">
        <f>O63-O64</f>
        <v/>
      </c>
      <c r="P65" s="126">
        <f>P63-P64</f>
        <v/>
      </c>
      <c r="Q65" s="126">
        <f>Q63-Q64</f>
        <v/>
      </c>
      <c r="R65" s="127">
        <f>SUM(L65:Q65)</f>
        <v/>
      </c>
      <c r="S65" s="204">
        <f>IF(E65=0,"***",L65/E65)</f>
        <v/>
      </c>
      <c r="T65" s="205">
        <f>IF(F65=0,"***",M65/F65)</f>
        <v/>
      </c>
      <c r="U65" s="205">
        <f>IF(G65=0,"***",N65/G65)</f>
        <v/>
      </c>
      <c r="V65" s="205">
        <f>IF(H65=0,"***",O65/H65)</f>
        <v/>
      </c>
      <c r="W65" s="205">
        <f>IF(I65=0,"***",P65/I65)</f>
        <v/>
      </c>
      <c r="X65" s="205">
        <f>IF(J65=0,"***",Q65/J65)</f>
        <v/>
      </c>
      <c r="Y65" s="206">
        <f>IF(K65=0,"***",R65/K65)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3"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f>O44-O31</f>
        <v/>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3" t="inlineStr">
        <is>
          <t>0045 集計</t>
        </is>
      </c>
      <c r="D71" s="76"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4"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3"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31" t="inlineStr">
        <is>
          <t>0550 集計</t>
        </is>
      </c>
      <c r="D74" s="20" t="inlineStr">
        <is>
          <t>馬場所長（東京）</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31" t="inlineStr">
        <is>
          <t>0552 集計</t>
        </is>
      </c>
      <c r="D75" s="20" t="inlineStr">
        <is>
          <t>馬場部長（東京）</t>
        </is>
      </c>
      <c r="E75" s="17">
        <f>E49-E36</f>
        <v/>
      </c>
      <c r="F75" s="17">
        <f>F49-F36</f>
        <v/>
      </c>
      <c r="G75" s="17">
        <f>G49-G36</f>
        <v/>
      </c>
      <c r="H75" s="17">
        <f>H49-H36</f>
        <v/>
      </c>
      <c r="I75" s="17">
        <f>I49-I36</f>
        <v/>
      </c>
      <c r="J75" s="17">
        <f>J49-J36</f>
        <v/>
      </c>
      <c r="K75" s="118">
        <f>SUM(E75:J75)</f>
        <v/>
      </c>
      <c r="L75" s="3">
        <f>L49-L36</f>
        <v/>
      </c>
      <c r="M75" s="17">
        <f>M49-M36</f>
        <v/>
      </c>
      <c r="N75" s="17">
        <f>N49-N36</f>
        <v/>
      </c>
      <c r="O75" s="17">
        <f>O49-O36</f>
        <v/>
      </c>
      <c r="P75" s="17">
        <f>P49-P36</f>
        <v/>
      </c>
      <c r="Q75" s="17">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1" t="inlineStr">
        <is>
          <t>内リンガーハット</t>
        </is>
      </c>
      <c r="D77" s="63" t="n"/>
      <c r="E77" s="17">
        <f>E51-E38</f>
        <v/>
      </c>
      <c r="F77" s="17">
        <f>F51-F38</f>
        <v/>
      </c>
      <c r="G77" s="17">
        <f>G51-G38</f>
        <v/>
      </c>
      <c r="H77" s="17">
        <f>H51-H38</f>
        <v/>
      </c>
      <c r="I77" s="17">
        <f>I51-I38</f>
        <v/>
      </c>
      <c r="J77" s="17">
        <f>J51-J38</f>
        <v/>
      </c>
      <c r="K77" s="118">
        <f>SUM(E77:J77)</f>
        <v/>
      </c>
      <c r="L77" s="3">
        <f>L51-L38</f>
        <v/>
      </c>
      <c r="M77" s="17">
        <f>M51-M38</f>
        <v/>
      </c>
      <c r="N77" s="17">
        <f>N51-N38</f>
        <v/>
      </c>
      <c r="O77" s="17">
        <f>O51-O38</f>
        <v/>
      </c>
      <c r="P77" s="17">
        <f>P51-P38</f>
        <v/>
      </c>
      <c r="Q77" s="17">
        <f>Q51-Q38</f>
        <v/>
      </c>
      <c r="R77" s="84">
        <f>SUM(L77:Q77)</f>
        <v/>
      </c>
      <c r="S77" s="192">
        <f>IF(E77=0,"***",L77/E77)</f>
        <v/>
      </c>
      <c r="T77" s="188">
        <f>IF(F77=0,"***",M77/F77)</f>
        <v/>
      </c>
      <c r="U77" s="188">
        <f>IF(G77=0,"***",N77/G77)</f>
        <v/>
      </c>
      <c r="V77" s="188">
        <f>IF(H77=0,"***",O77/H77)</f>
        <v/>
      </c>
      <c r="W77" s="188">
        <f>IF(I77=0,"***",P77/I77)</f>
        <v/>
      </c>
      <c r="X77" s="188">
        <f>IF(J77=0,"***",Q77/J77)</f>
        <v/>
      </c>
      <c r="Y77" s="189">
        <f>IF(K77=0,"***",R77/K77)</f>
        <v/>
      </c>
      <c r="Z77" s="60" t="inlineStr">
        <is>
          <t>0042と0550からカネゲン引く</t>
        </is>
      </c>
    </row>
    <row r="78" hidden="1" customFormat="1" s="60">
      <c r="A78" s="172" t="n"/>
      <c r="B78" s="172" t="n"/>
      <c r="C78" s="61" t="inlineStr">
        <is>
          <t>リンガーハット以外</t>
        </is>
      </c>
      <c r="D78" s="63" t="n"/>
      <c r="E78" s="59">
        <f>E76-E77</f>
        <v/>
      </c>
      <c r="F78" s="59">
        <f>F76-F77</f>
        <v/>
      </c>
      <c r="G78" s="59">
        <f>G76-G77</f>
        <v/>
      </c>
      <c r="H78" s="59">
        <f>H76-H77</f>
        <v/>
      </c>
      <c r="I78" s="59">
        <f>I76-I77</f>
        <v/>
      </c>
      <c r="J78" s="59">
        <f>J76-J77</f>
        <v/>
      </c>
      <c r="K78" s="120">
        <f>SUM(E78:J78)</f>
        <v/>
      </c>
      <c r="L78" s="125">
        <f>L76-L77</f>
        <v/>
      </c>
      <c r="M78" s="126">
        <f>M76-M77</f>
        <v/>
      </c>
      <c r="N78" s="126">
        <f>N76-N77</f>
        <v/>
      </c>
      <c r="O78" s="126">
        <f>O76-O77</f>
        <v/>
      </c>
      <c r="P78" s="126">
        <f>P76-P77</f>
        <v/>
      </c>
      <c r="Q78" s="126">
        <f>Q76-Q77</f>
        <v/>
      </c>
      <c r="R78" s="127">
        <f>SUM(L78:Q78)</f>
        <v/>
      </c>
      <c r="S78" s="192">
        <f>IF(E78=0,"***",L78/E78)</f>
        <v/>
      </c>
      <c r="T78" s="188">
        <f>IF(F78=0,"***",M78/F78)</f>
        <v/>
      </c>
      <c r="U78" s="188">
        <f>IF(G78=0,"***",N78/G78)</f>
        <v/>
      </c>
      <c r="V78" s="188">
        <f>IF(H78=0,"***",O78/H78)</f>
        <v/>
      </c>
      <c r="W78" s="188">
        <f>IF(I78=0,"***",P78/I78)</f>
        <v/>
      </c>
      <c r="X78" s="188">
        <f>IF(J78=0,"***",Q78/J78)</f>
        <v/>
      </c>
      <c r="Y78" s="189">
        <f>IF(K78=0,"***",R78/K78)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74" t="n"/>
      <c r="E81" s="163" t="inlineStr">
        <is>
          <t>売上</t>
        </is>
      </c>
      <c r="F81" s="160" t="n"/>
      <c r="G81" s="160" t="n"/>
      <c r="H81" s="160" t="n"/>
      <c r="I81" s="160" t="n"/>
      <c r="J81" s="160" t="n"/>
      <c r="K81" s="161" t="n"/>
      <c r="L81" s="159"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9" t="n"/>
      <c r="E82" s="2" t="n">
        <v>46113</v>
      </c>
      <c r="F82" s="2" t="n">
        <v>46143</v>
      </c>
      <c r="G82" s="2" t="n">
        <v>46174</v>
      </c>
      <c r="H82" s="2" t="n">
        <v>46204</v>
      </c>
      <c r="I82" s="2" t="n">
        <v>46235</v>
      </c>
      <c r="J82" s="2" t="n">
        <v>46266</v>
      </c>
      <c r="K82" s="70" t="inlineStr">
        <is>
          <t>合計</t>
        </is>
      </c>
      <c r="L82" s="69"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3" t="inlineStr">
        <is>
          <t>0042 集計</t>
        </is>
      </c>
      <c r="D83" s="76" t="inlineStr">
        <is>
          <t>馬場部長（鳥栖）</t>
        </is>
      </c>
      <c r="E83" s="4" t="n">
        <v>22</v>
      </c>
      <c r="F83" s="4" t="n">
        <v>49.6</v>
      </c>
      <c r="G83" s="147" t="n">
        <v>29.42</v>
      </c>
      <c r="H83" s="4" t="n">
        <v>46.2</v>
      </c>
      <c r="I83" s="4" t="n">
        <v>286.455</v>
      </c>
      <c r="J83" s="4" t="n">
        <v>0</v>
      </c>
      <c r="K83" s="5">
        <f>SUM(E83:J83)</f>
        <v/>
      </c>
      <c r="L83" s="4" t="n">
        <v>0.8</v>
      </c>
      <c r="M83" s="4" t="n">
        <v>4.94</v>
      </c>
      <c r="N83" s="147" t="n">
        <v>5.78</v>
      </c>
      <c r="O83" s="4" t="n">
        <v>5</v>
      </c>
      <c r="P83" s="4" t="n">
        <v>25.625</v>
      </c>
      <c r="Q83" s="4" t="n">
        <v>0</v>
      </c>
      <c r="R83" s="5">
        <f>SUM(L83:Q83)</f>
        <v/>
      </c>
      <c r="S83" s="186">
        <f>IF(E83=0,"***",L83/E83)</f>
        <v/>
      </c>
      <c r="T83" s="186">
        <f>IF(F83=0,"***",M83/F83)</f>
        <v/>
      </c>
      <c r="U83" s="186">
        <f>IF(G83=0,"***",N83/G83)</f>
        <v/>
      </c>
      <c r="V83" s="186">
        <f>IF(H83=0,"***",O83/H83)</f>
        <v/>
      </c>
      <c r="W83" s="186">
        <f>IF(I83=0,"***",P83/I83)</f>
        <v/>
      </c>
      <c r="X83" s="186">
        <f>IF(J83=0,"***",Q83/J83)</f>
        <v/>
      </c>
      <c r="Y83" s="187">
        <f>IF(K83=0,"***",R83/K83)</f>
        <v/>
      </c>
    </row>
    <row r="84">
      <c r="C84" s="43" t="inlineStr">
        <is>
          <t>0045 集計</t>
        </is>
      </c>
      <c r="D84" s="76" t="inlineStr">
        <is>
          <t>ペーパーハグ</t>
        </is>
      </c>
      <c r="E84" s="4" t="n"/>
      <c r="F84" s="4" t="n"/>
      <c r="G84" s="4" t="n"/>
      <c r="H84" s="4" t="n"/>
      <c r="I84" s="4" t="n">
        <v>0</v>
      </c>
      <c r="J84" s="4" t="n">
        <v>0</v>
      </c>
      <c r="K84" s="5">
        <f>SUM(E84:J84)</f>
        <v/>
      </c>
      <c r="L84" s="4" t="n"/>
      <c r="M84" s="4" t="n"/>
      <c r="N84" s="4" t="n"/>
      <c r="O84" s="4" t="n"/>
      <c r="P84" s="4" t="n">
        <v>0</v>
      </c>
      <c r="Q84" s="4" t="n">
        <v>0</v>
      </c>
      <c r="R84" s="5">
        <f>SUM(L84:Q84)</f>
        <v/>
      </c>
      <c r="S84" s="186">
        <f>IF(E84=0,"***",L84/E84)</f>
        <v/>
      </c>
      <c r="T84" s="186">
        <f>IF(F84=0,"***",M84/F84)</f>
        <v/>
      </c>
      <c r="U84" s="186">
        <f>IF(G84=0,"***",N84/G84)</f>
        <v/>
      </c>
      <c r="V84" s="186">
        <f>IF(H84=0,"***",O84/H84)</f>
        <v/>
      </c>
      <c r="W84" s="186">
        <f>IF(I84=0,"***",P84/I84)</f>
        <v/>
      </c>
      <c r="X84" s="186">
        <f>IF(J84=0,"***",Q84/J84)</f>
        <v/>
      </c>
      <c r="Y84" s="187">
        <f>IF(K84=0,"***",R84/K84)</f>
        <v/>
      </c>
    </row>
    <row r="85">
      <c r="C85" s="44" t="inlineStr">
        <is>
          <t>0046 集計</t>
        </is>
      </c>
      <c r="D85" s="20" t="inlineStr">
        <is>
          <t>角田</t>
        </is>
      </c>
      <c r="E85" s="4" t="n">
        <v>57.745</v>
      </c>
      <c r="F85" s="4" t="n"/>
      <c r="G85" s="147" t="n">
        <v>312.761</v>
      </c>
      <c r="H85" s="4" t="n">
        <v>0</v>
      </c>
      <c r="I85" s="4" t="n">
        <v>0</v>
      </c>
      <c r="J85" s="4" t="n">
        <v>0</v>
      </c>
      <c r="K85" s="5">
        <f>SUM(E85:J85)</f>
        <v/>
      </c>
      <c r="L85" s="4" t="n">
        <v>5.785</v>
      </c>
      <c r="M85" s="4" t="n"/>
      <c r="N85" s="147" t="n">
        <v>6.111</v>
      </c>
      <c r="O85" s="4" t="n">
        <v>0</v>
      </c>
      <c r="P85" s="4" t="n">
        <v>0</v>
      </c>
      <c r="Q85" s="4" t="n">
        <v>0</v>
      </c>
      <c r="R85" s="5">
        <f>SUM(L85:Q85)</f>
        <v/>
      </c>
      <c r="S85" s="186">
        <f>IF(E85=0,"***",L85/E85)</f>
        <v/>
      </c>
      <c r="T85" s="186">
        <f>IF(F85=0,"***",M85/F85)</f>
        <v/>
      </c>
      <c r="U85" s="186">
        <f>IF(G85=0,"***",N85/G85)</f>
        <v/>
      </c>
      <c r="V85" s="186">
        <f>IF(H85=0,"***",O85/H85)</f>
        <v/>
      </c>
      <c r="W85" s="186">
        <f>IF(I85=0,"***",P85/I85)</f>
        <v/>
      </c>
      <c r="X85" s="186">
        <f>IF(J85=0,"***",Q85/J85)</f>
        <v/>
      </c>
      <c r="Y85" s="187">
        <f>IF(K85=0,"***",R85/K85)</f>
        <v/>
      </c>
    </row>
    <row r="86">
      <c r="C86" s="43" t="inlineStr">
        <is>
          <t>0047 集計</t>
        </is>
      </c>
      <c r="D86" s="76" t="inlineStr">
        <is>
          <t>馬場部長（静岡）</t>
        </is>
      </c>
      <c r="E86" s="4" t="n">
        <v>22</v>
      </c>
      <c r="F86" s="4" t="n"/>
      <c r="G86" s="4" t="n"/>
      <c r="H86" s="4" t="n"/>
      <c r="I86" s="4" t="n">
        <v>0</v>
      </c>
      <c r="J86" s="4" t="n">
        <v>0</v>
      </c>
      <c r="K86" s="5">
        <f>SUM(E86:J86)</f>
        <v/>
      </c>
      <c r="L86" s="4" t="n">
        <v>2</v>
      </c>
      <c r="M86" s="4" t="n"/>
      <c r="N86" s="4" t="n"/>
      <c r="O86" s="4" t="n"/>
      <c r="P86" s="4" t="n">
        <v>0</v>
      </c>
      <c r="Q86" s="4" t="n">
        <v>0</v>
      </c>
      <c r="R86" s="5">
        <f>SUM(L86:Q86)</f>
        <v/>
      </c>
      <c r="S86" s="186">
        <f>IF(E86=0,"***",L86/E86)</f>
        <v/>
      </c>
      <c r="T86" s="186">
        <f>IF(F86=0,"***",M86/F86)</f>
        <v/>
      </c>
      <c r="U86" s="186">
        <f>IF(G86=0,"***",N86/G86)</f>
        <v/>
      </c>
      <c r="V86" s="186">
        <f>IF(H86=0,"***",O86/H86)</f>
        <v/>
      </c>
      <c r="W86" s="186">
        <f>IF(I86=0,"***",P86/I86)</f>
        <v/>
      </c>
      <c r="X86" s="186">
        <f>IF(J86=0,"***",Q86/J86)</f>
        <v/>
      </c>
      <c r="Y86" s="187">
        <f>IF(K86=0,"***",R86/K86)</f>
        <v/>
      </c>
    </row>
    <row r="87">
      <c r="C87" s="31" t="inlineStr">
        <is>
          <t>0550 集計</t>
        </is>
      </c>
      <c r="D87" s="20" t="inlineStr">
        <is>
          <t>馬場所長（東京）</t>
        </is>
      </c>
      <c r="E87" s="4" t="n"/>
      <c r="F87" s="4" t="n"/>
      <c r="G87" s="4" t="n"/>
      <c r="H87" s="4" t="n"/>
      <c r="I87" s="4" t="n">
        <v>0</v>
      </c>
      <c r="J87" s="4" t="n">
        <v>0</v>
      </c>
      <c r="K87" s="5">
        <f>SUM(E87:J87)</f>
        <v/>
      </c>
      <c r="L87" s="4" t="n"/>
      <c r="M87" s="4" t="n"/>
      <c r="N87" s="4" t="n"/>
      <c r="O87" s="4" t="n"/>
      <c r="P87" s="4" t="n">
        <v>0</v>
      </c>
      <c r="Q87" s="4" t="n">
        <v>0</v>
      </c>
      <c r="R87" s="5">
        <f>SUM(L87:Q87)</f>
        <v/>
      </c>
      <c r="S87" s="186">
        <f>IF(E87=0,"***",L87/E87)</f>
        <v/>
      </c>
      <c r="T87" s="186">
        <f>IF(F87=0,"***",M87/F87)</f>
        <v/>
      </c>
      <c r="U87" s="186">
        <f>IF(G87=0,"***",N87/G87)</f>
        <v/>
      </c>
      <c r="V87" s="186">
        <f>IF(H87=0,"***",O87/H87)</f>
        <v/>
      </c>
      <c r="W87" s="186">
        <f>IF(I87=0,"***",P87/I87)</f>
        <v/>
      </c>
      <c r="X87" s="186">
        <f>IF(J87=0,"***",Q87/J87)</f>
        <v/>
      </c>
      <c r="Y87" s="187">
        <f>IF(K87=0,"***",R87/K87)</f>
        <v/>
      </c>
    </row>
    <row r="88">
      <c r="C88" s="31" t="inlineStr">
        <is>
          <t>0552 集計</t>
        </is>
      </c>
      <c r="D88" s="20" t="inlineStr">
        <is>
          <t>馬場部長（東京）</t>
        </is>
      </c>
      <c r="E88" s="4" t="n">
        <v>21.24</v>
      </c>
      <c r="F88" s="4" t="n">
        <v>49.2</v>
      </c>
      <c r="G88" s="147" t="n">
        <v>18</v>
      </c>
      <c r="H88" s="4" t="n">
        <v>138.46</v>
      </c>
      <c r="I88" s="4" t="n">
        <v>76.59999999999999</v>
      </c>
      <c r="J88" s="4" t="n">
        <v>18</v>
      </c>
      <c r="K88" s="5">
        <f>SUM(E88:J88)</f>
        <v/>
      </c>
      <c r="L88" s="4" t="n">
        <v>6.24</v>
      </c>
      <c r="M88" s="4" t="n">
        <v>14.7</v>
      </c>
      <c r="N88" s="147" t="n">
        <v>3</v>
      </c>
      <c r="O88" s="4" t="n">
        <v>22.21</v>
      </c>
      <c r="P88" s="4" t="n">
        <v>14.72</v>
      </c>
      <c r="Q88" s="4" t="n">
        <v>3</v>
      </c>
      <c r="R88" s="5">
        <f>SUM(L88:Q88)</f>
        <v/>
      </c>
      <c r="S88" s="186">
        <f>IF(E88=0,"***",L88/E88)</f>
        <v/>
      </c>
      <c r="T88" s="186">
        <f>IF(F88=0,"***",M88/F88)</f>
        <v/>
      </c>
      <c r="U88" s="186">
        <f>IF(G88=0,"***",N88/G88)</f>
        <v/>
      </c>
      <c r="V88" s="186">
        <f>IF(H88=0,"***",O88/H88)</f>
        <v/>
      </c>
      <c r="W88" s="186">
        <f>IF(I88=0,"***",P88/I88)</f>
        <v/>
      </c>
      <c r="X88" s="186">
        <f>IF(J88=0,"***",Q88/J88)</f>
        <v/>
      </c>
      <c r="Y88" s="187">
        <f>IF(K88=0,"***",R88/K88)</f>
        <v/>
      </c>
    </row>
    <row r="89">
      <c r="C89" s="45" t="inlineStr">
        <is>
          <t>合計</t>
        </is>
      </c>
      <c r="D89" s="46" t="n"/>
      <c r="E89" s="7">
        <f>SUM(E83:E88)</f>
        <v/>
      </c>
      <c r="F89" s="7">
        <f>SUM(F83:F88)</f>
        <v/>
      </c>
      <c r="G89" s="7">
        <f>SUM(G83:G88)</f>
        <v/>
      </c>
      <c r="H89" s="7">
        <f>SUM(H83:H88)</f>
        <v/>
      </c>
      <c r="I89" s="7">
        <f>SUM(I83:I88)</f>
        <v/>
      </c>
      <c r="J89" s="7">
        <f>SUM(J83:J88)</f>
        <v/>
      </c>
      <c r="K89" s="8">
        <f>SUM(K83:K88)</f>
        <v/>
      </c>
      <c r="L89" s="7">
        <f>SUM(L83:L88)</f>
        <v/>
      </c>
      <c r="M89" s="7">
        <f>SUM(M83:M88)</f>
        <v/>
      </c>
      <c r="N89" s="7">
        <f>SUM(N83:N88)</f>
        <v/>
      </c>
      <c r="O89" s="7">
        <f>SUM(O83:O88)</f>
        <v/>
      </c>
      <c r="P89" s="7">
        <f>SUM(P83:P88)</f>
        <v/>
      </c>
      <c r="Q89" s="7">
        <f>SUM(Q83:Q88)</f>
        <v/>
      </c>
      <c r="R89" s="8">
        <f>SUM(R83:R88)</f>
        <v/>
      </c>
      <c r="S89" s="181">
        <f>IF(E89=0,"***",L89/E89)</f>
        <v/>
      </c>
      <c r="T89" s="181">
        <f>IF(F89=0,"***",M89/F89)</f>
        <v/>
      </c>
      <c r="U89" s="181">
        <f>IF(G89=0,"***",N89/G89)</f>
        <v/>
      </c>
      <c r="V89" s="181">
        <f>IF(H89=0,"***",O89/H89)</f>
        <v/>
      </c>
      <c r="W89" s="181">
        <f>IF(I89=0,"***",P89/I89)</f>
        <v/>
      </c>
      <c r="X89" s="181">
        <f>IF(J89=0,"***",Q89/J89)</f>
        <v/>
      </c>
      <c r="Y89" s="182">
        <f>IF(K89=0,"***",R89/K89)</f>
        <v/>
      </c>
    </row>
    <row r="90" customFormat="1" s="60">
      <c r="A90" s="172" t="n"/>
      <c r="B90" s="172" t="n"/>
      <c r="C90" s="61" t="inlineStr">
        <is>
          <t>内リンガーハット</t>
        </is>
      </c>
      <c r="D90" s="63" t="n"/>
      <c r="E90" s="59" t="n">
        <v>44</v>
      </c>
      <c r="F90" s="59" t="n">
        <v>49.6</v>
      </c>
      <c r="G90" s="148" t="n">
        <v>29.42</v>
      </c>
      <c r="H90" s="59" t="n">
        <v>46.2</v>
      </c>
      <c r="I90" s="59" t="n">
        <v>286.455</v>
      </c>
      <c r="J90" s="59" t="n">
        <v>0</v>
      </c>
      <c r="K90" s="72">
        <f>SUM(E90:J90)</f>
        <v/>
      </c>
      <c r="L90" s="71" t="n">
        <v>2.8</v>
      </c>
      <c r="M90" s="59" t="n">
        <v>4.94</v>
      </c>
      <c r="N90" s="148" t="n">
        <v>5.78</v>
      </c>
      <c r="O90" s="59" t="n">
        <v>5</v>
      </c>
      <c r="P90" s="59" t="n">
        <v>25.625</v>
      </c>
      <c r="Q90" s="59" t="n">
        <v>0</v>
      </c>
      <c r="R90" s="72">
        <f>SUM(L90:Q90)</f>
        <v/>
      </c>
      <c r="S90" s="188">
        <f>IF(E90=0,"***",L90/E90)</f>
        <v/>
      </c>
      <c r="T90" s="188">
        <f>IF(F90=0,"***",M90/F90)</f>
        <v/>
      </c>
      <c r="U90" s="188">
        <f>IF(G90=0,"***",N90/G90)</f>
        <v/>
      </c>
      <c r="V90" s="188">
        <f>IF(H90=0,"***",O90/H90)</f>
        <v/>
      </c>
      <c r="W90" s="188">
        <f>IF(I90=0,"***",P90/I90)</f>
        <v/>
      </c>
      <c r="X90" s="188">
        <f>IF(J90=0,"***",Q90/J90)</f>
        <v/>
      </c>
      <c r="Y90" s="189">
        <f>IF(K90=0,"***",R90/K90)</f>
        <v/>
      </c>
      <c r="Z90" s="60" t="inlineStr">
        <is>
          <t>0042と0550からカネゲン引く</t>
        </is>
      </c>
    </row>
    <row r="91" customFormat="1" s="60">
      <c r="A91" s="172" t="n"/>
      <c r="B91" s="172" t="n"/>
      <c r="C91" s="61" t="inlineStr">
        <is>
          <t>リンガーハット以外</t>
        </is>
      </c>
      <c r="D91" s="63" t="n"/>
      <c r="E91" s="59">
        <f>E89-E90</f>
        <v/>
      </c>
      <c r="F91" s="59">
        <f>F89-F90</f>
        <v/>
      </c>
      <c r="G91" s="59">
        <f>G89-G90</f>
        <v/>
      </c>
      <c r="H91" s="59">
        <f>H89-H90</f>
        <v/>
      </c>
      <c r="I91" s="59">
        <f>I89-I90</f>
        <v/>
      </c>
      <c r="J91" s="59">
        <f>J89-J90</f>
        <v/>
      </c>
      <c r="K91" s="72">
        <f>SUM(E91:J91)</f>
        <v/>
      </c>
      <c r="L91" s="71">
        <f>L89-L90</f>
        <v/>
      </c>
      <c r="M91" s="59">
        <f>M89-M90</f>
        <v/>
      </c>
      <c r="N91" s="59">
        <f>N89-N90</f>
        <v/>
      </c>
      <c r="O91" s="59">
        <f>O89-O90</f>
        <v/>
      </c>
      <c r="P91" s="59">
        <f>P89-P90</f>
        <v/>
      </c>
      <c r="Q91" s="59">
        <f>Q89-Q90</f>
        <v/>
      </c>
      <c r="R91" s="72">
        <f>SUM(L91:Q91)</f>
        <v/>
      </c>
      <c r="S91" s="188">
        <f>IF(E91=0,"***",L91/E91)</f>
        <v/>
      </c>
      <c r="T91" s="188">
        <f>IF(F91=0,"***",M91/F91)</f>
        <v/>
      </c>
      <c r="U91" s="188">
        <f>IF(G91=0,"***",N91/G91)</f>
        <v/>
      </c>
      <c r="V91" s="188">
        <f>IF(H91=0,"***",O91/H91)</f>
        <v/>
      </c>
      <c r="W91" s="188">
        <f>IF(I91=0,"***",P91/I91)</f>
        <v/>
      </c>
      <c r="X91" s="188">
        <f>IF(J91=0,"***",Q91/J91)</f>
        <v/>
      </c>
      <c r="Y91" s="189">
        <f>IF(K91=0,"***",R91/K91)</f>
        <v/>
      </c>
      <c r="Z91" s="60" t="inlineStr">
        <is>
          <t>0042と0550からカネゲン引く</t>
        </is>
      </c>
    </row>
    <row r="92">
      <c r="C92" s="15" t="n"/>
      <c r="E92" s="14" t="n"/>
      <c r="F92" s="14" t="n"/>
      <c r="G92" s="14" t="n"/>
      <c r="H92" s="14" t="n"/>
      <c r="I92" s="14" t="n"/>
      <c r="J92" s="14" t="n"/>
      <c r="K92" s="15" t="n"/>
      <c r="L92" s="14" t="n"/>
      <c r="M92" s="14" t="n"/>
      <c r="N92" s="14" t="n"/>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70"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3" t="inlineStr">
        <is>
          <t>0042 集計</t>
        </is>
      </c>
      <c r="D96" s="76" t="inlineStr">
        <is>
          <t>馬場部長（鳥栖）</t>
        </is>
      </c>
      <c r="E96" s="4">
        <f>E83-E44</f>
        <v/>
      </c>
      <c r="F96" s="4">
        <f>F83-F44</f>
        <v/>
      </c>
      <c r="G96" s="147">
        <f>G83-G44</f>
        <v/>
      </c>
      <c r="H96" s="4">
        <f>H83-H44</f>
        <v/>
      </c>
      <c r="I96" s="4">
        <f>I83-I44</f>
        <v/>
      </c>
      <c r="J96" s="4">
        <f>J83-J44</f>
        <v/>
      </c>
      <c r="K96" s="5">
        <f>SUM(E96:J96)</f>
        <v/>
      </c>
      <c r="L96" s="4">
        <f>L83-L44</f>
        <v/>
      </c>
      <c r="M96" s="4">
        <f>M83-M44</f>
        <v/>
      </c>
      <c r="N96" s="147">
        <f>N83-N44</f>
        <v/>
      </c>
      <c r="O96" s="4">
        <f>O83-O44</f>
        <v/>
      </c>
      <c r="P96" s="4">
        <f>P83-P44</f>
        <v/>
      </c>
      <c r="Q96" s="4">
        <f>Q83-Q44</f>
        <v/>
      </c>
      <c r="R96" s="5">
        <f>SUM(L96:Q96)</f>
        <v/>
      </c>
      <c r="S96" s="186">
        <f>S83-S44</f>
        <v/>
      </c>
      <c r="T96" s="186">
        <f>T83-T44</f>
        <v/>
      </c>
      <c r="U96" s="186">
        <f>U83-U44</f>
        <v/>
      </c>
      <c r="V96" s="186">
        <f>V83-V44</f>
        <v/>
      </c>
      <c r="W96" s="186">
        <f>W83-W44</f>
        <v/>
      </c>
      <c r="X96" s="186">
        <f>X83-X44</f>
        <v/>
      </c>
      <c r="Y96" s="187">
        <f>Y83-Y44</f>
        <v/>
      </c>
    </row>
    <row r="97">
      <c r="C97" s="43" t="inlineStr">
        <is>
          <t>0045 集計</t>
        </is>
      </c>
      <c r="D97" s="76" t="inlineStr">
        <is>
          <t>ペーパーハグ</t>
        </is>
      </c>
      <c r="E97" s="4">
        <f>E84-E45</f>
        <v/>
      </c>
      <c r="F97" s="4">
        <f>F84-F45</f>
        <v/>
      </c>
      <c r="G97" s="147">
        <f>G84-G45</f>
        <v/>
      </c>
      <c r="H97" s="4">
        <f>H84-H45</f>
        <v/>
      </c>
      <c r="I97" s="4">
        <f>I84-I45</f>
        <v/>
      </c>
      <c r="J97" s="4">
        <f>J84-J45</f>
        <v/>
      </c>
      <c r="K97" s="5">
        <f>SUM(E97:J97)</f>
        <v/>
      </c>
      <c r="L97" s="4">
        <f>L84-L45</f>
        <v/>
      </c>
      <c r="M97" s="4">
        <f>M84-M45</f>
        <v/>
      </c>
      <c r="N97" s="147">
        <f>N84-N45</f>
        <v/>
      </c>
      <c r="O97" s="4">
        <f>O84-O45</f>
        <v/>
      </c>
      <c r="P97" s="4">
        <f>P84-P45</f>
        <v/>
      </c>
      <c r="Q97" s="4">
        <f>Q84-Q45</f>
        <v/>
      </c>
      <c r="R97" s="5">
        <f>SUM(L97:Q97)</f>
        <v/>
      </c>
      <c r="S97" s="186">
        <f>S84-S45</f>
        <v/>
      </c>
      <c r="T97" s="186">
        <f>T84-T45</f>
        <v/>
      </c>
      <c r="U97" s="186">
        <f>U84-U45</f>
        <v/>
      </c>
      <c r="V97" s="186">
        <f>V84-V45</f>
        <v/>
      </c>
      <c r="W97" s="186">
        <f>W84-W45</f>
        <v/>
      </c>
      <c r="X97" s="186">
        <f>X84-X45</f>
        <v/>
      </c>
      <c r="Y97" s="187">
        <f>Y84-Y45</f>
        <v/>
      </c>
    </row>
    <row r="98">
      <c r="C98" s="44" t="inlineStr">
        <is>
          <t>0046 集計</t>
        </is>
      </c>
      <c r="D98" s="20" t="inlineStr">
        <is>
          <t>角田</t>
        </is>
      </c>
      <c r="E98" s="4">
        <f>E85-E46</f>
        <v/>
      </c>
      <c r="F98" s="4">
        <f>F85-F46</f>
        <v/>
      </c>
      <c r="G98" s="147">
        <f>G85-G46</f>
        <v/>
      </c>
      <c r="H98" s="4">
        <f>H85-H46</f>
        <v/>
      </c>
      <c r="I98" s="4">
        <f>I85-I46</f>
        <v/>
      </c>
      <c r="J98" s="4">
        <f>J85-J46</f>
        <v/>
      </c>
      <c r="K98" s="5">
        <f>SUM(E98:J98)</f>
        <v/>
      </c>
      <c r="L98" s="4">
        <f>L85-L46</f>
        <v/>
      </c>
      <c r="M98" s="4">
        <f>M85-M46</f>
        <v/>
      </c>
      <c r="N98" s="147">
        <f>N85-N46</f>
        <v/>
      </c>
      <c r="O98" s="4">
        <f>O85-O46</f>
        <v/>
      </c>
      <c r="P98" s="4">
        <f>P85-P46</f>
        <v/>
      </c>
      <c r="Q98" s="4">
        <f>Q85-Q46</f>
        <v/>
      </c>
      <c r="R98" s="5">
        <f>SUM(L98:Q98)</f>
        <v/>
      </c>
      <c r="S98" s="186">
        <f>S85-S46</f>
        <v/>
      </c>
      <c r="T98" s="186">
        <f>T85-T46</f>
        <v/>
      </c>
      <c r="U98" s="186">
        <f>U85-U46</f>
        <v/>
      </c>
      <c r="V98" s="186">
        <f>V85-V46</f>
        <v/>
      </c>
      <c r="W98" s="186">
        <f>W85-W46</f>
        <v/>
      </c>
      <c r="X98" s="186">
        <f>X85-X46</f>
        <v/>
      </c>
      <c r="Y98" s="187">
        <f>Y85-Y46</f>
        <v/>
      </c>
    </row>
    <row r="99">
      <c r="C99" s="43" t="inlineStr">
        <is>
          <t>0047 集計</t>
        </is>
      </c>
      <c r="D99" s="76" t="inlineStr">
        <is>
          <t>馬場部長（静岡）</t>
        </is>
      </c>
      <c r="E99" s="4">
        <f>E86-E47</f>
        <v/>
      </c>
      <c r="F99" s="4">
        <f>F86-F47</f>
        <v/>
      </c>
      <c r="G99" s="147">
        <f>G86-G47</f>
        <v/>
      </c>
      <c r="H99" s="4">
        <f>H86-H47</f>
        <v/>
      </c>
      <c r="I99" s="4">
        <f>I86-I47</f>
        <v/>
      </c>
      <c r="J99" s="4">
        <f>J86-J47</f>
        <v/>
      </c>
      <c r="K99" s="5">
        <f>SUM(E99:J99)</f>
        <v/>
      </c>
      <c r="L99" s="4">
        <f>L86-L47</f>
        <v/>
      </c>
      <c r="M99" s="4">
        <f>M86-M47</f>
        <v/>
      </c>
      <c r="N99" s="147">
        <f>N86-N47</f>
        <v/>
      </c>
      <c r="O99" s="4">
        <f>O86-O47</f>
        <v/>
      </c>
      <c r="P99" s="4">
        <f>P86-P47</f>
        <v/>
      </c>
      <c r="Q99" s="4">
        <f>Q86-Q47</f>
        <v/>
      </c>
      <c r="R99" s="5">
        <f>SUM(L99:Q99)</f>
        <v/>
      </c>
      <c r="S99" s="186">
        <f>S86-S47</f>
        <v/>
      </c>
      <c r="T99" s="186">
        <f>T86-T47</f>
        <v/>
      </c>
      <c r="U99" s="186">
        <f>U86-U47</f>
        <v/>
      </c>
      <c r="V99" s="186">
        <f>V86-V47</f>
        <v/>
      </c>
      <c r="W99" s="186">
        <f>W86-W47</f>
        <v/>
      </c>
      <c r="X99" s="186">
        <f>X86-X47</f>
        <v/>
      </c>
      <c r="Y99" s="187">
        <f>Y86-Y47</f>
        <v/>
      </c>
    </row>
    <row r="100">
      <c r="C100" s="31" t="inlineStr">
        <is>
          <t>0550 集計</t>
        </is>
      </c>
      <c r="D100" s="20" t="inlineStr">
        <is>
          <t>馬場所長（東京）</t>
        </is>
      </c>
      <c r="E100" s="4">
        <f>E87-E48</f>
        <v/>
      </c>
      <c r="F100" s="4">
        <f>F87-F48</f>
        <v/>
      </c>
      <c r="G100" s="147">
        <f>G87-G48</f>
        <v/>
      </c>
      <c r="H100" s="4">
        <f>H87-H48</f>
        <v/>
      </c>
      <c r="I100" s="4">
        <f>I87-I48</f>
        <v/>
      </c>
      <c r="J100" s="4">
        <f>J87-J48</f>
        <v/>
      </c>
      <c r="K100" s="5">
        <f>SUM(E100:J100)</f>
        <v/>
      </c>
      <c r="L100" s="4">
        <f>L87-L48</f>
        <v/>
      </c>
      <c r="M100" s="4">
        <f>M87-M48</f>
        <v/>
      </c>
      <c r="N100" s="147">
        <f>N87-N48</f>
        <v/>
      </c>
      <c r="O100" s="4">
        <f>O87-O48</f>
        <v/>
      </c>
      <c r="P100" s="4">
        <f>P87-P48</f>
        <v/>
      </c>
      <c r="Q100" s="4">
        <f>Q87-Q48</f>
        <v/>
      </c>
      <c r="R100" s="5">
        <f>SUM(L100:Q100)</f>
        <v/>
      </c>
      <c r="S100" s="186">
        <f>S87-S48</f>
        <v/>
      </c>
      <c r="T100" s="186">
        <f>T87-T48</f>
        <v/>
      </c>
      <c r="U100" s="186">
        <f>U87-U48</f>
        <v/>
      </c>
      <c r="V100" s="186">
        <f>V87-V48</f>
        <v/>
      </c>
      <c r="W100" s="186">
        <f>W87-W48</f>
        <v/>
      </c>
      <c r="X100" s="186">
        <f>X87-X48</f>
        <v/>
      </c>
      <c r="Y100" s="187">
        <f>Y87-Y48</f>
        <v/>
      </c>
    </row>
    <row r="101">
      <c r="C101" s="31" t="inlineStr">
        <is>
          <t>0552 集計</t>
        </is>
      </c>
      <c r="D101" s="20" t="inlineStr">
        <is>
          <t>馬場部長（東京）</t>
        </is>
      </c>
      <c r="E101" s="4">
        <f>E88-E49</f>
        <v/>
      </c>
      <c r="F101" s="4">
        <f>F88-F49</f>
        <v/>
      </c>
      <c r="G101" s="147">
        <f>G88-G49</f>
        <v/>
      </c>
      <c r="H101" s="4">
        <f>H88-H49</f>
        <v/>
      </c>
      <c r="I101" s="4">
        <f>I88-I49</f>
        <v/>
      </c>
      <c r="J101" s="4">
        <f>J88-J49</f>
        <v/>
      </c>
      <c r="K101" s="5">
        <f>SUM(E101:J101)</f>
        <v/>
      </c>
      <c r="L101" s="4">
        <f>L88-L49</f>
        <v/>
      </c>
      <c r="M101" s="4">
        <f>M88-M49</f>
        <v/>
      </c>
      <c r="N101" s="147">
        <f>N88-N49</f>
        <v/>
      </c>
      <c r="O101" s="4">
        <f>O88-O49</f>
        <v/>
      </c>
      <c r="P101" s="4">
        <f>P88-P49</f>
        <v/>
      </c>
      <c r="Q101" s="4">
        <f>Q88-Q49</f>
        <v/>
      </c>
      <c r="R101" s="5">
        <f>SUM(L101:Q101)</f>
        <v/>
      </c>
      <c r="S101" s="186">
        <f>S88-S49</f>
        <v/>
      </c>
      <c r="T101" s="186">
        <f>T88-T49</f>
        <v/>
      </c>
      <c r="U101" s="186">
        <f>U88-U49</f>
        <v/>
      </c>
      <c r="V101" s="186">
        <f>V88-V49</f>
        <v/>
      </c>
      <c r="W101" s="186">
        <f>W88-W49</f>
        <v/>
      </c>
      <c r="X101" s="186">
        <f>X88-X49</f>
        <v/>
      </c>
      <c r="Y101" s="187">
        <f>Y88-Y49</f>
        <v/>
      </c>
    </row>
    <row r="102">
      <c r="C102" s="45" t="inlineStr">
        <is>
          <t>合計</t>
        </is>
      </c>
      <c r="D102" s="46" t="n"/>
      <c r="E102" s="7">
        <f>SUM(E96:E101)</f>
        <v/>
      </c>
      <c r="F102" s="7">
        <f>SUM(F96:F101)</f>
        <v/>
      </c>
      <c r="G102" s="7">
        <f>SUM(G96:G101)</f>
        <v/>
      </c>
      <c r="H102" s="7">
        <f>SUM(H96:H101)</f>
        <v/>
      </c>
      <c r="I102" s="7">
        <f>SUM(I96:I101)</f>
        <v/>
      </c>
      <c r="J102" s="7">
        <f>SUM(J96:J101)</f>
        <v/>
      </c>
      <c r="K102" s="8">
        <f>SUM(K96:K101)</f>
        <v/>
      </c>
      <c r="L102" s="7">
        <f>SUM(L96:L101)</f>
        <v/>
      </c>
      <c r="M102" s="7">
        <f>SUM(M96:M101)</f>
        <v/>
      </c>
      <c r="N102" s="7">
        <f>SUM(N96:N101)</f>
        <v/>
      </c>
      <c r="O102" s="7">
        <f>SUM(O96:O101)</f>
        <v/>
      </c>
      <c r="P102" s="7">
        <f>SUM(P96:P101)</f>
        <v/>
      </c>
      <c r="Q102" s="7">
        <f>SUM(Q96:Q101)</f>
        <v/>
      </c>
      <c r="R102" s="8">
        <f>SUM(R96:R101)</f>
        <v/>
      </c>
      <c r="S102" s="181">
        <f>S89-S50</f>
        <v/>
      </c>
      <c r="T102" s="181">
        <f>T89-T50</f>
        <v/>
      </c>
      <c r="U102" s="181">
        <f>U89-U50</f>
        <v/>
      </c>
      <c r="V102" s="181">
        <f>V89-V50</f>
        <v/>
      </c>
      <c r="W102" s="181">
        <f>W89-W50</f>
        <v/>
      </c>
      <c r="X102" s="181">
        <f>X89-X50</f>
        <v/>
      </c>
      <c r="Y102" s="182">
        <f>Y89-Y50</f>
        <v/>
      </c>
    </row>
    <row r="103" customFormat="1" s="60">
      <c r="A103" s="172" t="n"/>
      <c r="B103" s="172" t="n"/>
      <c r="C103" s="61" t="inlineStr">
        <is>
          <t>内リンガーハット</t>
        </is>
      </c>
      <c r="D103" s="63" t="n"/>
      <c r="E103" s="59" t="n"/>
      <c r="F103" s="59" t="n">
        <v>49.6</v>
      </c>
      <c r="G103" s="59" t="n"/>
      <c r="H103" s="59" t="n"/>
      <c r="I103" s="59" t="n"/>
      <c r="J103" s="59" t="n"/>
      <c r="K103" s="72">
        <f>SUM(E103:J103)</f>
        <v/>
      </c>
      <c r="L103" s="71" t="n"/>
      <c r="M103" s="59" t="n">
        <v>4.94</v>
      </c>
      <c r="N103" s="59" t="n"/>
      <c r="O103" s="59" t="n"/>
      <c r="P103" s="59" t="n"/>
      <c r="Q103" s="59" t="n"/>
      <c r="R103" s="72">
        <f>SUM(L103:Q103)</f>
        <v/>
      </c>
      <c r="S103" s="188">
        <f>S90-S51</f>
        <v/>
      </c>
      <c r="T103" s="188">
        <f>T90-T51</f>
        <v/>
      </c>
      <c r="U103" s="188">
        <f>U90-U51</f>
        <v/>
      </c>
      <c r="V103" s="188">
        <f>V90-V51</f>
        <v/>
      </c>
      <c r="W103" s="188">
        <f>W90-W51</f>
        <v/>
      </c>
      <c r="X103" s="188">
        <f>X90-X51</f>
        <v/>
      </c>
      <c r="Y103" s="189">
        <f>Y90-Y51</f>
        <v/>
      </c>
      <c r="Z103" s="60" t="inlineStr">
        <is>
          <t>0042と0550からカネゲン引く</t>
        </is>
      </c>
    </row>
    <row r="104" customFormat="1" s="60">
      <c r="A104" s="172" t="n"/>
      <c r="B104" s="172" t="n"/>
      <c r="C104" s="61" t="inlineStr">
        <is>
          <t>リンガーハット以外</t>
        </is>
      </c>
      <c r="D104" s="63" t="n"/>
      <c r="E104" s="59">
        <f>E102-E103</f>
        <v/>
      </c>
      <c r="F104" s="59">
        <f>F102-F103</f>
        <v/>
      </c>
      <c r="G104" s="59">
        <f>G102-G103</f>
        <v/>
      </c>
      <c r="H104" s="59">
        <f>H102-H103</f>
        <v/>
      </c>
      <c r="I104" s="59">
        <f>I102-I103</f>
        <v/>
      </c>
      <c r="J104" s="59">
        <f>J102-J103</f>
        <v/>
      </c>
      <c r="K104" s="72">
        <f>SUM(E104:J104)</f>
        <v/>
      </c>
      <c r="L104" s="71">
        <f>L102-L103</f>
        <v/>
      </c>
      <c r="M104" s="59">
        <f>M102-M103</f>
        <v/>
      </c>
      <c r="N104" s="59">
        <f>N102-N103</f>
        <v/>
      </c>
      <c r="O104" s="59">
        <f>O102-O103</f>
        <v/>
      </c>
      <c r="P104" s="59">
        <f>P102-P103</f>
        <v/>
      </c>
      <c r="Q104" s="59">
        <f>Q102-Q103</f>
        <v/>
      </c>
      <c r="R104" s="72">
        <f>SUM(L104:Q104)</f>
        <v/>
      </c>
      <c r="S104" s="188">
        <f>S91-S52</f>
        <v/>
      </c>
      <c r="T104" s="188">
        <f>T91-T52</f>
        <v/>
      </c>
      <c r="U104" s="188">
        <f>U91-U52</f>
        <v/>
      </c>
      <c r="V104" s="188">
        <f>V91-V52</f>
        <v/>
      </c>
      <c r="W104" s="188">
        <f>W91-W52</f>
        <v/>
      </c>
      <c r="X104" s="188">
        <f>X91-X52</f>
        <v/>
      </c>
      <c r="Y104" s="189">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70"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3" t="inlineStr">
        <is>
          <t>0042 集計</t>
        </is>
      </c>
      <c r="D109" s="76" t="inlineStr">
        <is>
          <t>馬場部長（鳥栖）</t>
        </is>
      </c>
      <c r="E109" s="4">
        <f>E83-E18</f>
        <v/>
      </c>
      <c r="F109" s="4">
        <f>F83-F18</f>
        <v/>
      </c>
      <c r="G109" s="147">
        <f>G83-G18</f>
        <v/>
      </c>
      <c r="H109" s="4">
        <f>H83-H18</f>
        <v/>
      </c>
      <c r="I109" s="4">
        <f>I83-I18</f>
        <v/>
      </c>
      <c r="J109" s="4">
        <f>J83-J18</f>
        <v/>
      </c>
      <c r="K109" s="5">
        <f>K83-K18</f>
        <v/>
      </c>
      <c r="L109" s="4">
        <f>L83-L18</f>
        <v/>
      </c>
      <c r="M109" s="4">
        <f>M83-M18</f>
        <v/>
      </c>
      <c r="N109" s="147">
        <f>N83-N18</f>
        <v/>
      </c>
      <c r="O109" s="4">
        <f>O83-O18</f>
        <v/>
      </c>
      <c r="P109" s="4">
        <f>P83-P18</f>
        <v/>
      </c>
      <c r="Q109" s="4">
        <f>Q83-Q18</f>
        <v/>
      </c>
      <c r="R109" s="5">
        <f>R83-R18</f>
        <v/>
      </c>
      <c r="S109" s="186">
        <f>S83-S18</f>
        <v/>
      </c>
      <c r="T109" s="186">
        <f>T83-T18</f>
        <v/>
      </c>
      <c r="U109" s="186">
        <f>U83-U18</f>
        <v/>
      </c>
      <c r="V109" s="186">
        <f>V83-V18</f>
        <v/>
      </c>
      <c r="W109" s="186">
        <f>W83-W18</f>
        <v/>
      </c>
      <c r="X109" s="186">
        <f>X83-X18</f>
        <v/>
      </c>
      <c r="Y109" s="187">
        <f>Y83-Y18</f>
        <v/>
      </c>
    </row>
    <row r="110">
      <c r="C110" s="43" t="inlineStr">
        <is>
          <t>0045 集計</t>
        </is>
      </c>
      <c r="D110" s="76" t="inlineStr">
        <is>
          <t>ペーパーハグ</t>
        </is>
      </c>
      <c r="E110" s="4">
        <f>E84-E19</f>
        <v/>
      </c>
      <c r="F110" s="4">
        <f>F84-F19</f>
        <v/>
      </c>
      <c r="G110" s="147">
        <f>G84-G19</f>
        <v/>
      </c>
      <c r="H110" s="4">
        <f>H84-H19</f>
        <v/>
      </c>
      <c r="I110" s="4">
        <f>I84-I19</f>
        <v/>
      </c>
      <c r="J110" s="4">
        <f>J84-J19</f>
        <v/>
      </c>
      <c r="K110" s="5">
        <f>K84-K19</f>
        <v/>
      </c>
      <c r="L110" s="4">
        <f>L84-L19</f>
        <v/>
      </c>
      <c r="M110" s="4">
        <f>M84-M19</f>
        <v/>
      </c>
      <c r="N110" s="147">
        <f>N84-N19</f>
        <v/>
      </c>
      <c r="O110" s="4">
        <f>O84-O19</f>
        <v/>
      </c>
      <c r="P110" s="4">
        <f>P84-P19</f>
        <v/>
      </c>
      <c r="Q110" s="4">
        <f>Q84-Q19</f>
        <v/>
      </c>
      <c r="R110" s="5">
        <f>R84-R19</f>
        <v/>
      </c>
      <c r="S110" s="186">
        <f>S84-S19</f>
        <v/>
      </c>
      <c r="T110" s="186">
        <f>T84-T19</f>
        <v/>
      </c>
      <c r="U110" s="186">
        <f>U84-U19</f>
        <v/>
      </c>
      <c r="V110" s="186">
        <f>V84-V19</f>
        <v/>
      </c>
      <c r="W110" s="186">
        <f>W84-W19</f>
        <v/>
      </c>
      <c r="X110" s="186">
        <f>X84-X19</f>
        <v/>
      </c>
      <c r="Y110" s="187">
        <f>Y84-Y19</f>
        <v/>
      </c>
    </row>
    <row r="111">
      <c r="C111" s="44" t="inlineStr">
        <is>
          <t>0046 集計</t>
        </is>
      </c>
      <c r="D111" s="20" t="inlineStr">
        <is>
          <t>角田</t>
        </is>
      </c>
      <c r="E111" s="4">
        <f>E85-E20</f>
        <v/>
      </c>
      <c r="F111" s="4">
        <f>F85-F20</f>
        <v/>
      </c>
      <c r="G111" s="147">
        <f>G85-G20</f>
        <v/>
      </c>
      <c r="H111" s="4">
        <f>H85-H20</f>
        <v/>
      </c>
      <c r="I111" s="4">
        <f>I85-I20</f>
        <v/>
      </c>
      <c r="J111" s="4">
        <f>J85-J20</f>
        <v/>
      </c>
      <c r="K111" s="5">
        <f>K85-K20</f>
        <v/>
      </c>
      <c r="L111" s="4">
        <f>L85-L20</f>
        <v/>
      </c>
      <c r="M111" s="4">
        <f>M85-M20</f>
        <v/>
      </c>
      <c r="N111" s="147">
        <f>N85-N20</f>
        <v/>
      </c>
      <c r="O111" s="4">
        <f>O85-O20</f>
        <v/>
      </c>
      <c r="P111" s="4">
        <f>P85-P20</f>
        <v/>
      </c>
      <c r="Q111" s="4">
        <f>Q85-Q20</f>
        <v/>
      </c>
      <c r="R111" s="5">
        <f>R85-R20</f>
        <v/>
      </c>
      <c r="S111" s="186">
        <f>S85-S20</f>
        <v/>
      </c>
      <c r="T111" s="186">
        <f>T85-T20</f>
        <v/>
      </c>
      <c r="U111" s="186">
        <f>U85-U20</f>
        <v/>
      </c>
      <c r="V111" s="186">
        <f>V85-V20</f>
        <v/>
      </c>
      <c r="W111" s="186">
        <f>W85-W20</f>
        <v/>
      </c>
      <c r="X111" s="186">
        <f>X85-X20</f>
        <v/>
      </c>
      <c r="Y111" s="187">
        <f>Y85-Y20</f>
        <v/>
      </c>
    </row>
    <row r="112">
      <c r="C112" s="43" t="inlineStr">
        <is>
          <t>0047 集計</t>
        </is>
      </c>
      <c r="D112" s="76" t="inlineStr">
        <is>
          <t>馬場部長（静岡）</t>
        </is>
      </c>
      <c r="E112" s="4">
        <f>E86-E21</f>
        <v/>
      </c>
      <c r="F112" s="4">
        <f>F86-F21</f>
        <v/>
      </c>
      <c r="G112" s="147">
        <f>G86-G21</f>
        <v/>
      </c>
      <c r="H112" s="4">
        <f>H86-H21</f>
        <v/>
      </c>
      <c r="I112" s="4">
        <f>I86-I21</f>
        <v/>
      </c>
      <c r="J112" s="4">
        <f>J86-J21</f>
        <v/>
      </c>
      <c r="K112" s="5">
        <f>K86-K21</f>
        <v/>
      </c>
      <c r="L112" s="4">
        <f>L86-L21</f>
        <v/>
      </c>
      <c r="M112" s="4">
        <f>M86-M21</f>
        <v/>
      </c>
      <c r="N112" s="147">
        <f>N86-N21</f>
        <v/>
      </c>
      <c r="O112" s="4">
        <f>O86-O21</f>
        <v/>
      </c>
      <c r="P112" s="4">
        <f>P86-P21</f>
        <v/>
      </c>
      <c r="Q112" s="4">
        <f>Q86-Q21</f>
        <v/>
      </c>
      <c r="R112" s="5">
        <f>R86-R21</f>
        <v/>
      </c>
      <c r="S112" s="186">
        <f>S86-S21</f>
        <v/>
      </c>
      <c r="T112" s="186">
        <f>T86-T21</f>
        <v/>
      </c>
      <c r="U112" s="186">
        <f>U86-U21</f>
        <v/>
      </c>
      <c r="V112" s="186">
        <f>V86-V21</f>
        <v/>
      </c>
      <c r="W112" s="186">
        <f>W86-W21</f>
        <v/>
      </c>
      <c r="X112" s="186">
        <f>X86-X21</f>
        <v/>
      </c>
      <c r="Y112" s="187">
        <f>Y86-Y21</f>
        <v/>
      </c>
    </row>
    <row r="113">
      <c r="C113" s="31" t="inlineStr">
        <is>
          <t>0550 集計</t>
        </is>
      </c>
      <c r="D113" s="20" t="inlineStr">
        <is>
          <t>馬場所長（東京）</t>
        </is>
      </c>
      <c r="E113" s="4">
        <f>E87-E22</f>
        <v/>
      </c>
      <c r="F113" s="4">
        <f>F87-F22</f>
        <v/>
      </c>
      <c r="G113" s="147">
        <f>G87-G22</f>
        <v/>
      </c>
      <c r="H113" s="4">
        <f>H87-H22</f>
        <v/>
      </c>
      <c r="I113" s="4">
        <f>I87-I22</f>
        <v/>
      </c>
      <c r="J113" s="4">
        <f>J87-J22</f>
        <v/>
      </c>
      <c r="K113" s="5">
        <f>K87-K22</f>
        <v/>
      </c>
      <c r="L113" s="4">
        <f>L87-L22</f>
        <v/>
      </c>
      <c r="M113" s="4">
        <f>M87-M22</f>
        <v/>
      </c>
      <c r="N113" s="147">
        <f>N87-N22</f>
        <v/>
      </c>
      <c r="O113" s="4">
        <f>O87-O22</f>
        <v/>
      </c>
      <c r="P113" s="4">
        <f>P87-P22</f>
        <v/>
      </c>
      <c r="Q113" s="4">
        <f>Q87-Q22</f>
        <v/>
      </c>
      <c r="R113" s="5">
        <f>R87-R22</f>
        <v/>
      </c>
      <c r="S113" s="186">
        <f>S87-S22</f>
        <v/>
      </c>
      <c r="T113" s="186">
        <f>T87-T22</f>
        <v/>
      </c>
      <c r="U113" s="186">
        <f>U87-U22</f>
        <v/>
      </c>
      <c r="V113" s="186">
        <f>V87-V22</f>
        <v/>
      </c>
      <c r="W113" s="186">
        <f>W87-W22</f>
        <v/>
      </c>
      <c r="X113" s="186">
        <f>X87-X22</f>
        <v/>
      </c>
      <c r="Y113" s="187">
        <f>Y87-Y22</f>
        <v/>
      </c>
    </row>
    <row r="114">
      <c r="C114" s="31" t="inlineStr">
        <is>
          <t>0552 集計</t>
        </is>
      </c>
      <c r="D114" s="20" t="inlineStr">
        <is>
          <t>馬場部長（東京）</t>
        </is>
      </c>
      <c r="E114" s="4">
        <f>E88-E23</f>
        <v/>
      </c>
      <c r="F114" s="4">
        <f>F88-F23</f>
        <v/>
      </c>
      <c r="G114" s="147">
        <f>G88-G23</f>
        <v/>
      </c>
      <c r="H114" s="4">
        <f>H88-H23</f>
        <v/>
      </c>
      <c r="I114" s="4">
        <f>I88-I23</f>
        <v/>
      </c>
      <c r="J114" s="4">
        <f>J88-J23</f>
        <v/>
      </c>
      <c r="K114" s="5">
        <f>K88-K23</f>
        <v/>
      </c>
      <c r="L114" s="4">
        <f>L88-L23</f>
        <v/>
      </c>
      <c r="M114" s="4">
        <f>M88-M23</f>
        <v/>
      </c>
      <c r="N114" s="147">
        <f>N88-N23</f>
        <v/>
      </c>
      <c r="O114" s="4">
        <f>O88-O23</f>
        <v/>
      </c>
      <c r="P114" s="4">
        <f>P88-P23</f>
        <v/>
      </c>
      <c r="Q114" s="4">
        <f>Q88-Q23</f>
        <v/>
      </c>
      <c r="R114" s="5">
        <f>R88-R23</f>
        <v/>
      </c>
      <c r="S114" s="186">
        <f>S88-S23</f>
        <v/>
      </c>
      <c r="T114" s="186">
        <f>T88-T23</f>
        <v/>
      </c>
      <c r="U114" s="186">
        <f>U88-U23</f>
        <v/>
      </c>
      <c r="V114" s="186">
        <f>V88-V23</f>
        <v/>
      </c>
      <c r="W114" s="186">
        <f>W88-W23</f>
        <v/>
      </c>
      <c r="X114" s="186">
        <f>X88-X23</f>
        <v/>
      </c>
      <c r="Y114" s="187">
        <f>Y88-Y23</f>
        <v/>
      </c>
    </row>
    <row r="115">
      <c r="C115" s="45" t="inlineStr">
        <is>
          <t>合計</t>
        </is>
      </c>
      <c r="D115" s="46" t="n"/>
      <c r="E115" s="7">
        <f>E89-E24</f>
        <v/>
      </c>
      <c r="F115" s="7">
        <f>F89-F24</f>
        <v/>
      </c>
      <c r="G115" s="7">
        <f>G89-G24</f>
        <v/>
      </c>
      <c r="H115" s="7">
        <f>H89-H24</f>
        <v/>
      </c>
      <c r="I115" s="7">
        <f>I89-I24</f>
        <v/>
      </c>
      <c r="J115" s="7">
        <f>J89-J24</f>
        <v/>
      </c>
      <c r="K115" s="8">
        <f>K89-K24</f>
        <v/>
      </c>
      <c r="L115" s="7">
        <f>L89-L24</f>
        <v/>
      </c>
      <c r="M115" s="7">
        <f>M89-M24</f>
        <v/>
      </c>
      <c r="N115" s="7">
        <f>N89-N24</f>
        <v/>
      </c>
      <c r="O115" s="7">
        <f>O89-O24</f>
        <v/>
      </c>
      <c r="P115" s="7">
        <f>P89-P24</f>
        <v/>
      </c>
      <c r="Q115" s="7">
        <f>Q89-Q24</f>
        <v/>
      </c>
      <c r="R115" s="8">
        <f>R89-R24</f>
        <v/>
      </c>
      <c r="S115" s="181">
        <f>S89-S24</f>
        <v/>
      </c>
      <c r="T115" s="181">
        <f>T89-T24</f>
        <v/>
      </c>
      <c r="U115" s="181">
        <f>U89-U24</f>
        <v/>
      </c>
      <c r="V115" s="181">
        <f>V89-V24</f>
        <v/>
      </c>
      <c r="W115" s="181">
        <f>W89-W24</f>
        <v/>
      </c>
      <c r="X115" s="181">
        <f>X89-X24</f>
        <v/>
      </c>
      <c r="Y115" s="182">
        <f>Y89-Y24</f>
        <v/>
      </c>
    </row>
    <row r="116" customFormat="1" s="60">
      <c r="A116" s="172" t="n"/>
      <c r="B116" s="172" t="n"/>
      <c r="C116" s="61" t="inlineStr">
        <is>
          <t>内リンガーハット</t>
        </is>
      </c>
      <c r="D116" s="63" t="n"/>
      <c r="E116" s="59">
        <f>E90-E25</f>
        <v/>
      </c>
      <c r="F116" s="59">
        <f>F90-F25</f>
        <v/>
      </c>
      <c r="G116" s="148">
        <f>G90-G25</f>
        <v/>
      </c>
      <c r="H116" s="59">
        <f>H90-H25</f>
        <v/>
      </c>
      <c r="I116" s="59">
        <f>I90-I25</f>
        <v/>
      </c>
      <c r="J116" s="59">
        <f>J90-J25</f>
        <v/>
      </c>
      <c r="K116" s="72">
        <f>SUM(E116:J116)</f>
        <v/>
      </c>
      <c r="L116" s="59">
        <f>L90-L25</f>
        <v/>
      </c>
      <c r="M116" s="59">
        <f>M90-M25</f>
        <v/>
      </c>
      <c r="N116" s="148">
        <f>N90-N25</f>
        <v/>
      </c>
      <c r="O116" s="59">
        <f>O90-O25</f>
        <v/>
      </c>
      <c r="P116" s="59">
        <f>P90-P25</f>
        <v/>
      </c>
      <c r="Q116" s="59">
        <f>Q90-Q25</f>
        <v/>
      </c>
      <c r="R116" s="72">
        <f>SUM(L116:Q116)</f>
        <v/>
      </c>
      <c r="S116" s="188">
        <f>S90-S25</f>
        <v/>
      </c>
      <c r="T116" s="188">
        <f>T90-T25</f>
        <v/>
      </c>
      <c r="U116" s="188">
        <f>U90-U25</f>
        <v/>
      </c>
      <c r="V116" s="188">
        <f>V90-V25</f>
        <v/>
      </c>
      <c r="W116" s="188">
        <f>W90-W25</f>
        <v/>
      </c>
      <c r="X116" s="188">
        <f>X90-X25</f>
        <v/>
      </c>
      <c r="Y116" s="189">
        <f>Y90-Y25</f>
        <v/>
      </c>
      <c r="Z116" s="60" t="inlineStr">
        <is>
          <t>0042と0550からカネゲン引く</t>
        </is>
      </c>
    </row>
    <row r="117" customFormat="1" s="60">
      <c r="A117" s="172" t="n"/>
      <c r="B117" s="172" t="n"/>
      <c r="C117" s="61" t="inlineStr">
        <is>
          <t>リンガーハット以外</t>
        </is>
      </c>
      <c r="D117" s="63" t="n"/>
      <c r="E117" s="59">
        <f>E91-E27</f>
        <v/>
      </c>
      <c r="F117" s="59">
        <f>F91-F27</f>
        <v/>
      </c>
      <c r="G117" s="148">
        <f>G91-G27</f>
        <v/>
      </c>
      <c r="H117" s="59">
        <f>H91-H27</f>
        <v/>
      </c>
      <c r="I117" s="59">
        <f>I91-I27</f>
        <v/>
      </c>
      <c r="J117" s="59">
        <f>J91-J27</f>
        <v/>
      </c>
      <c r="K117" s="72">
        <f>SUM(E117:J117)</f>
        <v/>
      </c>
      <c r="L117" s="59">
        <f>L91-L27</f>
        <v/>
      </c>
      <c r="M117" s="59">
        <f>M91-M27</f>
        <v/>
      </c>
      <c r="N117" s="148">
        <f>N91-N27</f>
        <v/>
      </c>
      <c r="O117" s="59">
        <f>O91-O27</f>
        <v/>
      </c>
      <c r="P117" s="59">
        <f>P91-P27</f>
        <v/>
      </c>
      <c r="Q117" s="59">
        <f>Q91-Q27</f>
        <v/>
      </c>
      <c r="R117" s="72">
        <f>SUM(L117:Q117)</f>
        <v/>
      </c>
      <c r="S117" s="188">
        <f>S115-S116</f>
        <v/>
      </c>
      <c r="T117" s="188">
        <f>T115-T116</f>
        <v/>
      </c>
      <c r="U117" s="188">
        <f>U115-U116</f>
        <v/>
      </c>
      <c r="V117" s="188">
        <f>V115-V116</f>
        <v/>
      </c>
      <c r="W117" s="188">
        <f>W115-W116</f>
        <v/>
      </c>
      <c r="X117" s="188">
        <f>X115-X116</f>
        <v/>
      </c>
      <c r="Y117" s="189">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worksheet>
</file>

<file path=xl/worksheets/sheet4.xml><?xml version="1.0" encoding="utf-8"?>
<worksheet xmlns="http://schemas.openxmlformats.org/spreadsheetml/2006/main">
  <sheetPr>
    <outlinePr summaryBelow="1" summaryRight="1"/>
    <pageSetUpPr fitToPage="1"/>
  </sheetPr>
  <dimension ref="A1:Z117"/>
  <sheetViews>
    <sheetView tabSelected="1" zoomScaleNormal="100" workbookViewId="0">
      <pane xSplit="4" ySplit="1" topLeftCell="E94" activePane="bottomRight" state="frozen"/>
      <selection activeCell="O37" sqref="O37"/>
      <selection pane="topRight" activeCell="O37" sqref="O37"/>
      <selection pane="bottomLeft" activeCell="O37" sqref="O37"/>
      <selection pane="bottomRight" activeCell="G111" sqref="G111"/>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広域営業部全体</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9"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9" t="inlineStr">
        <is>
          <t>0042 集計</t>
        </is>
      </c>
      <c r="D5" s="76" t="inlineStr">
        <is>
          <t>馬場部長（鳥栖）</t>
        </is>
      </c>
      <c r="E5" s="4" t="n">
        <v>26386.247</v>
      </c>
      <c r="F5" s="4" t="n">
        <v>26971.12</v>
      </c>
      <c r="G5" s="4" t="n">
        <v>27114.709</v>
      </c>
      <c r="H5" s="4" t="n">
        <v>27167.311</v>
      </c>
      <c r="I5" s="4" t="n">
        <v>29803.714</v>
      </c>
      <c r="J5" s="4" t="n">
        <v>27213.514</v>
      </c>
      <c r="K5" s="84">
        <f>SUM(E5:J5)</f>
        <v/>
      </c>
      <c r="L5" s="3" t="n">
        <v>3948.893</v>
      </c>
      <c r="M5" s="4" t="n">
        <v>3790.598</v>
      </c>
      <c r="N5" s="4" t="n">
        <v>3848.321</v>
      </c>
      <c r="O5" s="4" t="n">
        <v>3623.105</v>
      </c>
      <c r="P5" s="4" t="n">
        <v>3770.767</v>
      </c>
      <c r="Q5" s="4" t="n">
        <v>4090.452</v>
      </c>
      <c r="R5" s="84">
        <f>SUM(L5:Q5)</f>
        <v/>
      </c>
      <c r="S5" s="198">
        <f>IF(E5=0,"***",L5/E5)</f>
        <v/>
      </c>
      <c r="T5" s="186">
        <f>IF(F5=0,"***",M5/F5)</f>
        <v/>
      </c>
      <c r="U5" s="186">
        <f>IF(G5=0,"***",N5/G5)</f>
        <v/>
      </c>
      <c r="V5" s="186">
        <f>IF(H5=0,"***",O5/H5)</f>
        <v/>
      </c>
      <c r="W5" s="186">
        <f>IF(I5=0,"***",P5/I5)</f>
        <v/>
      </c>
      <c r="X5" s="186">
        <f>IF(J5=0,"***",Q5/J5)</f>
        <v/>
      </c>
      <c r="Y5" s="199">
        <f>IF(K5=0,"***",R5/K5)</f>
        <v/>
      </c>
    </row>
    <row r="6">
      <c r="C6" s="49" t="inlineStr">
        <is>
          <t>0045 集計</t>
        </is>
      </c>
      <c r="D6" s="75" t="inlineStr">
        <is>
          <t>ペーパーハグ</t>
        </is>
      </c>
      <c r="E6" s="4" t="n">
        <v>0</v>
      </c>
      <c r="F6" s="4" t="n">
        <v>0</v>
      </c>
      <c r="G6" s="4" t="n">
        <v>3.3</v>
      </c>
      <c r="H6" s="4" t="n">
        <v>0</v>
      </c>
      <c r="I6" s="4" t="n">
        <v>0</v>
      </c>
      <c r="J6" s="4" t="n">
        <v>0</v>
      </c>
      <c r="K6" s="84">
        <f>SUM(E6:J6)</f>
        <v/>
      </c>
      <c r="L6" s="3" t="n">
        <v>0</v>
      </c>
      <c r="M6" s="4" t="n">
        <v>0</v>
      </c>
      <c r="N6" s="4" t="n">
        <v>0.53</v>
      </c>
      <c r="O6" s="4" t="n">
        <v>0</v>
      </c>
      <c r="P6" s="4" t="n">
        <v>0</v>
      </c>
      <c r="Q6" s="4" t="n">
        <v>0</v>
      </c>
      <c r="R6" s="84" t="n"/>
      <c r="S6" s="198" t="n"/>
      <c r="T6" s="186" t="n"/>
      <c r="U6" s="186" t="n"/>
      <c r="V6" s="186" t="n"/>
      <c r="W6" s="186" t="n"/>
      <c r="X6" s="186" t="n"/>
      <c r="Y6" s="199" t="n"/>
    </row>
    <row r="7">
      <c r="C7" s="49" t="inlineStr">
        <is>
          <t>0046 集計</t>
        </is>
      </c>
      <c r="D7" s="20" t="inlineStr">
        <is>
          <t>角田</t>
        </is>
      </c>
      <c r="E7" s="4" t="n">
        <v>5228.142</v>
      </c>
      <c r="F7" s="4" t="n">
        <v>4797.901000000001</v>
      </c>
      <c r="G7" s="4" t="n">
        <v>5029.399</v>
      </c>
      <c r="H7" s="4" t="n">
        <v>5698.965999999999</v>
      </c>
      <c r="I7" s="4" t="n">
        <v>5858.116</v>
      </c>
      <c r="J7" s="4" t="n">
        <v>4770.000999999999</v>
      </c>
      <c r="K7" s="84">
        <f>SUM(E7:J7)</f>
        <v/>
      </c>
      <c r="L7" s="3" t="n">
        <v>932.4959999999999</v>
      </c>
      <c r="M7" s="4" t="n">
        <v>815.263</v>
      </c>
      <c r="N7" s="4" t="n">
        <v>927.1969999999999</v>
      </c>
      <c r="O7" s="4" t="n">
        <v>1039.285</v>
      </c>
      <c r="P7" s="4" t="n">
        <v>1098.501</v>
      </c>
      <c r="Q7" s="4" t="n">
        <v>981.1019999999999</v>
      </c>
      <c r="R7" s="84">
        <f>SUM(L7:Q7)</f>
        <v/>
      </c>
      <c r="S7" s="198">
        <f>IF(E7=0,"***",L7/E7)</f>
        <v/>
      </c>
      <c r="T7" s="186">
        <f>IF(F7=0,"***",M7/F7)</f>
        <v/>
      </c>
      <c r="U7" s="186">
        <f>IF(G7=0,"***",N7/G7)</f>
        <v/>
      </c>
      <c r="V7" s="186">
        <f>IF(H7=0,"***",O7/H7)</f>
        <v/>
      </c>
      <c r="W7" s="186">
        <f>IF(I7=0,"***",P7/I7)</f>
        <v/>
      </c>
      <c r="X7" s="186">
        <f>IF(J7=0,"***",Q7/J7)</f>
        <v/>
      </c>
      <c r="Y7" s="199">
        <f>IF(K7=0,"***",R7/K7)</f>
        <v/>
      </c>
    </row>
    <row r="8">
      <c r="C8" s="49" t="inlineStr">
        <is>
          <t>0047 集計</t>
        </is>
      </c>
      <c r="D8" s="76" t="inlineStr">
        <is>
          <t>馬場部長（静岡）</t>
        </is>
      </c>
      <c r="E8" s="4" t="n">
        <v>0</v>
      </c>
      <c r="F8" s="4" t="n">
        <v>0</v>
      </c>
      <c r="G8" s="4" t="n">
        <v>0</v>
      </c>
      <c r="H8" s="4" t="n">
        <v>0</v>
      </c>
      <c r="I8" s="4" t="n">
        <v>0</v>
      </c>
      <c r="J8" s="4" t="n">
        <v>0</v>
      </c>
      <c r="K8" s="84">
        <f>SUM(E8:J8)</f>
        <v/>
      </c>
      <c r="L8" s="3" t="n">
        <v>0</v>
      </c>
      <c r="M8" s="4" t="n">
        <v>0</v>
      </c>
      <c r="N8" s="4" t="n">
        <v>0</v>
      </c>
      <c r="O8" s="4" t="n">
        <v>0</v>
      </c>
      <c r="P8" s="4" t="n">
        <v>0</v>
      </c>
      <c r="Q8" s="4" t="n">
        <v>0</v>
      </c>
      <c r="R8" s="84" t="n"/>
      <c r="S8" s="198" t="n"/>
      <c r="T8" s="186" t="n"/>
      <c r="U8" s="186" t="n"/>
      <c r="V8" s="186" t="n"/>
      <c r="W8" s="186" t="n"/>
      <c r="X8" s="186" t="n"/>
      <c r="Y8" s="199" t="n"/>
    </row>
    <row r="9">
      <c r="C9" s="50" t="inlineStr">
        <is>
          <t>0550 集計</t>
        </is>
      </c>
      <c r="D9" s="76" t="inlineStr">
        <is>
          <t>馬場所長（東京）</t>
        </is>
      </c>
      <c r="E9" s="4" t="n">
        <v>119</v>
      </c>
      <c r="F9" s="4" t="n">
        <v>-3482.785</v>
      </c>
      <c r="G9" s="4" t="n">
        <v>214.6</v>
      </c>
      <c r="H9" s="4" t="n">
        <v>3732.15</v>
      </c>
      <c r="I9" s="4" t="n">
        <v>195.075</v>
      </c>
      <c r="J9" s="4" t="n">
        <v>131.425</v>
      </c>
      <c r="K9" s="84">
        <f>SUM(E9:J9)</f>
        <v/>
      </c>
      <c r="L9" s="3" t="n">
        <v>50</v>
      </c>
      <c r="M9" s="4" t="n">
        <v>-368</v>
      </c>
      <c r="N9" s="4" t="n">
        <v>51.376</v>
      </c>
      <c r="O9" s="4" t="n">
        <v>482.149</v>
      </c>
      <c r="P9" s="4" t="n">
        <v>53.971</v>
      </c>
      <c r="Q9" s="4" t="n">
        <v>55.625</v>
      </c>
      <c r="R9" s="84">
        <f>SUM(L9:Q9)</f>
        <v/>
      </c>
      <c r="S9" s="198">
        <f>IF(E9=0,"***",L9/E9)</f>
        <v/>
      </c>
      <c r="T9" s="186">
        <f>IF(F9=0,"***",M9/F9)</f>
        <v/>
      </c>
      <c r="U9" s="186">
        <f>IF(G9=0,"***",N9/G9)</f>
        <v/>
      </c>
      <c r="V9" s="186">
        <f>IF(H9=0,"***",O9/H9)</f>
        <v/>
      </c>
      <c r="W9" s="186">
        <f>IF(I9=0,"***",P9/I9)</f>
        <v/>
      </c>
      <c r="X9" s="186">
        <f>IF(J9=0,"***",Q9/J9)</f>
        <v/>
      </c>
      <c r="Y9" s="199">
        <f>IF(K9=0,"***",R9/K9)</f>
        <v/>
      </c>
    </row>
    <row r="10">
      <c r="C10" s="50" t="inlineStr">
        <is>
          <t>0552 集計</t>
        </is>
      </c>
      <c r="D10" s="20" t="inlineStr">
        <is>
          <t>馬場部長（東京）</t>
        </is>
      </c>
      <c r="E10" s="4" t="n">
        <v>2089.362</v>
      </c>
      <c r="F10" s="4" t="n">
        <v>2216.486</v>
      </c>
      <c r="G10" s="4" t="n">
        <v>4958.206</v>
      </c>
      <c r="H10" s="4" t="n">
        <v>1725.873</v>
      </c>
      <c r="I10" s="4" t="n">
        <v>2241.943</v>
      </c>
      <c r="J10" s="4" t="n">
        <v>4914.884000000001</v>
      </c>
      <c r="K10" s="84">
        <f>SUM(E10:J10)</f>
        <v/>
      </c>
      <c r="L10" s="3" t="n">
        <v>227.091</v>
      </c>
      <c r="M10" s="4" t="n">
        <v>241.8505</v>
      </c>
      <c r="N10" s="4" t="n">
        <v>425.8589999999999</v>
      </c>
      <c r="O10" s="4" t="n">
        <v>195.984</v>
      </c>
      <c r="P10" s="4" t="n">
        <v>264.976</v>
      </c>
      <c r="Q10" s="4" t="n">
        <v>427.9299999999999</v>
      </c>
      <c r="R10" s="84">
        <f>SUM(L10:Q10)</f>
        <v/>
      </c>
      <c r="S10" s="198">
        <f>IF(E10=0,"***",L10/E10)</f>
        <v/>
      </c>
      <c r="T10" s="186">
        <f>IF(F10=0,"***",M10/F10)</f>
        <v/>
      </c>
      <c r="U10" s="186">
        <f>IF(G10=0,"***",N10/G10)</f>
        <v/>
      </c>
      <c r="V10" s="186">
        <f>IF(H10=0,"***",O10/H10)</f>
        <v/>
      </c>
      <c r="W10" s="186">
        <f>IF(I10=0,"***",P10/I10)</f>
        <v/>
      </c>
      <c r="X10" s="186">
        <f>IF(J10=0,"***",Q10/J10)</f>
        <v/>
      </c>
      <c r="Y10" s="199">
        <f>IF(K10=0,"***",R10/K10)</f>
        <v/>
      </c>
    </row>
    <row r="11">
      <c r="C11" s="45" t="inlineStr">
        <is>
          <t>合計</t>
        </is>
      </c>
      <c r="D11" s="46" t="n"/>
      <c r="E11" s="7">
        <f>SUM(E5:E10)</f>
        <v/>
      </c>
      <c r="F11" s="7">
        <f>SUM(F5:F10)</f>
        <v/>
      </c>
      <c r="G11" s="7">
        <f>SUM(G5:G10)</f>
        <v/>
      </c>
      <c r="H11" s="7">
        <f>SUM(H5:H10)</f>
        <v/>
      </c>
      <c r="I11" s="7">
        <f>SUM(I5:I10)</f>
        <v/>
      </c>
      <c r="J11" s="7">
        <f>SUM(J5:J10)</f>
        <v/>
      </c>
      <c r="K11" s="85">
        <f>SUM(K5:K10)</f>
        <v/>
      </c>
      <c r="L11" s="91">
        <f>SUM(L5:L10)</f>
        <v/>
      </c>
      <c r="M11" s="7">
        <f>SUM(M5:M10)</f>
        <v/>
      </c>
      <c r="N11" s="7">
        <f>SUM(N5:N10)</f>
        <v/>
      </c>
      <c r="O11" s="7">
        <f>SUM(O5:O10)</f>
        <v/>
      </c>
      <c r="P11" s="7">
        <f>SUM(P5:P10)</f>
        <v/>
      </c>
      <c r="Q11" s="7">
        <f>SUM(Q5:Q10)</f>
        <v/>
      </c>
      <c r="R11" s="85">
        <f>SUM(R5:R10)</f>
        <v/>
      </c>
      <c r="S11" s="200">
        <f>SUM(S5:S10)</f>
        <v/>
      </c>
      <c r="T11" s="181">
        <f>SUM(T5:T10)</f>
        <v/>
      </c>
      <c r="U11" s="181">
        <f>SUM(U5:U10)</f>
        <v/>
      </c>
      <c r="V11" s="181">
        <f>SUM(V5:V10)</f>
        <v/>
      </c>
      <c r="W11" s="181">
        <f>SUM(W5:W10)</f>
        <v/>
      </c>
      <c r="X11" s="181">
        <f>SUM(X5:X10)</f>
        <v/>
      </c>
      <c r="Y11" s="201">
        <f>SUM(Y5:Y10)</f>
        <v/>
      </c>
    </row>
    <row r="12" customFormat="1" s="60">
      <c r="C12" s="64" t="inlineStr">
        <is>
          <t>リンガーハット</t>
        </is>
      </c>
      <c r="D12" s="68" t="n"/>
      <c r="E12" s="65" t="n">
        <v>24579.713</v>
      </c>
      <c r="F12" s="65" t="n">
        <v>21871.365</v>
      </c>
      <c r="G12" s="65" t="n">
        <v>26248.349</v>
      </c>
      <c r="H12" s="65" t="n">
        <v>29746.479</v>
      </c>
      <c r="I12" s="65" t="n">
        <v>28967.532</v>
      </c>
      <c r="J12" s="65" t="n">
        <v>26179.68</v>
      </c>
      <c r="K12" s="86">
        <f>SUM(E12:J12)</f>
        <v/>
      </c>
      <c r="L12" s="92" t="n">
        <v>3729.805</v>
      </c>
      <c r="M12" s="65" t="n">
        <v>3148.576</v>
      </c>
      <c r="N12" s="65" t="n">
        <v>3729.589</v>
      </c>
      <c r="O12" s="65" t="n">
        <v>3940.045</v>
      </c>
      <c r="P12" s="65" t="n">
        <v>3790.54</v>
      </c>
      <c r="Q12" s="65" t="n">
        <v>3985.081</v>
      </c>
      <c r="R12" s="86">
        <f>SUM(L12:Q12)</f>
        <v/>
      </c>
      <c r="S12" s="208">
        <f>IF(E12=0,"***",L12/E12)</f>
        <v/>
      </c>
      <c r="T12" s="209">
        <f>IF(F12=0,"***",M12/F12)</f>
        <v/>
      </c>
      <c r="U12" s="209">
        <f>IF(G12=0,"***",N12/G12)</f>
        <v/>
      </c>
      <c r="V12" s="209">
        <f>IF(H12=0,"***",O12/H12)</f>
        <v/>
      </c>
      <c r="W12" s="209">
        <f>IF(I12=0,"***",P12/I12)</f>
        <v/>
      </c>
      <c r="X12" s="209">
        <f>IF(J12=0,"***",Q12/J12)</f>
        <v/>
      </c>
      <c r="Y12" s="210">
        <f>SUM(S12:X12)</f>
        <v/>
      </c>
      <c r="Z12" s="60" t="inlineStr">
        <is>
          <t>0042と0550からカネゲン引く</t>
        </is>
      </c>
    </row>
    <row r="13" customFormat="1" s="60">
      <c r="C13" s="87" t="inlineStr">
        <is>
          <t>リンガーハット以外</t>
        </is>
      </c>
      <c r="D13" s="88" t="n"/>
      <c r="E13" s="89">
        <f>E11-E12</f>
        <v/>
      </c>
      <c r="F13" s="89">
        <f>F11-F12</f>
        <v/>
      </c>
      <c r="G13" s="89">
        <f>G11-G12</f>
        <v/>
      </c>
      <c r="H13" s="89">
        <f>H11-H12</f>
        <v/>
      </c>
      <c r="I13" s="89">
        <f>I11-I12</f>
        <v/>
      </c>
      <c r="J13" s="89">
        <f>J11-J12</f>
        <v/>
      </c>
      <c r="K13" s="90">
        <f>SUM(E13:J13)</f>
        <v/>
      </c>
      <c r="L13" s="93">
        <f>L11-L12</f>
        <v/>
      </c>
      <c r="M13" s="89">
        <f>M11-M12</f>
        <v/>
      </c>
      <c r="N13" s="89">
        <f>N11-N12</f>
        <v/>
      </c>
      <c r="O13" s="89">
        <f>O11-O12</f>
        <v/>
      </c>
      <c r="P13" s="89">
        <f>P11-P12</f>
        <v/>
      </c>
      <c r="Q13" s="89">
        <f>Q11-Q12</f>
        <v/>
      </c>
      <c r="R13" s="90">
        <f>SUM(L13:Q13)</f>
        <v/>
      </c>
      <c r="S13" s="211">
        <f>IF(E13=0,"***",L13/E13)</f>
        <v/>
      </c>
      <c r="T13" s="212">
        <f>IF(F13=0,"***",M13/F13)</f>
        <v/>
      </c>
      <c r="U13" s="212">
        <f>IF(G13=0,"***",N13/G13)</f>
        <v/>
      </c>
      <c r="V13" s="212">
        <f>IF(H13=0,"***",O13/H13)</f>
        <v/>
      </c>
      <c r="W13" s="212">
        <f>IF(I13=0,"***",P13/I13)</f>
        <v/>
      </c>
      <c r="X13" s="212">
        <f>IF(J13=0,"***",Q13/J13)</f>
        <v/>
      </c>
      <c r="Y13" s="213">
        <f>SUM(S13:X13)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9"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9" t="inlineStr">
        <is>
          <t>0042 集計</t>
        </is>
      </c>
      <c r="D18" s="76" t="inlineStr">
        <is>
          <t>馬場部長（鳥栖）</t>
        </is>
      </c>
      <c r="E18" s="4" t="n">
        <v>30550.707</v>
      </c>
      <c r="F18" s="4" t="n">
        <v>26569.409</v>
      </c>
      <c r="G18" s="4" t="n">
        <v>27573.182</v>
      </c>
      <c r="H18" s="4" t="n">
        <v>31429.011</v>
      </c>
      <c r="I18" s="4" t="n">
        <v>30768.325</v>
      </c>
      <c r="J18" s="4" t="n">
        <v>30659.494</v>
      </c>
      <c r="K18" s="84">
        <f>SUM(E18:J18)</f>
        <v/>
      </c>
      <c r="L18" s="3" t="n">
        <v>4866.251999999999</v>
      </c>
      <c r="M18" s="4" t="n">
        <v>3636.631</v>
      </c>
      <c r="N18" s="4" t="n">
        <v>4122.204</v>
      </c>
      <c r="O18" s="4" t="n">
        <v>4576.347</v>
      </c>
      <c r="P18" s="4" t="n">
        <v>4390.406</v>
      </c>
      <c r="Q18" s="4" t="n">
        <v>4513.813</v>
      </c>
      <c r="R18" s="84">
        <f>SUM(L18:Q18)</f>
        <v/>
      </c>
      <c r="S18" s="198">
        <f>IF(E18=0,"***",L18/E18)</f>
        <v/>
      </c>
      <c r="T18" s="186">
        <f>IF(F18=0,"***",M18/F18)</f>
        <v/>
      </c>
      <c r="U18" s="186">
        <f>IF(G18=0,"***",N18/G18)</f>
        <v/>
      </c>
      <c r="V18" s="186">
        <f>IF(H18=0,"***",O18/H18)</f>
        <v/>
      </c>
      <c r="W18" s="186">
        <f>IF(I18=0,"***",P18/I18)</f>
        <v/>
      </c>
      <c r="X18" s="186">
        <f>IF(J18=0,"***",Q18/J18)</f>
        <v/>
      </c>
      <c r="Y18" s="199">
        <f>IF(K18=0,"***",R18/K18)</f>
        <v/>
      </c>
    </row>
    <row r="19">
      <c r="C19" s="49" t="inlineStr">
        <is>
          <t>0045 集計</t>
        </is>
      </c>
      <c r="D19" s="75" t="inlineStr">
        <is>
          <t>ペーパーハグ</t>
        </is>
      </c>
      <c r="E19" s="4" t="n">
        <v>0</v>
      </c>
      <c r="F19" s="4" t="n">
        <v>0</v>
      </c>
      <c r="G19" s="4" t="n">
        <v>0</v>
      </c>
      <c r="H19" s="4" t="n">
        <v>0</v>
      </c>
      <c r="I19" s="4" t="n">
        <v>5.8</v>
      </c>
      <c r="J19" s="4" t="n">
        <v>0</v>
      </c>
      <c r="K19" s="84">
        <f>SUM(E19:J19)</f>
        <v/>
      </c>
      <c r="L19" s="3" t="n">
        <v>0</v>
      </c>
      <c r="M19" s="4" t="n">
        <v>0</v>
      </c>
      <c r="N19" s="4" t="n">
        <v>0</v>
      </c>
      <c r="O19" s="4" t="n">
        <v>0</v>
      </c>
      <c r="P19" s="4" t="n">
        <v>0.79</v>
      </c>
      <c r="Q19" s="4" t="n">
        <v>0</v>
      </c>
      <c r="R19" s="84">
        <f>SUM(L19:Q19)</f>
        <v/>
      </c>
      <c r="S19" s="198">
        <f>IF(E19=0,"***",L19/E19)</f>
        <v/>
      </c>
      <c r="T19" s="186">
        <f>IF(F19=0,"***",M19/F19)</f>
        <v/>
      </c>
      <c r="U19" s="186">
        <f>IF(G19=0,"***",N19/G19)</f>
        <v/>
      </c>
      <c r="V19" s="186">
        <f>IF(H19=0,"***",O19/H19)</f>
        <v/>
      </c>
      <c r="W19" s="186">
        <f>IF(I19=0,"***",P19/I19)</f>
        <v/>
      </c>
      <c r="X19" s="186">
        <f>IF(J19=0,"***",Q19/J19)</f>
        <v/>
      </c>
      <c r="Y19" s="199">
        <f>IF(K19=0,"***",R19/K19)</f>
        <v/>
      </c>
    </row>
    <row r="20">
      <c r="C20" s="49" t="inlineStr">
        <is>
          <t>0046 集計</t>
        </is>
      </c>
      <c r="D20" s="20" t="inlineStr">
        <is>
          <t>角田</t>
        </is>
      </c>
      <c r="E20" s="4" t="n">
        <v>7092.263000000002</v>
      </c>
      <c r="F20" s="4" t="n">
        <v>4261.299</v>
      </c>
      <c r="G20" s="4" t="n">
        <v>5606.113000000001</v>
      </c>
      <c r="H20" s="4" t="n">
        <v>6717.742</v>
      </c>
      <c r="I20" s="4" t="n">
        <v>5607.593</v>
      </c>
      <c r="J20" s="4" t="n">
        <v>4580.451000000001</v>
      </c>
      <c r="K20" s="84">
        <f>SUM(E20:J20)</f>
        <v/>
      </c>
      <c r="L20" s="3" t="n">
        <v>1325.635</v>
      </c>
      <c r="M20" s="4" t="n">
        <v>843.7230000000001</v>
      </c>
      <c r="N20" s="4" t="n">
        <v>1018.994</v>
      </c>
      <c r="O20" s="4" t="n">
        <v>1302.026</v>
      </c>
      <c r="P20" s="4" t="n">
        <v>1156.275</v>
      </c>
      <c r="Q20" s="4" t="n">
        <v>870.3910000000001</v>
      </c>
      <c r="R20" s="84">
        <f>SUM(L20:Q20)</f>
        <v/>
      </c>
      <c r="S20" s="198">
        <f>IF(E20=0,"***",L20/E20)</f>
        <v/>
      </c>
      <c r="T20" s="186">
        <f>IF(F20=0,"***",M20/F20)</f>
        <v/>
      </c>
      <c r="U20" s="186">
        <f>IF(G20=0,"***",N20/G20)</f>
        <v/>
      </c>
      <c r="V20" s="186">
        <f>IF(H20=0,"***",O20/H20)</f>
        <v/>
      </c>
      <c r="W20" s="186">
        <f>IF(I20=0,"***",P20/I20)</f>
        <v/>
      </c>
      <c r="X20" s="186">
        <f>IF(J20=0,"***",Q20/J20)</f>
        <v/>
      </c>
      <c r="Y20" s="199">
        <f>IF(K20=0,"***",R20/K20)</f>
        <v/>
      </c>
    </row>
    <row r="21">
      <c r="C21" s="49" t="inlineStr">
        <is>
          <t>0047 集計</t>
        </is>
      </c>
      <c r="D21" s="76" t="inlineStr">
        <is>
          <t>馬場部長（静岡）</t>
        </is>
      </c>
      <c r="E21" s="4" t="n">
        <v>0</v>
      </c>
      <c r="F21" s="4" t="n">
        <v>0</v>
      </c>
      <c r="G21" s="4" t="n">
        <v>0</v>
      </c>
      <c r="H21" s="4" t="n">
        <v>0</v>
      </c>
      <c r="I21" s="4" t="n">
        <v>0</v>
      </c>
      <c r="J21" s="4" t="n">
        <v>0</v>
      </c>
      <c r="K21" s="84" t="n"/>
      <c r="L21" s="3" t="n">
        <v>0</v>
      </c>
      <c r="M21" s="4" t="n">
        <v>0</v>
      </c>
      <c r="N21" s="4" t="n">
        <v>0</v>
      </c>
      <c r="O21" s="4" t="n">
        <v>0</v>
      </c>
      <c r="P21" s="4" t="n">
        <v>0</v>
      </c>
      <c r="Q21" s="4" t="n">
        <v>0</v>
      </c>
      <c r="R21" s="84" t="n"/>
      <c r="S21" s="198" t="n"/>
      <c r="T21" s="186" t="n"/>
      <c r="U21" s="186" t="n"/>
      <c r="V21" s="186" t="n"/>
      <c r="W21" s="186" t="n"/>
      <c r="X21" s="186" t="n"/>
      <c r="Y21" s="199" t="n"/>
    </row>
    <row r="22">
      <c r="C22" s="50" t="inlineStr">
        <is>
          <t>0550 集計</t>
        </is>
      </c>
      <c r="D22" s="76" t="inlineStr">
        <is>
          <t>馬場所長（東京）</t>
        </is>
      </c>
      <c r="E22" s="4" t="n">
        <v>360.673</v>
      </c>
      <c r="F22" s="4" t="n">
        <v>658.225</v>
      </c>
      <c r="G22" s="4" t="n">
        <v>545.225</v>
      </c>
      <c r="H22" s="4" t="n">
        <v>206</v>
      </c>
      <c r="I22" s="4" t="n">
        <v>395.325</v>
      </c>
      <c r="J22" s="4" t="n">
        <v>860.024</v>
      </c>
      <c r="K22" s="84">
        <f>SUM(E22:J22)</f>
        <v/>
      </c>
      <c r="L22" s="3" t="n">
        <v>128.768</v>
      </c>
      <c r="M22" s="4" t="n">
        <v>147.685</v>
      </c>
      <c r="N22" s="4" t="n">
        <v>247.17</v>
      </c>
      <c r="O22" s="4" t="n">
        <v>100</v>
      </c>
      <c r="P22" s="4" t="n">
        <v>121.105</v>
      </c>
      <c r="Q22" s="4" t="n">
        <v>214.677</v>
      </c>
      <c r="R22" s="84">
        <f>SUM(L22:Q22)</f>
        <v/>
      </c>
      <c r="S22" s="198">
        <f>IF(E22=0,"***",L22/E22)</f>
        <v/>
      </c>
      <c r="T22" s="186">
        <f>IF(F22=0,"***",M22/F22)</f>
        <v/>
      </c>
      <c r="U22" s="186">
        <f>IF(G22=0,"***",N22/G22)</f>
        <v/>
      </c>
      <c r="V22" s="186">
        <f>IF(H22=0,"***",O22/H22)</f>
        <v/>
      </c>
      <c r="W22" s="186">
        <f>IF(I22=0,"***",P22/I22)</f>
        <v/>
      </c>
      <c r="X22" s="186">
        <f>IF(J22=0,"***",Q22/J22)</f>
        <v/>
      </c>
      <c r="Y22" s="199">
        <f>IF(K22=0,"***",R22/K22)</f>
        <v/>
      </c>
    </row>
    <row r="23">
      <c r="C23" s="50" t="inlineStr">
        <is>
          <t>0552 集計</t>
        </is>
      </c>
      <c r="D23" s="20" t="inlineStr">
        <is>
          <t>馬場部長（東京）</t>
        </is>
      </c>
      <c r="E23" s="4" t="n">
        <v>8777.215</v>
      </c>
      <c r="F23" s="4" t="n">
        <v>6581.314</v>
      </c>
      <c r="G23" s="4" t="n">
        <v>7833.661</v>
      </c>
      <c r="H23" s="4" t="n">
        <v>3951.749</v>
      </c>
      <c r="I23" s="4" t="n">
        <v>3566.672</v>
      </c>
      <c r="J23" s="4" t="n">
        <v>5578.054</v>
      </c>
      <c r="K23" s="84">
        <f>SUM(E23:J23)</f>
        <v/>
      </c>
      <c r="L23" s="3" t="n">
        <v>1132.509</v>
      </c>
      <c r="M23" s="4" t="n">
        <v>632.228</v>
      </c>
      <c r="N23" s="4" t="n">
        <v>975.5020000000001</v>
      </c>
      <c r="O23" s="4" t="n">
        <v>665.771</v>
      </c>
      <c r="P23" s="4" t="n">
        <v>421.772</v>
      </c>
      <c r="Q23" s="4" t="n">
        <v>522.1079999999999</v>
      </c>
      <c r="R23" s="84">
        <f>SUM(L23:Q23)</f>
        <v/>
      </c>
      <c r="S23" s="198">
        <f>IF(E23=0,"***",L23/E23)</f>
        <v/>
      </c>
      <c r="T23" s="186">
        <f>IF(F23=0,"***",M23/F23)</f>
        <v/>
      </c>
      <c r="U23" s="186">
        <f>IF(G23=0,"***",N23/G23)</f>
        <v/>
      </c>
      <c r="V23" s="186">
        <f>IF(H23=0,"***",O23/H23)</f>
        <v/>
      </c>
      <c r="W23" s="186">
        <f>IF(I23=0,"***",P23/I23)</f>
        <v/>
      </c>
      <c r="X23" s="186">
        <f>IF(J23=0,"***",Q23/J23)</f>
        <v/>
      </c>
      <c r="Y23" s="199">
        <f>IF(K23=0,"***",R23/K23)</f>
        <v/>
      </c>
    </row>
    <row r="24">
      <c r="C24" s="45" t="inlineStr">
        <is>
          <t>合計</t>
        </is>
      </c>
      <c r="D24" s="46" t="n"/>
      <c r="E24" s="7">
        <f>SUM(E18:E23)</f>
        <v/>
      </c>
      <c r="F24" s="7">
        <f>SUM(F18:F23)</f>
        <v/>
      </c>
      <c r="G24" s="7">
        <f>SUM(G18:G23)</f>
        <v/>
      </c>
      <c r="H24" s="7">
        <f>SUM(H18:H23)</f>
        <v/>
      </c>
      <c r="I24" s="7">
        <f>SUM(I18:I23)</f>
        <v/>
      </c>
      <c r="J24" s="7">
        <f>SUM(J18:J23)</f>
        <v/>
      </c>
      <c r="K24" s="85">
        <f>SUM(K18:K23)</f>
        <v/>
      </c>
      <c r="L24" s="91">
        <f>SUM(L18:L23)</f>
        <v/>
      </c>
      <c r="M24" s="7">
        <f>SUM(M18:M23)</f>
        <v/>
      </c>
      <c r="N24" s="7">
        <f>SUM(N18:N23)</f>
        <v/>
      </c>
      <c r="O24" s="7">
        <f>SUM(O18:O23)</f>
        <v/>
      </c>
      <c r="P24" s="7">
        <f>SUM(P18:P23)</f>
        <v/>
      </c>
      <c r="Q24" s="7">
        <f>SUM(Q18:Q23)</f>
        <v/>
      </c>
      <c r="R24" s="85">
        <f>SUM(R18:R23)</f>
        <v/>
      </c>
      <c r="S24" s="200">
        <f>IF(E24=0,"***",L24/E24)</f>
        <v/>
      </c>
      <c r="T24" s="181">
        <f>IF(F24=0,"***",M24/F24)</f>
        <v/>
      </c>
      <c r="U24" s="181">
        <f>IF(G24=0,"***",N24/G24)</f>
        <v/>
      </c>
      <c r="V24" s="181">
        <f>IF(H24=0,"***",O24/H24)</f>
        <v/>
      </c>
      <c r="W24" s="181">
        <f>IF(I24=0,"***",P24/I24)</f>
        <v/>
      </c>
      <c r="X24" s="181">
        <f>IF(J24=0,"***",Q24/J24)</f>
        <v/>
      </c>
      <c r="Y24" s="201">
        <f>IF(K24=0,"***",R24/K24)</f>
        <v/>
      </c>
    </row>
    <row r="25" customFormat="1" s="60">
      <c r="C25" s="64" t="inlineStr">
        <is>
          <t>内リンガーハット</t>
        </is>
      </c>
      <c r="D25" s="68" t="n"/>
      <c r="E25" s="65" t="n">
        <v>29836.46</v>
      </c>
      <c r="F25" s="65" t="n">
        <v>25889.141</v>
      </c>
      <c r="G25" s="65" t="n">
        <v>27401.864</v>
      </c>
      <c r="H25" s="65" t="n">
        <v>30161.422</v>
      </c>
      <c r="I25" s="65" t="n">
        <v>29499.674</v>
      </c>
      <c r="J25" s="65" t="n">
        <v>30553.051</v>
      </c>
      <c r="K25" s="86">
        <f>SUM(E25:J25)</f>
        <v/>
      </c>
      <c r="L25" s="92" t="n">
        <v>4812.843</v>
      </c>
      <c r="M25" s="65" t="n">
        <v>3628.179</v>
      </c>
      <c r="N25" s="65" t="n">
        <v>4290.655</v>
      </c>
      <c r="O25" s="65" t="n">
        <v>4536.108</v>
      </c>
      <c r="P25" s="65" t="n">
        <v>4379.267999999999</v>
      </c>
      <c r="Q25" s="65" t="n">
        <v>4616.129</v>
      </c>
      <c r="R25" s="86">
        <f>SUM(L25:Q25)</f>
        <v/>
      </c>
      <c r="S25" s="208">
        <f>IF(E25=0,"***",L25/E25)</f>
        <v/>
      </c>
      <c r="T25" s="209">
        <f>IF(F25=0,"***",M25/F25)</f>
        <v/>
      </c>
      <c r="U25" s="209">
        <f>IF(G25=0,"***",N25/G25)</f>
        <v/>
      </c>
      <c r="V25" s="209">
        <f>IF(H25=0,"***",O25/H25)</f>
        <v/>
      </c>
      <c r="W25" s="209">
        <f>IF(I25=0,"***",P25/I25)</f>
        <v/>
      </c>
      <c r="X25" s="209">
        <f>IF(J25=0,"***",Q25/J25)</f>
        <v/>
      </c>
      <c r="Y25" s="210">
        <f>IF(K25=0,"***",R25/K25)</f>
        <v/>
      </c>
      <c r="Z25" s="60" t="inlineStr">
        <is>
          <t>0042と0550からカネゲン引く</t>
        </is>
      </c>
    </row>
    <row r="26" customFormat="1" s="60">
      <c r="C26" s="87" t="inlineStr">
        <is>
          <t>リンガーハット以外</t>
        </is>
      </c>
      <c r="D26" s="88" t="n"/>
      <c r="E26" s="89">
        <f>E24-E25</f>
        <v/>
      </c>
      <c r="F26" s="89">
        <f>F24-F25</f>
        <v/>
      </c>
      <c r="G26" s="89">
        <f>G24-G25</f>
        <v/>
      </c>
      <c r="H26" s="89">
        <f>H24-H25</f>
        <v/>
      </c>
      <c r="I26" s="89">
        <f>I24-I25</f>
        <v/>
      </c>
      <c r="J26" s="89">
        <f>J24-J25</f>
        <v/>
      </c>
      <c r="K26" s="90">
        <f>SUM(E26:J26)</f>
        <v/>
      </c>
      <c r="L26" s="93">
        <f>L24-L25</f>
        <v/>
      </c>
      <c r="M26" s="89">
        <f>M24-M25</f>
        <v/>
      </c>
      <c r="N26" s="89">
        <f>N24-N25</f>
        <v/>
      </c>
      <c r="O26" s="89">
        <f>O24-O25</f>
        <v/>
      </c>
      <c r="P26" s="89">
        <f>P24-P25</f>
        <v/>
      </c>
      <c r="Q26" s="89">
        <f>Q24-Q25</f>
        <v/>
      </c>
      <c r="R26" s="90">
        <f>SUM(L26:Q26)</f>
        <v/>
      </c>
      <c r="S26" s="211">
        <f>IF(E26=0,"***",L26/E26)</f>
        <v/>
      </c>
      <c r="T26" s="212">
        <f>IF(F26=0,"***",M26/F26)</f>
        <v/>
      </c>
      <c r="U26" s="212">
        <f>IF(G26=0,"***",N26/G26)</f>
        <v/>
      </c>
      <c r="V26" s="212">
        <f>IF(H26=0,"***",O26/H26)</f>
        <v/>
      </c>
      <c r="W26" s="212">
        <f>IF(I26=0,"***",P26/I26)</f>
        <v/>
      </c>
      <c r="X26" s="212">
        <f>IF(J26=0,"***",Q26/J26)</f>
        <v/>
      </c>
      <c r="Y26" s="213">
        <f>SUM(S26:X26)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9"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9" t="inlineStr">
        <is>
          <t>0042 集計</t>
        </is>
      </c>
      <c r="D31" s="76" t="inlineStr">
        <is>
          <t>馬場部長（鳥栖）</t>
        </is>
      </c>
      <c r="E31" s="4">
        <f>(E18+E5)/2</f>
        <v/>
      </c>
      <c r="F31" s="4">
        <f>(F18+F5)/2</f>
        <v/>
      </c>
      <c r="G31" s="4">
        <f>(G18+G5)/2</f>
        <v/>
      </c>
      <c r="H31" s="4">
        <f>(H18+H5)/2</f>
        <v/>
      </c>
      <c r="I31" s="4">
        <f>(I18+I5)/2</f>
        <v/>
      </c>
      <c r="J31" s="4">
        <f>(J18+J5)/2</f>
        <v/>
      </c>
      <c r="K31" s="84">
        <f>SUM(E31:J31)</f>
        <v/>
      </c>
      <c r="L31" s="3">
        <f>(L18+L5)/2</f>
        <v/>
      </c>
      <c r="M31" s="4">
        <f>(M18+M5)/2</f>
        <v/>
      </c>
      <c r="N31" s="4">
        <f>(N18+N5)/2</f>
        <v/>
      </c>
      <c r="O31" s="4">
        <f>(O18+O5)/2</f>
        <v/>
      </c>
      <c r="P31" s="4">
        <f>(P18+P5)/2</f>
        <v/>
      </c>
      <c r="Q31" s="4">
        <f>(Q18+Q5)/2</f>
        <v/>
      </c>
      <c r="R31" s="84">
        <f>SUM(L31:Q31)</f>
        <v/>
      </c>
      <c r="S31" s="198">
        <f>IF(E31=0,"***",L31/E31)</f>
        <v/>
      </c>
      <c r="T31" s="186">
        <f>IF(F31=0,"***",M31/F31)</f>
        <v/>
      </c>
      <c r="U31" s="186">
        <f>IF(G31=0,"***",N31/G31)</f>
        <v/>
      </c>
      <c r="V31" s="186">
        <f>IF(H31=0,"***",O31/H31)</f>
        <v/>
      </c>
      <c r="W31" s="186">
        <f>IF(I31=0,"***",P31/I31)</f>
        <v/>
      </c>
      <c r="X31" s="186">
        <f>IF(J31=0,"***",Q31/J31)</f>
        <v/>
      </c>
      <c r="Y31" s="199">
        <f>IF(K31=0,"***",R31/K31)</f>
        <v/>
      </c>
    </row>
    <row r="32">
      <c r="C32" s="49" t="inlineStr">
        <is>
          <t>0045 集計</t>
        </is>
      </c>
      <c r="D32" s="75" t="inlineStr">
        <is>
          <t>ペーパーハグ</t>
        </is>
      </c>
      <c r="E32" s="4">
        <f>(E19+E6)/2</f>
        <v/>
      </c>
      <c r="F32" s="4">
        <f>(F19+F6)/2</f>
        <v/>
      </c>
      <c r="G32" s="4">
        <f>(G19+G6)/2</f>
        <v/>
      </c>
      <c r="H32" s="4">
        <f>(H19+H6)/2</f>
        <v/>
      </c>
      <c r="I32" s="4">
        <f>(I19+I6)/2</f>
        <v/>
      </c>
      <c r="J32" s="4">
        <f>(J19+J6)/2</f>
        <v/>
      </c>
      <c r="K32" s="84">
        <f>SUM(E32:J32)</f>
        <v/>
      </c>
      <c r="L32" s="3">
        <f>(L19+L6)/2</f>
        <v/>
      </c>
      <c r="M32" s="4">
        <f>(M19+M6)/2</f>
        <v/>
      </c>
      <c r="N32" s="4">
        <f>(N19+N6)/2</f>
        <v/>
      </c>
      <c r="O32" s="4">
        <f>(O19+O6)/2</f>
        <v/>
      </c>
      <c r="P32" s="4">
        <f>(P19+P6)/2</f>
        <v/>
      </c>
      <c r="Q32" s="4">
        <f>(Q19+Q6)/2</f>
        <v/>
      </c>
      <c r="R32" s="84">
        <f>SUM(L32:Q32)</f>
        <v/>
      </c>
      <c r="S32" s="198">
        <f>IF(E32=0,"***",L32/E32)</f>
        <v/>
      </c>
      <c r="T32" s="186">
        <f>IF(F32=0,"***",M32/F32)</f>
        <v/>
      </c>
      <c r="U32" s="186">
        <f>IF(G32=0,"***",N32/G32)</f>
        <v/>
      </c>
      <c r="V32" s="186">
        <f>IF(H32=0,"***",O32/H32)</f>
        <v/>
      </c>
      <c r="W32" s="186">
        <f>IF(I32=0,"***",P32/I32)</f>
        <v/>
      </c>
      <c r="X32" s="186">
        <f>IF(J32=0,"***",Q32/J32)</f>
        <v/>
      </c>
      <c r="Y32" s="199">
        <f>IF(K32=0,"***",R32/K32)</f>
        <v/>
      </c>
    </row>
    <row r="33">
      <c r="C33" s="49" t="inlineStr">
        <is>
          <t>0046 集計</t>
        </is>
      </c>
      <c r="D33" s="20" t="inlineStr">
        <is>
          <t>角田</t>
        </is>
      </c>
      <c r="E33" s="4">
        <f>(E20+E7)/2</f>
        <v/>
      </c>
      <c r="F33" s="4">
        <f>(F20+F7)/2</f>
        <v/>
      </c>
      <c r="G33" s="4">
        <f>(G20+G7)/2</f>
        <v/>
      </c>
      <c r="H33" s="4">
        <f>(H20+H7)/2</f>
        <v/>
      </c>
      <c r="I33" s="4">
        <f>(I20+I7)/2</f>
        <v/>
      </c>
      <c r="J33" s="4">
        <f>(J20+J7)/2</f>
        <v/>
      </c>
      <c r="K33" s="84">
        <f>SUM(E33:J33)</f>
        <v/>
      </c>
      <c r="L33" s="3">
        <f>(L20+L7)/2</f>
        <v/>
      </c>
      <c r="M33" s="4">
        <f>(M20+M7)/2</f>
        <v/>
      </c>
      <c r="N33" s="4">
        <f>(N20+N7)/2</f>
        <v/>
      </c>
      <c r="O33" s="4">
        <f>(O20+O7)/2</f>
        <v/>
      </c>
      <c r="P33" s="4">
        <f>(P20+P7)/2</f>
        <v/>
      </c>
      <c r="Q33" s="4">
        <f>(Q20+Q7)/2</f>
        <v/>
      </c>
      <c r="R33" s="84">
        <f>SUM(L33:Q33)</f>
        <v/>
      </c>
      <c r="S33" s="198">
        <f>IF(E33=0,"***",L33/E33)</f>
        <v/>
      </c>
      <c r="T33" s="186">
        <f>IF(F33=0,"***",M33/F33)</f>
        <v/>
      </c>
      <c r="U33" s="186">
        <f>IF(G33=0,"***",N33/G33)</f>
        <v/>
      </c>
      <c r="V33" s="186">
        <f>IF(H33=0,"***",O33/H33)</f>
        <v/>
      </c>
      <c r="W33" s="186">
        <f>IF(I33=0,"***",P33/I33)</f>
        <v/>
      </c>
      <c r="X33" s="186">
        <f>IF(J33=0,"***",Q33/J33)</f>
        <v/>
      </c>
      <c r="Y33" s="199">
        <f>IF(K33=0,"***",R33/K33)</f>
        <v/>
      </c>
    </row>
    <row r="34">
      <c r="C34" s="49" t="inlineStr">
        <is>
          <t>0047 集計</t>
        </is>
      </c>
      <c r="D34" s="76" t="inlineStr">
        <is>
          <t>馬場部長（静岡）</t>
        </is>
      </c>
      <c r="E34" s="4">
        <f>(E21+E8)/2</f>
        <v/>
      </c>
      <c r="F34" s="4">
        <f>(F21+F8)/2</f>
        <v/>
      </c>
      <c r="G34" s="4">
        <f>(G21+G8)/2</f>
        <v/>
      </c>
      <c r="H34" s="4">
        <f>(H21+H8)/2</f>
        <v/>
      </c>
      <c r="I34" s="4">
        <f>(I21+I8)/2</f>
        <v/>
      </c>
      <c r="J34" s="4">
        <f>(J21+J8)/2</f>
        <v/>
      </c>
      <c r="K34" s="84">
        <f>SUM(E34:J34)</f>
        <v/>
      </c>
      <c r="L34" s="3">
        <f>(L21+L8)/2</f>
        <v/>
      </c>
      <c r="M34" s="4">
        <f>(M21+M8)/2</f>
        <v/>
      </c>
      <c r="N34" s="4">
        <f>(N21+N8)/2</f>
        <v/>
      </c>
      <c r="O34" s="4">
        <f>(O21+O8)/2</f>
        <v/>
      </c>
      <c r="P34" s="4">
        <f>(P21+P8)/2</f>
        <v/>
      </c>
      <c r="Q34" s="4">
        <f>(Q21+Q8)/2</f>
        <v/>
      </c>
      <c r="R34" s="84" t="n"/>
      <c r="S34" s="198" t="n"/>
      <c r="T34" s="186" t="n"/>
      <c r="U34" s="186" t="n"/>
      <c r="V34" s="186" t="n"/>
      <c r="W34" s="186" t="n"/>
      <c r="X34" s="186" t="n"/>
      <c r="Y34" s="199" t="n"/>
    </row>
    <row r="35">
      <c r="C35" s="50" t="inlineStr">
        <is>
          <t>0550 集計</t>
        </is>
      </c>
      <c r="D35" s="76" t="inlineStr">
        <is>
          <t>馬場所長（東京）</t>
        </is>
      </c>
      <c r="E35" s="4">
        <f>(E22+E9)/2</f>
        <v/>
      </c>
      <c r="F35" s="4">
        <f>(F22+F9)/2</f>
        <v/>
      </c>
      <c r="G35" s="4">
        <f>(G22+G9)/2</f>
        <v/>
      </c>
      <c r="H35" s="4">
        <f>(H22+H9)/2</f>
        <v/>
      </c>
      <c r="I35" s="4">
        <f>(I22+I9)/2</f>
        <v/>
      </c>
      <c r="J35" s="4">
        <f>(J22+J9)/2</f>
        <v/>
      </c>
      <c r="K35" s="84">
        <f>SUM(E35:J35)</f>
        <v/>
      </c>
      <c r="L35" s="3">
        <f>(L22+L9)/2</f>
        <v/>
      </c>
      <c r="M35" s="4">
        <f>(M22+M9)/2</f>
        <v/>
      </c>
      <c r="N35" s="4">
        <f>(N22+N9)/2</f>
        <v/>
      </c>
      <c r="O35" s="4">
        <f>(O22+O9)/2</f>
        <v/>
      </c>
      <c r="P35" s="4">
        <f>(P22+P9)/2</f>
        <v/>
      </c>
      <c r="Q35" s="4">
        <f>(Q22+Q9)/2</f>
        <v/>
      </c>
      <c r="R35" s="84">
        <f>SUM(L35:Q35)</f>
        <v/>
      </c>
      <c r="S35" s="198">
        <f>IF(E35=0,"***",L35/E35)</f>
        <v/>
      </c>
      <c r="T35" s="186">
        <f>IF(F35=0,"***",M35/F35)</f>
        <v/>
      </c>
      <c r="U35" s="186">
        <f>IF(G35=0,"***",N35/G35)</f>
        <v/>
      </c>
      <c r="V35" s="186">
        <f>IF(H35=0,"***",O35/H35)</f>
        <v/>
      </c>
      <c r="W35" s="186">
        <f>IF(I35=0,"***",P35/I35)</f>
        <v/>
      </c>
      <c r="X35" s="186">
        <f>IF(J35=0,"***",Q35/J35)</f>
        <v/>
      </c>
      <c r="Y35" s="199">
        <f>IF(K35=0,"***",R35/K35)</f>
        <v/>
      </c>
    </row>
    <row r="36">
      <c r="C36" s="50" t="inlineStr">
        <is>
          <t>0552 集計</t>
        </is>
      </c>
      <c r="D36" s="20" t="inlineStr">
        <is>
          <t>馬場部長（東京）</t>
        </is>
      </c>
      <c r="E36" s="4">
        <f>(E23+E10)/2</f>
        <v/>
      </c>
      <c r="F36" s="4">
        <f>(F23+F10)/2</f>
        <v/>
      </c>
      <c r="G36" s="4">
        <f>(G23+G10)/2</f>
        <v/>
      </c>
      <c r="H36" s="4">
        <f>(H23+H10)/2</f>
        <v/>
      </c>
      <c r="I36" s="4">
        <f>(I23+I10)/2</f>
        <v/>
      </c>
      <c r="J36" s="4">
        <f>(J23+J10)/2</f>
        <v/>
      </c>
      <c r="K36" s="84">
        <f>SUM(E36:J36)</f>
        <v/>
      </c>
      <c r="L36" s="3">
        <f>(L23+L10)/2</f>
        <v/>
      </c>
      <c r="M36" s="4">
        <f>(M23+M10)/2</f>
        <v/>
      </c>
      <c r="N36" s="4">
        <f>(N23+N10)/2</f>
        <v/>
      </c>
      <c r="O36" s="4">
        <f>(O23+O10)/2</f>
        <v/>
      </c>
      <c r="P36" s="4">
        <f>(P23+P10)/2</f>
        <v/>
      </c>
      <c r="Q36" s="4">
        <f>(Q23+Q10)/2</f>
        <v/>
      </c>
      <c r="R36" s="84">
        <f>SUM(L36:Q36)</f>
        <v/>
      </c>
      <c r="S36" s="198">
        <f>IF(E36=0,"***",L36/E36)</f>
        <v/>
      </c>
      <c r="T36" s="186">
        <f>IF(F36=0,"***",M36/F36)</f>
        <v/>
      </c>
      <c r="U36" s="186">
        <f>IF(G36=0,"***",N36/G36)</f>
        <v/>
      </c>
      <c r="V36" s="186">
        <f>IF(H36=0,"***",O36/H36)</f>
        <v/>
      </c>
      <c r="W36" s="186">
        <f>IF(I36=0,"***",P36/I36)</f>
        <v/>
      </c>
      <c r="X36" s="186">
        <f>IF(J36=0,"***",Q36/J36)</f>
        <v/>
      </c>
      <c r="Y36" s="199">
        <f>IF(K36=0,"***",R36/K36)</f>
        <v/>
      </c>
    </row>
    <row r="37">
      <c r="C37" s="45" t="inlineStr">
        <is>
          <t>合計</t>
        </is>
      </c>
      <c r="D37" s="46" t="n"/>
      <c r="E37" s="7">
        <f>SUM(E31:E36)</f>
        <v/>
      </c>
      <c r="F37" s="7">
        <f>SUM(F31:F36)</f>
        <v/>
      </c>
      <c r="G37" s="7">
        <f>SUM(G31:G36)</f>
        <v/>
      </c>
      <c r="H37" s="7">
        <f>SUM(H31:H36)</f>
        <v/>
      </c>
      <c r="I37" s="7">
        <f>SUM(I31:I36)</f>
        <v/>
      </c>
      <c r="J37" s="7">
        <f>SUM(J31:J36)</f>
        <v/>
      </c>
      <c r="K37" s="85">
        <f>SUM(K31:K36)</f>
        <v/>
      </c>
      <c r="L37" s="91">
        <f>SUM(L31:L36)</f>
        <v/>
      </c>
      <c r="M37" s="7">
        <f>SUM(M31:M36)</f>
        <v/>
      </c>
      <c r="N37" s="7">
        <f>SUM(N31:N36)</f>
        <v/>
      </c>
      <c r="O37" s="7">
        <f>SUM(O31:O36)</f>
        <v/>
      </c>
      <c r="P37" s="7">
        <f>SUM(P31:P36)</f>
        <v/>
      </c>
      <c r="Q37" s="7">
        <f>SUM(Q31:Q36)</f>
        <v/>
      </c>
      <c r="R37" s="85">
        <f>SUM(R31:R36)</f>
        <v/>
      </c>
      <c r="S37" s="200">
        <f>IF(E37=0,"***",L37/E37)</f>
        <v/>
      </c>
      <c r="T37" s="181">
        <f>IF(F37=0,"***",M37/F37)</f>
        <v/>
      </c>
      <c r="U37" s="181">
        <f>IF(G37=0,"***",N37/G37)</f>
        <v/>
      </c>
      <c r="V37" s="181">
        <f>IF(H37=0,"***",O37/H37)</f>
        <v/>
      </c>
      <c r="W37" s="181">
        <f>IF(I37=0,"***",P37/I37)</f>
        <v/>
      </c>
      <c r="X37" s="181">
        <f>IF(J37=0,"***",Q37/J37)</f>
        <v/>
      </c>
      <c r="Y37" s="201">
        <f>IF(K37=0,"***",R37/K37)</f>
        <v/>
      </c>
    </row>
    <row r="38" customFormat="1" s="60">
      <c r="C38" s="64" t="inlineStr">
        <is>
          <t>内リンガーハット</t>
        </is>
      </c>
      <c r="D38" s="68" t="n"/>
      <c r="E38" s="65">
        <f>(E25+E12)/2</f>
        <v/>
      </c>
      <c r="F38" s="65">
        <f>(F25+F12)/2</f>
        <v/>
      </c>
      <c r="G38" s="65">
        <f>(G25+G12)/2</f>
        <v/>
      </c>
      <c r="H38" s="65">
        <f>(H25+H12)/2</f>
        <v/>
      </c>
      <c r="I38" s="65">
        <f>(I25+I12)/2</f>
        <v/>
      </c>
      <c r="J38" s="65">
        <f>(J25+J12)/2</f>
        <v/>
      </c>
      <c r="K38" s="86">
        <f>SUM(E38:J38)</f>
        <v/>
      </c>
      <c r="L38" s="92">
        <f>(L25+L12)/2</f>
        <v/>
      </c>
      <c r="M38" s="65">
        <f>(M25+M12)/2</f>
        <v/>
      </c>
      <c r="N38" s="65">
        <f>(N25+N12)/2</f>
        <v/>
      </c>
      <c r="O38" s="65">
        <f>(O25+O12)/2</f>
        <v/>
      </c>
      <c r="P38" s="65">
        <f>(P25+P12)/2</f>
        <v/>
      </c>
      <c r="Q38" s="65">
        <f>(Q25+Q12)/2</f>
        <v/>
      </c>
      <c r="R38" s="86">
        <f>SUM(L38:Q38)</f>
        <v/>
      </c>
      <c r="S38" s="208">
        <f>IF(E38=0,"***",L38/E38)</f>
        <v/>
      </c>
      <c r="T38" s="209">
        <f>IF(F38=0,"***",M38/F38)</f>
        <v/>
      </c>
      <c r="U38" s="209">
        <f>IF(G38=0,"***",N38/G38)</f>
        <v/>
      </c>
      <c r="V38" s="209">
        <f>IF(H38=0,"***",O38/H38)</f>
        <v/>
      </c>
      <c r="W38" s="209">
        <f>IF(I38=0,"***",P38/I38)</f>
        <v/>
      </c>
      <c r="X38" s="209">
        <f>IF(J38=0,"***",Q38/J38)</f>
        <v/>
      </c>
      <c r="Y38" s="210">
        <f>IF(K38=0,"***",R38/K38)</f>
        <v/>
      </c>
      <c r="Z38" s="60" t="inlineStr">
        <is>
          <t>0042と0550からカネゲン引く</t>
        </is>
      </c>
    </row>
    <row r="39" customFormat="1" s="60">
      <c r="C39" s="87" t="inlineStr">
        <is>
          <t>リンガーハット以外</t>
        </is>
      </c>
      <c r="D39" s="88" t="n"/>
      <c r="E39" s="89">
        <f>E37-E38</f>
        <v/>
      </c>
      <c r="F39" s="89">
        <f>F37-F38</f>
        <v/>
      </c>
      <c r="G39" s="89">
        <f>G37-G38</f>
        <v/>
      </c>
      <c r="H39" s="89">
        <f>H37-H38</f>
        <v/>
      </c>
      <c r="I39" s="89">
        <f>I37-I38</f>
        <v/>
      </c>
      <c r="J39" s="89">
        <f>J37-J38</f>
        <v/>
      </c>
      <c r="K39" s="90">
        <f>SUM(E39:J39)</f>
        <v/>
      </c>
      <c r="L39" s="93">
        <f>L37-L38</f>
        <v/>
      </c>
      <c r="M39" s="89">
        <f>M37-M38</f>
        <v/>
      </c>
      <c r="N39" s="89">
        <f>N37-N38</f>
        <v/>
      </c>
      <c r="O39" s="89">
        <f>O37-O38</f>
        <v/>
      </c>
      <c r="P39" s="89">
        <f>P37-P38</f>
        <v/>
      </c>
      <c r="Q39" s="89">
        <f>Q37-Q38</f>
        <v/>
      </c>
      <c r="R39" s="90">
        <f>SUM(L39:Q39)</f>
        <v/>
      </c>
      <c r="S39" s="211">
        <f>IF(E39=0,"***",L39/E39)</f>
        <v/>
      </c>
      <c r="T39" s="212">
        <f>IF(F39=0,"***",M39/F39)</f>
        <v/>
      </c>
      <c r="U39" s="212">
        <f>IF(G39=0,"***",N39/G39)</f>
        <v/>
      </c>
      <c r="V39" s="212">
        <f>IF(H39=0,"***",O39/H39)</f>
        <v/>
      </c>
      <c r="W39" s="212">
        <f>IF(I39=0,"***",P39/I39)</f>
        <v/>
      </c>
      <c r="X39" s="212">
        <f>IF(J39=0,"***",Q39/J39)</f>
        <v/>
      </c>
      <c r="Y39" s="213">
        <f>SUM(S39:X39)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A44" s="172" t="inlineStr">
        <is>
          <t>売106.4％</t>
        </is>
      </c>
      <c r="C44" s="49" t="inlineStr">
        <is>
          <t>0042 集計</t>
        </is>
      </c>
      <c r="D44" s="76" t="inlineStr">
        <is>
          <t>馬場部長（鳥栖）</t>
        </is>
      </c>
      <c r="E44" s="4">
        <f>機械!E44+包装資材!E44</f>
        <v/>
      </c>
      <c r="F44" s="4">
        <f>機械!F44+包装資材!F44</f>
        <v/>
      </c>
      <c r="G44" s="4">
        <f>機械!G44+包装資材!G44</f>
        <v/>
      </c>
      <c r="H44" s="4">
        <f>機械!H44+包装資材!H44</f>
        <v/>
      </c>
      <c r="I44" s="4">
        <f>機械!I44+包装資材!I44</f>
        <v/>
      </c>
      <c r="J44" s="4">
        <f>機械!J44+包装資材!J44</f>
        <v/>
      </c>
      <c r="K44" s="118">
        <f>SUM(E44:J44)</f>
        <v/>
      </c>
      <c r="L44" s="3">
        <f>機械!L44+包装資材!L44</f>
        <v/>
      </c>
      <c r="M44" s="4">
        <f>機械!M44+包装資材!M44</f>
        <v/>
      </c>
      <c r="N44" s="4">
        <f>機械!N44+包装資材!N44</f>
        <v/>
      </c>
      <c r="O44" s="4">
        <f>機械!O44+包装資材!O44</f>
        <v/>
      </c>
      <c r="P44" s="4">
        <f>機械!P44+包装資材!P44</f>
        <v/>
      </c>
      <c r="Q44" s="4">
        <f>機械!Q44+包装資材!Q44</f>
        <v/>
      </c>
      <c r="R44" s="84">
        <f>SUM(L44:Q44)</f>
        <v/>
      </c>
      <c r="S44" s="190">
        <f>IF(E44=0,"***",L44/E44)</f>
        <v/>
      </c>
      <c r="T44" s="186">
        <f>IF(F44=0,"***",M44/F44)</f>
        <v/>
      </c>
      <c r="U44" s="186">
        <f>IF(G44=0,"***",N44/G44)</f>
        <v/>
      </c>
      <c r="V44" s="186">
        <f>IF(H44=0,"***",O44/H44)</f>
        <v/>
      </c>
      <c r="W44" s="186">
        <f>IF(I44=0,"***",P44/I44)</f>
        <v/>
      </c>
      <c r="X44" s="186">
        <f>IF(J44=0,"***",Q44/J44)</f>
        <v/>
      </c>
      <c r="Y44" s="199">
        <f>IF(K44=0,"***",R44/K44)</f>
        <v/>
      </c>
    </row>
    <row r="45">
      <c r="A45" s="172" t="inlineStr">
        <is>
          <t>粗利額104.6％</t>
        </is>
      </c>
      <c r="C45" s="49" t="inlineStr">
        <is>
          <t>0045 集計</t>
        </is>
      </c>
      <c r="D45" s="75" t="inlineStr">
        <is>
          <t>ペーパーハグ</t>
        </is>
      </c>
      <c r="E45" s="4">
        <f>機械!E45+包装資材!E45</f>
        <v/>
      </c>
      <c r="F45" s="4">
        <f>機械!F45+包装資材!F45</f>
        <v/>
      </c>
      <c r="G45" s="4">
        <f>機械!G45+包装資材!G45</f>
        <v/>
      </c>
      <c r="H45" s="4">
        <f>機械!H45+包装資材!H45</f>
        <v/>
      </c>
      <c r="I45" s="4">
        <f>機械!I45+包装資材!I45</f>
        <v/>
      </c>
      <c r="J45" s="4">
        <f>機械!J45+包装資材!J45</f>
        <v/>
      </c>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99">
        <f>IF(K45=0,"***",R45/K45)</f>
        <v/>
      </c>
    </row>
    <row r="46" ht="19.5" customHeight="1" s="171">
      <c r="A46" s="172" t="inlineStr">
        <is>
          <t>率改善0.5％</t>
        </is>
      </c>
      <c r="C46" s="49" t="inlineStr">
        <is>
          <t>0046 集計</t>
        </is>
      </c>
      <c r="D46" s="20" t="inlineStr">
        <is>
          <t>角田</t>
        </is>
      </c>
      <c r="E46" s="4">
        <f>機械!E46+包装資材!E46</f>
        <v/>
      </c>
      <c r="F46" s="4">
        <f>機械!F46+包装資材!F46</f>
        <v/>
      </c>
      <c r="G46" s="4">
        <f>機械!G46+包装資材!G46</f>
        <v/>
      </c>
      <c r="H46" s="4">
        <f>機械!H46+包装資材!H46</f>
        <v/>
      </c>
      <c r="I46" s="4">
        <f>機械!I46+包装資材!I46</f>
        <v/>
      </c>
      <c r="J46" s="4">
        <f>機械!J46+包装資材!J46</f>
        <v/>
      </c>
      <c r="K46" s="118">
        <f>SUM(E46:J46)</f>
        <v/>
      </c>
      <c r="L46" s="3">
        <f>機械!L46+包装資材!L46</f>
        <v/>
      </c>
      <c r="M46" s="4">
        <f>機械!M46+包装資材!M46</f>
        <v/>
      </c>
      <c r="N46" s="4">
        <f>機械!N46+包装資材!N46</f>
        <v/>
      </c>
      <c r="O46" s="4">
        <f>機械!O46+包装資材!O46</f>
        <v/>
      </c>
      <c r="P46" s="4">
        <f>機械!P46+包装資材!P46</f>
        <v/>
      </c>
      <c r="Q46" s="4">
        <f>機械!Q46+包装資材!Q46</f>
        <v/>
      </c>
      <c r="R46" s="84">
        <f>SUM(L46:Q46)</f>
        <v/>
      </c>
      <c r="S46" s="190">
        <f>IF(E46=0,"***",L46/E46)</f>
        <v/>
      </c>
      <c r="T46" s="186">
        <f>IF(F46=0,"***",M46/F46)</f>
        <v/>
      </c>
      <c r="U46" s="186">
        <f>IF(G46=0,"***",N46/G46)</f>
        <v/>
      </c>
      <c r="V46" s="186">
        <f>IF(H46=0,"***",O46/H46)</f>
        <v/>
      </c>
      <c r="W46" s="186">
        <f>IF(I46=0,"***",P46/I46)</f>
        <v/>
      </c>
      <c r="X46" s="186">
        <f>IF(J46=0,"***",Q46/J46)</f>
        <v/>
      </c>
      <c r="Y46" s="199">
        <f>IF(K46=0,"***",R46/K46)</f>
        <v/>
      </c>
    </row>
    <row r="47" ht="19.5" customHeight="1" s="171">
      <c r="C47" s="49" t="inlineStr">
        <is>
          <t>0047 集計</t>
        </is>
      </c>
      <c r="D47" s="76" t="inlineStr">
        <is>
          <t>馬場部長（静岡）</t>
        </is>
      </c>
      <c r="E47" s="4">
        <f>機械!E47+包装資材!E47</f>
        <v/>
      </c>
      <c r="F47" s="4">
        <f>機械!F47+包装資材!F47</f>
        <v/>
      </c>
      <c r="G47" s="4">
        <f>機械!G47+包装資材!G47</f>
        <v/>
      </c>
      <c r="H47" s="4">
        <f>機械!H47+包装資材!H47</f>
        <v/>
      </c>
      <c r="I47" s="4">
        <f>機械!I47+包装資材!I47</f>
        <v/>
      </c>
      <c r="J47" s="4">
        <f>機械!J47+包装資材!J47</f>
        <v/>
      </c>
      <c r="K47" s="118">
        <f>SUM(E47:J47)</f>
        <v/>
      </c>
      <c r="L47" s="3">
        <f>機械!L47+包装資材!L47</f>
        <v/>
      </c>
      <c r="M47" s="4">
        <f>機械!M47+包装資材!M47</f>
        <v/>
      </c>
      <c r="N47" s="4">
        <f>機械!N47+包装資材!N47</f>
        <v/>
      </c>
      <c r="O47" s="4">
        <f>機械!O47+包装資材!O47</f>
        <v/>
      </c>
      <c r="P47" s="4">
        <f>機械!P47+包装資材!P47</f>
        <v/>
      </c>
      <c r="Q47" s="4">
        <f>機械!Q47+包装資材!Q47</f>
        <v/>
      </c>
      <c r="R47" s="84">
        <f>SUM(L47:Q47)</f>
        <v/>
      </c>
      <c r="S47" s="190" t="n"/>
      <c r="T47" s="186" t="n"/>
      <c r="U47" s="186" t="n"/>
      <c r="V47" s="186" t="n"/>
      <c r="W47" s="186" t="n"/>
      <c r="X47" s="186" t="n"/>
      <c r="Y47" s="199" t="n"/>
    </row>
    <row r="48">
      <c r="C48" s="50" t="inlineStr">
        <is>
          <t>0550 集計</t>
        </is>
      </c>
      <c r="D48" s="76" t="inlineStr">
        <is>
          <t>馬場所長（東京）</t>
        </is>
      </c>
      <c r="E48" s="4">
        <f>機械!E48+包装資材!E48</f>
        <v/>
      </c>
      <c r="F48" s="4">
        <f>機械!F48+包装資材!F48</f>
        <v/>
      </c>
      <c r="G48" s="4">
        <f>機械!G48+包装資材!G48</f>
        <v/>
      </c>
      <c r="H48" s="4">
        <f>機械!H48+包装資材!H48</f>
        <v/>
      </c>
      <c r="I48" s="4">
        <f>機械!I48+包装資材!I48</f>
        <v/>
      </c>
      <c r="J48" s="4">
        <f>機械!J48+包装資材!J48</f>
        <v/>
      </c>
      <c r="K48" s="118">
        <f>SUM(E48:J48)</f>
        <v/>
      </c>
      <c r="L48" s="3">
        <f>機械!L48+包装資材!L48</f>
        <v/>
      </c>
      <c r="M48" s="4">
        <f>機械!M48+包装資材!M48</f>
        <v/>
      </c>
      <c r="N48" s="4">
        <f>機械!N48+包装資材!N48</f>
        <v/>
      </c>
      <c r="O48" s="4">
        <f>機械!O48+包装資材!O48</f>
        <v/>
      </c>
      <c r="P48" s="4">
        <f>機械!P48+包装資材!P48</f>
        <v/>
      </c>
      <c r="Q48" s="4">
        <f>機械!Q48+包装資材!Q48</f>
        <v/>
      </c>
      <c r="R48" s="84">
        <f>SUM(L48:Q48)</f>
        <v/>
      </c>
      <c r="S48" s="190">
        <f>IF(E48=0,"***",L48/E48)</f>
        <v/>
      </c>
      <c r="T48" s="186">
        <f>IF(F48=0,"***",M48/F48)</f>
        <v/>
      </c>
      <c r="U48" s="186">
        <f>IF(G48=0,"***",N48/G48)</f>
        <v/>
      </c>
      <c r="V48" s="186">
        <f>IF(H48=0,"***",O48/H48)</f>
        <v/>
      </c>
      <c r="W48" s="186">
        <f>IF(I48=0,"***",P48/I48)</f>
        <v/>
      </c>
      <c r="X48" s="186">
        <f>IF(J48=0,"***",Q48/J48)</f>
        <v/>
      </c>
      <c r="Y48" s="199">
        <f>IF(K48=0,"***",R48/K48)</f>
        <v/>
      </c>
    </row>
    <row r="49">
      <c r="C49" s="50" t="inlineStr">
        <is>
          <t>0552 集計</t>
        </is>
      </c>
      <c r="D49" s="20" t="inlineStr">
        <is>
          <t>馬場部長（東京）</t>
        </is>
      </c>
      <c r="E49" s="4">
        <f>機械!E49+包装資材!E49</f>
        <v/>
      </c>
      <c r="F49" s="4">
        <f>機械!F49+包装資材!F49</f>
        <v/>
      </c>
      <c r="G49" s="4">
        <f>機械!G49+包装資材!G49</f>
        <v/>
      </c>
      <c r="H49" s="4">
        <f>機械!H49+包装資材!H49</f>
        <v/>
      </c>
      <c r="I49" s="4">
        <f>機械!I49+包装資材!I49</f>
        <v/>
      </c>
      <c r="J49" s="4">
        <f>機械!J49+包装資材!J49</f>
        <v/>
      </c>
      <c r="K49" s="118">
        <f>SUM(E49:J49)</f>
        <v/>
      </c>
      <c r="L49" s="3">
        <f>機械!L49+包装資材!L49</f>
        <v/>
      </c>
      <c r="M49" s="4">
        <f>機械!M49+包装資材!M49</f>
        <v/>
      </c>
      <c r="N49" s="4">
        <f>機械!N49+包装資材!N49</f>
        <v/>
      </c>
      <c r="O49" s="4">
        <f>機械!O49+包装資材!O49</f>
        <v/>
      </c>
      <c r="P49" s="4">
        <f>機械!P49+包装資材!P49</f>
        <v/>
      </c>
      <c r="Q49" s="4">
        <f>機械!Q49+包装資材!Q49</f>
        <v/>
      </c>
      <c r="R49" s="84">
        <f>SUM(L49:Q49)</f>
        <v/>
      </c>
      <c r="S49" s="190">
        <f>IF(E49=0,"***",L49/E49)</f>
        <v/>
      </c>
      <c r="T49" s="186">
        <f>IF(F49=0,"***",M49/F49)</f>
        <v/>
      </c>
      <c r="U49" s="186">
        <f>IF(G49=0,"***",N49/G49)</f>
        <v/>
      </c>
      <c r="V49" s="186">
        <f>IF(H49=0,"***",O49/H49)</f>
        <v/>
      </c>
      <c r="W49" s="186">
        <f>IF(I49=0,"***",P49/I49)</f>
        <v/>
      </c>
      <c r="X49" s="186">
        <f>IF(J49=0,"***",Q49/J49)</f>
        <v/>
      </c>
      <c r="Y49" s="199">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201" t="n">
        <v>0.156</v>
      </c>
    </row>
    <row r="51" customFormat="1" s="60">
      <c r="A51" s="172" t="n"/>
      <c r="B51" s="172" t="n"/>
      <c r="C51" s="64" t="inlineStr">
        <is>
          <t>内リンガーハット</t>
        </is>
      </c>
      <c r="D51" s="68" t="n"/>
      <c r="E51" s="65">
        <f>(E38+E25)/2</f>
        <v/>
      </c>
      <c r="F51" s="65">
        <f>(F38+F25)/2</f>
        <v/>
      </c>
      <c r="G51" s="65">
        <f>(G38+G25)/2</f>
        <v/>
      </c>
      <c r="H51" s="65">
        <f>(H38+H25)/2</f>
        <v/>
      </c>
      <c r="I51" s="65">
        <f>(I38+I25)/2</f>
        <v/>
      </c>
      <c r="J51" s="65">
        <f>(J38+J25)/2</f>
        <v/>
      </c>
      <c r="K51" s="128">
        <f>SUM(E51:J51)</f>
        <v/>
      </c>
      <c r="L51" s="92">
        <f>(L38+L25)/2</f>
        <v/>
      </c>
      <c r="M51" s="65">
        <f>(M38+M25)/2</f>
        <v/>
      </c>
      <c r="N51" s="65">
        <f>(N38+N25)/2</f>
        <v/>
      </c>
      <c r="O51" s="65">
        <f>(O38+O25)/2</f>
        <v/>
      </c>
      <c r="P51" s="65">
        <f>(P38+P25)/2</f>
        <v/>
      </c>
      <c r="Q51" s="65">
        <f>(Q38+Q25)/2</f>
        <v/>
      </c>
      <c r="R51" s="86">
        <f>SUM(L51:Q51)</f>
        <v/>
      </c>
      <c r="S51" s="214">
        <f>IF(E51=0,"***",L51/E51)</f>
        <v/>
      </c>
      <c r="T51" s="209">
        <f>IF(F51=0,"***",M51/F51)</f>
        <v/>
      </c>
      <c r="U51" s="209">
        <f>IF(G51=0,"***",N51/G51)</f>
        <v/>
      </c>
      <c r="V51" s="209">
        <f>IF(H51=0,"***",O51/H51)</f>
        <v/>
      </c>
      <c r="W51" s="209">
        <f>IF(I51=0,"***",P51/I51)</f>
        <v/>
      </c>
      <c r="X51" s="209">
        <f>IF(J51=0,"***",Q51/J51)</f>
        <v/>
      </c>
      <c r="Y51" s="210">
        <f>IF(K51=0,"***",R51/K51)</f>
        <v/>
      </c>
      <c r="Z51" s="60" t="inlineStr">
        <is>
          <t>0042と0550からカネゲン引く</t>
        </is>
      </c>
    </row>
    <row r="52" customFormat="1" s="60">
      <c r="A52" s="172" t="n"/>
      <c r="B52" s="172" t="n"/>
      <c r="C52" s="87" t="inlineStr">
        <is>
          <t>リンガーハット以外</t>
        </is>
      </c>
      <c r="D52" s="88" t="n"/>
      <c r="E52" s="89">
        <f>E50-E51</f>
        <v/>
      </c>
      <c r="F52" s="89">
        <f>F50-F51</f>
        <v/>
      </c>
      <c r="G52" s="89">
        <f>G50-G51</f>
        <v/>
      </c>
      <c r="H52" s="89">
        <f>H50-H51</f>
        <v/>
      </c>
      <c r="I52" s="89">
        <f>I50-I51</f>
        <v/>
      </c>
      <c r="J52" s="89">
        <f>J50-J51</f>
        <v/>
      </c>
      <c r="K52" s="135">
        <f>SUM(E52:J52)</f>
        <v/>
      </c>
      <c r="L52" s="93">
        <f>L50-L51</f>
        <v/>
      </c>
      <c r="M52" s="89">
        <f>M50-M51</f>
        <v/>
      </c>
      <c r="N52" s="89">
        <f>N50-N51</f>
        <v/>
      </c>
      <c r="O52" s="89">
        <f>O50-O51</f>
        <v/>
      </c>
      <c r="P52" s="89">
        <f>P50-P51</f>
        <v/>
      </c>
      <c r="Q52" s="89">
        <f>Q50-Q51</f>
        <v/>
      </c>
      <c r="R52" s="90">
        <f>SUM(L52:Q52)</f>
        <v/>
      </c>
      <c r="S52" s="215">
        <f>IF(E52=0,"***",L52/E52)</f>
        <v/>
      </c>
      <c r="T52" s="212">
        <f>IF(F52=0,"***",M52/F52)</f>
        <v/>
      </c>
      <c r="U52" s="212">
        <f>IF(G52=0,"***",N52/G52)</f>
        <v/>
      </c>
      <c r="V52" s="212">
        <f>IF(H52=0,"***",O52/H52)</f>
        <v/>
      </c>
      <c r="W52" s="212">
        <f>IF(I52=0,"***",P52/I52)</f>
        <v/>
      </c>
      <c r="X52" s="212">
        <f>IF(J52=0,"***",Q52/J52)</f>
        <v/>
      </c>
      <c r="Y52" s="213">
        <f>SUM(S52:X52)</f>
        <v/>
      </c>
      <c r="Z52" s="60" t="inlineStr">
        <is>
          <t>0042と0550からカネゲン引く</t>
        </is>
      </c>
    </row>
    <row r="53" hidden="1" s="171">
      <c r="C53" s="15" t="n"/>
      <c r="E53" s="14" t="n"/>
      <c r="F53" s="14" t="n"/>
      <c r="G53" s="14" t="n"/>
      <c r="H53" s="14" t="n"/>
      <c r="I53" s="14" t="n"/>
      <c r="J53" s="14" t="n"/>
      <c r="K53" s="15" t="n"/>
      <c r="L53" s="14" t="n"/>
      <c r="M53" s="14" t="n"/>
      <c r="N53" s="14" t="n"/>
      <c r="O53" s="14" t="n"/>
      <c r="P53" s="14" t="n"/>
      <c r="Q53" s="14" t="n"/>
      <c r="R53" s="15" t="n"/>
      <c r="S53" s="185" t="n"/>
      <c r="T53" s="185" t="n"/>
      <c r="U53" s="185" t="n"/>
      <c r="V53" s="185" t="n"/>
      <c r="W53" s="185" t="n"/>
      <c r="X53" s="185" t="n"/>
      <c r="Y53" s="185" t="n"/>
    </row>
    <row r="54" hidden="1" customFormat="1" s="82">
      <c r="A54" s="172" t="n"/>
      <c r="B54" s="172" t="n"/>
      <c r="C54" s="78" t="inlineStr">
        <is>
          <t>5．前期比</t>
        </is>
      </c>
      <c r="D54" s="81" t="n"/>
      <c r="E54" s="77" t="n"/>
      <c r="F54" s="77" t="n"/>
      <c r="G54" s="77" t="n"/>
      <c r="H54" s="77" t="n"/>
      <c r="I54" s="77" t="n"/>
      <c r="J54" s="77" t="n"/>
      <c r="K54" s="78" t="n"/>
      <c r="L54" s="77" t="n"/>
      <c r="M54" s="77" t="n"/>
      <c r="N54" s="77" t="n"/>
      <c r="O54" s="77" t="n"/>
      <c r="P54" s="77" t="n"/>
      <c r="Q54" s="77" t="n"/>
      <c r="R54" s="78" t="n"/>
      <c r="S54" s="216" t="n"/>
      <c r="T54" s="216" t="n"/>
      <c r="U54" s="216" t="n"/>
      <c r="V54" s="216" t="n"/>
      <c r="W54" s="216" t="n"/>
      <c r="X54" s="216"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9"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9" t="inlineStr">
        <is>
          <t>0045 集計</t>
        </is>
      </c>
      <c r="D58" s="75"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f>S45-S19</f>
        <v/>
      </c>
      <c r="T58" s="186">
        <f>T45-T19</f>
        <v/>
      </c>
      <c r="U58" s="186">
        <f>U45-U19</f>
        <v/>
      </c>
      <c r="V58" s="186">
        <f>V45-V19</f>
        <v/>
      </c>
      <c r="W58" s="186">
        <f>W45-W19</f>
        <v/>
      </c>
      <c r="X58" s="186">
        <f>X45-X19</f>
        <v/>
      </c>
      <c r="Y58" s="199">
        <f>Y45-Y19</f>
        <v/>
      </c>
    </row>
    <row r="59" hidden="1" s="171">
      <c r="C59" s="49"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9"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50" t="inlineStr">
        <is>
          <t>0550 集計</t>
        </is>
      </c>
      <c r="D61" s="76" t="inlineStr">
        <is>
          <t>馬場所長（東京）</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50" t="inlineStr">
        <is>
          <t>0552 集計</t>
        </is>
      </c>
      <c r="D62" s="20" t="inlineStr">
        <is>
          <t>馬場部長（東京）</t>
        </is>
      </c>
      <c r="E62" s="3">
        <f>E49-E23</f>
        <v/>
      </c>
      <c r="F62" s="4">
        <f>F49-F23</f>
        <v/>
      </c>
      <c r="G62" s="4">
        <f>G49-G23</f>
        <v/>
      </c>
      <c r="H62" s="4">
        <f>H49-H23</f>
        <v/>
      </c>
      <c r="I62" s="4">
        <f>I49-I23</f>
        <v/>
      </c>
      <c r="J62" s="4">
        <f>J49-J23</f>
        <v/>
      </c>
      <c r="K62" s="84">
        <f>SUM(E62:J62)</f>
        <v/>
      </c>
      <c r="L62" s="3">
        <f>L49-L23</f>
        <v/>
      </c>
      <c r="M62" s="4">
        <f>M49-M23</f>
        <v/>
      </c>
      <c r="N62" s="4">
        <f>N49-N23</f>
        <v/>
      </c>
      <c r="O62" s="4">
        <f>O49-O23</f>
        <v/>
      </c>
      <c r="P62" s="4">
        <f>P49-P23</f>
        <v/>
      </c>
      <c r="Q62" s="4">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4" t="inlineStr">
        <is>
          <t>内リンガーハット</t>
        </is>
      </c>
      <c r="D64" s="68"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8">
        <f>S51-S25</f>
        <v/>
      </c>
      <c r="T64" s="209">
        <f>T51-T25</f>
        <v/>
      </c>
      <c r="U64" s="209">
        <f>U51-U25</f>
        <v/>
      </c>
      <c r="V64" s="209">
        <f>V51-V25</f>
        <v/>
      </c>
      <c r="W64" s="209">
        <f>W51-W25</f>
        <v/>
      </c>
      <c r="X64" s="209">
        <f>X51-X25</f>
        <v/>
      </c>
      <c r="Y64" s="210">
        <f>Y51-Y25</f>
        <v/>
      </c>
    </row>
    <row r="65" hidden="1" customFormat="1" s="60">
      <c r="A65" s="172" t="n"/>
      <c r="B65" s="172" t="n"/>
      <c r="C65" s="64" t="inlineStr">
        <is>
          <t>リンガーハット以外</t>
        </is>
      </c>
      <c r="D65" s="68" t="n"/>
      <c r="E65" s="93">
        <f>E63-E64</f>
        <v/>
      </c>
      <c r="F65" s="89">
        <f>F63-F64</f>
        <v/>
      </c>
      <c r="G65" s="89">
        <f>G63-G64</f>
        <v/>
      </c>
      <c r="H65" s="89">
        <f>H63-H64</f>
        <v/>
      </c>
      <c r="I65" s="89">
        <f>I63-I64</f>
        <v/>
      </c>
      <c r="J65" s="89">
        <f>J63-J64</f>
        <v/>
      </c>
      <c r="K65" s="90">
        <f>SUM(E65:J65)</f>
        <v/>
      </c>
      <c r="L65" s="93">
        <f>L63-L64</f>
        <v/>
      </c>
      <c r="M65" s="89">
        <f>M63-M64</f>
        <v/>
      </c>
      <c r="N65" s="89">
        <f>N63-N64</f>
        <v/>
      </c>
      <c r="O65" s="89">
        <f>O63-O64</f>
        <v/>
      </c>
      <c r="P65" s="89">
        <f>P63-P64</f>
        <v/>
      </c>
      <c r="Q65" s="89">
        <f>Q63-Q64</f>
        <v/>
      </c>
      <c r="R65" s="90">
        <f>SUM(L65:Q65)</f>
        <v/>
      </c>
      <c r="S65" s="211">
        <f>IF(E65=0,"***",L65/E65)</f>
        <v/>
      </c>
      <c r="T65" s="212">
        <f>IF(F65=0,"***",M65/F65)</f>
        <v/>
      </c>
      <c r="U65" s="212">
        <f>IF(G65=0,"***",N65/G65)</f>
        <v/>
      </c>
      <c r="V65" s="212">
        <f>IF(H65=0,"***",O65/H65)</f>
        <v/>
      </c>
      <c r="W65" s="212">
        <f>IF(I65=0,"***",P65/I65)</f>
        <v/>
      </c>
      <c r="X65" s="212">
        <f>IF(J65=0,"***",Q65/J65)</f>
        <v/>
      </c>
      <c r="Y65" s="213">
        <f>SUM(S65:X65)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9"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t="inlineStr">
        <is>
          <t>yokat</t>
        </is>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9" t="inlineStr">
        <is>
          <t>0045 集計</t>
        </is>
      </c>
      <c r="D71" s="75"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9"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9"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50" t="inlineStr">
        <is>
          <t>0550 集計</t>
        </is>
      </c>
      <c r="D74" s="76" t="inlineStr">
        <is>
          <t>馬場所長（東京）</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50" t="inlineStr">
        <is>
          <t>0552 集計</t>
        </is>
      </c>
      <c r="D75" s="20" t="inlineStr">
        <is>
          <t>馬場部長（東京）</t>
        </is>
      </c>
      <c r="E75" s="4">
        <f>E49-E36</f>
        <v/>
      </c>
      <c r="F75" s="4">
        <f>F49-F36</f>
        <v/>
      </c>
      <c r="G75" s="4">
        <f>G49-G36</f>
        <v/>
      </c>
      <c r="H75" s="4">
        <f>H49-H36</f>
        <v/>
      </c>
      <c r="I75" s="4">
        <f>I49-I36</f>
        <v/>
      </c>
      <c r="J75" s="4">
        <f>J49-J36</f>
        <v/>
      </c>
      <c r="K75" s="118">
        <f>SUM(E75:J75)</f>
        <v/>
      </c>
      <c r="L75" s="3">
        <f>L49-L36</f>
        <v/>
      </c>
      <c r="M75" s="4">
        <f>M49-M36</f>
        <v/>
      </c>
      <c r="N75" s="4">
        <f>N49-N36</f>
        <v/>
      </c>
      <c r="O75" s="4">
        <f>O49-O36</f>
        <v/>
      </c>
      <c r="P75" s="4">
        <f>P49-P36</f>
        <v/>
      </c>
      <c r="Q75" s="4">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4" t="inlineStr">
        <is>
          <t>内リンガーハット</t>
        </is>
      </c>
      <c r="D77" s="68" t="n"/>
      <c r="E77" s="4">
        <f>E51-E38</f>
        <v/>
      </c>
      <c r="F77" s="4">
        <f>F51-F38</f>
        <v/>
      </c>
      <c r="G77" s="4">
        <f>G51-G38</f>
        <v/>
      </c>
      <c r="H77" s="4">
        <f>H51-H38</f>
        <v/>
      </c>
      <c r="I77" s="4">
        <f>I51-I38</f>
        <v/>
      </c>
      <c r="J77" s="4">
        <f>J51-J38</f>
        <v/>
      </c>
      <c r="K77" s="118">
        <f>SUM(E77:J77)</f>
        <v/>
      </c>
      <c r="L77" s="3">
        <f>L51-L38</f>
        <v/>
      </c>
      <c r="M77" s="4">
        <f>M51-M38</f>
        <v/>
      </c>
      <c r="N77" s="4">
        <f>N51-N38</f>
        <v/>
      </c>
      <c r="O77" s="4">
        <f>O51-O38</f>
        <v/>
      </c>
      <c r="P77" s="4">
        <f>P51-P38</f>
        <v/>
      </c>
      <c r="Q77" s="4">
        <f>Q51-Q38</f>
        <v/>
      </c>
      <c r="R77" s="84">
        <f>SUM(L77:Q77)</f>
        <v/>
      </c>
      <c r="S77" s="214">
        <f>IF(E77=0,"***",L77/E77)</f>
        <v/>
      </c>
      <c r="T77" s="209">
        <f>IF(F77=0,"***",M77/F77)</f>
        <v/>
      </c>
      <c r="U77" s="209">
        <f>IF(G77=0,"***",N77/G77)</f>
        <v/>
      </c>
      <c r="V77" s="209">
        <f>IF(H77=0,"***",O77/H77)</f>
        <v/>
      </c>
      <c r="W77" s="209">
        <f>IF(I77=0,"***",P77/I77)</f>
        <v/>
      </c>
      <c r="X77" s="209">
        <f>IF(J77=0,"***",Q77/J77)</f>
        <v/>
      </c>
      <c r="Y77" s="217">
        <f>IF(K77=0,"***",R77/K77)</f>
        <v/>
      </c>
      <c r="Z77" s="60" t="inlineStr">
        <is>
          <t>0042と0550からカネゲン引く</t>
        </is>
      </c>
    </row>
    <row r="78" hidden="1" customFormat="1" s="60">
      <c r="A78" s="172" t="n"/>
      <c r="B78" s="172" t="n"/>
      <c r="C78" s="64" t="inlineStr">
        <is>
          <t>リンガーハット以外</t>
        </is>
      </c>
      <c r="D78" s="68" t="n"/>
      <c r="E78" s="65">
        <f>E76-E77</f>
        <v/>
      </c>
      <c r="F78" s="65">
        <f>F76-F77</f>
        <v/>
      </c>
      <c r="G78" s="65">
        <f>G76-G77</f>
        <v/>
      </c>
      <c r="H78" s="65">
        <f>H76-H77</f>
        <v/>
      </c>
      <c r="I78" s="65">
        <f>I76-I77</f>
        <v/>
      </c>
      <c r="J78" s="65">
        <f>J76-J77</f>
        <v/>
      </c>
      <c r="K78" s="128">
        <f>SUM(E78:J78)</f>
        <v/>
      </c>
      <c r="L78" s="93">
        <f>L76-L77</f>
        <v/>
      </c>
      <c r="M78" s="89">
        <f>M76-M77</f>
        <v/>
      </c>
      <c r="N78" s="89">
        <f>N76-N77</f>
        <v/>
      </c>
      <c r="O78" s="89">
        <f>O76-O77</f>
        <v/>
      </c>
      <c r="P78" s="89">
        <f>P76-P77</f>
        <v/>
      </c>
      <c r="Q78" s="89">
        <f>Q76-Q77</f>
        <v/>
      </c>
      <c r="R78" s="90">
        <f>SUM(L78:Q78)</f>
        <v/>
      </c>
      <c r="S78" s="214">
        <f>IF(E78=0,"***",L78/E78)</f>
        <v/>
      </c>
      <c r="T78" s="209">
        <f>IF(F78=0,"***",M78/F78)</f>
        <v/>
      </c>
      <c r="U78" s="209">
        <f>IF(G78=0,"***",N78/G78)</f>
        <v/>
      </c>
      <c r="V78" s="209">
        <f>IF(H78=0,"***",O78/H78)</f>
        <v/>
      </c>
      <c r="W78" s="209">
        <f>IF(I78=0,"***",P78/I78)</f>
        <v/>
      </c>
      <c r="X78" s="209">
        <f>IF(J78=0,"***",Q78/J78)</f>
        <v/>
      </c>
      <c r="Y78" s="217">
        <f>SUM(S78:X78)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74" t="n"/>
      <c r="E81" s="163" t="inlineStr">
        <is>
          <t>売上</t>
        </is>
      </c>
      <c r="F81" s="160" t="n"/>
      <c r="G81" s="160" t="n"/>
      <c r="H81" s="160" t="n"/>
      <c r="I81" s="160" t="n"/>
      <c r="J81" s="160" t="n"/>
      <c r="K81" s="161" t="n"/>
      <c r="L81" s="159"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9" t="n"/>
      <c r="E82" s="2" t="n">
        <v>46113</v>
      </c>
      <c r="F82" s="2" t="n">
        <v>46143</v>
      </c>
      <c r="G82" s="2" t="n">
        <v>46174</v>
      </c>
      <c r="H82" s="2" t="n">
        <v>46204</v>
      </c>
      <c r="I82" s="2" t="n">
        <v>46235</v>
      </c>
      <c r="J82" s="2" t="n">
        <v>46266</v>
      </c>
      <c r="K82" s="9" t="inlineStr">
        <is>
          <t>合計</t>
        </is>
      </c>
      <c r="L82" s="69"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9" t="inlineStr">
        <is>
          <t>0042 集計</t>
        </is>
      </c>
      <c r="D83" s="76" t="inlineStr">
        <is>
          <t>馬場部長（鳥栖）</t>
        </is>
      </c>
      <c r="E83" s="4" t="n">
        <v>18153.657</v>
      </c>
      <c r="F83" s="4" t="n">
        <v>17951.485</v>
      </c>
      <c r="G83" s="147" t="n">
        <v>23862.275</v>
      </c>
      <c r="H83" s="4" t="n">
        <v>21612.357</v>
      </c>
      <c r="I83" s="4" t="n">
        <v>23660.445</v>
      </c>
      <c r="J83" s="4" t="n">
        <v>23931.828</v>
      </c>
      <c r="K83" s="84">
        <f>SUM(E83:J83)</f>
        <v/>
      </c>
      <c r="L83" s="3" t="n">
        <v>3137.773</v>
      </c>
      <c r="M83" s="4" t="n">
        <v>4370.67</v>
      </c>
      <c r="N83" s="147" t="n">
        <v>5647.425</v>
      </c>
      <c r="O83" s="4" t="n">
        <v>4583.65</v>
      </c>
      <c r="P83" s="4" t="n">
        <v>4850.286</v>
      </c>
      <c r="Q83" s="4" t="n">
        <v>5051.359</v>
      </c>
      <c r="R83" s="84">
        <f>SUM(L83:Q83)</f>
        <v/>
      </c>
      <c r="S83" s="198">
        <f>IF(E83=0,"***",L83/E83)</f>
        <v/>
      </c>
      <c r="T83" s="186">
        <f>IF(F83=0,"***",M83/F83)</f>
        <v/>
      </c>
      <c r="U83" s="186">
        <f>IF(G83=0,"***",N83/G83)</f>
        <v/>
      </c>
      <c r="V83" s="186">
        <f>IF(H83=0,"***",O83/H83)</f>
        <v/>
      </c>
      <c r="W83" s="186">
        <f>IF(I83=0,"***",P83/I83)</f>
        <v/>
      </c>
      <c r="X83" s="186">
        <f>IF(J83=0,"***",Q83/J83)</f>
        <v/>
      </c>
      <c r="Y83" s="199">
        <f>IF(K83=0,"***",R83/K83)</f>
        <v/>
      </c>
    </row>
    <row r="84">
      <c r="C84" s="49" t="inlineStr">
        <is>
          <t>0045 集計</t>
        </is>
      </c>
      <c r="D84" s="75" t="inlineStr">
        <is>
          <t>ペーパーハグ</t>
        </is>
      </c>
      <c r="E84" s="4" t="n"/>
      <c r="F84" s="4" t="n"/>
      <c r="G84" s="4" t="n"/>
      <c r="H84" s="4" t="n"/>
      <c r="I84" s="4" t="n">
        <v>0</v>
      </c>
      <c r="J84" s="4" t="n">
        <v>0</v>
      </c>
      <c r="K84" s="84">
        <f>SUM(E84:J84)</f>
        <v/>
      </c>
      <c r="L84" s="3" t="n"/>
      <c r="M84" s="4" t="n"/>
      <c r="N84" s="4" t="n"/>
      <c r="O84" s="4" t="n"/>
      <c r="P84" s="4" t="n">
        <v>0</v>
      </c>
      <c r="Q84" s="4" t="n">
        <v>0</v>
      </c>
      <c r="R84" s="84">
        <f>SUM(L84:Q84)</f>
        <v/>
      </c>
      <c r="S84" s="198">
        <f>IF(E84=0,"***",L84/E84)</f>
        <v/>
      </c>
      <c r="T84" s="186">
        <f>IF(F84=0,"***",M84/F84)</f>
        <v/>
      </c>
      <c r="U84" s="186">
        <f>IF(G84=0,"***",N84/G84)</f>
        <v/>
      </c>
      <c r="V84" s="186">
        <f>IF(H84=0,"***",O84/H84)</f>
        <v/>
      </c>
      <c r="W84" s="186">
        <f>IF(I84=0,"***",P84/I84)</f>
        <v/>
      </c>
      <c r="X84" s="186">
        <f>IF(J84=0,"***",Q84/J84)</f>
        <v/>
      </c>
      <c r="Y84" s="199">
        <f>IF(K84=0,"***",R84/K84)</f>
        <v/>
      </c>
    </row>
    <row r="85">
      <c r="C85" s="49" t="inlineStr">
        <is>
          <t>0046 集計</t>
        </is>
      </c>
      <c r="D85" s="20" t="inlineStr">
        <is>
          <t>角田</t>
        </is>
      </c>
      <c r="E85" s="4" t="n">
        <v>6727</v>
      </c>
      <c r="F85" s="4" t="n">
        <v>4624.074</v>
      </c>
      <c r="G85" s="147" t="n">
        <v>6505.671</v>
      </c>
      <c r="H85" s="4" t="n">
        <v>5687.578</v>
      </c>
      <c r="I85" s="4" t="n">
        <v>6788.099</v>
      </c>
      <c r="J85" s="4" t="n">
        <v>4327.749</v>
      </c>
      <c r="K85" s="84">
        <f>SUM(E85:J85)</f>
        <v/>
      </c>
      <c r="L85" s="3" t="n">
        <v>1210.781</v>
      </c>
      <c r="M85" s="4" t="n">
        <v>968.966</v>
      </c>
      <c r="N85" s="147" t="n">
        <v>1316.365</v>
      </c>
      <c r="O85" s="4" t="n">
        <v>1273.791</v>
      </c>
      <c r="P85" s="4" t="n">
        <v>1199.07</v>
      </c>
      <c r="Q85" s="4" t="n">
        <v>856.58</v>
      </c>
      <c r="R85" s="84">
        <f>SUM(L85:Q85)</f>
        <v/>
      </c>
      <c r="S85" s="198">
        <f>IF(E85=0,"***",L85/E85)</f>
        <v/>
      </c>
      <c r="T85" s="186">
        <f>IF(F85=0,"***",M85/F85)</f>
        <v/>
      </c>
      <c r="U85" s="186">
        <f>IF(G85=0,"***",N85/G85)</f>
        <v/>
      </c>
      <c r="V85" s="186">
        <f>IF(H85=0,"***",O85/H85)</f>
        <v/>
      </c>
      <c r="W85" s="186">
        <f>IF(I85=0,"***",P85/I85)</f>
        <v/>
      </c>
      <c r="X85" s="186">
        <f>IF(J85=0,"***",Q85/J85)</f>
        <v/>
      </c>
      <c r="Y85" s="199">
        <f>IF(K85=0,"***",R85/K85)</f>
        <v/>
      </c>
    </row>
    <row r="86">
      <c r="C86" s="49" t="inlineStr">
        <is>
          <t>0047 集計</t>
        </is>
      </c>
      <c r="D86" s="76" t="inlineStr">
        <is>
          <t>馬場部長（静岡）</t>
        </is>
      </c>
      <c r="E86" s="4" t="n">
        <v>12904.127</v>
      </c>
      <c r="F86" s="4" t="n">
        <v>14611.809</v>
      </c>
      <c r="G86" s="147" t="n">
        <v>13028.232</v>
      </c>
      <c r="H86" s="4" t="n">
        <v>14519.909</v>
      </c>
      <c r="I86" s="4" t="n">
        <v>13852.311</v>
      </c>
      <c r="J86" s="4" t="n">
        <v>16187.297</v>
      </c>
      <c r="K86" s="84">
        <f>SUM(E86:J86)</f>
        <v/>
      </c>
      <c r="L86" s="3" t="n">
        <v>1656.371</v>
      </c>
      <c r="M86" s="4" t="n">
        <v>3360.458</v>
      </c>
      <c r="N86" s="147" t="n">
        <v>2756.725</v>
      </c>
      <c r="O86" s="4" t="n">
        <v>2693.178</v>
      </c>
      <c r="P86" s="4" t="n">
        <v>2388.065</v>
      </c>
      <c r="Q86" s="4" t="n">
        <v>2724.622</v>
      </c>
      <c r="R86" s="84">
        <f>SUM(L86:Q86)</f>
        <v/>
      </c>
      <c r="S86" s="198">
        <f>IF(E86=0,"***",L86/E86)</f>
        <v/>
      </c>
      <c r="T86" s="186">
        <f>IF(F86=0,"***",M86/F86)</f>
        <v/>
      </c>
      <c r="U86" s="186">
        <f>IF(G86=0,"***",N86/G86)</f>
        <v/>
      </c>
      <c r="V86" s="186">
        <f>IF(H86=0,"***",O86/H86)</f>
        <v/>
      </c>
      <c r="W86" s="186">
        <f>IF(I86=0,"***",P86/I86)</f>
        <v/>
      </c>
      <c r="X86" s="186">
        <f>IF(J86=0,"***",Q86/J86)</f>
        <v/>
      </c>
      <c r="Y86" s="199">
        <f>IF(K86=0,"***",R86/K86)</f>
        <v/>
      </c>
    </row>
    <row r="87">
      <c r="C87" s="50" t="inlineStr">
        <is>
          <t>0550 集計</t>
        </is>
      </c>
      <c r="D87" s="76" t="inlineStr">
        <is>
          <t>馬場所長（東京）</t>
        </is>
      </c>
      <c r="E87" s="4" t="n">
        <v>100</v>
      </c>
      <c r="F87" s="4" t="n">
        <v>157.675</v>
      </c>
      <c r="G87" s="147" t="n">
        <v>290</v>
      </c>
      <c r="H87" s="4" t="n">
        <v>0</v>
      </c>
      <c r="I87" s="4" t="n">
        <v>0</v>
      </c>
      <c r="J87" s="4" t="n">
        <v>0</v>
      </c>
      <c r="K87" s="84">
        <f>SUM(E87:J87)</f>
        <v/>
      </c>
      <c r="L87" s="3" t="n">
        <v>100</v>
      </c>
      <c r="M87" s="4" t="n">
        <v>103.375</v>
      </c>
      <c r="N87" s="147" t="n">
        <v>100</v>
      </c>
      <c r="O87" s="4" t="n">
        <v>0</v>
      </c>
      <c r="P87" s="4" t="n">
        <v>0</v>
      </c>
      <c r="Q87" s="4" t="n">
        <v>0</v>
      </c>
      <c r="R87" s="84">
        <f>SUM(L87:Q87)</f>
        <v/>
      </c>
      <c r="S87" s="198">
        <f>IF(E87=0,"***",L87/E87)</f>
        <v/>
      </c>
      <c r="T87" s="186">
        <f>IF(F87=0,"***",M87/F87)</f>
        <v/>
      </c>
      <c r="U87" s="186">
        <f>IF(G87=0,"***",N87/G87)</f>
        <v/>
      </c>
      <c r="V87" s="186">
        <f>IF(H87=0,"***",O87/H87)</f>
        <v/>
      </c>
      <c r="W87" s="186">
        <f>IF(I87=0,"***",P87/I87)</f>
        <v/>
      </c>
      <c r="X87" s="186">
        <f>IF(J87=0,"***",Q87/J87)</f>
        <v/>
      </c>
      <c r="Y87" s="199">
        <f>IF(K87=0,"***",R87/K87)</f>
        <v/>
      </c>
    </row>
    <row r="88">
      <c r="C88" s="50" t="inlineStr">
        <is>
          <t>0552 集計</t>
        </is>
      </c>
      <c r="D88" s="20" t="inlineStr">
        <is>
          <t>馬場部長（東京）</t>
        </is>
      </c>
      <c r="E88" s="4" t="n">
        <v>5089</v>
      </c>
      <c r="F88" s="4" t="n">
        <v>3321.006</v>
      </c>
      <c r="G88" s="147" t="n">
        <v>4437.165</v>
      </c>
      <c r="H88" s="4" t="n">
        <v>7195.782</v>
      </c>
      <c r="I88" s="4" t="n">
        <v>5422.219</v>
      </c>
      <c r="J88" s="4" t="n">
        <v>5618.959</v>
      </c>
      <c r="K88" s="84">
        <f>SUM(E88:J88)</f>
        <v/>
      </c>
      <c r="L88" s="3" t="n">
        <v>618</v>
      </c>
      <c r="M88" s="4" t="n">
        <v>409.916</v>
      </c>
      <c r="N88" s="147" t="n">
        <v>510.338</v>
      </c>
      <c r="O88" s="4" t="n">
        <v>930.6950000000001</v>
      </c>
      <c r="P88" s="4" t="n">
        <v>712.8835</v>
      </c>
      <c r="Q88" s="4" t="n">
        <v>738.4465</v>
      </c>
      <c r="R88" s="84">
        <f>SUM(L88:Q88)</f>
        <v/>
      </c>
      <c r="S88" s="198">
        <f>IF(E88=0,"***",L88/E88)</f>
        <v/>
      </c>
      <c r="T88" s="186">
        <f>IF(F88=0,"***",M88/F88)</f>
        <v/>
      </c>
      <c r="U88" s="186">
        <f>IF(G88=0,"***",N88/G88)</f>
        <v/>
      </c>
      <c r="V88" s="186">
        <f>IF(H88=0,"***",O88/H88)</f>
        <v/>
      </c>
      <c r="W88" s="186">
        <f>IF(I88=0,"***",P88/I88)</f>
        <v/>
      </c>
      <c r="X88" s="186">
        <f>IF(J88=0,"***",Q88/J88)</f>
        <v/>
      </c>
      <c r="Y88" s="199">
        <f>IF(K88=0,"***",R88/K88)</f>
        <v/>
      </c>
    </row>
    <row r="89">
      <c r="C89" s="45" t="inlineStr">
        <is>
          <t>合計</t>
        </is>
      </c>
      <c r="D89" s="46" t="n"/>
      <c r="E89" s="7">
        <f>SUM(E83:E88)</f>
        <v/>
      </c>
      <c r="F89" s="7">
        <f>SUM(F83:F88)</f>
        <v/>
      </c>
      <c r="G89" s="7">
        <f>SUM(G83:G88)</f>
        <v/>
      </c>
      <c r="H89" s="7">
        <f>SUM(H83:H88)</f>
        <v/>
      </c>
      <c r="I89" s="7">
        <f>SUM(I83:I88)</f>
        <v/>
      </c>
      <c r="J89" s="7">
        <f>SUM(J83:J88)</f>
        <v/>
      </c>
      <c r="K89" s="85">
        <f>SUM(K83:K88)</f>
        <v/>
      </c>
      <c r="L89" s="91">
        <f>SUM(L83:L88)</f>
        <v/>
      </c>
      <c r="M89" s="7">
        <f>SUM(M83:M88)</f>
        <v/>
      </c>
      <c r="N89" s="7">
        <f>SUM(N83:N88)</f>
        <v/>
      </c>
      <c r="O89" s="7">
        <f>SUM(O83:O88)</f>
        <v/>
      </c>
      <c r="P89" s="7">
        <f>SUM(P83:P88)</f>
        <v/>
      </c>
      <c r="Q89" s="7">
        <f>SUM(Q83:Q88)</f>
        <v/>
      </c>
      <c r="R89" s="85">
        <f>SUM(R83:R88)</f>
        <v/>
      </c>
      <c r="S89" s="200">
        <f>IF(E89=0,"***",L89/E89)</f>
        <v/>
      </c>
      <c r="T89" s="181">
        <f>IF(F89=0,"***",M89/F89)</f>
        <v/>
      </c>
      <c r="U89" s="181">
        <f>IF(G89=0,"***",N89/G89)</f>
        <v/>
      </c>
      <c r="V89" s="181">
        <f>IF(H89=0,"***",O89/H89)</f>
        <v/>
      </c>
      <c r="W89" s="181">
        <f>IF(I89=0,"***",P89/I89)</f>
        <v/>
      </c>
      <c r="X89" s="181">
        <f>IF(J89=0,"***",Q89/J89)</f>
        <v/>
      </c>
      <c r="Y89" s="201">
        <f>IF(K89=0,"***",R89/K89)</f>
        <v/>
      </c>
    </row>
    <row r="90" customFormat="1" s="60">
      <c r="A90" s="172" t="n"/>
      <c r="B90" s="172" t="n"/>
      <c r="C90" s="64" t="inlineStr">
        <is>
          <t>内リンガーハット</t>
        </is>
      </c>
      <c r="D90" s="68" t="n"/>
      <c r="E90" s="65" t="n">
        <v>29321.996</v>
      </c>
      <c r="F90" s="65" t="n">
        <v>31723.222</v>
      </c>
      <c r="G90" s="149" t="n">
        <v>36356.804</v>
      </c>
      <c r="H90" s="65" t="n">
        <v>35234.444</v>
      </c>
      <c r="I90" s="65" t="n">
        <v>37090.624</v>
      </c>
      <c r="J90" s="65" t="n">
        <v>39014.492</v>
      </c>
      <c r="K90" s="86">
        <f>SUM(E90:J90)</f>
        <v/>
      </c>
      <c r="L90" s="92" t="n">
        <v>4712.731</v>
      </c>
      <c r="M90" s="65" t="n">
        <v>7752.55</v>
      </c>
      <c r="N90" s="149" t="n">
        <v>8432.142</v>
      </c>
      <c r="O90" s="65" t="n">
        <v>7259.191</v>
      </c>
      <c r="P90" s="65" t="n">
        <v>7289.537</v>
      </c>
      <c r="Q90" s="65" t="n">
        <v>7756.133</v>
      </c>
      <c r="R90" s="86">
        <f>SUM(L90:Q90)</f>
        <v/>
      </c>
      <c r="S90" s="208">
        <f>IF(E90=0,"***",L90/E90)</f>
        <v/>
      </c>
      <c r="T90" s="209">
        <f>IF(F90=0,"***",M90/F90)</f>
        <v/>
      </c>
      <c r="U90" s="209">
        <f>IF(G90=0,"***",N90/G90)</f>
        <v/>
      </c>
      <c r="V90" s="209">
        <f>IF(H90=0,"***",O90/H90)</f>
        <v/>
      </c>
      <c r="W90" s="209">
        <f>IF(I90=0,"***",P90/I90)</f>
        <v/>
      </c>
      <c r="X90" s="209">
        <f>IF(J90=0,"***",Q90/J90)</f>
        <v/>
      </c>
      <c r="Y90" s="210">
        <f>IF(K90=0,"***",R90/K90)</f>
        <v/>
      </c>
      <c r="Z90" s="60" t="inlineStr">
        <is>
          <t>0042と0550からカネゲン引く</t>
        </is>
      </c>
    </row>
    <row r="91" customFormat="1" s="60">
      <c r="A91" s="172" t="n"/>
      <c r="B91" s="172" t="n"/>
      <c r="C91" s="87" t="inlineStr">
        <is>
          <t>リンガーハット以外</t>
        </is>
      </c>
      <c r="D91" s="88" t="n"/>
      <c r="E91" s="89">
        <f>E89-E90</f>
        <v/>
      </c>
      <c r="F91" s="89">
        <f>F89-F90</f>
        <v/>
      </c>
      <c r="G91" s="89">
        <f>G89-G90</f>
        <v/>
      </c>
      <c r="H91" s="89">
        <f>H89-H90</f>
        <v/>
      </c>
      <c r="I91" s="89">
        <f>I89-I90</f>
        <v/>
      </c>
      <c r="J91" s="89">
        <f>J89-J90</f>
        <v/>
      </c>
      <c r="K91" s="90">
        <f>SUM(E91:J91)</f>
        <v/>
      </c>
      <c r="L91" s="93">
        <f>L89-L90</f>
        <v/>
      </c>
      <c r="M91" s="89">
        <f>M89-M90</f>
        <v/>
      </c>
      <c r="N91" s="89">
        <f>N89-N90</f>
        <v/>
      </c>
      <c r="O91" s="89">
        <f>O89-O90</f>
        <v/>
      </c>
      <c r="P91" s="89">
        <f>P89-P90</f>
        <v/>
      </c>
      <c r="Q91" s="89">
        <f>Q89-Q90</f>
        <v/>
      </c>
      <c r="R91" s="90">
        <f>SUM(L91:Q91)</f>
        <v/>
      </c>
      <c r="S91" s="211">
        <f>IF(E91=0,"***",L91/E91)</f>
        <v/>
      </c>
      <c r="T91" s="212">
        <f>IF(F91=0,"***",M91/F91)</f>
        <v/>
      </c>
      <c r="U91" s="212">
        <f>IF(G91=0,"***",N91/G91)</f>
        <v/>
      </c>
      <c r="V91" s="212">
        <f>IF(H91=0,"***",O91/H91)</f>
        <v/>
      </c>
      <c r="W91" s="212">
        <f>IF(I91=0,"***",P91/I91)</f>
        <v/>
      </c>
      <c r="X91" s="212">
        <f>IF(J91=0,"***",Q91/J91)</f>
        <v/>
      </c>
      <c r="Y91" s="213">
        <f>SUM(S91:X91)</f>
        <v/>
      </c>
      <c r="Z91" s="60" t="inlineStr">
        <is>
          <t>0042と0550からカネゲン引く</t>
        </is>
      </c>
    </row>
    <row r="92">
      <c r="C92" s="15" t="n"/>
      <c r="E92" s="14" t="n"/>
      <c r="F92" s="14" t="n"/>
      <c r="G92" s="14" t="n"/>
      <c r="H92" s="14" t="n"/>
      <c r="I92" s="14" t="n"/>
      <c r="J92" s="14" t="n"/>
      <c r="K92" s="15" t="n"/>
      <c r="L92" s="14" t="n"/>
      <c r="M92" s="14" t="n"/>
      <c r="N92" s="14" t="n"/>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9"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9" t="inlineStr">
        <is>
          <t>0042 集計</t>
        </is>
      </c>
      <c r="D96" s="76" t="inlineStr">
        <is>
          <t>馬場部長（鳥栖）</t>
        </is>
      </c>
      <c r="E96" s="4">
        <f>E83-E44</f>
        <v/>
      </c>
      <c r="F96" s="4">
        <f>F83-F44</f>
        <v/>
      </c>
      <c r="G96" s="147">
        <f>G83-G44</f>
        <v/>
      </c>
      <c r="H96" s="4">
        <f>H83-H44</f>
        <v/>
      </c>
      <c r="I96" s="4">
        <f>I83-I44</f>
        <v/>
      </c>
      <c r="J96" s="4">
        <f>J83-J44</f>
        <v/>
      </c>
      <c r="K96" s="84">
        <f>SUM(E96:J96)</f>
        <v/>
      </c>
      <c r="L96" s="4">
        <f>L83-L44</f>
        <v/>
      </c>
      <c r="M96" s="4">
        <f>M83-M44</f>
        <v/>
      </c>
      <c r="N96" s="147">
        <f>N83-N44</f>
        <v/>
      </c>
      <c r="O96" s="4">
        <f>O83-O44</f>
        <v/>
      </c>
      <c r="P96" s="4">
        <f>P83-P44</f>
        <v/>
      </c>
      <c r="Q96" s="4">
        <f>Q83-Q44</f>
        <v/>
      </c>
      <c r="R96" s="84">
        <f>SUM(L96:Q96)</f>
        <v/>
      </c>
      <c r="S96" s="198">
        <f>S83-S44</f>
        <v/>
      </c>
      <c r="T96" s="186">
        <f>T83-T44</f>
        <v/>
      </c>
      <c r="U96" s="186">
        <f>U83-U44</f>
        <v/>
      </c>
      <c r="V96" s="186">
        <f>V83-V44</f>
        <v/>
      </c>
      <c r="W96" s="186">
        <f>W83-W44</f>
        <v/>
      </c>
      <c r="X96" s="186">
        <f>X83-X44</f>
        <v/>
      </c>
      <c r="Y96" s="199">
        <f>Y83-Y44</f>
        <v/>
      </c>
    </row>
    <row r="97">
      <c r="C97" s="49" t="inlineStr">
        <is>
          <t>0045 集計</t>
        </is>
      </c>
      <c r="D97" s="75" t="inlineStr">
        <is>
          <t>ペーパーハグ</t>
        </is>
      </c>
      <c r="E97" s="4">
        <f>E84-E45</f>
        <v/>
      </c>
      <c r="F97" s="4">
        <f>F84-F45</f>
        <v/>
      </c>
      <c r="G97" s="147">
        <f>G84-G45</f>
        <v/>
      </c>
      <c r="H97" s="4">
        <f>H84-H45</f>
        <v/>
      </c>
      <c r="I97" s="4">
        <f>I84-I45</f>
        <v/>
      </c>
      <c r="J97" s="4">
        <f>J84-J45</f>
        <v/>
      </c>
      <c r="K97" s="84">
        <f>SUM(E97:J97)</f>
        <v/>
      </c>
      <c r="L97" s="4">
        <f>L84-L45</f>
        <v/>
      </c>
      <c r="M97" s="4">
        <f>M84-M45</f>
        <v/>
      </c>
      <c r="N97" s="147">
        <f>N84-N45</f>
        <v/>
      </c>
      <c r="O97" s="4">
        <f>O84-O45</f>
        <v/>
      </c>
      <c r="P97" s="4">
        <f>P84-P45</f>
        <v/>
      </c>
      <c r="Q97" s="4">
        <f>Q84-Q45</f>
        <v/>
      </c>
      <c r="R97" s="84">
        <f>SUM(L97:Q97)</f>
        <v/>
      </c>
      <c r="S97" s="198">
        <f>S84-S45</f>
        <v/>
      </c>
      <c r="T97" s="186">
        <f>T84-T45</f>
        <v/>
      </c>
      <c r="U97" s="186">
        <f>U84-U45</f>
        <v/>
      </c>
      <c r="V97" s="186">
        <f>V84-V45</f>
        <v/>
      </c>
      <c r="W97" s="186">
        <f>W84-W45</f>
        <v/>
      </c>
      <c r="X97" s="186">
        <f>X84-X45</f>
        <v/>
      </c>
      <c r="Y97" s="199">
        <f>Y84-Y45</f>
        <v/>
      </c>
    </row>
    <row r="98">
      <c r="C98" s="49" t="inlineStr">
        <is>
          <t>0046 集計</t>
        </is>
      </c>
      <c r="D98" s="20" t="inlineStr">
        <is>
          <t>角田</t>
        </is>
      </c>
      <c r="E98" s="4">
        <f>E85-E46</f>
        <v/>
      </c>
      <c r="F98" s="4">
        <f>F85-F46</f>
        <v/>
      </c>
      <c r="G98" s="147">
        <f>G85-G46</f>
        <v/>
      </c>
      <c r="H98" s="4">
        <f>H85-H46</f>
        <v/>
      </c>
      <c r="I98" s="4">
        <f>I85-I46</f>
        <v/>
      </c>
      <c r="J98" s="4">
        <f>J85-J46</f>
        <v/>
      </c>
      <c r="K98" s="84">
        <f>SUM(E98:J98)</f>
        <v/>
      </c>
      <c r="L98" s="4">
        <f>L85-L46</f>
        <v/>
      </c>
      <c r="M98" s="4">
        <f>M85-M46</f>
        <v/>
      </c>
      <c r="N98" s="147">
        <f>N85-N46</f>
        <v/>
      </c>
      <c r="O98" s="4">
        <f>O85-O46</f>
        <v/>
      </c>
      <c r="P98" s="4">
        <f>P85-P46</f>
        <v/>
      </c>
      <c r="Q98" s="4">
        <f>Q85-Q46</f>
        <v/>
      </c>
      <c r="R98" s="84">
        <f>SUM(L98:Q98)</f>
        <v/>
      </c>
      <c r="S98" s="198">
        <f>S85-S46</f>
        <v/>
      </c>
      <c r="T98" s="186">
        <f>T85-T46</f>
        <v/>
      </c>
      <c r="U98" s="186">
        <f>U85-U46</f>
        <v/>
      </c>
      <c r="V98" s="186">
        <f>V85-V46</f>
        <v/>
      </c>
      <c r="W98" s="186">
        <f>W85-W46</f>
        <v/>
      </c>
      <c r="X98" s="186">
        <f>X85-X46</f>
        <v/>
      </c>
      <c r="Y98" s="199">
        <f>Y85-Y46</f>
        <v/>
      </c>
    </row>
    <row r="99">
      <c r="C99" s="49" t="inlineStr">
        <is>
          <t>0047 集計</t>
        </is>
      </c>
      <c r="D99" s="76" t="inlineStr">
        <is>
          <t>馬場部長（静岡）</t>
        </is>
      </c>
      <c r="E99" s="4">
        <f>E86-E47</f>
        <v/>
      </c>
      <c r="F99" s="4">
        <f>F86-F47</f>
        <v/>
      </c>
      <c r="G99" s="147">
        <f>G86-G47</f>
        <v/>
      </c>
      <c r="H99" s="4">
        <f>H86-H47</f>
        <v/>
      </c>
      <c r="I99" s="4">
        <f>I86-I47</f>
        <v/>
      </c>
      <c r="J99" s="4">
        <f>J86-J47</f>
        <v/>
      </c>
      <c r="K99" s="84">
        <f>SUM(E99:J99)</f>
        <v/>
      </c>
      <c r="L99" s="4">
        <f>L86-L47</f>
        <v/>
      </c>
      <c r="M99" s="4">
        <f>M86-M47</f>
        <v/>
      </c>
      <c r="N99" s="147">
        <f>N86-N47</f>
        <v/>
      </c>
      <c r="O99" s="4">
        <f>O86-O47</f>
        <v/>
      </c>
      <c r="P99" s="4">
        <f>P86-P47</f>
        <v/>
      </c>
      <c r="Q99" s="4">
        <f>Q86-Q47</f>
        <v/>
      </c>
      <c r="R99" s="84">
        <f>SUM(L99:Q99)</f>
        <v/>
      </c>
      <c r="S99" s="198">
        <f>S86-S47</f>
        <v/>
      </c>
      <c r="T99" s="186">
        <f>T86-T47</f>
        <v/>
      </c>
      <c r="U99" s="186">
        <f>U86-U47</f>
        <v/>
      </c>
      <c r="V99" s="186">
        <f>V86-V47</f>
        <v/>
      </c>
      <c r="W99" s="186">
        <f>W86-W47</f>
        <v/>
      </c>
      <c r="X99" s="186">
        <f>X86-X47</f>
        <v/>
      </c>
      <c r="Y99" s="199">
        <f>Y86-Y47</f>
        <v/>
      </c>
    </row>
    <row r="100">
      <c r="C100" s="50" t="inlineStr">
        <is>
          <t>0550 集計</t>
        </is>
      </c>
      <c r="D100" s="76" t="inlineStr">
        <is>
          <t>馬場所長（東京）</t>
        </is>
      </c>
      <c r="E100" s="4">
        <f>E87-E48</f>
        <v/>
      </c>
      <c r="F100" s="4">
        <f>F87-F48</f>
        <v/>
      </c>
      <c r="G100" s="147">
        <f>G87-G48</f>
        <v/>
      </c>
      <c r="H100" s="4">
        <f>H87-H48</f>
        <v/>
      </c>
      <c r="I100" s="4">
        <f>I87-I48</f>
        <v/>
      </c>
      <c r="J100" s="4">
        <f>J87-J48</f>
        <v/>
      </c>
      <c r="K100" s="84">
        <f>SUM(E100:J100)</f>
        <v/>
      </c>
      <c r="L100" s="4">
        <f>L87-L48</f>
        <v/>
      </c>
      <c r="M100" s="4">
        <f>M87-M48</f>
        <v/>
      </c>
      <c r="N100" s="147">
        <f>N87-N48</f>
        <v/>
      </c>
      <c r="O100" s="4">
        <f>O87-O48</f>
        <v/>
      </c>
      <c r="P100" s="4">
        <f>P87-P48</f>
        <v/>
      </c>
      <c r="Q100" s="4">
        <f>Q87-Q48</f>
        <v/>
      </c>
      <c r="R100" s="84">
        <f>SUM(L100:Q100)</f>
        <v/>
      </c>
      <c r="S100" s="198">
        <f>S87-S48</f>
        <v/>
      </c>
      <c r="T100" s="186">
        <f>T87-T48</f>
        <v/>
      </c>
      <c r="U100" s="186">
        <f>U87-U48</f>
        <v/>
      </c>
      <c r="V100" s="186">
        <f>V87-V48</f>
        <v/>
      </c>
      <c r="W100" s="186">
        <f>W87-W48</f>
        <v/>
      </c>
      <c r="X100" s="186">
        <f>X87-X48</f>
        <v/>
      </c>
      <c r="Y100" s="199">
        <f>Y87-Y48</f>
        <v/>
      </c>
    </row>
    <row r="101">
      <c r="C101" s="50" t="inlineStr">
        <is>
          <t>0552 集計</t>
        </is>
      </c>
      <c r="D101" s="20" t="inlineStr">
        <is>
          <t>馬場部長（東京）</t>
        </is>
      </c>
      <c r="E101" s="4">
        <f>E88-E49</f>
        <v/>
      </c>
      <c r="F101" s="4">
        <f>F88-F49</f>
        <v/>
      </c>
      <c r="G101" s="147">
        <f>G88-G49</f>
        <v/>
      </c>
      <c r="H101" s="4">
        <f>H88-H49</f>
        <v/>
      </c>
      <c r="I101" s="4">
        <f>I88-I49</f>
        <v/>
      </c>
      <c r="J101" s="4">
        <f>J88-J49</f>
        <v/>
      </c>
      <c r="K101" s="84">
        <f>SUM(E101:J101)</f>
        <v/>
      </c>
      <c r="L101" s="4">
        <f>L88-L49</f>
        <v/>
      </c>
      <c r="M101" s="4">
        <f>M88-M49</f>
        <v/>
      </c>
      <c r="N101" s="147">
        <f>N88-N49</f>
        <v/>
      </c>
      <c r="O101" s="4">
        <f>O88-O49</f>
        <v/>
      </c>
      <c r="P101" s="4">
        <f>P88-P49</f>
        <v/>
      </c>
      <c r="Q101" s="4">
        <f>Q88-Q49</f>
        <v/>
      </c>
      <c r="R101" s="84">
        <f>SUM(L101:Q101)</f>
        <v/>
      </c>
      <c r="S101" s="198">
        <f>S88-S49</f>
        <v/>
      </c>
      <c r="T101" s="186">
        <f>T88-T49</f>
        <v/>
      </c>
      <c r="U101" s="186">
        <f>U88-U49</f>
        <v/>
      </c>
      <c r="V101" s="186">
        <f>V88-V49</f>
        <v/>
      </c>
      <c r="W101" s="186">
        <f>W88-W49</f>
        <v/>
      </c>
      <c r="X101" s="186">
        <f>X88-X49</f>
        <v/>
      </c>
      <c r="Y101" s="199">
        <f>Y88-Y49</f>
        <v/>
      </c>
    </row>
    <row r="102">
      <c r="C102" s="45" t="inlineStr">
        <is>
          <t>合計</t>
        </is>
      </c>
      <c r="D102" s="46" t="n"/>
      <c r="E102" s="7">
        <f>SUM(E96:E101)</f>
        <v/>
      </c>
      <c r="F102" s="7">
        <f>SUM(F96:F101)</f>
        <v/>
      </c>
      <c r="G102" s="7">
        <f>SUM(G96:G101)</f>
        <v/>
      </c>
      <c r="H102" s="7">
        <f>SUM(H96:H101)</f>
        <v/>
      </c>
      <c r="I102" s="7">
        <f>SUM(I96:I101)</f>
        <v/>
      </c>
      <c r="J102" s="7">
        <f>SUM(J96:J101)</f>
        <v/>
      </c>
      <c r="K102" s="85">
        <f>SUM(K96:K101)</f>
        <v/>
      </c>
      <c r="L102" s="7">
        <f>SUM(L96:L101)</f>
        <v/>
      </c>
      <c r="M102" s="7">
        <f>SUM(M96:M101)</f>
        <v/>
      </c>
      <c r="N102" s="7">
        <f>SUM(N96:N101)</f>
        <v/>
      </c>
      <c r="O102" s="7">
        <f>SUM(O96:O101)</f>
        <v/>
      </c>
      <c r="P102" s="7">
        <f>SUM(P96:P101)</f>
        <v/>
      </c>
      <c r="Q102" s="7">
        <f>SUM(Q96:Q101)</f>
        <v/>
      </c>
      <c r="R102" s="85">
        <f>SUM(R96:R101)</f>
        <v/>
      </c>
      <c r="S102" s="200">
        <f>S89-S50</f>
        <v/>
      </c>
      <c r="T102" s="181">
        <f>T89-T50</f>
        <v/>
      </c>
      <c r="U102" s="181">
        <f>U89-U50</f>
        <v/>
      </c>
      <c r="V102" s="181">
        <f>V89-V50</f>
        <v/>
      </c>
      <c r="W102" s="181">
        <f>W89-W50</f>
        <v/>
      </c>
      <c r="X102" s="181">
        <f>X89-X50</f>
        <v/>
      </c>
      <c r="Y102" s="201">
        <f>Y89-Y50</f>
        <v/>
      </c>
    </row>
    <row r="103" customFormat="1" s="60">
      <c r="A103" s="172" t="n"/>
      <c r="B103" s="172" t="n"/>
      <c r="C103" s="64" t="inlineStr">
        <is>
          <t>内リンガーハット</t>
        </is>
      </c>
      <c r="D103" s="68" t="n"/>
      <c r="E103" s="4">
        <f>E90-E51</f>
        <v/>
      </c>
      <c r="F103" s="65">
        <f>F90-F51</f>
        <v/>
      </c>
      <c r="G103" s="149">
        <f>G90-G51</f>
        <v/>
      </c>
      <c r="H103" s="65">
        <f>H90-H51</f>
        <v/>
      </c>
      <c r="I103" s="65">
        <f>I90-I51</f>
        <v/>
      </c>
      <c r="J103" s="65">
        <f>J90-J51</f>
        <v/>
      </c>
      <c r="K103" s="86">
        <f>SUM(E103:J103)</f>
        <v/>
      </c>
      <c r="L103" s="4">
        <f>L90-L51</f>
        <v/>
      </c>
      <c r="M103" s="65">
        <f>M90-M51</f>
        <v/>
      </c>
      <c r="N103" s="149">
        <f>N90-N51</f>
        <v/>
      </c>
      <c r="O103" s="65">
        <f>O90-O51</f>
        <v/>
      </c>
      <c r="P103" s="65">
        <f>P90-P51</f>
        <v/>
      </c>
      <c r="Q103" s="65">
        <f>Q90-Q51</f>
        <v/>
      </c>
      <c r="R103" s="86">
        <f>SUM(L103:Q103)</f>
        <v/>
      </c>
      <c r="S103" s="208">
        <f>S90-S51</f>
        <v/>
      </c>
      <c r="T103" s="209">
        <f>T90-T51</f>
        <v/>
      </c>
      <c r="U103" s="209">
        <f>U90-U51</f>
        <v/>
      </c>
      <c r="V103" s="209">
        <f>V90-V51</f>
        <v/>
      </c>
      <c r="W103" s="209">
        <f>W90-W51</f>
        <v/>
      </c>
      <c r="X103" s="209">
        <f>X90-X51</f>
        <v/>
      </c>
      <c r="Y103" s="210">
        <f>Y90-Y51</f>
        <v/>
      </c>
      <c r="Z103" s="60" t="inlineStr">
        <is>
          <t>0042と0550からカネゲン引く</t>
        </is>
      </c>
    </row>
    <row r="104" customFormat="1" s="60">
      <c r="A104" s="172" t="n"/>
      <c r="B104" s="172" t="n"/>
      <c r="C104" s="87" t="inlineStr">
        <is>
          <t>リンガーハット以外</t>
        </is>
      </c>
      <c r="D104" s="88" t="n"/>
      <c r="E104" s="89">
        <f>E102-E103</f>
        <v/>
      </c>
      <c r="F104" s="89">
        <f>F102-F103</f>
        <v/>
      </c>
      <c r="G104" s="89">
        <f>G102-G103</f>
        <v/>
      </c>
      <c r="H104" s="89">
        <f>H102-H103</f>
        <v/>
      </c>
      <c r="I104" s="89">
        <f>I102-I103</f>
        <v/>
      </c>
      <c r="J104" s="89">
        <f>J102-J103</f>
        <v/>
      </c>
      <c r="K104" s="90">
        <f>SUM(E104:J104)</f>
        <v/>
      </c>
      <c r="L104" s="93">
        <f>L102-L103</f>
        <v/>
      </c>
      <c r="M104" s="89">
        <f>M102-M103</f>
        <v/>
      </c>
      <c r="N104" s="89">
        <f>N102-N103</f>
        <v/>
      </c>
      <c r="O104" s="89">
        <f>O102-O103</f>
        <v/>
      </c>
      <c r="P104" s="89">
        <f>P102-P103</f>
        <v/>
      </c>
      <c r="Q104" s="89">
        <f>Q102-Q103</f>
        <v/>
      </c>
      <c r="R104" s="90">
        <f>SUM(L104:Q104)</f>
        <v/>
      </c>
      <c r="S104" s="211">
        <f>S91-S52</f>
        <v/>
      </c>
      <c r="T104" s="212">
        <f>T91-T52</f>
        <v/>
      </c>
      <c r="U104" s="212">
        <f>U91-U52</f>
        <v/>
      </c>
      <c r="V104" s="212">
        <f>V91-V52</f>
        <v/>
      </c>
      <c r="W104" s="212">
        <f>W91-W52</f>
        <v/>
      </c>
      <c r="X104" s="212">
        <f>X91-X52</f>
        <v/>
      </c>
      <c r="Y104" s="213">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9"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9" t="inlineStr">
        <is>
          <t>0042 集計</t>
        </is>
      </c>
      <c r="D109" s="76" t="inlineStr">
        <is>
          <t>馬場部長（鳥栖）</t>
        </is>
      </c>
      <c r="E109" s="4">
        <f>E83-E18</f>
        <v/>
      </c>
      <c r="F109" s="4">
        <f>F83-F18</f>
        <v/>
      </c>
      <c r="G109" s="147">
        <f>G83-G18</f>
        <v/>
      </c>
      <c r="H109" s="4">
        <f>H83-H18</f>
        <v/>
      </c>
      <c r="I109" s="4">
        <f>I83-I18</f>
        <v/>
      </c>
      <c r="J109" s="4">
        <f>J83-J18</f>
        <v/>
      </c>
      <c r="K109" s="84">
        <f>SUM(E109:J109)</f>
        <v/>
      </c>
      <c r="L109" s="3">
        <f>L83-L18</f>
        <v/>
      </c>
      <c r="M109" s="4">
        <f>M83-M18</f>
        <v/>
      </c>
      <c r="N109" s="147">
        <f>N83-N18</f>
        <v/>
      </c>
      <c r="O109" s="4">
        <f>O83-O18</f>
        <v/>
      </c>
      <c r="P109" s="4">
        <f>P83-P18</f>
        <v/>
      </c>
      <c r="Q109" s="4">
        <f>Q83-Q18</f>
        <v/>
      </c>
      <c r="R109" s="84">
        <f>SUM(L109:Q109)</f>
        <v/>
      </c>
      <c r="S109" s="198">
        <f>S83-S18</f>
        <v/>
      </c>
      <c r="T109" s="186">
        <f>T83-T18</f>
        <v/>
      </c>
      <c r="U109" s="186">
        <f>U83-U18</f>
        <v/>
      </c>
      <c r="V109" s="186">
        <f>V83-V18</f>
        <v/>
      </c>
      <c r="W109" s="186">
        <f>W83-W18</f>
        <v/>
      </c>
      <c r="X109" s="186">
        <f>X83-X18</f>
        <v/>
      </c>
      <c r="Y109" s="199">
        <f>Y83-Y18</f>
        <v/>
      </c>
    </row>
    <row r="110">
      <c r="C110" s="49" t="inlineStr">
        <is>
          <t>0045 集計</t>
        </is>
      </c>
      <c r="D110" s="75" t="inlineStr">
        <is>
          <t>ペーパーハグ</t>
        </is>
      </c>
      <c r="E110" s="4">
        <f>E84-E19</f>
        <v/>
      </c>
      <c r="F110" s="4">
        <f>F84-F19</f>
        <v/>
      </c>
      <c r="G110" s="147">
        <f>G84-G19</f>
        <v/>
      </c>
      <c r="H110" s="4">
        <f>H84-H19</f>
        <v/>
      </c>
      <c r="I110" s="4">
        <f>I84-I19</f>
        <v/>
      </c>
      <c r="J110" s="4">
        <f>J84-J19</f>
        <v/>
      </c>
      <c r="K110" s="84">
        <f>SUM(E110:J110)</f>
        <v/>
      </c>
      <c r="L110" s="3">
        <f>L84-L19</f>
        <v/>
      </c>
      <c r="M110" s="4">
        <f>M84-M19</f>
        <v/>
      </c>
      <c r="N110" s="147">
        <f>N84-N19</f>
        <v/>
      </c>
      <c r="O110" s="4">
        <f>O84-O19</f>
        <v/>
      </c>
      <c r="P110" s="4">
        <f>P84-P19</f>
        <v/>
      </c>
      <c r="Q110" s="4">
        <f>Q84-Q19</f>
        <v/>
      </c>
      <c r="R110" s="84">
        <f>SUM(L110:Q110)</f>
        <v/>
      </c>
      <c r="S110" s="198">
        <f>S84-S19</f>
        <v/>
      </c>
      <c r="T110" s="186">
        <f>T84-T19</f>
        <v/>
      </c>
      <c r="U110" s="186">
        <f>U84-U19</f>
        <v/>
      </c>
      <c r="V110" s="186">
        <f>V84-V19</f>
        <v/>
      </c>
      <c r="W110" s="186">
        <f>W84-W19</f>
        <v/>
      </c>
      <c r="X110" s="186">
        <f>X84-X19</f>
        <v/>
      </c>
      <c r="Y110" s="199">
        <f>Y84-Y19</f>
        <v/>
      </c>
    </row>
    <row r="111">
      <c r="C111" s="49" t="inlineStr">
        <is>
          <t>0046 集計</t>
        </is>
      </c>
      <c r="D111" s="20" t="inlineStr">
        <is>
          <t>角田</t>
        </is>
      </c>
      <c r="E111" s="4">
        <f>E85-E20</f>
        <v/>
      </c>
      <c r="F111" s="4">
        <f>F85-F20</f>
        <v/>
      </c>
      <c r="G111" s="147">
        <f>G85-G20</f>
        <v/>
      </c>
      <c r="H111" s="4">
        <f>H85-H20</f>
        <v/>
      </c>
      <c r="I111" s="4">
        <f>I85-I20</f>
        <v/>
      </c>
      <c r="J111" s="4">
        <f>J85-J20</f>
        <v/>
      </c>
      <c r="K111" s="84">
        <f>SUM(E111:J111)</f>
        <v/>
      </c>
      <c r="L111" s="3">
        <f>L85-L20</f>
        <v/>
      </c>
      <c r="M111" s="4">
        <f>M85-M20</f>
        <v/>
      </c>
      <c r="N111" s="147">
        <f>N85-N20</f>
        <v/>
      </c>
      <c r="O111" s="4">
        <f>O85-O20</f>
        <v/>
      </c>
      <c r="P111" s="4">
        <f>P85-P20</f>
        <v/>
      </c>
      <c r="Q111" s="4">
        <f>Q85-Q20</f>
        <v/>
      </c>
      <c r="R111" s="84">
        <f>SUM(L111:Q111)</f>
        <v/>
      </c>
      <c r="S111" s="198">
        <f>S85-S20</f>
        <v/>
      </c>
      <c r="T111" s="186">
        <f>T85-T20</f>
        <v/>
      </c>
      <c r="U111" s="186">
        <f>U85-U20</f>
        <v/>
      </c>
      <c r="V111" s="186">
        <f>V85-V20</f>
        <v/>
      </c>
      <c r="W111" s="186">
        <f>W85-W20</f>
        <v/>
      </c>
      <c r="X111" s="186">
        <f>X85-X20</f>
        <v/>
      </c>
      <c r="Y111" s="199">
        <f>Y85-Y20</f>
        <v/>
      </c>
    </row>
    <row r="112">
      <c r="C112" s="49" t="inlineStr">
        <is>
          <t>0047 集計</t>
        </is>
      </c>
      <c r="D112" s="76" t="inlineStr">
        <is>
          <t>馬場部長（静岡）</t>
        </is>
      </c>
      <c r="E112" s="4">
        <f>E86-E21</f>
        <v/>
      </c>
      <c r="F112" s="4">
        <f>F86-F21</f>
        <v/>
      </c>
      <c r="G112" s="147">
        <f>G86-G21</f>
        <v/>
      </c>
      <c r="H112" s="4">
        <f>H86-H21</f>
        <v/>
      </c>
      <c r="I112" s="4">
        <f>I86-I21</f>
        <v/>
      </c>
      <c r="J112" s="4">
        <f>J86-J21</f>
        <v/>
      </c>
      <c r="K112" s="84">
        <f>SUM(E112:J112)</f>
        <v/>
      </c>
      <c r="L112" s="3">
        <f>L86-L21</f>
        <v/>
      </c>
      <c r="M112" s="4">
        <f>M86-M21</f>
        <v/>
      </c>
      <c r="N112" s="147">
        <f>N86-N21</f>
        <v/>
      </c>
      <c r="O112" s="4">
        <f>O86-O21</f>
        <v/>
      </c>
      <c r="P112" s="4">
        <f>P86-P21</f>
        <v/>
      </c>
      <c r="Q112" s="4">
        <f>Q86-Q21</f>
        <v/>
      </c>
      <c r="R112" s="84">
        <f>SUM(L112:Q112)</f>
        <v/>
      </c>
      <c r="S112" s="198">
        <f>S86-S21</f>
        <v/>
      </c>
      <c r="T112" s="186">
        <f>T86-T21</f>
        <v/>
      </c>
      <c r="U112" s="186">
        <f>U86-U21</f>
        <v/>
      </c>
      <c r="V112" s="186">
        <f>V86-V21</f>
        <v/>
      </c>
      <c r="W112" s="186">
        <f>W86-W21</f>
        <v/>
      </c>
      <c r="X112" s="186">
        <f>X86-X21</f>
        <v/>
      </c>
      <c r="Y112" s="199">
        <f>Y86-Y21</f>
        <v/>
      </c>
    </row>
    <row r="113">
      <c r="C113" s="50" t="inlineStr">
        <is>
          <t>0550 集計</t>
        </is>
      </c>
      <c r="D113" s="76" t="inlineStr">
        <is>
          <t>馬場所長（東京）</t>
        </is>
      </c>
      <c r="E113" s="4">
        <f>E87-E22</f>
        <v/>
      </c>
      <c r="F113" s="4">
        <f>F87-F22</f>
        <v/>
      </c>
      <c r="G113" s="147">
        <f>G87-G22</f>
        <v/>
      </c>
      <c r="H113" s="4">
        <f>H87-H22</f>
        <v/>
      </c>
      <c r="I113" s="4">
        <f>I87-I22</f>
        <v/>
      </c>
      <c r="J113" s="4">
        <f>J87-J22</f>
        <v/>
      </c>
      <c r="K113" s="84">
        <f>SUM(E113:J113)</f>
        <v/>
      </c>
      <c r="L113" s="3">
        <f>L87-L22</f>
        <v/>
      </c>
      <c r="M113" s="4">
        <f>M87-M22</f>
        <v/>
      </c>
      <c r="N113" s="147">
        <f>N87-N22</f>
        <v/>
      </c>
      <c r="O113" s="4">
        <f>O87-O22</f>
        <v/>
      </c>
      <c r="P113" s="4">
        <f>P87-P22</f>
        <v/>
      </c>
      <c r="Q113" s="4">
        <f>Q87-Q22</f>
        <v/>
      </c>
      <c r="R113" s="84">
        <f>SUM(L113:Q113)</f>
        <v/>
      </c>
      <c r="S113" s="198">
        <f>S87-S22</f>
        <v/>
      </c>
      <c r="T113" s="186">
        <f>T87-T22</f>
        <v/>
      </c>
      <c r="U113" s="186">
        <f>U87-U22</f>
        <v/>
      </c>
      <c r="V113" s="186">
        <f>V87-V22</f>
        <v/>
      </c>
      <c r="W113" s="186">
        <f>W87-W22</f>
        <v/>
      </c>
      <c r="X113" s="186">
        <f>X87-X22</f>
        <v/>
      </c>
      <c r="Y113" s="199">
        <f>Y87-Y22</f>
        <v/>
      </c>
    </row>
    <row r="114">
      <c r="C114" s="50" t="inlineStr">
        <is>
          <t>0552 集計</t>
        </is>
      </c>
      <c r="D114" s="20" t="inlineStr">
        <is>
          <t>馬場部長（東京）</t>
        </is>
      </c>
      <c r="E114" s="4">
        <f>E88-E23</f>
        <v/>
      </c>
      <c r="F114" s="4">
        <f>F88-F23</f>
        <v/>
      </c>
      <c r="G114" s="147">
        <f>G88-G23</f>
        <v/>
      </c>
      <c r="H114" s="4">
        <f>H88-H23</f>
        <v/>
      </c>
      <c r="I114" s="4">
        <f>I88-I23</f>
        <v/>
      </c>
      <c r="J114" s="4">
        <f>J88-J23</f>
        <v/>
      </c>
      <c r="K114" s="84">
        <f>SUM(E114:J114)</f>
        <v/>
      </c>
      <c r="L114" s="3">
        <f>L88-L23</f>
        <v/>
      </c>
      <c r="M114" s="4">
        <f>M88-M23</f>
        <v/>
      </c>
      <c r="N114" s="147">
        <f>N88-N23</f>
        <v/>
      </c>
      <c r="O114" s="4">
        <f>O88-O23</f>
        <v/>
      </c>
      <c r="P114" s="4">
        <f>P88-P23</f>
        <v/>
      </c>
      <c r="Q114" s="4">
        <f>Q88-Q23</f>
        <v/>
      </c>
      <c r="R114" s="84">
        <f>SUM(L114:Q114)</f>
        <v/>
      </c>
      <c r="S114" s="198">
        <f>S88-S23</f>
        <v/>
      </c>
      <c r="T114" s="186">
        <f>T88-T23</f>
        <v/>
      </c>
      <c r="U114" s="186">
        <f>U88-U23</f>
        <v/>
      </c>
      <c r="V114" s="186">
        <f>V88-V23</f>
        <v/>
      </c>
      <c r="W114" s="186">
        <f>W88-W23</f>
        <v/>
      </c>
      <c r="X114" s="186">
        <f>X88-X23</f>
        <v/>
      </c>
      <c r="Y114" s="199">
        <f>Y88-Y23</f>
        <v/>
      </c>
    </row>
    <row r="115">
      <c r="C115" s="45" t="inlineStr">
        <is>
          <t>合計</t>
        </is>
      </c>
      <c r="D115" s="46" t="n"/>
      <c r="E115" s="7">
        <f>E89-E24</f>
        <v/>
      </c>
      <c r="F115" s="7">
        <f>F89-F24</f>
        <v/>
      </c>
      <c r="G115" s="7">
        <f>G89-G24</f>
        <v/>
      </c>
      <c r="H115" s="7">
        <f>H89-H24</f>
        <v/>
      </c>
      <c r="I115" s="7">
        <f>I89-I24</f>
        <v/>
      </c>
      <c r="J115" s="7">
        <f>J89-J24</f>
        <v/>
      </c>
      <c r="K115" s="85">
        <f>SUM(K109:K114)</f>
        <v/>
      </c>
      <c r="L115" s="91">
        <f>L89-L24</f>
        <v/>
      </c>
      <c r="M115" s="7">
        <f>M89-M24</f>
        <v/>
      </c>
      <c r="N115" s="7">
        <f>N89-N24</f>
        <v/>
      </c>
      <c r="O115" s="7">
        <f>O89-O24</f>
        <v/>
      </c>
      <c r="P115" s="7">
        <f>P89-P24</f>
        <v/>
      </c>
      <c r="Q115" s="7">
        <f>Q89-Q24</f>
        <v/>
      </c>
      <c r="R115" s="85">
        <f>SUM(R109:R114)</f>
        <v/>
      </c>
      <c r="S115" s="200">
        <f>S89-S24</f>
        <v/>
      </c>
      <c r="T115" s="181">
        <f>T89-T24</f>
        <v/>
      </c>
      <c r="U115" s="181">
        <f>U89-U24</f>
        <v/>
      </c>
      <c r="V115" s="181">
        <f>V89-V24</f>
        <v/>
      </c>
      <c r="W115" s="181">
        <f>W89-W24</f>
        <v/>
      </c>
      <c r="X115" s="181">
        <f>X89-X24</f>
        <v/>
      </c>
      <c r="Y115" s="201">
        <f>Y89-Y24</f>
        <v/>
      </c>
    </row>
    <row r="116" customFormat="1" s="60">
      <c r="A116" s="172" t="n"/>
      <c r="B116" s="172" t="n"/>
      <c r="C116" s="64" t="inlineStr">
        <is>
          <t>内リンガーハット</t>
        </is>
      </c>
      <c r="D116" s="68" t="n"/>
      <c r="E116" s="4">
        <f>E90-E25</f>
        <v/>
      </c>
      <c r="F116" s="65">
        <f>F90-F25</f>
        <v/>
      </c>
      <c r="G116" s="149">
        <f>G90-G25</f>
        <v/>
      </c>
      <c r="H116" s="65">
        <f>H90-H25</f>
        <v/>
      </c>
      <c r="I116" s="65">
        <f>I90-I25</f>
        <v/>
      </c>
      <c r="J116" s="65">
        <f>J90-J25</f>
        <v/>
      </c>
      <c r="K116" s="86">
        <f>SUM(E116:J116)</f>
        <v/>
      </c>
      <c r="L116" s="4">
        <f>L90-L25</f>
        <v/>
      </c>
      <c r="M116" s="65">
        <f>M90-M25</f>
        <v/>
      </c>
      <c r="N116" s="149">
        <f>N90-N25</f>
        <v/>
      </c>
      <c r="O116" s="65">
        <f>O90-O25</f>
        <v/>
      </c>
      <c r="P116" s="65">
        <f>P90-P25</f>
        <v/>
      </c>
      <c r="Q116" s="65">
        <f>Q90-Q25</f>
        <v/>
      </c>
      <c r="R116" s="86">
        <f>SUM(L116:Q116)</f>
        <v/>
      </c>
      <c r="S116" s="208">
        <f>S90-S25</f>
        <v/>
      </c>
      <c r="T116" s="209">
        <f>T90-T25</f>
        <v/>
      </c>
      <c r="U116" s="209">
        <f>U90-U25</f>
        <v/>
      </c>
      <c r="V116" s="209">
        <f>V90-V25</f>
        <v/>
      </c>
      <c r="W116" s="209">
        <f>W90-W25</f>
        <v/>
      </c>
      <c r="X116" s="209">
        <f>X90-X25</f>
        <v/>
      </c>
      <c r="Y116" s="210">
        <f>Y90-Y25</f>
        <v/>
      </c>
      <c r="Z116" s="60" t="inlineStr">
        <is>
          <t>0042と0550からカネゲン引く</t>
        </is>
      </c>
    </row>
    <row r="117" customFormat="1" s="60">
      <c r="A117" s="172" t="n"/>
      <c r="B117" s="172" t="n"/>
      <c r="C117" s="87" t="inlineStr">
        <is>
          <t>リンガーハット以外</t>
        </is>
      </c>
      <c r="D117" s="88" t="n"/>
      <c r="E117" s="89">
        <f>E115-E116</f>
        <v/>
      </c>
      <c r="F117" s="89">
        <f>F115-F116</f>
        <v/>
      </c>
      <c r="G117" s="150">
        <f>G115-G116</f>
        <v/>
      </c>
      <c r="H117" s="89">
        <f>H115-H116</f>
        <v/>
      </c>
      <c r="I117" s="89">
        <f>I115-I116</f>
        <v/>
      </c>
      <c r="J117" s="89">
        <f>J115-J116</f>
        <v/>
      </c>
      <c r="K117" s="90">
        <f>SUM(E117:J117)</f>
        <v/>
      </c>
      <c r="L117" s="93">
        <f>L115-L116</f>
        <v/>
      </c>
      <c r="M117" s="89">
        <f>M115-M116</f>
        <v/>
      </c>
      <c r="N117" s="150">
        <f>N115-N116</f>
        <v/>
      </c>
      <c r="O117" s="89">
        <f>O115-O116</f>
        <v/>
      </c>
      <c r="P117" s="89">
        <f>P115-P116</f>
        <v/>
      </c>
      <c r="Q117" s="89">
        <f>Q115-Q116</f>
        <v/>
      </c>
      <c r="R117" s="90">
        <f>SUM(L117:Q117)</f>
        <v/>
      </c>
      <c r="S117" s="211">
        <f>S115-S116</f>
        <v/>
      </c>
      <c r="T117" s="212">
        <f>T115-T116</f>
        <v/>
      </c>
      <c r="U117" s="212">
        <f>U115-U116</f>
        <v/>
      </c>
      <c r="V117" s="212">
        <f>V115-V116</f>
        <v/>
      </c>
      <c r="W117" s="212">
        <f>W115-W116</f>
        <v/>
      </c>
      <c r="X117" s="212">
        <f>X115-X116</f>
        <v/>
      </c>
      <c r="Y117" s="213">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worksheet>
</file>

<file path=xl/worksheets/sheet5.xml><?xml version="1.0" encoding="utf-8"?>
<worksheet xmlns="http://schemas.openxmlformats.org/spreadsheetml/2006/main">
  <sheetPr>
    <outlinePr summaryBelow="1" summaryRight="1"/>
    <pageSetUpPr fitToPage="1"/>
  </sheetPr>
  <dimension ref="D1:U17"/>
  <sheetViews>
    <sheetView zoomScale="125" workbookViewId="0">
      <selection activeCell="P12" sqref="P12"/>
    </sheetView>
  </sheetViews>
  <sheetFormatPr baseColWidth="8" defaultColWidth="8.875" defaultRowHeight="18.75"/>
  <cols>
    <col width="1.625" customWidth="1" style="171" min="4" max="5"/>
    <col width="59.625" bestFit="1" customWidth="1" style="171" min="21" max="21"/>
  </cols>
  <sheetData>
    <row r="1" ht="21.75" customHeight="1" s="171">
      <c r="D1" s="170" t="inlineStr">
        <is>
          <t>広域営業部第51期下期予算について</t>
        </is>
      </c>
    </row>
    <row r="3">
      <c r="D3" s="28" t="inlineStr">
        <is>
          <t>管理職の業務は数字責任と人材育成です。なので営業所（広域営業部）全体の目標達成に取り組みます。</t>
        </is>
      </c>
      <c r="E3" s="29" t="n"/>
      <c r="F3" s="29" t="n"/>
      <c r="G3" s="29" t="n"/>
      <c r="H3" s="29" t="n"/>
      <c r="I3" s="29" t="n"/>
      <c r="J3" s="29" t="n"/>
      <c r="K3" s="29" t="n"/>
      <c r="L3" s="29" t="n"/>
      <c r="M3" s="29" t="n"/>
      <c r="N3" s="29" t="n"/>
      <c r="O3" s="29" t="n"/>
      <c r="P3" s="29" t="n"/>
      <c r="Q3" s="29" t="n"/>
      <c r="R3" s="29" t="n"/>
      <c r="S3" s="29" t="n"/>
      <c r="T3" s="29" t="n"/>
      <c r="U3" s="30" t="n"/>
    </row>
    <row r="4">
      <c r="D4" s="31" t="inlineStr">
        <is>
          <t>部長は予算の過年度平均増加分の人員からは外した上で、営業部全体で計画を作成ます。その営業部全体の予算から所長含めて営業担当に配分するようにお願いします。</t>
        </is>
      </c>
      <c r="U4" s="48" t="n"/>
    </row>
    <row r="5">
      <c r="D5" s="115" t="n"/>
      <c r="E5" s="41" t="n"/>
      <c r="F5" s="41" t="n"/>
      <c r="G5" s="41" t="n"/>
      <c r="H5" s="41" t="n"/>
      <c r="I5" s="41" t="n"/>
      <c r="J5" s="41" t="n"/>
      <c r="K5" s="41" t="n"/>
      <c r="L5" s="41" t="n"/>
      <c r="M5" s="41" t="n"/>
      <c r="N5" s="41" t="n"/>
      <c r="O5" s="41" t="n"/>
      <c r="P5" s="41" t="n"/>
      <c r="Q5" s="41" t="n"/>
      <c r="R5" s="41" t="n"/>
      <c r="S5" s="41" t="n"/>
      <c r="T5" s="41" t="n"/>
      <c r="U5" s="42" t="n"/>
    </row>
    <row r="6">
      <c r="D6" s="172" t="inlineStr">
        <is>
          <t>*静岡も0042で計算しています。</t>
        </is>
      </c>
    </row>
    <row r="7">
      <c r="D7" s="163" t="n"/>
      <c r="E7" s="175" t="n"/>
      <c r="F7" s="176" t="n"/>
      <c r="G7" s="167" t="inlineStr">
        <is>
          <t>2024年4～9月</t>
        </is>
      </c>
      <c r="H7" s="168" t="n"/>
      <c r="I7" s="169" t="n"/>
      <c r="J7" s="167" t="inlineStr">
        <is>
          <t>2025年4～9月</t>
        </is>
      </c>
      <c r="K7" s="168" t="n"/>
      <c r="L7" s="169" t="n"/>
      <c r="M7" s="167" t="inlineStr">
        <is>
          <t>過年度平均</t>
        </is>
      </c>
      <c r="N7" s="168" t="n"/>
      <c r="O7" s="169" t="n"/>
      <c r="P7" s="173" t="inlineStr">
        <is>
          <t>計画</t>
        </is>
      </c>
      <c r="Q7" s="168" t="n"/>
      <c r="R7" s="168" t="n"/>
      <c r="S7" s="168" t="n"/>
      <c r="T7" s="174" t="n"/>
      <c r="U7" s="173" t="inlineStr">
        <is>
          <t>根拠</t>
        </is>
      </c>
    </row>
    <row r="8">
      <c r="D8" s="177" t="n"/>
      <c r="E8" s="178" t="n"/>
      <c r="F8" s="179" t="n"/>
      <c r="G8" s="37" t="inlineStr">
        <is>
          <t>売上</t>
        </is>
      </c>
      <c r="H8" s="38" t="inlineStr">
        <is>
          <t>粗利益</t>
        </is>
      </c>
      <c r="I8" s="39" t="inlineStr">
        <is>
          <t>粗利益率</t>
        </is>
      </c>
      <c r="J8" s="37" t="inlineStr">
        <is>
          <t>売上</t>
        </is>
      </c>
      <c r="K8" s="38" t="inlineStr">
        <is>
          <t>粗利益</t>
        </is>
      </c>
      <c r="L8" s="39" t="inlineStr">
        <is>
          <t>粗利益率</t>
        </is>
      </c>
      <c r="M8" s="37" t="inlineStr">
        <is>
          <t>売上</t>
        </is>
      </c>
      <c r="N8" s="38" t="inlineStr">
        <is>
          <t>粗利益</t>
        </is>
      </c>
      <c r="O8" s="39" t="inlineStr">
        <is>
          <t>粗利益率</t>
        </is>
      </c>
      <c r="P8" s="37" t="inlineStr">
        <is>
          <t>売上</t>
        </is>
      </c>
      <c r="Q8" s="38" t="inlineStr">
        <is>
          <t>粗利益</t>
        </is>
      </c>
      <c r="R8" s="40" t="inlineStr">
        <is>
          <t>粗利益率</t>
        </is>
      </c>
      <c r="S8" s="40" t="inlineStr">
        <is>
          <t>売上年率</t>
        </is>
      </c>
      <c r="T8" s="39" t="inlineStr">
        <is>
          <t>粗利益年率</t>
        </is>
      </c>
      <c r="U8" s="180" t="n"/>
    </row>
    <row r="9">
      <c r="D9" s="28" t="inlineStr">
        <is>
          <t>広域営業部</t>
        </is>
      </c>
      <c r="E9" s="29" t="n"/>
      <c r="F9" s="30" t="n"/>
      <c r="G9" s="32">
        <f>G12+G15</f>
        <v/>
      </c>
      <c r="H9" s="33">
        <f>H12+H15</f>
        <v/>
      </c>
      <c r="I9" s="218">
        <f>H9/G9</f>
        <v/>
      </c>
      <c r="J9" s="32">
        <f>J12+J15</f>
        <v/>
      </c>
      <c r="K9" s="33">
        <f>K12+K15</f>
        <v/>
      </c>
      <c r="L9" s="218">
        <f>K9/J9</f>
        <v/>
      </c>
      <c r="M9" s="32">
        <f>M12+M15</f>
        <v/>
      </c>
      <c r="N9" s="33">
        <f>N12+N15</f>
        <v/>
      </c>
      <c r="O9" s="218">
        <f>N9/M9</f>
        <v/>
      </c>
      <c r="P9" s="32">
        <f>P12+P15</f>
        <v/>
      </c>
      <c r="Q9" s="33">
        <f>Q12+Q15</f>
        <v/>
      </c>
      <c r="R9" s="219">
        <f>Q9/P9</f>
        <v/>
      </c>
      <c r="S9" s="219">
        <f>P9/J9-1</f>
        <v/>
      </c>
      <c r="T9" s="218">
        <f>Q9/K9-1</f>
        <v/>
      </c>
      <c r="U9" s="36" t="n"/>
    </row>
    <row r="10">
      <c r="D10" s="31" t="n"/>
      <c r="F10" s="25" t="inlineStr">
        <is>
          <t>包装資材</t>
        </is>
      </c>
      <c r="G10" s="32">
        <f>G9-G11</f>
        <v/>
      </c>
      <c r="H10" s="33">
        <f>H9-H11</f>
        <v/>
      </c>
      <c r="I10" s="218">
        <f>H10/G10</f>
        <v/>
      </c>
      <c r="J10" s="32">
        <f>J9-J11</f>
        <v/>
      </c>
      <c r="K10" s="33">
        <f>K9-K11</f>
        <v/>
      </c>
      <c r="L10" s="218">
        <f>K10/J10</f>
        <v/>
      </c>
      <c r="M10" s="3">
        <f>M9-M11</f>
        <v/>
      </c>
      <c r="N10" s="4">
        <f>N9-N11</f>
        <v/>
      </c>
      <c r="O10" s="220">
        <f>N10/M10</f>
        <v/>
      </c>
      <c r="P10" s="32">
        <f>P9-P11</f>
        <v/>
      </c>
      <c r="Q10" s="33">
        <f>Q9-Q11</f>
        <v/>
      </c>
      <c r="R10" s="221">
        <f>Q10/P10</f>
        <v/>
      </c>
      <c r="S10" s="221">
        <f>P10/J10-1</f>
        <v/>
      </c>
      <c r="T10" s="220">
        <f>Q10/K10-1</f>
        <v/>
      </c>
      <c r="U10" s="36" t="n"/>
    </row>
    <row r="11">
      <c r="D11" s="31" t="n"/>
      <c r="F11" s="27" t="inlineStr">
        <is>
          <t>機械</t>
        </is>
      </c>
      <c r="G11" s="32">
        <f>G14+G17</f>
        <v/>
      </c>
      <c r="H11" s="33">
        <f>H14+H17</f>
        <v/>
      </c>
      <c r="I11" s="218">
        <f>H11/G11</f>
        <v/>
      </c>
      <c r="J11" s="32">
        <f>J14+J17</f>
        <v/>
      </c>
      <c r="K11" s="33">
        <f>K14+K17</f>
        <v/>
      </c>
      <c r="L11" s="218">
        <f>K11/J11</f>
        <v/>
      </c>
      <c r="M11" s="3">
        <f>M14+M17</f>
        <v/>
      </c>
      <c r="N11" s="4">
        <f>N14+N17</f>
        <v/>
      </c>
      <c r="O11" s="220">
        <f>N11/M11</f>
        <v/>
      </c>
      <c r="P11" s="32">
        <f>P14+P17</f>
        <v/>
      </c>
      <c r="Q11" s="33">
        <f>Q14+Q17</f>
        <v/>
      </c>
      <c r="R11" s="221">
        <f>Q11/P11</f>
        <v/>
      </c>
      <c r="S11" s="221">
        <f>P11/J11-1</f>
        <v/>
      </c>
      <c r="T11" s="220">
        <f>Q11/K11-1</f>
        <v/>
      </c>
      <c r="U11" s="36" t="n"/>
    </row>
    <row r="12">
      <c r="D12" s="31" t="n"/>
      <c r="E12" s="114" t="inlineStr">
        <is>
          <t>リンガーハット</t>
        </is>
      </c>
      <c r="F12" s="110" t="n"/>
      <c r="G12" s="3" t="n">
        <v>157593.118</v>
      </c>
      <c r="H12" s="4" t="n">
        <v>22323.636</v>
      </c>
      <c r="I12" s="220">
        <f>H12/G12</f>
        <v/>
      </c>
      <c r="J12" s="3" t="n">
        <v>173341.612</v>
      </c>
      <c r="K12" s="4" t="n">
        <v>26263.182</v>
      </c>
      <c r="L12" s="220">
        <f>K12/J12</f>
        <v/>
      </c>
      <c r="M12" s="3">
        <f>(G12+J12)/2</f>
        <v/>
      </c>
      <c r="N12" s="4">
        <f>(H12+K12)/2</f>
        <v/>
      </c>
      <c r="O12" s="220">
        <f>N12/M12</f>
        <v/>
      </c>
      <c r="P12" s="3">
        <f>P13+P14</f>
        <v/>
      </c>
      <c r="Q12" s="4">
        <f>Q13+Q14</f>
        <v/>
      </c>
      <c r="R12" s="221">
        <f>Q12/P12</f>
        <v/>
      </c>
      <c r="S12" s="221">
        <f>P12/J12-1</f>
        <v/>
      </c>
      <c r="T12" s="220">
        <f>Q12/K12-1</f>
        <v/>
      </c>
      <c r="U12" s="23" t="n"/>
    </row>
    <row r="13">
      <c r="D13" s="31" t="n"/>
      <c r="E13" s="111" t="n"/>
      <c r="F13" s="112" t="inlineStr">
        <is>
          <t>包装資材</t>
        </is>
      </c>
      <c r="G13" s="3">
        <f>G12-G14</f>
        <v/>
      </c>
      <c r="H13" s="4">
        <f>H12-H14</f>
        <v/>
      </c>
      <c r="I13" s="220">
        <f>H13/G13</f>
        <v/>
      </c>
      <c r="J13" s="3">
        <f>J12-J14</f>
        <v/>
      </c>
      <c r="K13" s="4">
        <f>K12-K14</f>
        <v/>
      </c>
      <c r="L13" s="220">
        <f>K13/J13</f>
        <v/>
      </c>
      <c r="M13" s="3">
        <f>(G13+J13)/2</f>
        <v/>
      </c>
      <c r="N13" s="4">
        <f>(H13+K13)/2</f>
        <v/>
      </c>
      <c r="O13" s="220">
        <f>N13/M13</f>
        <v/>
      </c>
      <c r="P13" s="3" t="n">
        <v>168983.2385</v>
      </c>
      <c r="Q13" s="4" t="n">
        <v>25209.2955</v>
      </c>
      <c r="R13" s="221">
        <f>Q13/P13</f>
        <v/>
      </c>
      <c r="S13" s="221">
        <f>P13/J13-1</f>
        <v/>
      </c>
      <c r="T13" s="220">
        <f>Q13/K13-1</f>
        <v/>
      </c>
      <c r="U13" s="23" t="n"/>
    </row>
    <row r="14">
      <c r="D14" s="31" t="n"/>
      <c r="E14" s="111" t="n"/>
      <c r="F14" s="113" t="inlineStr">
        <is>
          <t>機械</t>
        </is>
      </c>
      <c r="G14" s="3" t="n">
        <v>353</v>
      </c>
      <c r="H14" s="4" t="n">
        <v>9</v>
      </c>
      <c r="I14" s="220">
        <f>H14/G14</f>
        <v/>
      </c>
      <c r="J14" s="3" t="n">
        <v>663</v>
      </c>
      <c r="K14" s="4" t="n">
        <v>37</v>
      </c>
      <c r="L14" s="220">
        <f>K14/J14</f>
        <v/>
      </c>
      <c r="M14" s="3">
        <f>(G14+J14)/2</f>
        <v/>
      </c>
      <c r="N14" s="4">
        <f>(H14+K14)/2</f>
        <v/>
      </c>
      <c r="O14" s="220">
        <f>N14/M14</f>
        <v/>
      </c>
      <c r="P14" s="3" t="n">
        <v>421.25</v>
      </c>
      <c r="Q14" s="4" t="n">
        <v>69</v>
      </c>
      <c r="R14" s="221">
        <f>Q14/P14</f>
        <v/>
      </c>
      <c r="S14" s="221">
        <f>P14/J14-1</f>
        <v/>
      </c>
      <c r="T14" s="220">
        <f>Q14/K14-1</f>
        <v/>
      </c>
      <c r="U14" s="23" t="n"/>
    </row>
    <row r="15">
      <c r="D15" s="31" t="n"/>
      <c r="E15" s="114" t="inlineStr">
        <is>
          <t>リンガーハット以外</t>
        </is>
      </c>
      <c r="F15" s="110" t="n"/>
      <c r="G15" s="3" t="n">
        <v>57505.541</v>
      </c>
      <c r="H15" s="4" t="n">
        <v>8651.685500000001</v>
      </c>
      <c r="I15" s="220">
        <f>H15/G15</f>
        <v/>
      </c>
      <c r="J15" s="3" t="n">
        <v>77393.91399999999</v>
      </c>
      <c r="K15" s="4" t="n">
        <v>11669.6</v>
      </c>
      <c r="L15" s="220">
        <f>K15/J15</f>
        <v/>
      </c>
      <c r="M15" s="3">
        <f>(G15+J15)/2</f>
        <v/>
      </c>
      <c r="N15" s="4">
        <f>(H15+K15)/2</f>
        <v/>
      </c>
      <c r="O15" s="220">
        <f>N15/M15</f>
        <v/>
      </c>
      <c r="P15" s="3">
        <f>P16+P17</f>
        <v/>
      </c>
      <c r="Q15" s="4">
        <f>Q16+Q17</f>
        <v/>
      </c>
      <c r="R15" s="221">
        <f>Q15/P15</f>
        <v/>
      </c>
      <c r="S15" s="221">
        <f>P15/J15-1</f>
        <v/>
      </c>
      <c r="T15" s="220">
        <f>Q15/K15-1</f>
        <v/>
      </c>
      <c r="U15" s="23" t="inlineStr">
        <is>
          <t>（リンガーフーズ対応部分）</t>
        </is>
      </c>
    </row>
    <row r="16">
      <c r="D16" s="31" t="n"/>
      <c r="E16" s="26" t="n"/>
      <c r="F16" s="25" t="inlineStr">
        <is>
          <t>包装資材</t>
        </is>
      </c>
      <c r="G16" s="3">
        <f>G15-G17</f>
        <v/>
      </c>
      <c r="H16" s="4">
        <f>H15-H17</f>
        <v/>
      </c>
      <c r="I16" s="220">
        <f>H16/G16</f>
        <v/>
      </c>
      <c r="J16" s="3">
        <f>J15-J17</f>
        <v/>
      </c>
      <c r="K16" s="4">
        <f>K15-K17</f>
        <v/>
      </c>
      <c r="L16" s="220">
        <f>K16/J16</f>
        <v/>
      </c>
      <c r="M16" s="3">
        <f>(G16+J16)/2</f>
        <v/>
      </c>
      <c r="N16" s="4">
        <f>(H16+K16)/2</f>
        <v/>
      </c>
      <c r="O16" s="220">
        <f>N16/M16</f>
        <v/>
      </c>
      <c r="P16" s="3" t="n">
        <v>91736.76150000001</v>
      </c>
      <c r="Q16" s="4" t="n">
        <v>13890.7045</v>
      </c>
      <c r="R16" s="221">
        <f>Q16/P16</f>
        <v/>
      </c>
      <c r="S16" s="221">
        <f>P16/J16-1</f>
        <v/>
      </c>
      <c r="T16" s="220">
        <f>Q16/K16-1</f>
        <v/>
      </c>
      <c r="U16" s="23" t="n"/>
    </row>
    <row r="17">
      <c r="D17" s="44" t="n"/>
      <c r="E17" s="47" t="n"/>
      <c r="F17" s="25" t="inlineStr">
        <is>
          <t>機械</t>
        </is>
      </c>
      <c r="G17" s="3" t="n">
        <v>431</v>
      </c>
      <c r="H17" s="4" t="n">
        <v>58</v>
      </c>
      <c r="I17" s="220">
        <f>H17/G17</f>
        <v/>
      </c>
      <c r="J17" s="3" t="n">
        <v>301</v>
      </c>
      <c r="K17" s="4" t="n">
        <v>25</v>
      </c>
      <c r="L17" s="220">
        <f>K17/J17</f>
        <v/>
      </c>
      <c r="M17" s="3">
        <f>(G17+J17)/2</f>
        <v/>
      </c>
      <c r="N17" s="4">
        <f>(H17+K17)/2</f>
        <v/>
      </c>
      <c r="O17" s="220">
        <f>N17/M17</f>
        <v/>
      </c>
      <c r="P17" s="3" t="n">
        <v>5578.75</v>
      </c>
      <c r="Q17" s="4" t="n">
        <v>591</v>
      </c>
      <c r="R17" s="221">
        <f>Q17/P17</f>
        <v/>
      </c>
      <c r="S17" s="221">
        <f>P17/J17-1</f>
        <v/>
      </c>
      <c r="T17" s="220">
        <f>Q17/K17-1</f>
        <v/>
      </c>
      <c r="U17" s="23" t="n"/>
    </row>
  </sheetData>
  <mergeCells count="7">
    <mergeCell ref="J7:L7"/>
    <mergeCell ref="D1:U1"/>
    <mergeCell ref="P7:T7"/>
    <mergeCell ref="M7:O7"/>
    <mergeCell ref="G7:I7"/>
    <mergeCell ref="D7:F8"/>
    <mergeCell ref="U7:U8"/>
  </mergeCells>
  <pageMargins left="0.7086614173228347" right="0.7086614173228347" top="0.7480314960629921" bottom="0.7480314960629921" header="0.3149606299212598" footer="0.3149606299212598"/>
  <pageSetup orientation="landscape" paperSize="8" scale="8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2026-10-07T00:50:28Z</dcterms:modified>
  <cp:lastModifiedBy>ma-takahashi</cp:lastModifiedBy>
  <cp:lastPrinted>2024-07-03T04:21:04Z</cp:lastPrinted>
</cp:coreProperties>
</file>