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包装資材" sheetId="1" state="visible" r:id="rId1"/>
    <sheet xmlns:r="http://schemas.openxmlformats.org/officeDocument/2006/relationships" name="機械" sheetId="2" state="visible" r:id="rId2"/>
    <sheet xmlns:r="http://schemas.openxmlformats.org/officeDocument/2006/relationships" name="全体" sheetId="3" state="visible" r:id="rId3"/>
    <sheet xmlns:r="http://schemas.openxmlformats.org/officeDocument/2006/relationships" name="総括" sheetId="4" state="visible" r:id="rId4"/>
  </sheets>
  <externalReferences>
    <externalReference xmlns:r="http://schemas.openxmlformats.org/officeDocument/2006/relationships" r:id="rId5"/>
  </externalReferences>
  <definedNames>
    <definedName name="_xlnm.Print_Area" localSheetId="0">'包装資材'!$C$1:$Y$126</definedName>
    <definedName name="_xlnm.Print_Area" localSheetId="1">'機械'!$C$1:$Y$126</definedName>
    <definedName name="_xlnm.Print_Area" localSheetId="2">'全体'!$C$1:$Y$126</definedName>
    <definedName name="_xlnm.Print_Area" localSheetId="3">'総括'!$D$1:$U$27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3"/>
      <color theme="1"/>
      <sz val="10"/>
      <scheme val="minor"/>
    </font>
    <font>
      <name val="HGP創英角ｺﾞｼｯｸUB"/>
      <charset val="128"/>
      <family val="3"/>
      <color theme="1"/>
      <sz val="16"/>
    </font>
    <font>
      <name val="游ゴシック"/>
      <charset val="128"/>
      <family val="2"/>
      <color theme="8" tint="-0.249977111117893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gray0625"/>
    </fill>
    <fill>
      <patternFill patternType="gray0625">
        <bgColor rgb="FFFFFF00"/>
      </patternFill>
    </fill>
  </fills>
  <borders count="4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9" fontId="1" fillId="0" borderId="0" applyAlignment="1">
      <alignment vertical="center"/>
    </xf>
  </cellStyleXfs>
  <cellXfs count="152">
    <xf numFmtId="0" fontId="0" fillId="0" borderId="0" applyAlignment="1" pivotButton="0" quotePrefix="0" xfId="0">
      <alignment vertical="center"/>
    </xf>
    <xf numFmtId="38" fontId="0" fillId="0" borderId="4" applyAlignment="1" pivotButton="0" quotePrefix="0" xfId="1">
      <alignment vertical="center"/>
    </xf>
    <xf numFmtId="38" fontId="0" fillId="0" borderId="5" applyAlignment="1" pivotButton="0" quotePrefix="0" xfId="1">
      <alignment vertical="center"/>
    </xf>
    <xf numFmtId="38" fontId="0" fillId="0" borderId="7" applyAlignment="1" pivotButton="0" quotePrefix="0" xfId="1">
      <alignment vertical="center"/>
    </xf>
    <xf numFmtId="38" fontId="0" fillId="0" borderId="8" applyAlignment="1" pivotButton="0" quotePrefix="0" xfId="1">
      <alignment vertical="center"/>
    </xf>
    <xf numFmtId="38" fontId="0" fillId="0" borderId="0" applyAlignment="1" pivotButton="0" quotePrefix="0" xfId="0">
      <alignment vertical="center"/>
    </xf>
    <xf numFmtId="38" fontId="0" fillId="0" borderId="0" applyAlignment="1" pivotButton="0" quotePrefix="0" xfId="1">
      <alignment vertical="center"/>
    </xf>
    <xf numFmtId="164" fontId="0" fillId="0" borderId="0" applyAlignment="1" pivotButton="0" quotePrefix="0" xfId="2">
      <alignment horizontal="right" vertical="center"/>
    </xf>
    <xf numFmtId="0" fontId="5" fillId="0" borderId="0" applyAlignment="1" pivotButton="0" quotePrefix="0" xfId="0">
      <alignment vertical="center"/>
    </xf>
    <xf numFmtId="164" fontId="0" fillId="0" borderId="6" applyAlignment="1" pivotButton="0" quotePrefix="0" xfId="2">
      <alignment vertical="center"/>
    </xf>
    <xf numFmtId="164" fontId="0" fillId="0" borderId="9" applyAlignment="1" pivotButton="0" quotePrefix="0" xfId="2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164" fontId="0" fillId="0" borderId="26" applyAlignment="1" pivotButton="0" quotePrefix="0" xfId="2">
      <alignment vertical="center"/>
    </xf>
    <xf numFmtId="164" fontId="0" fillId="0" borderId="27" applyAlignment="1" pivotButton="0" quotePrefix="0" xfId="2">
      <alignment vertical="center"/>
    </xf>
    <xf numFmtId="0" fontId="0" fillId="0" borderId="6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38" fontId="0" fillId="0" borderId="34" applyAlignment="1" pivotButton="0" quotePrefix="0" xfId="1">
      <alignment vertical="center"/>
    </xf>
    <xf numFmtId="38" fontId="0" fillId="0" borderId="35" applyAlignment="1" pivotButton="0" quotePrefix="0" xfId="1">
      <alignment vertical="center"/>
    </xf>
    <xf numFmtId="164" fontId="0" fillId="0" borderId="36" applyAlignment="1" pivotButton="0" quotePrefix="0" xfId="2">
      <alignment vertical="center"/>
    </xf>
    <xf numFmtId="164" fontId="0" fillId="0" borderId="37" applyAlignment="1" pivotButton="0" quotePrefix="0" xfId="2">
      <alignment vertical="center"/>
    </xf>
    <xf numFmtId="0" fontId="0" fillId="0" borderId="38" applyAlignment="1" pivotButton="0" quotePrefix="0" xfId="0">
      <alignment vertical="center"/>
    </xf>
    <xf numFmtId="38" fontId="0" fillId="0" borderId="7" applyAlignment="1" pivotButton="0" quotePrefix="0" xfId="1">
      <alignment horizontal="center" vertical="center"/>
    </xf>
    <xf numFmtId="38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38" fontId="6" fillId="0" borderId="5" applyAlignment="1" pivotButton="0" quotePrefix="0" xfId="1">
      <alignment vertical="center"/>
    </xf>
    <xf numFmtId="38" fontId="8" fillId="0" borderId="6" applyAlignment="1" pivotButton="0" quotePrefix="0" xfId="1">
      <alignment vertical="center"/>
    </xf>
    <xf numFmtId="38" fontId="8" fillId="0" borderId="17" applyAlignment="1" pivotButton="0" quotePrefix="0" xfId="1">
      <alignment vertical="center"/>
    </xf>
    <xf numFmtId="164" fontId="8" fillId="0" borderId="5" applyAlignment="1" pivotButton="0" quotePrefix="0" xfId="2">
      <alignment horizontal="right" vertical="center"/>
    </xf>
    <xf numFmtId="0" fontId="8" fillId="0" borderId="0" applyAlignment="1" pivotButton="0" quotePrefix="0" xfId="0">
      <alignment vertical="center"/>
    </xf>
    <xf numFmtId="164" fontId="1" fillId="0" borderId="5" applyAlignment="1" pivotButton="0" quotePrefix="0" xfId="2">
      <alignment horizontal="right" vertical="center"/>
    </xf>
    <xf numFmtId="38" fontId="1" fillId="0" borderId="5" applyAlignment="1" pivotButton="0" quotePrefix="0" xfId="1">
      <alignment vertical="center"/>
    </xf>
    <xf numFmtId="38" fontId="1" fillId="2" borderId="26" applyAlignment="1" pivotButton="0" quotePrefix="0" xfId="1">
      <alignment vertical="center"/>
    </xf>
    <xf numFmtId="164" fontId="1" fillId="0" borderId="17" applyAlignment="1" pivotButton="0" quotePrefix="0" xfId="2">
      <alignment horizontal="right" vertical="center"/>
    </xf>
    <xf numFmtId="38" fontId="1" fillId="0" borderId="4" applyAlignment="1" pivotButton="0" quotePrefix="0" xfId="1">
      <alignment vertical="center"/>
    </xf>
    <xf numFmtId="38" fontId="1" fillId="2" borderId="6" applyAlignment="1" pivotButton="0" quotePrefix="0" xfId="1">
      <alignment vertical="center"/>
    </xf>
    <xf numFmtId="38" fontId="8" fillId="2" borderId="26" applyAlignment="1" pivotButton="0" quotePrefix="0" xfId="1">
      <alignment vertical="center"/>
    </xf>
    <xf numFmtId="164" fontId="8" fillId="0" borderId="17" applyAlignment="1" pivotButton="0" quotePrefix="0" xfId="2">
      <alignment horizontal="right" vertical="center"/>
    </xf>
    <xf numFmtId="38" fontId="8" fillId="2" borderId="6" applyAlignment="1" pivotButton="0" quotePrefix="0" xfId="1">
      <alignment vertical="center"/>
    </xf>
    <xf numFmtId="38" fontId="6" fillId="0" borderId="4" applyAlignment="1" pivotButton="0" quotePrefix="0" xfId="1">
      <alignment vertical="center"/>
    </xf>
    <xf numFmtId="0" fontId="3" fillId="0" borderId="21" applyAlignment="1" pivotButton="0" quotePrefix="0" xfId="0">
      <alignment vertical="center"/>
    </xf>
    <xf numFmtId="164" fontId="0" fillId="0" borderId="17" applyAlignment="1" pivotButton="0" quotePrefix="0" xfId="2">
      <alignment horizontal="right" vertical="center"/>
    </xf>
    <xf numFmtId="164" fontId="0" fillId="0" borderId="5" applyAlignment="1" pivotButton="0" quotePrefix="0" xfId="2">
      <alignment horizontal="right" vertical="center"/>
    </xf>
    <xf numFmtId="38" fontId="8" fillId="0" borderId="4" applyAlignment="1" pivotButton="0" quotePrefix="0" xfId="1">
      <alignment vertical="center"/>
    </xf>
    <xf numFmtId="38" fontId="7" fillId="2" borderId="26" applyAlignment="1" pivotButton="0" quotePrefix="0" xfId="1">
      <alignment vertical="center"/>
    </xf>
    <xf numFmtId="38" fontId="0" fillId="2" borderId="28" applyAlignment="1" pivotButton="0" quotePrefix="0" xfId="1">
      <alignment vertical="center"/>
    </xf>
    <xf numFmtId="164" fontId="0" fillId="0" borderId="41" applyAlignment="1" pivotButton="0" quotePrefix="0" xfId="2">
      <alignment horizontal="right" vertical="center"/>
    </xf>
    <xf numFmtId="0" fontId="0" fillId="0" borderId="1" applyAlignment="1" pivotButton="0" quotePrefix="0" xfId="0">
      <alignment vertical="center"/>
    </xf>
    <xf numFmtId="55" fontId="4" fillId="0" borderId="2" applyAlignment="1" pivotButton="0" quotePrefix="0" xfId="0">
      <alignment horizontal="center" vertical="center"/>
    </xf>
    <xf numFmtId="38" fontId="0" fillId="3" borderId="8" applyAlignment="1" pivotButton="0" quotePrefix="0" xfId="0">
      <alignment vertical="center"/>
    </xf>
    <xf numFmtId="0" fontId="0" fillId="2" borderId="3" applyAlignment="1" pivotButton="0" quotePrefix="0" xfId="0">
      <alignment horizontal="center" vertical="center"/>
    </xf>
    <xf numFmtId="164" fontId="0" fillId="2" borderId="6" applyAlignment="1" pivotButton="0" quotePrefix="0" xfId="2">
      <alignment horizontal="right" vertical="center"/>
    </xf>
    <xf numFmtId="164" fontId="0" fillId="3" borderId="8" applyAlignment="1" pivotButton="0" quotePrefix="0" xfId="2">
      <alignment horizontal="right" vertical="center"/>
    </xf>
    <xf numFmtId="164" fontId="0" fillId="4" borderId="9" applyAlignment="1" pivotButton="0" quotePrefix="0" xfId="2">
      <alignment horizontal="right" vertical="center"/>
    </xf>
    <xf numFmtId="0" fontId="0" fillId="0" borderId="3" applyAlignment="1" pivotButton="0" quotePrefix="0" xfId="0">
      <alignment vertical="center"/>
    </xf>
    <xf numFmtId="38" fontId="0" fillId="0" borderId="6" applyAlignment="1" pivotButton="0" quotePrefix="0" xfId="1">
      <alignment vertical="center"/>
    </xf>
    <xf numFmtId="0" fontId="0" fillId="0" borderId="9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55" fontId="4" fillId="0" borderId="1" applyAlignment="1" pivotButton="0" quotePrefix="0" xfId="0">
      <alignment horizontal="center" vertical="center"/>
    </xf>
    <xf numFmtId="38" fontId="0" fillId="2" borderId="6" applyAlignment="1" pivotButton="0" quotePrefix="0" xfId="1">
      <alignment vertical="center"/>
    </xf>
    <xf numFmtId="38" fontId="0" fillId="3" borderId="7" applyAlignment="1" pivotButton="0" quotePrefix="0" xfId="0">
      <alignment vertical="center"/>
    </xf>
    <xf numFmtId="38" fontId="0" fillId="4" borderId="9" applyAlignment="1" pivotButton="0" quotePrefix="0" xfId="1">
      <alignment vertical="center"/>
    </xf>
    <xf numFmtId="164" fontId="0" fillId="0" borderId="4" applyAlignment="1" pivotButton="0" quotePrefix="0" xfId="2">
      <alignment horizontal="right" vertical="center"/>
    </xf>
    <xf numFmtId="164" fontId="0" fillId="3" borderId="7" applyAlignment="1" pivotButton="0" quotePrefix="0" xfId="2">
      <alignment horizontal="right" vertical="center"/>
    </xf>
    <xf numFmtId="0" fontId="0" fillId="2" borderId="40" applyAlignment="1" pivotButton="0" quotePrefix="0" xfId="0">
      <alignment horizontal="center" vertical="center"/>
    </xf>
    <xf numFmtId="38" fontId="0" fillId="2" borderId="26" applyAlignment="1" pivotButton="0" quotePrefix="0" xfId="1">
      <alignment vertical="center"/>
    </xf>
    <xf numFmtId="38" fontId="7" fillId="0" borderId="5" applyAlignment="1" pivotButton="0" quotePrefix="0" xfId="1">
      <alignment vertical="center"/>
    </xf>
    <xf numFmtId="38" fontId="0" fillId="0" borderId="42" applyAlignment="1" pivotButton="0" quotePrefix="0" xfId="1">
      <alignment vertical="center"/>
    </xf>
    <xf numFmtId="164" fontId="0" fillId="0" borderId="43" applyAlignment="1" pivotButton="0" quotePrefix="0" xfId="2">
      <alignment horizontal="right" vertical="center"/>
    </xf>
    <xf numFmtId="38" fontId="0" fillId="0" borderId="41" applyAlignment="1" pivotButton="0" quotePrefix="0" xfId="1">
      <alignment vertical="center"/>
    </xf>
    <xf numFmtId="38" fontId="0" fillId="2" borderId="10" applyAlignment="1" pivotButton="0" quotePrefix="0" xfId="1">
      <alignment vertical="center"/>
    </xf>
    <xf numFmtId="164" fontId="0" fillId="2" borderId="10" applyAlignment="1" pivotButton="0" quotePrefix="0" xfId="2">
      <alignment horizontal="right" vertical="center"/>
    </xf>
    <xf numFmtId="38" fontId="0" fillId="0" borderId="43" applyAlignment="1" pivotButton="0" quotePrefix="0" xfId="1">
      <alignment vertical="center"/>
    </xf>
    <xf numFmtId="164" fontId="0" fillId="3" borderId="18" applyAlignment="1" pivotButton="0" quotePrefix="0" xfId="2">
      <alignment horizontal="right" vertical="center"/>
    </xf>
    <xf numFmtId="55" fontId="4" fillId="0" borderId="16" applyAlignment="1" pivotButton="0" quotePrefix="0" xfId="0">
      <alignment horizontal="center" vertical="center"/>
    </xf>
    <xf numFmtId="164" fontId="8" fillId="0" borderId="42" applyAlignment="1" pivotButton="0" quotePrefix="0" xfId="2">
      <alignment horizontal="right" vertical="center"/>
    </xf>
    <xf numFmtId="164" fontId="8" fillId="0" borderId="43" applyAlignment="1" pivotButton="0" quotePrefix="0" xfId="2">
      <alignment horizontal="right" vertical="center"/>
    </xf>
    <xf numFmtId="38" fontId="6" fillId="0" borderId="43" applyAlignment="1" pivotButton="0" quotePrefix="0" xfId="1">
      <alignment vertical="center"/>
    </xf>
    <xf numFmtId="38" fontId="6" fillId="0" borderId="41" applyAlignment="1" pivotButton="0" quotePrefix="0" xfId="1">
      <alignment vertical="center"/>
    </xf>
    <xf numFmtId="164" fontId="0" fillId="0" borderId="42" applyAlignment="1" pivotButton="0" quotePrefix="0" xfId="2">
      <alignment horizontal="right" vertical="center"/>
    </xf>
    <xf numFmtId="164" fontId="8" fillId="2" borderId="6" applyAlignment="1" pivotButton="0" quotePrefix="0" xfId="2">
      <alignment horizontal="right" vertical="center"/>
    </xf>
    <xf numFmtId="164" fontId="8" fillId="2" borderId="10" applyAlignment="1" pivotButton="0" quotePrefix="0" xfId="2">
      <alignment horizontal="right" vertical="center"/>
    </xf>
    <xf numFmtId="164" fontId="0" fillId="0" borderId="10" applyAlignment="1" pivotButton="0" quotePrefix="0" xfId="2">
      <alignment vertical="center"/>
    </xf>
    <xf numFmtId="164" fontId="0" fillId="0" borderId="28" applyAlignment="1" pivotButton="0" quotePrefix="0" xfId="2">
      <alignment vertical="center"/>
    </xf>
    <xf numFmtId="0" fontId="0" fillId="0" borderId="44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  <xf numFmtId="38" fontId="8" fillId="0" borderId="0" applyAlignment="1" pivotButton="0" quotePrefix="0" xfId="0">
      <alignment vertical="center"/>
    </xf>
    <xf numFmtId="0" fontId="0" fillId="0" borderId="4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38" fontId="0" fillId="0" borderId="46" applyAlignment="1" pivotButton="0" quotePrefix="0" xfId="1">
      <alignment horizontal="center" vertical="center"/>
    </xf>
    <xf numFmtId="38" fontId="0" fillId="0" borderId="13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16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38" pivotButton="0" quotePrefix="0" xfId="0"/>
    <xf numFmtId="164" fontId="0" fillId="0" borderId="17" applyAlignment="1" pivotButton="0" quotePrefix="0" xfId="2">
      <alignment horizontal="right" vertical="center"/>
    </xf>
    <xf numFmtId="164" fontId="0" fillId="0" borderId="5" applyAlignment="1" pivotButton="0" quotePrefix="0" xfId="2">
      <alignment horizontal="right" vertical="center"/>
    </xf>
    <xf numFmtId="164" fontId="0" fillId="2" borderId="6" applyAlignment="1" pivotButton="0" quotePrefix="0" xfId="2">
      <alignment horizontal="right" vertical="center"/>
    </xf>
    <xf numFmtId="164" fontId="0" fillId="3" borderId="18" applyAlignment="1" pivotButton="0" quotePrefix="0" xfId="2">
      <alignment horizontal="right" vertical="center"/>
    </xf>
    <xf numFmtId="164" fontId="0" fillId="3" borderId="8" applyAlignment="1" pivotButton="0" quotePrefix="0" xfId="2">
      <alignment horizontal="right" vertical="center"/>
    </xf>
    <xf numFmtId="164" fontId="0" fillId="4" borderId="9" applyAlignment="1" pivotButton="0" quotePrefix="0" xfId="2">
      <alignment horizontal="right" vertical="center"/>
    </xf>
    <xf numFmtId="164" fontId="0" fillId="0" borderId="0" applyAlignment="1" pivotButton="0" quotePrefix="0" xfId="2">
      <alignment horizontal="right" vertical="center"/>
    </xf>
    <xf numFmtId="164" fontId="1" fillId="0" borderId="17" applyAlignment="1" pivotButton="0" quotePrefix="0" xfId="2">
      <alignment horizontal="right" vertical="center"/>
    </xf>
    <xf numFmtId="164" fontId="1" fillId="0" borderId="5" applyAlignment="1" pivotButton="0" quotePrefix="0" xfId="2">
      <alignment horizontal="right" vertical="center"/>
    </xf>
    <xf numFmtId="164" fontId="0" fillId="0" borderId="42" applyAlignment="1" pivotButton="0" quotePrefix="0" xfId="2">
      <alignment horizontal="right" vertical="center"/>
    </xf>
    <xf numFmtId="164" fontId="0" fillId="0" borderId="43" applyAlignment="1" pivotButton="0" quotePrefix="0" xfId="2">
      <alignment horizontal="right" vertical="center"/>
    </xf>
    <xf numFmtId="164" fontId="0" fillId="2" borderId="10" applyAlignment="1" pivotButton="0" quotePrefix="0" xfId="2">
      <alignment horizontal="right" vertical="center"/>
    </xf>
    <xf numFmtId="164" fontId="0" fillId="0" borderId="4" applyAlignment="1" pivotButton="0" quotePrefix="0" xfId="2">
      <alignment horizontal="right" vertical="center"/>
    </xf>
    <xf numFmtId="164" fontId="0" fillId="0" borderId="41" applyAlignment="1" pivotButton="0" quotePrefix="0" xfId="2">
      <alignment horizontal="right" vertical="center"/>
    </xf>
    <xf numFmtId="164" fontId="0" fillId="3" borderId="7" applyAlignment="1" pivotButton="0" quotePrefix="0" xfId="2">
      <alignment horizontal="right" vertical="center"/>
    </xf>
    <xf numFmtId="164" fontId="8" fillId="0" borderId="17" applyAlignment="1" pivotButton="0" quotePrefix="0" xfId="2">
      <alignment horizontal="right" vertical="center"/>
    </xf>
    <xf numFmtId="164" fontId="8" fillId="0" borderId="5" applyAlignment="1" pivotButton="0" quotePrefix="0" xfId="2">
      <alignment horizontal="right" vertical="center"/>
    </xf>
    <xf numFmtId="164" fontId="8" fillId="2" borderId="6" applyAlignment="1" pivotButton="0" quotePrefix="0" xfId="2">
      <alignment horizontal="right" vertical="center"/>
    </xf>
    <xf numFmtId="164" fontId="8" fillId="0" borderId="42" applyAlignment="1" pivotButton="0" quotePrefix="0" xfId="2">
      <alignment horizontal="right" vertical="center"/>
    </xf>
    <xf numFmtId="164" fontId="8" fillId="0" borderId="43" applyAlignment="1" pivotButton="0" quotePrefix="0" xfId="2">
      <alignment horizontal="right" vertical="center"/>
    </xf>
    <xf numFmtId="164" fontId="8" fillId="2" borderId="10" applyAlignment="1" pivotButton="0" quotePrefix="0" xfId="2">
      <alignment horizontal="right" vertical="center"/>
    </xf>
    <xf numFmtId="164" fontId="0" fillId="0" borderId="36" applyAlignment="1" pivotButton="0" quotePrefix="0" xfId="2">
      <alignment vertical="center"/>
    </xf>
    <xf numFmtId="164" fontId="0" fillId="0" borderId="37" applyAlignment="1" pivotButton="0" quotePrefix="0" xfId="2">
      <alignment vertical="center"/>
    </xf>
    <xf numFmtId="164" fontId="0" fillId="0" borderId="6" applyAlignment="1" pivotButton="0" quotePrefix="0" xfId="2">
      <alignment vertical="center"/>
    </xf>
    <xf numFmtId="164" fontId="0" fillId="0" borderId="26" applyAlignment="1" pivotButton="0" quotePrefix="0" xfId="2">
      <alignment vertical="center"/>
    </xf>
    <xf numFmtId="164" fontId="0" fillId="0" borderId="10" applyAlignment="1" pivotButton="0" quotePrefix="0" xfId="2">
      <alignment vertical="center"/>
    </xf>
    <xf numFmtId="164" fontId="0" fillId="0" borderId="28" applyAlignment="1" pivotButton="0" quotePrefix="0" xfId="2">
      <alignment vertical="center"/>
    </xf>
    <xf numFmtId="164" fontId="0" fillId="0" borderId="9" applyAlignment="1" pivotButton="0" quotePrefix="0" xfId="2">
      <alignment vertical="center"/>
    </xf>
    <xf numFmtId="164" fontId="0" fillId="0" borderId="27" applyAlignment="1" pivotButton="0" quotePrefix="0" xfId="2">
      <alignment vertical="center"/>
    </xf>
  </cellXfs>
  <cellStyles count="3">
    <cellStyle name="標準" xfId="0" builtinId="0"/>
    <cellStyle name="桁区切り" xfId="1" builtinId="6"/>
    <cellStyle name="パーセント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22238;&#24489;&#12373;&#12428;&#12383;&#22806;&#37096;&#12522;&#12531;&#12463;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包装資材"/>
      <sheetName val="包装資材6月まで計画"/>
      <sheetName val="機械"/>
      <sheetName val="全体"/>
      <sheetName val="総括"/>
    </sheetNames>
    <sheetDataSet>
      <sheetData sheetId="0"/>
      <sheetData sheetId="1">
        <row r="47">
          <cell r="H47">
            <v>674.92600000000016</v>
          </cell>
          <cell r="I47">
            <v>688.51599999999962</v>
          </cell>
          <cell r="J47">
            <v>513.04800000000068</v>
          </cell>
          <cell r="O47">
            <v>131.00349999999986</v>
          </cell>
          <cell r="P47">
            <v>145.04199999999997</v>
          </cell>
          <cell r="Q47">
            <v>101.75249999999994</v>
          </cell>
        </row>
        <row r="49">
          <cell r="H49">
            <v>1010.1575000000003</v>
          </cell>
          <cell r="I49">
            <v>1482.6475</v>
          </cell>
          <cell r="J49">
            <v>1386.8894999999993</v>
          </cell>
          <cell r="O49">
            <v>191.32000000000039</v>
          </cell>
          <cell r="P49">
            <v>316.91850000000034</v>
          </cell>
          <cell r="Q49">
            <v>263.5605000000005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C1:Y126"/>
  <sheetViews>
    <sheetView zoomScaleNormal="100" workbookViewId="0">
      <pane xSplit="4" ySplit="1" topLeftCell="E112" activePane="bottomRight" state="frozen"/>
      <selection activeCell="F110" sqref="F110"/>
      <selection pane="topRight" activeCell="F110" sqref="F110"/>
      <selection pane="bottomLeft" activeCell="F110" sqref="F110"/>
      <selection pane="bottomRight" activeCell="D117" sqref="D117"/>
    </sheetView>
  </sheetViews>
  <sheetFormatPr baseColWidth="8" defaultRowHeight="18.75"/>
  <cols>
    <col width="9.75" bestFit="1" customWidth="1" style="113" min="3" max="3"/>
    <col width="10.125" customWidth="1" style="113" min="5" max="25"/>
  </cols>
  <sheetData>
    <row r="1">
      <c r="C1" s="8" t="inlineStr">
        <is>
          <t>境港営業所包装資材</t>
        </is>
      </c>
    </row>
    <row r="2">
      <c r="C2" s="114" t="inlineStr">
        <is>
          <t>1．2024年</t>
        </is>
      </c>
    </row>
    <row r="3">
      <c r="C3" s="104" t="n"/>
      <c r="D3" s="106" t="n"/>
      <c r="E3" s="104" t="inlineStr">
        <is>
          <t>売上</t>
        </is>
      </c>
      <c r="F3" s="105" t="n"/>
      <c r="G3" s="105" t="n"/>
      <c r="H3" s="105" t="n"/>
      <c r="I3" s="105" t="n"/>
      <c r="J3" s="105" t="n"/>
      <c r="K3" s="106" t="n"/>
      <c r="L3" s="107" t="inlineStr">
        <is>
          <t>粗利益</t>
        </is>
      </c>
      <c r="M3" s="105" t="n"/>
      <c r="N3" s="105" t="n"/>
      <c r="O3" s="105" t="n"/>
      <c r="P3" s="105" t="n"/>
      <c r="Q3" s="105" t="n"/>
      <c r="R3" s="106" t="n"/>
      <c r="S3" s="107" t="inlineStr">
        <is>
          <t>粗利益率</t>
        </is>
      </c>
      <c r="T3" s="105" t="n"/>
      <c r="U3" s="105" t="n"/>
      <c r="V3" s="105" t="n"/>
      <c r="W3" s="105" t="n"/>
      <c r="X3" s="105" t="n"/>
      <c r="Y3" s="106" t="n"/>
    </row>
    <row r="4">
      <c r="C4" s="61" t="n"/>
      <c r="D4" s="68" t="n"/>
      <c r="E4" s="62" t="n">
        <v>45383</v>
      </c>
      <c r="F4" s="62" t="n">
        <v>45413</v>
      </c>
      <c r="G4" s="62" t="n">
        <v>45444</v>
      </c>
      <c r="H4" s="62" t="n">
        <v>45474</v>
      </c>
      <c r="I4" s="62" t="n">
        <v>45505</v>
      </c>
      <c r="J4" s="62" t="n">
        <v>45536</v>
      </c>
      <c r="K4" s="78" t="inlineStr">
        <is>
          <t>合計</t>
        </is>
      </c>
      <c r="L4" s="72" t="n">
        <v>45383</v>
      </c>
      <c r="M4" s="62" t="n">
        <v>45413</v>
      </c>
      <c r="N4" s="62" t="n">
        <v>45444</v>
      </c>
      <c r="O4" s="62" t="n">
        <v>45474</v>
      </c>
      <c r="P4" s="62" t="n">
        <v>45505</v>
      </c>
      <c r="Q4" s="62" t="n">
        <v>45536</v>
      </c>
      <c r="R4" s="64" t="inlineStr">
        <is>
          <t>合計</t>
        </is>
      </c>
      <c r="S4" s="72" t="n">
        <v>45383</v>
      </c>
      <c r="T4" s="62" t="n">
        <v>45413</v>
      </c>
      <c r="U4" s="62" t="n">
        <v>45444</v>
      </c>
      <c r="V4" s="62" t="n">
        <v>45474</v>
      </c>
      <c r="W4" s="62" t="n">
        <v>45505</v>
      </c>
      <c r="X4" s="62" t="n">
        <v>45536</v>
      </c>
      <c r="Y4" s="64" t="inlineStr">
        <is>
          <t>合計</t>
        </is>
      </c>
    </row>
    <row r="5">
      <c r="C5" s="71" t="inlineStr">
        <is>
          <t>0903 集計</t>
        </is>
      </c>
      <c r="D5" s="69" t="inlineStr">
        <is>
          <t>西岡</t>
        </is>
      </c>
      <c r="E5" s="2">
        <f>全体!E5-機械!E5</f>
        <v/>
      </c>
      <c r="F5" s="2">
        <f>全体!F5-機械!F5</f>
        <v/>
      </c>
      <c r="G5" s="2">
        <f>全体!G5-機械!G5</f>
        <v/>
      </c>
      <c r="H5" s="2">
        <f>全体!H5-機械!H5</f>
        <v/>
      </c>
      <c r="I5" s="2">
        <f>全体!I5-機械!I5</f>
        <v/>
      </c>
      <c r="J5" s="2">
        <f>全体!J5-機械!J5</f>
        <v/>
      </c>
      <c r="K5" s="73">
        <f>SUM(E5:J5)</f>
        <v/>
      </c>
      <c r="L5" s="2">
        <f>全体!L5-機械!L5</f>
        <v/>
      </c>
      <c r="M5" s="2">
        <f>全体!M5-機械!M5</f>
        <v/>
      </c>
      <c r="N5" s="2">
        <f>全体!N5-機械!N5</f>
        <v/>
      </c>
      <c r="O5" s="2">
        <f>全体!O5-機械!O5</f>
        <v/>
      </c>
      <c r="P5" s="2">
        <f>全体!P5-機械!P5</f>
        <v/>
      </c>
      <c r="Q5" s="2">
        <f>全体!Q5-機械!Q5</f>
        <v/>
      </c>
      <c r="R5" s="73">
        <f>SUM(L5:Q5)</f>
        <v/>
      </c>
      <c r="S5" s="123">
        <f>IF(E5=0,"***",L5/E5)</f>
        <v/>
      </c>
      <c r="T5" s="124">
        <f>IF(F5=0,"***",M5/F5)</f>
        <v/>
      </c>
      <c r="U5" s="124">
        <f>IF(G5=0,"***",N5/G5)</f>
        <v/>
      </c>
      <c r="V5" s="124">
        <f>IF(H5=0,"***",O5/H5)</f>
        <v/>
      </c>
      <c r="W5" s="124">
        <f>IF(I5=0,"***",P5/I5)</f>
        <v/>
      </c>
      <c r="X5" s="124">
        <f>IF(J5=0,"***",Q5/J5)</f>
        <v/>
      </c>
      <c r="Y5" s="125">
        <f>IF(K5=0,"***",R5/K5)</f>
        <v/>
      </c>
    </row>
    <row r="6">
      <c r="C6" s="71" t="inlineStr">
        <is>
          <t>0904 集計</t>
        </is>
      </c>
      <c r="D6" s="69" t="inlineStr">
        <is>
          <t>足立次長</t>
        </is>
      </c>
      <c r="E6" s="2">
        <f>全体!E6-機械!E6</f>
        <v/>
      </c>
      <c r="F6" s="2">
        <f>全体!F6-機械!F6</f>
        <v/>
      </c>
      <c r="G6" s="2">
        <f>全体!G6-機械!G6</f>
        <v/>
      </c>
      <c r="H6" s="2">
        <f>全体!H6-機械!H6</f>
        <v/>
      </c>
      <c r="I6" s="2">
        <f>全体!I6-機械!I6</f>
        <v/>
      </c>
      <c r="J6" s="2">
        <f>全体!J6-機械!J6</f>
        <v/>
      </c>
      <c r="K6" s="73">
        <f>SUM(E6:J6)</f>
        <v/>
      </c>
      <c r="L6" s="2">
        <f>全体!L6-機械!L6</f>
        <v/>
      </c>
      <c r="M6" s="2">
        <f>全体!M6-機械!M6</f>
        <v/>
      </c>
      <c r="N6" s="2">
        <f>全体!N6-機械!N6</f>
        <v/>
      </c>
      <c r="O6" s="2">
        <f>全体!O6-機械!O6</f>
        <v/>
      </c>
      <c r="P6" s="2">
        <f>全体!P6-機械!P6</f>
        <v/>
      </c>
      <c r="Q6" s="2">
        <f>全体!Q6-機械!Q6</f>
        <v/>
      </c>
      <c r="R6" s="73">
        <f>SUM(L6:Q6)</f>
        <v/>
      </c>
      <c r="S6" s="123">
        <f>IF(E6=0,"***",L6/E6)</f>
        <v/>
      </c>
      <c r="T6" s="124">
        <f>IF(F6=0,"***",M6/F6)</f>
        <v/>
      </c>
      <c r="U6" s="124">
        <f>IF(G6=0,"***",N6/G6)</f>
        <v/>
      </c>
      <c r="V6" s="124">
        <f>IF(H6=0,"***",O6/H6)</f>
        <v/>
      </c>
      <c r="W6" s="124">
        <f>IF(I6=0,"***",P6/I6)</f>
        <v/>
      </c>
      <c r="X6" s="124">
        <f>IF(J6=0,"***",Q6/J6)</f>
        <v/>
      </c>
      <c r="Y6" s="125">
        <f>IF(K6=0,"***",R6/K6)</f>
        <v/>
      </c>
    </row>
    <row r="7">
      <c r="C7" s="71" t="inlineStr">
        <is>
          <t>0909 集計</t>
        </is>
      </c>
      <c r="D7" s="69" t="inlineStr">
        <is>
          <t>藤波課長</t>
        </is>
      </c>
      <c r="E7" s="2">
        <f>全体!E7-機械!E7</f>
        <v/>
      </c>
      <c r="F7" s="2">
        <f>全体!F7-機械!F7</f>
        <v/>
      </c>
      <c r="G7" s="2">
        <f>全体!G7-機械!G7</f>
        <v/>
      </c>
      <c r="H7" s="2">
        <f>全体!H7-機械!H7</f>
        <v/>
      </c>
      <c r="I7" s="2">
        <f>全体!I7-機械!I7</f>
        <v/>
      </c>
      <c r="J7" s="2">
        <f>全体!J7-機械!J7</f>
        <v/>
      </c>
      <c r="K7" s="73">
        <f>SUM(E7:J7)</f>
        <v/>
      </c>
      <c r="L7" s="2">
        <f>全体!L7-機械!L7</f>
        <v/>
      </c>
      <c r="M7" s="2">
        <f>全体!M7-機械!M7</f>
        <v/>
      </c>
      <c r="N7" s="2">
        <f>全体!N7-機械!N7</f>
        <v/>
      </c>
      <c r="O7" s="2">
        <f>全体!O7-機械!O7</f>
        <v/>
      </c>
      <c r="P7" s="2">
        <f>全体!P7-機械!P7</f>
        <v/>
      </c>
      <c r="Q7" s="2">
        <f>全体!Q7-機械!Q7</f>
        <v/>
      </c>
      <c r="R7" s="73">
        <f>SUM(L7:Q7)</f>
        <v/>
      </c>
      <c r="S7" s="123">
        <f>IF(E7=0,"***",L7/E7)</f>
        <v/>
      </c>
      <c r="T7" s="124">
        <f>IF(F7=0,"***",M7/F7)</f>
        <v/>
      </c>
      <c r="U7" s="124">
        <f>IF(G7=0,"***",N7/G7)</f>
        <v/>
      </c>
      <c r="V7" s="124">
        <f>IF(H7=0,"***",O7/H7)</f>
        <v/>
      </c>
      <c r="W7" s="124">
        <f>IF(I7=0,"***",P7/I7)</f>
        <v/>
      </c>
      <c r="X7" s="124">
        <f>IF(J7=0,"***",Q7/J7)</f>
        <v/>
      </c>
      <c r="Y7" s="125">
        <f>IF(K7=0,"***",R7/K7)</f>
        <v/>
      </c>
    </row>
    <row r="8">
      <c r="C8" s="71" t="inlineStr">
        <is>
          <t>0910 集計</t>
        </is>
      </c>
      <c r="D8" s="69" t="inlineStr">
        <is>
          <t>足立課長</t>
        </is>
      </c>
      <c r="E8" s="2">
        <f>全体!E8-機械!E8</f>
        <v/>
      </c>
      <c r="F8" s="2">
        <f>全体!F8-機械!F8</f>
        <v/>
      </c>
      <c r="G8" s="2">
        <f>全体!G8-機械!G8</f>
        <v/>
      </c>
      <c r="H8" s="2">
        <f>全体!H8-機械!H8</f>
        <v/>
      </c>
      <c r="I8" s="2">
        <f>全体!I8-機械!I8</f>
        <v/>
      </c>
      <c r="J8" s="2">
        <f>全体!J8-機械!J8</f>
        <v/>
      </c>
      <c r="K8" s="73">
        <f>SUM(E8:J8)</f>
        <v/>
      </c>
      <c r="L8" s="2">
        <f>全体!L8-機械!L8</f>
        <v/>
      </c>
      <c r="M8" s="2">
        <f>全体!M8-機械!M8</f>
        <v/>
      </c>
      <c r="N8" s="2">
        <f>全体!N8-機械!N8</f>
        <v/>
      </c>
      <c r="O8" s="2">
        <f>全体!O8-機械!O8</f>
        <v/>
      </c>
      <c r="P8" s="2">
        <f>全体!P8-機械!P8</f>
        <v/>
      </c>
      <c r="Q8" s="2">
        <f>全体!Q8-機械!Q8</f>
        <v/>
      </c>
      <c r="R8" s="73">
        <f>SUM(L8:Q8)</f>
        <v/>
      </c>
      <c r="S8" s="123">
        <f>IF(E8=0,"***",L8/E8)</f>
        <v/>
      </c>
      <c r="T8" s="124">
        <f>IF(F8=0,"***",M8/F8)</f>
        <v/>
      </c>
      <c r="U8" s="124">
        <f>IF(G8=0,"***",N8/G8)</f>
        <v/>
      </c>
      <c r="V8" s="124">
        <f>IF(H8=0,"***",O8/H8)</f>
        <v/>
      </c>
      <c r="W8" s="124">
        <f>IF(I8=0,"***",P8/I8)</f>
        <v/>
      </c>
      <c r="X8" s="124">
        <f>IF(J8=0,"***",Q8/J8)</f>
        <v/>
      </c>
      <c r="Y8" s="125">
        <f>IF(K8=0,"***",R8/K8)</f>
        <v/>
      </c>
    </row>
    <row r="9">
      <c r="C9" s="71" t="inlineStr">
        <is>
          <t>0911 集計</t>
        </is>
      </c>
      <c r="D9" s="69" t="inlineStr">
        <is>
          <t>川邊主任</t>
        </is>
      </c>
      <c r="E9" s="2">
        <f>全体!E9-機械!E9</f>
        <v/>
      </c>
      <c r="F9" s="2">
        <f>全体!F9-機械!F9</f>
        <v/>
      </c>
      <c r="G9" s="2">
        <f>全体!G9-機械!G9</f>
        <v/>
      </c>
      <c r="H9" s="2">
        <f>全体!H9-機械!H9</f>
        <v/>
      </c>
      <c r="I9" s="2">
        <f>全体!I9-機械!I9</f>
        <v/>
      </c>
      <c r="J9" s="2">
        <f>全体!J9-機械!J9</f>
        <v/>
      </c>
      <c r="K9" s="73">
        <f>SUM(E9:J9)</f>
        <v/>
      </c>
      <c r="L9" s="2">
        <f>全体!L9-機械!L9</f>
        <v/>
      </c>
      <c r="M9" s="2">
        <f>全体!M9-機械!M9</f>
        <v/>
      </c>
      <c r="N9" s="2">
        <f>全体!N9-機械!N9</f>
        <v/>
      </c>
      <c r="O9" s="2">
        <f>全体!O9-機械!O9</f>
        <v/>
      </c>
      <c r="P9" s="2">
        <f>全体!P9-機械!P9</f>
        <v/>
      </c>
      <c r="Q9" s="2">
        <f>全体!Q9-機械!Q9</f>
        <v/>
      </c>
      <c r="R9" s="73">
        <f>SUM(L9:Q9)</f>
        <v/>
      </c>
      <c r="S9" s="123">
        <f>IF(E9=0,"***",L9/E9)</f>
        <v/>
      </c>
      <c r="T9" s="124">
        <f>IF(F9=0,"***",M9/F9)</f>
        <v/>
      </c>
      <c r="U9" s="124">
        <f>IF(G9=0,"***",N9/G9)</f>
        <v/>
      </c>
      <c r="V9" s="124">
        <f>IF(H9=0,"***",O9/H9)</f>
        <v/>
      </c>
      <c r="W9" s="124">
        <f>IF(I9=0,"***",P9/I9)</f>
        <v/>
      </c>
      <c r="X9" s="124">
        <f>IF(J9=0,"***",Q9/J9)</f>
        <v/>
      </c>
      <c r="Y9" s="125">
        <f>IF(K9=0,"***",R9/K9)</f>
        <v/>
      </c>
    </row>
    <row r="10">
      <c r="C10" s="71" t="inlineStr">
        <is>
          <t>0914 集計</t>
        </is>
      </c>
      <c r="D10" s="69" t="inlineStr">
        <is>
          <t>白根主任</t>
        </is>
      </c>
      <c r="E10" s="45">
        <f>全体!E10-機械!E10</f>
        <v/>
      </c>
      <c r="F10" s="45">
        <f>全体!F10-機械!F10</f>
        <v/>
      </c>
      <c r="G10" s="45">
        <f>全体!G10-機械!G10</f>
        <v/>
      </c>
      <c r="H10" s="45">
        <f>全体!H10-機械!H10</f>
        <v/>
      </c>
      <c r="I10" s="45">
        <f>全体!I10-機械!I10</f>
        <v/>
      </c>
      <c r="J10" s="45">
        <f>全体!J10-機械!J10</f>
        <v/>
      </c>
      <c r="K10" s="73">
        <f>SUM(E10:J10)</f>
        <v/>
      </c>
      <c r="L10" s="45">
        <f>全体!L10-機械!L10</f>
        <v/>
      </c>
      <c r="M10" s="45">
        <f>全体!M10-機械!M10</f>
        <v/>
      </c>
      <c r="N10" s="45">
        <f>全体!N10-機械!N10</f>
        <v/>
      </c>
      <c r="O10" s="45">
        <f>全体!O10-機械!O10</f>
        <v/>
      </c>
      <c r="P10" s="45">
        <f>全体!P10-機械!P10</f>
        <v/>
      </c>
      <c r="Q10" s="45">
        <f>全体!Q10-機械!Q10</f>
        <v/>
      </c>
      <c r="R10" s="73">
        <f>SUM(L10:Q10)</f>
        <v/>
      </c>
      <c r="S10" s="123">
        <f>IF(E10=0,"***",L10/E10)</f>
        <v/>
      </c>
      <c r="T10" s="124">
        <f>IF(F10=0,"***",M10/F10)</f>
        <v/>
      </c>
      <c r="U10" s="124">
        <f>IF(G10=0,"***",N10/G10)</f>
        <v/>
      </c>
      <c r="V10" s="124">
        <f>IF(H10=0,"***",O10/H10)</f>
        <v/>
      </c>
      <c r="W10" s="124">
        <f>IF(I10=0,"***",P10/I10)</f>
        <v/>
      </c>
      <c r="X10" s="124">
        <f>IF(J10=0,"***",Q10/J10)</f>
        <v/>
      </c>
      <c r="Y10" s="125">
        <f>IF(K10=0,"***",R10/K10)</f>
        <v/>
      </c>
    </row>
    <row r="11">
      <c r="C11" s="71" t="inlineStr">
        <is>
          <t>0918 集計</t>
        </is>
      </c>
      <c r="D11" s="69" t="inlineStr">
        <is>
          <t>海外</t>
        </is>
      </c>
      <c r="E11" s="45">
        <f>全体!E11-機械!E11</f>
        <v/>
      </c>
      <c r="F11" s="45">
        <f>全体!F11-機械!F11</f>
        <v/>
      </c>
      <c r="G11" s="45">
        <f>全体!G11-機械!G11</f>
        <v/>
      </c>
      <c r="H11" s="45">
        <f>全体!H11-機械!H11</f>
        <v/>
      </c>
      <c r="I11" s="45">
        <f>全体!I11-機械!I11</f>
        <v/>
      </c>
      <c r="J11" s="45">
        <f>全体!J11-機械!J11</f>
        <v/>
      </c>
      <c r="K11" s="73">
        <f>SUM(E11:J11)</f>
        <v/>
      </c>
      <c r="L11" s="45">
        <f>全体!L11-機械!L11</f>
        <v/>
      </c>
      <c r="M11" s="45">
        <f>全体!M11-機械!M11</f>
        <v/>
      </c>
      <c r="N11" s="45">
        <f>全体!N11-機械!N11</f>
        <v/>
      </c>
      <c r="O11" s="45">
        <f>全体!O11-機械!O11</f>
        <v/>
      </c>
      <c r="P11" s="45">
        <f>全体!P11-機械!P11</f>
        <v/>
      </c>
      <c r="Q11" s="45">
        <f>全体!Q11-機械!Q11</f>
        <v/>
      </c>
      <c r="R11" s="73">
        <f>SUM(L11:Q11)</f>
        <v/>
      </c>
      <c r="S11" s="123">
        <f>IF(E11=0,"***",L11/E11)</f>
        <v/>
      </c>
      <c r="T11" s="124">
        <f>IF(F11=0,"***",M11/F11)</f>
        <v/>
      </c>
      <c r="U11" s="124">
        <f>IF(G11=0,"***",N11/G11)</f>
        <v/>
      </c>
      <c r="V11" s="124">
        <f>IF(H11=0,"***",O11/H11)</f>
        <v/>
      </c>
      <c r="W11" s="124">
        <f>IF(I11=0,"***",P11/I11)</f>
        <v/>
      </c>
      <c r="X11" s="124">
        <f>IF(J11=0,"***",Q11/J11)</f>
        <v/>
      </c>
      <c r="Y11" s="125">
        <f>IF(K11=0,"***",R11/K11)</f>
        <v/>
      </c>
    </row>
    <row r="12">
      <c r="C12" s="71" t="inlineStr">
        <is>
          <t>0919 集計</t>
        </is>
      </c>
      <c r="D12" s="69" t="inlineStr">
        <is>
          <t>その他</t>
        </is>
      </c>
      <c r="E12" s="2">
        <f>全体!E12-機械!E12</f>
        <v/>
      </c>
      <c r="F12" s="2">
        <f>全体!F12-機械!F12</f>
        <v/>
      </c>
      <c r="G12" s="2">
        <f>全体!G12-機械!G12</f>
        <v/>
      </c>
      <c r="H12" s="2">
        <f>全体!H12-機械!H12</f>
        <v/>
      </c>
      <c r="I12" s="2">
        <f>全体!I12-機械!I12</f>
        <v/>
      </c>
      <c r="J12" s="2">
        <f>全体!J12-機械!J12</f>
        <v/>
      </c>
      <c r="K12" s="73">
        <f>SUM(E12:J12)</f>
        <v/>
      </c>
      <c r="L12" s="2">
        <f>全体!L12-機械!L12</f>
        <v/>
      </c>
      <c r="M12" s="2">
        <f>全体!M12-機械!M12</f>
        <v/>
      </c>
      <c r="N12" s="2">
        <f>全体!N12-機械!N12</f>
        <v/>
      </c>
      <c r="O12" s="2">
        <f>全体!O12-機械!O12</f>
        <v/>
      </c>
      <c r="P12" s="2">
        <f>全体!P12-機械!P12</f>
        <v/>
      </c>
      <c r="Q12" s="2">
        <f>全体!Q12-機械!Q12</f>
        <v/>
      </c>
      <c r="R12" s="73">
        <f>SUM(L12:Q12)</f>
        <v/>
      </c>
      <c r="S12" s="123">
        <f>IF(E12=0,"***",L12/E12)</f>
        <v/>
      </c>
      <c r="T12" s="124">
        <f>IF(F12=0,"***",M12/F12)</f>
        <v/>
      </c>
      <c r="U12" s="124">
        <f>IF(G12=0,"***",N12/G12)</f>
        <v/>
      </c>
      <c r="V12" s="124">
        <f>IF(H12=0,"***",O12/H12)</f>
        <v/>
      </c>
      <c r="W12" s="124">
        <f>IF(I12=0,"***",P12/I12)</f>
        <v/>
      </c>
      <c r="X12" s="124">
        <f>IF(J12=0,"***",Q12/J12)</f>
        <v/>
      </c>
      <c r="Y12" s="125">
        <f>IF(K12=0,"***",R12/K12)</f>
        <v/>
      </c>
    </row>
    <row r="13">
      <c r="C13" s="71" t="inlineStr">
        <is>
          <t>0930 集計</t>
        </is>
      </c>
      <c r="D13" s="69" t="inlineStr">
        <is>
          <t>自治体</t>
        </is>
      </c>
      <c r="E13" s="81">
        <f>全体!E13-機械!E13</f>
        <v/>
      </c>
      <c r="F13" s="86">
        <f>全体!F13-機械!F13</f>
        <v/>
      </c>
      <c r="G13" s="86">
        <f>全体!G13-機械!G13</f>
        <v/>
      </c>
      <c r="H13" s="86">
        <f>全体!H13-機械!H13</f>
        <v/>
      </c>
      <c r="I13" s="86">
        <f>全体!I13-機械!I13</f>
        <v/>
      </c>
      <c r="J13" s="86">
        <f>全体!J13-機械!J13</f>
        <v/>
      </c>
      <c r="K13" s="73">
        <f>SUM(E13:J13)</f>
        <v/>
      </c>
      <c r="L13" s="81">
        <f>全体!L13-機械!L13</f>
        <v/>
      </c>
      <c r="M13" s="86">
        <f>全体!M13-機械!M13</f>
        <v/>
      </c>
      <c r="N13" s="86">
        <f>全体!N13-機械!N13</f>
        <v/>
      </c>
      <c r="O13" s="86">
        <f>全体!O13-機械!O13</f>
        <v/>
      </c>
      <c r="P13" s="86">
        <f>全体!P13-機械!P13</f>
        <v/>
      </c>
      <c r="Q13" s="86">
        <f>全体!Q13-機械!Q13</f>
        <v/>
      </c>
      <c r="R13" s="73">
        <f>SUM(L13:Q13)</f>
        <v/>
      </c>
      <c r="S13" s="123">
        <f>IF(E13=0,"***",L13/E13)</f>
        <v/>
      </c>
      <c r="T13" s="124">
        <f>IF(F13=0,"***",M13/F13)</f>
        <v/>
      </c>
      <c r="U13" s="124">
        <f>IF(G13=0,"***",N13/G13)</f>
        <v/>
      </c>
      <c r="V13" s="124">
        <f>IF(H13=0,"***",O13/H13)</f>
        <v/>
      </c>
      <c r="W13" s="124">
        <f>IF(I13=0,"***",P13/I13)</f>
        <v/>
      </c>
      <c r="X13" s="124">
        <f>IF(J13=0,"***",Q13/J13)</f>
        <v/>
      </c>
      <c r="Y13" s="125">
        <f>IF(K13=0,"***",R13/K13)</f>
        <v/>
      </c>
    </row>
    <row r="14">
      <c r="C14" s="3" t="inlineStr">
        <is>
          <t>合計</t>
        </is>
      </c>
      <c r="D14" s="70" t="n"/>
      <c r="E14" s="74">
        <f>SUM(E5:E13)</f>
        <v/>
      </c>
      <c r="F14" s="63">
        <f>SUM(F5:F13)</f>
        <v/>
      </c>
      <c r="G14" s="63">
        <f>SUM(G5:G13)</f>
        <v/>
      </c>
      <c r="H14" s="63">
        <f>SUM(H5:H13)</f>
        <v/>
      </c>
      <c r="I14" s="63">
        <f>SUM(I5:I13)</f>
        <v/>
      </c>
      <c r="J14" s="63">
        <f>SUM(J5:J13)</f>
        <v/>
      </c>
      <c r="K14" s="75">
        <f>SUM(K5:K13)</f>
        <v/>
      </c>
      <c r="L14" s="74">
        <f>SUM(L5:L13)</f>
        <v/>
      </c>
      <c r="M14" s="63">
        <f>SUM(M5:M13)</f>
        <v/>
      </c>
      <c r="N14" s="63">
        <f>SUM(N5:N13)</f>
        <v/>
      </c>
      <c r="O14" s="63">
        <f>SUM(O5:O13)</f>
        <v/>
      </c>
      <c r="P14" s="63">
        <f>SUM(P5:P13)</f>
        <v/>
      </c>
      <c r="Q14" s="63">
        <f>SUM(Q5:Q13)</f>
        <v/>
      </c>
      <c r="R14" s="75">
        <f>SUM(R5:R13)</f>
        <v/>
      </c>
      <c r="S14" s="126">
        <f>IF(E14=0,"***",L14/E14)</f>
        <v/>
      </c>
      <c r="T14" s="127">
        <f>IF(F14=0,"***",M14/F14)</f>
        <v/>
      </c>
      <c r="U14" s="127">
        <f>IF(G14=0,"***",N14/G14)</f>
        <v/>
      </c>
      <c r="V14" s="127">
        <f>IF(H14=0,"***",O14/H14)</f>
        <v/>
      </c>
      <c r="W14" s="127">
        <f>IF(I14=0,"***",P14/I14)</f>
        <v/>
      </c>
      <c r="X14" s="127">
        <f>IF(J14=0,"***",Q14/J14)</f>
        <v/>
      </c>
      <c r="Y14" s="128">
        <f>IF(K14=0,"***",R14/K14)</f>
        <v/>
      </c>
    </row>
    <row r="15">
      <c r="C15" s="6" t="n"/>
      <c r="E15" s="5" t="n"/>
      <c r="F15" s="5" t="n"/>
      <c r="G15" s="5" t="n"/>
      <c r="H15" s="5" t="n"/>
      <c r="I15" s="5" t="n"/>
      <c r="J15" s="5" t="n"/>
      <c r="K15" s="6" t="n"/>
      <c r="L15" s="5" t="n"/>
      <c r="M15" s="5" t="n"/>
      <c r="N15" s="5" t="n"/>
      <c r="O15" s="5" t="n"/>
      <c r="P15" s="5" t="n"/>
      <c r="Q15" s="5" t="n"/>
      <c r="R15" s="6" t="n"/>
      <c r="S15" s="129" t="n"/>
      <c r="T15" s="129" t="n"/>
      <c r="U15" s="129" t="n"/>
      <c r="V15" s="129" t="n"/>
      <c r="W15" s="129" t="n"/>
      <c r="X15" s="129" t="n"/>
      <c r="Y15" s="129" t="n"/>
    </row>
    <row r="16">
      <c r="C16" s="6" t="inlineStr">
        <is>
          <t>2．2025年</t>
        </is>
      </c>
    </row>
    <row r="17">
      <c r="C17" s="104" t="n"/>
      <c r="D17" s="106" t="n"/>
      <c r="E17" s="104" t="inlineStr">
        <is>
          <t>売上</t>
        </is>
      </c>
      <c r="F17" s="105" t="n"/>
      <c r="G17" s="105" t="n"/>
      <c r="H17" s="105" t="n"/>
      <c r="I17" s="105" t="n"/>
      <c r="J17" s="105" t="n"/>
      <c r="K17" s="106" t="n"/>
      <c r="L17" s="107" t="inlineStr">
        <is>
          <t>粗利益</t>
        </is>
      </c>
      <c r="M17" s="105" t="n"/>
      <c r="N17" s="105" t="n"/>
      <c r="O17" s="105" t="n"/>
      <c r="P17" s="105" t="n"/>
      <c r="Q17" s="105" t="n"/>
      <c r="R17" s="106" t="n"/>
      <c r="S17" s="107" t="inlineStr">
        <is>
          <t>粗利益率</t>
        </is>
      </c>
      <c r="T17" s="105" t="n"/>
      <c r="U17" s="105" t="n"/>
      <c r="V17" s="105" t="n"/>
      <c r="W17" s="105" t="n"/>
      <c r="X17" s="105" t="n"/>
      <c r="Y17" s="106" t="n"/>
    </row>
    <row r="18">
      <c r="C18" s="61" t="n"/>
      <c r="D18" s="68" t="n"/>
      <c r="E18" s="72" t="n">
        <v>45748</v>
      </c>
      <c r="F18" s="62" t="n">
        <v>45778</v>
      </c>
      <c r="G18" s="62" t="n">
        <v>45809</v>
      </c>
      <c r="H18" s="62" t="n">
        <v>45839</v>
      </c>
      <c r="I18" s="62" t="n">
        <v>45870</v>
      </c>
      <c r="J18" s="62" t="n">
        <v>45901</v>
      </c>
      <c r="K18" s="64" t="inlineStr">
        <is>
          <t>合計</t>
        </is>
      </c>
      <c r="L18" s="72" t="n">
        <v>45748</v>
      </c>
      <c r="M18" s="62" t="n">
        <v>45778</v>
      </c>
      <c r="N18" s="62" t="n">
        <v>45809</v>
      </c>
      <c r="O18" s="62" t="n">
        <v>45839</v>
      </c>
      <c r="P18" s="62" t="n">
        <v>45870</v>
      </c>
      <c r="Q18" s="62" t="n">
        <v>45901</v>
      </c>
      <c r="R18" s="64" t="inlineStr">
        <is>
          <t>合計</t>
        </is>
      </c>
      <c r="S18" s="72" t="n">
        <v>45748</v>
      </c>
      <c r="T18" s="62" t="n">
        <v>45778</v>
      </c>
      <c r="U18" s="62" t="n">
        <v>45809</v>
      </c>
      <c r="V18" s="62" t="n">
        <v>45839</v>
      </c>
      <c r="W18" s="62" t="n">
        <v>45870</v>
      </c>
      <c r="X18" s="62" t="n">
        <v>45901</v>
      </c>
      <c r="Y18" s="64" t="inlineStr">
        <is>
          <t>合計</t>
        </is>
      </c>
    </row>
    <row r="19">
      <c r="C19" s="71" t="inlineStr">
        <is>
          <t>0903 集計</t>
        </is>
      </c>
      <c r="D19" s="69" t="inlineStr">
        <is>
          <t>西岡</t>
        </is>
      </c>
      <c r="E19" s="2">
        <f>全体!E19-機械!E19</f>
        <v/>
      </c>
      <c r="F19" s="2">
        <f>全体!F19-機械!F19</f>
        <v/>
      </c>
      <c r="G19" s="2">
        <f>全体!G19-機械!G19</f>
        <v/>
      </c>
      <c r="H19" s="2">
        <f>全体!H19-機械!H19</f>
        <v/>
      </c>
      <c r="I19" s="2">
        <f>全体!I19-機械!I19</f>
        <v/>
      </c>
      <c r="J19" s="2">
        <f>全体!J19-機械!J19</f>
        <v/>
      </c>
      <c r="K19" s="79">
        <f>SUM(E19:J19)</f>
        <v/>
      </c>
      <c r="L19" s="1">
        <f>全体!L19-機械!L19</f>
        <v/>
      </c>
      <c r="M19" s="2">
        <f>全体!M19-機械!M19</f>
        <v/>
      </c>
      <c r="N19" s="2">
        <f>全体!N19-機械!N19</f>
        <v/>
      </c>
      <c r="O19" s="2">
        <f>全体!O19-機械!O19</f>
        <v/>
      </c>
      <c r="P19" s="2">
        <f>全体!P19-機械!P19</f>
        <v/>
      </c>
      <c r="Q19" s="2">
        <f>全体!Q19-機械!Q19</f>
        <v/>
      </c>
      <c r="R19" s="73">
        <f>SUM(L19:Q19)</f>
        <v/>
      </c>
      <c r="S19" s="123">
        <f>IF(E19=0,"***",L19/E19)</f>
        <v/>
      </c>
      <c r="T19" s="124">
        <f>IF(F19=0,"***",M19/F19)</f>
        <v/>
      </c>
      <c r="U19" s="124">
        <f>IF(G19=0,"***",N19/G19)</f>
        <v/>
      </c>
      <c r="V19" s="124">
        <f>IF(H19=0,"***",O19/H19)</f>
        <v/>
      </c>
      <c r="W19" s="124">
        <f>IF(I19=0,"***",P19/I19)</f>
        <v/>
      </c>
      <c r="X19" s="124">
        <f>IF(J19=0,"***",Q19/J19)</f>
        <v/>
      </c>
      <c r="Y19" s="125">
        <f>IF(K19=0,"***",R19/K19)</f>
        <v/>
      </c>
    </row>
    <row r="20">
      <c r="C20" s="71" t="inlineStr">
        <is>
          <t>0904 集計</t>
        </is>
      </c>
      <c r="D20" s="69" t="inlineStr">
        <is>
          <t>足立次長</t>
        </is>
      </c>
      <c r="E20" s="2">
        <f>全体!E20-機械!E20</f>
        <v/>
      </c>
      <c r="F20" s="2">
        <f>全体!F20-機械!F20</f>
        <v/>
      </c>
      <c r="G20" s="2">
        <f>全体!G20-機械!G20</f>
        <v/>
      </c>
      <c r="H20" s="2">
        <f>全体!H20-機械!H20</f>
        <v/>
      </c>
      <c r="I20" s="2">
        <f>全体!I20-機械!I20</f>
        <v/>
      </c>
      <c r="J20" s="2">
        <f>全体!J20-機械!J20</f>
        <v/>
      </c>
      <c r="K20" s="79">
        <f>SUM(E20:J20)</f>
        <v/>
      </c>
      <c r="L20" s="1">
        <f>全体!L20-機械!L20</f>
        <v/>
      </c>
      <c r="M20" s="2">
        <f>全体!M20-機械!M20</f>
        <v/>
      </c>
      <c r="N20" s="2">
        <f>全体!N20-機械!N20</f>
        <v/>
      </c>
      <c r="O20" s="2">
        <f>全体!O20-機械!O20</f>
        <v/>
      </c>
      <c r="P20" s="2">
        <f>全体!P20-機械!P20</f>
        <v/>
      </c>
      <c r="Q20" s="2">
        <f>全体!Q20-機械!Q20</f>
        <v/>
      </c>
      <c r="R20" s="73">
        <f>SUM(L20:Q20)</f>
        <v/>
      </c>
      <c r="S20" s="123">
        <f>IF(E20=0,"***",L20/E20)</f>
        <v/>
      </c>
      <c r="T20" s="124">
        <f>IF(F20=0,"***",M20/F20)</f>
        <v/>
      </c>
      <c r="U20" s="124">
        <f>IF(G20=0,"***",N20/G20)</f>
        <v/>
      </c>
      <c r="V20" s="124">
        <f>IF(H20=0,"***",O20/H20)</f>
        <v/>
      </c>
      <c r="W20" s="124">
        <f>IF(I20=0,"***",P20/I20)</f>
        <v/>
      </c>
      <c r="X20" s="124">
        <f>IF(J20=0,"***",Q20/J20)</f>
        <v/>
      </c>
      <c r="Y20" s="125">
        <f>IF(K20=0,"***",R20/K20)</f>
        <v/>
      </c>
    </row>
    <row r="21">
      <c r="C21" s="71" t="inlineStr">
        <is>
          <t>0909 集計</t>
        </is>
      </c>
      <c r="D21" s="69" t="inlineStr">
        <is>
          <t>藤波課長</t>
        </is>
      </c>
      <c r="E21" s="2">
        <f>全体!E21-機械!E21</f>
        <v/>
      </c>
      <c r="F21" s="2">
        <f>全体!F21-機械!F21</f>
        <v/>
      </c>
      <c r="G21" s="2">
        <f>全体!G21-機械!G21</f>
        <v/>
      </c>
      <c r="H21" s="2">
        <f>全体!H21-機械!H21</f>
        <v/>
      </c>
      <c r="I21" s="2">
        <f>全体!I21-機械!I21</f>
        <v/>
      </c>
      <c r="J21" s="2">
        <f>全体!J21-機械!J21</f>
        <v/>
      </c>
      <c r="K21" s="79">
        <f>SUM(E21:J21)</f>
        <v/>
      </c>
      <c r="L21" s="1">
        <f>全体!L21-機械!L21</f>
        <v/>
      </c>
      <c r="M21" s="2">
        <f>全体!M21-機械!M21</f>
        <v/>
      </c>
      <c r="N21" s="2">
        <f>全体!N21-機械!N21</f>
        <v/>
      </c>
      <c r="O21" s="2">
        <f>全体!O21-機械!O21</f>
        <v/>
      </c>
      <c r="P21" s="2">
        <f>全体!P21-機械!P21</f>
        <v/>
      </c>
      <c r="Q21" s="2">
        <f>全体!Q21-機械!Q21</f>
        <v/>
      </c>
      <c r="R21" s="73">
        <f>SUM(L21:Q21)</f>
        <v/>
      </c>
      <c r="S21" s="130">
        <f>IF(E21=0,"***",L21/E21)</f>
        <v/>
      </c>
      <c r="T21" s="131">
        <f>IF(F21=0,"***",M21/F21)</f>
        <v/>
      </c>
      <c r="U21" s="131">
        <f>IF(G21=0,"***",N21/G21)</f>
        <v/>
      </c>
      <c r="V21" s="131">
        <f>IF(H21=0,"***",O21/H21)</f>
        <v/>
      </c>
      <c r="W21" s="131">
        <f>IF(I21=0,"***",P21/I21)</f>
        <v/>
      </c>
      <c r="X21" s="131">
        <f>IF(J21=0,"***",Q21/J21)</f>
        <v/>
      </c>
      <c r="Y21" s="125">
        <f>IF(K21=0,"***",R21/K21)</f>
        <v/>
      </c>
    </row>
    <row r="22">
      <c r="C22" s="71" t="inlineStr">
        <is>
          <t>0910 集計</t>
        </is>
      </c>
      <c r="D22" s="69" t="inlineStr">
        <is>
          <t>足立課長</t>
        </is>
      </c>
      <c r="E22" s="2">
        <f>全体!E22-機械!E22</f>
        <v/>
      </c>
      <c r="F22" s="2">
        <f>全体!F22-機械!F22</f>
        <v/>
      </c>
      <c r="G22" s="2">
        <f>全体!G22-機械!G22</f>
        <v/>
      </c>
      <c r="H22" s="2">
        <f>全体!H22-機械!H22</f>
        <v/>
      </c>
      <c r="I22" s="2">
        <f>全体!I22-機械!I22</f>
        <v/>
      </c>
      <c r="J22" s="2">
        <f>全体!J22-機械!J22</f>
        <v/>
      </c>
      <c r="K22" s="79">
        <f>SUM(E22:J22)</f>
        <v/>
      </c>
      <c r="L22" s="1">
        <f>全体!L22-機械!L22</f>
        <v/>
      </c>
      <c r="M22" s="2">
        <f>全体!M22-機械!M22</f>
        <v/>
      </c>
      <c r="N22" s="2">
        <f>全体!N22-機械!N22</f>
        <v/>
      </c>
      <c r="O22" s="2">
        <f>全体!O22-機械!O22</f>
        <v/>
      </c>
      <c r="P22" s="2">
        <f>全体!P22-機械!P22</f>
        <v/>
      </c>
      <c r="Q22" s="2">
        <f>全体!Q22-機械!Q22</f>
        <v/>
      </c>
      <c r="R22" s="73">
        <f>SUM(L22:Q22)</f>
        <v/>
      </c>
      <c r="S22" s="130">
        <f>IF(E22=0,"***",L22/E22)</f>
        <v/>
      </c>
      <c r="T22" s="131">
        <f>IF(F22=0,"***",M22/F22)</f>
        <v/>
      </c>
      <c r="U22" s="131">
        <f>IF(G22=0,"***",N22/G22)</f>
        <v/>
      </c>
      <c r="V22" s="131">
        <f>IF(H22=0,"***",O22/H22)</f>
        <v/>
      </c>
      <c r="W22" s="131">
        <f>IF(I22=0,"***",P22/I22)</f>
        <v/>
      </c>
      <c r="X22" s="131">
        <f>IF(J22=0,"***",Q22/J22)</f>
        <v/>
      </c>
      <c r="Y22" s="125">
        <f>IF(K22=0,"***",R22/K22)</f>
        <v/>
      </c>
    </row>
    <row r="23">
      <c r="C23" s="71" t="inlineStr">
        <is>
          <t>0911 集計</t>
        </is>
      </c>
      <c r="D23" s="69" t="inlineStr">
        <is>
          <t>川邊主任</t>
        </is>
      </c>
      <c r="E23" s="2">
        <f>全体!E23-機械!E23</f>
        <v/>
      </c>
      <c r="F23" s="2">
        <f>全体!F23-機械!F23</f>
        <v/>
      </c>
      <c r="G23" s="2">
        <f>全体!G23-機械!G23</f>
        <v/>
      </c>
      <c r="H23" s="2">
        <f>全体!H23-機械!H23</f>
        <v/>
      </c>
      <c r="I23" s="2">
        <f>全体!I23-機械!I23</f>
        <v/>
      </c>
      <c r="J23" s="2">
        <f>全体!J23-機械!J23</f>
        <v/>
      </c>
      <c r="K23" s="79">
        <f>SUM(E23:J23)</f>
        <v/>
      </c>
      <c r="L23" s="48">
        <f>全体!L23-機械!L23</f>
        <v/>
      </c>
      <c r="M23" s="45">
        <f>全体!M23-機械!M23</f>
        <v/>
      </c>
      <c r="N23" s="45">
        <f>全体!N23-機械!N23</f>
        <v/>
      </c>
      <c r="O23" s="45">
        <f>全体!O23-機械!O23</f>
        <v/>
      </c>
      <c r="P23" s="45">
        <f>全体!P23-機械!P23</f>
        <v/>
      </c>
      <c r="Q23" s="45">
        <f>全体!Q23-機械!Q23</f>
        <v/>
      </c>
      <c r="R23" s="49">
        <f>SUM(L23:Q23)</f>
        <v/>
      </c>
      <c r="S23" s="130">
        <f>IF(E23=0,"***",L23/E23)</f>
        <v/>
      </c>
      <c r="T23" s="131">
        <f>IF(F23=0,"***",M23/F23)</f>
        <v/>
      </c>
      <c r="U23" s="131">
        <f>IF(G23=0,"***",N23/G23)</f>
        <v/>
      </c>
      <c r="V23" s="131">
        <f>IF(H23=0,"***",O23/H23)</f>
        <v/>
      </c>
      <c r="W23" s="131">
        <f>IF(I23=0,"***",P23/I23)</f>
        <v/>
      </c>
      <c r="X23" s="131">
        <f>IF(J23=0,"***",Q23/J23)</f>
        <v/>
      </c>
      <c r="Y23" s="125">
        <f>IF(K23=0,"***",R23/K23)</f>
        <v/>
      </c>
    </row>
    <row r="24">
      <c r="C24" s="71" t="inlineStr">
        <is>
          <t>0914 集計</t>
        </is>
      </c>
      <c r="D24" s="69" t="inlineStr">
        <is>
          <t>白根主任</t>
        </is>
      </c>
      <c r="E24" s="45">
        <f>全体!E24-機械!E24</f>
        <v/>
      </c>
      <c r="F24" s="45">
        <f>全体!F24-機械!F24</f>
        <v/>
      </c>
      <c r="G24" s="45">
        <f>全体!G24-機械!G24</f>
        <v/>
      </c>
      <c r="H24" s="45">
        <f>全体!H24-機械!H24</f>
        <v/>
      </c>
      <c r="I24" s="45">
        <f>全体!I24-機械!I24</f>
        <v/>
      </c>
      <c r="J24" s="45">
        <f>全体!J24-機械!J24</f>
        <v/>
      </c>
      <c r="K24" s="46">
        <f>SUM(E24:J24)</f>
        <v/>
      </c>
      <c r="L24" s="48">
        <f>全体!L24-機械!L24</f>
        <v/>
      </c>
      <c r="M24" s="45">
        <f>全体!M24-機械!M24</f>
        <v/>
      </c>
      <c r="N24" s="45">
        <f>全体!N24-機械!N24</f>
        <v/>
      </c>
      <c r="O24" s="45">
        <f>全体!O24-機械!O24</f>
        <v/>
      </c>
      <c r="P24" s="45">
        <f>全体!P24-機械!P24</f>
        <v/>
      </c>
      <c r="Q24" s="45">
        <f>全体!Q24-機械!Q24</f>
        <v/>
      </c>
      <c r="R24" s="49">
        <f>SUM(L24:Q24)</f>
        <v/>
      </c>
      <c r="S24" s="130">
        <f>IF(E24=0,"***",L24/E24)</f>
        <v/>
      </c>
      <c r="T24" s="131">
        <f>IF(F24=0,"***",M24/F24)</f>
        <v/>
      </c>
      <c r="U24" s="131">
        <f>IF(G24=0,"***",N24/G24)</f>
        <v/>
      </c>
      <c r="V24" s="131">
        <f>IF(H24=0,"***",O24/H24)</f>
        <v/>
      </c>
      <c r="W24" s="131">
        <f>IF(I24=0,"***",P24/I24)</f>
        <v/>
      </c>
      <c r="X24" s="131">
        <f>IF(J24=0,"***",Q24/J24)</f>
        <v/>
      </c>
      <c r="Y24" s="125">
        <f>IF(K24=0,"***",R24/K24)</f>
        <v/>
      </c>
    </row>
    <row r="25">
      <c r="C25" s="71" t="inlineStr">
        <is>
          <t>0918 集計</t>
        </is>
      </c>
      <c r="D25" s="69" t="inlineStr">
        <is>
          <t>海外</t>
        </is>
      </c>
      <c r="E25" s="45">
        <f>全体!E25-機械!E25</f>
        <v/>
      </c>
      <c r="F25" s="45">
        <f>全体!F25-機械!F25</f>
        <v/>
      </c>
      <c r="G25" s="45">
        <f>全体!G25-機械!G25</f>
        <v/>
      </c>
      <c r="H25" s="45">
        <f>全体!H25-機械!H25</f>
        <v/>
      </c>
      <c r="I25" s="45">
        <f>全体!I25-機械!I25</f>
        <v/>
      </c>
      <c r="J25" s="45">
        <f>全体!J25-機械!J25</f>
        <v/>
      </c>
      <c r="K25" s="46">
        <f>SUM(E25:J25)</f>
        <v/>
      </c>
      <c r="L25" s="48">
        <f>全体!L25-機械!L25</f>
        <v/>
      </c>
      <c r="M25" s="45">
        <f>全体!M25-機械!M25</f>
        <v/>
      </c>
      <c r="N25" s="45">
        <f>全体!N25-機械!N25</f>
        <v/>
      </c>
      <c r="O25" s="45">
        <f>全体!O25-機械!O25</f>
        <v/>
      </c>
      <c r="P25" s="45">
        <f>全体!P25-機械!P25</f>
        <v/>
      </c>
      <c r="Q25" s="45">
        <f>全体!Q25-機械!Q25</f>
        <v/>
      </c>
      <c r="R25" s="49">
        <f>SUM(L25:Q25)</f>
        <v/>
      </c>
      <c r="S25" s="130">
        <f>IF(E25=0,"***",L25/E25)</f>
        <v/>
      </c>
      <c r="T25" s="131">
        <f>IF(F25=0,"***",M25/F25)</f>
        <v/>
      </c>
      <c r="U25" s="131">
        <f>IF(G25=0,"***",N25/G25)</f>
        <v/>
      </c>
      <c r="V25" s="131">
        <f>IF(H25=0,"***",O25/H25)</f>
        <v/>
      </c>
      <c r="W25" s="131">
        <f>IF(I25=0,"***",P25/I25)</f>
        <v/>
      </c>
      <c r="X25" s="131">
        <f>IF(J25=0,"***",Q25/J25)</f>
        <v/>
      </c>
      <c r="Y25" s="125">
        <f>IF(K25=0,"***",R25/K25)</f>
        <v/>
      </c>
    </row>
    <row r="26">
      <c r="C26" s="71" t="inlineStr">
        <is>
          <t>0919 集計</t>
        </is>
      </c>
      <c r="D26" s="69" t="inlineStr">
        <is>
          <t>その他</t>
        </is>
      </c>
      <c r="E26" s="2">
        <f>全体!E26-機械!E26</f>
        <v/>
      </c>
      <c r="F26" s="2">
        <f>全体!F26-機械!F26</f>
        <v/>
      </c>
      <c r="G26" s="2">
        <f>全体!G26-機械!G26</f>
        <v/>
      </c>
      <c r="H26" s="2">
        <f>全体!H26-機械!H26</f>
        <v/>
      </c>
      <c r="I26" s="2">
        <f>全体!I26-機械!I26</f>
        <v/>
      </c>
      <c r="J26" s="2">
        <f>全体!J26-機械!J26</f>
        <v/>
      </c>
      <c r="K26" s="79">
        <f>SUM(E26:J26)</f>
        <v/>
      </c>
      <c r="L26" s="1">
        <f>全体!L26-機械!L26</f>
        <v/>
      </c>
      <c r="M26" s="2">
        <f>全体!M26-機械!M26</f>
        <v/>
      </c>
      <c r="N26" s="2">
        <f>全体!N26-機械!N26</f>
        <v/>
      </c>
      <c r="O26" s="2">
        <f>全体!O26-機械!O26</f>
        <v/>
      </c>
      <c r="P26" s="2">
        <f>全体!P26-機械!P26</f>
        <v/>
      </c>
      <c r="Q26" s="2">
        <f>全体!Q26-機械!Q26</f>
        <v/>
      </c>
      <c r="R26" s="73">
        <f>SUM(L26:Q26)</f>
        <v/>
      </c>
      <c r="S26" s="123">
        <f>IF(E26=0,"***",L26/E26)</f>
        <v/>
      </c>
      <c r="T26" s="124">
        <f>IF(F26=0,"***",M26/F26)</f>
        <v/>
      </c>
      <c r="U26" s="124">
        <f>IF(G26=0,"***",N26/G26)</f>
        <v/>
      </c>
      <c r="V26" s="124">
        <f>IF(H26=0,"***",O26/H26)</f>
        <v/>
      </c>
      <c r="W26" s="124">
        <f>IF(I26=0,"***",P26/I26)</f>
        <v/>
      </c>
      <c r="X26" s="124">
        <f>IF(J26=0,"***",Q26/J26)</f>
        <v/>
      </c>
      <c r="Y26" s="125">
        <f>IF(K26=0,"***",R26/K26)</f>
        <v/>
      </c>
    </row>
    <row r="27">
      <c r="C27" s="71" t="inlineStr">
        <is>
          <t>0930 集計</t>
        </is>
      </c>
      <c r="D27" s="69" t="inlineStr">
        <is>
          <t>自治体</t>
        </is>
      </c>
      <c r="E27" s="2">
        <f>全体!E27-機械!E27</f>
        <v/>
      </c>
      <c r="F27" s="2">
        <f>全体!F27-機械!F27</f>
        <v/>
      </c>
      <c r="G27" s="2">
        <f>全体!G27-機械!G27</f>
        <v/>
      </c>
      <c r="H27" s="2">
        <f>全体!H27-機械!H27</f>
        <v/>
      </c>
      <c r="I27" s="2">
        <f>全体!I27-機械!I27</f>
        <v/>
      </c>
      <c r="J27" s="2">
        <f>全体!J27-機械!J27</f>
        <v/>
      </c>
      <c r="K27" s="79">
        <f>SUM(E27:J27)</f>
        <v/>
      </c>
      <c r="L27" s="1">
        <f>全体!L27-機械!L27</f>
        <v/>
      </c>
      <c r="M27" s="2">
        <f>全体!M27-機械!M27</f>
        <v/>
      </c>
      <c r="N27" s="2">
        <f>全体!N27-機械!N27</f>
        <v/>
      </c>
      <c r="O27" s="2">
        <f>全体!O27-機械!O27</f>
        <v/>
      </c>
      <c r="P27" s="2">
        <f>全体!P27-機械!P27</f>
        <v/>
      </c>
      <c r="Q27" s="2">
        <f>全体!Q27-機械!Q27</f>
        <v/>
      </c>
      <c r="R27" s="73">
        <f>SUM(L27:Q27)</f>
        <v/>
      </c>
      <c r="S27" s="123">
        <f>IF(E27=0,"***",L27/E27)</f>
        <v/>
      </c>
      <c r="T27" s="124">
        <f>IF(F27=0,"***",M27/F27)</f>
        <v/>
      </c>
      <c r="U27" s="124">
        <f>IF(G27=0,"***",N27/G27)</f>
        <v/>
      </c>
      <c r="V27" s="124">
        <f>IF(H27=0,"***",O27/H27)</f>
        <v/>
      </c>
      <c r="W27" s="124">
        <f>IF(I27=0,"***",P27/I27)</f>
        <v/>
      </c>
      <c r="X27" s="124">
        <f>IF(J27=0,"***",Q27/J27)</f>
        <v/>
      </c>
      <c r="Y27" s="125">
        <f>IF(K27=0,"***",R27/K27)</f>
        <v/>
      </c>
    </row>
    <row r="28">
      <c r="C28" s="3" t="inlineStr">
        <is>
          <t>合計</t>
        </is>
      </c>
      <c r="D28" s="70" t="n"/>
      <c r="E28" s="74">
        <f>SUM(E19:E27)</f>
        <v/>
      </c>
      <c r="F28" s="63">
        <f>SUM(F19:F27)</f>
        <v/>
      </c>
      <c r="G28" s="63">
        <f>SUM(G19:G27)</f>
        <v/>
      </c>
      <c r="H28" s="63">
        <f>SUM(H19:H27)</f>
        <v/>
      </c>
      <c r="I28" s="63">
        <f>SUM(I19:I27)</f>
        <v/>
      </c>
      <c r="J28" s="63">
        <f>SUM(J19:J27)</f>
        <v/>
      </c>
      <c r="K28" s="75">
        <f>SUM(K19:K27)</f>
        <v/>
      </c>
      <c r="L28" s="74">
        <f>SUM(L19:L27)</f>
        <v/>
      </c>
      <c r="M28" s="63">
        <f>SUM(M19:M27)</f>
        <v/>
      </c>
      <c r="N28" s="63">
        <f>SUM(N19:N27)</f>
        <v/>
      </c>
      <c r="O28" s="63">
        <f>SUM(O19:O27)</f>
        <v/>
      </c>
      <c r="P28" s="63">
        <f>SUM(P19:P27)</f>
        <v/>
      </c>
      <c r="Q28" s="63">
        <f>SUM(Q19:Q27)</f>
        <v/>
      </c>
      <c r="R28" s="75">
        <f>SUM(R19:R27)</f>
        <v/>
      </c>
      <c r="S28" s="126">
        <f>IF(E28=0,"***",L28/E28)</f>
        <v/>
      </c>
      <c r="T28" s="127">
        <f>IF(F28=0,"***",M28/F28)</f>
        <v/>
      </c>
      <c r="U28" s="127">
        <f>IF(G28=0,"***",N28/G28)</f>
        <v/>
      </c>
      <c r="V28" s="127">
        <f>IF(H28=0,"***",O28/H28)</f>
        <v/>
      </c>
      <c r="W28" s="127">
        <f>IF(I28=0,"***",P28/I28)</f>
        <v/>
      </c>
      <c r="X28" s="127">
        <f>IF(J28=0,"***",Q28/J28)</f>
        <v/>
      </c>
      <c r="Y28" s="128">
        <f>IF(K28=0,"***",R28/K28)</f>
        <v/>
      </c>
    </row>
    <row r="29">
      <c r="C29" s="6" t="n"/>
      <c r="E29" s="5" t="n"/>
      <c r="F29" s="5" t="n"/>
      <c r="G29" s="5" t="n"/>
      <c r="H29" s="5" t="n"/>
      <c r="I29" s="5" t="n"/>
      <c r="J29" s="5" t="n"/>
      <c r="K29" s="6" t="n"/>
      <c r="L29" s="5" t="n"/>
      <c r="M29" s="5" t="n"/>
      <c r="N29" s="5" t="n"/>
      <c r="O29" s="5" t="n"/>
      <c r="P29" s="5" t="n"/>
      <c r="Q29" s="5" t="n"/>
      <c r="R29" s="6" t="n"/>
      <c r="S29" s="129" t="n"/>
      <c r="T29" s="129" t="n"/>
      <c r="U29" s="129" t="n"/>
      <c r="V29" s="129" t="n"/>
      <c r="W29" s="129" t="n"/>
      <c r="X29" s="129" t="n"/>
      <c r="Y29" s="129" t="n"/>
    </row>
    <row r="30">
      <c r="C30" s="6" t="inlineStr">
        <is>
          <t>3．過年度平均</t>
        </is>
      </c>
    </row>
    <row r="31">
      <c r="C31" s="104" t="n"/>
      <c r="D31" s="106" t="n"/>
      <c r="E31" s="104" t="inlineStr">
        <is>
          <t>売上</t>
        </is>
      </c>
      <c r="F31" s="105" t="n"/>
      <c r="G31" s="105" t="n"/>
      <c r="H31" s="105" t="n"/>
      <c r="I31" s="105" t="n"/>
      <c r="J31" s="105" t="n"/>
      <c r="K31" s="106" t="n"/>
      <c r="L31" s="107" t="inlineStr">
        <is>
          <t>粗利益</t>
        </is>
      </c>
      <c r="M31" s="105" t="n"/>
      <c r="N31" s="105" t="n"/>
      <c r="O31" s="105" t="n"/>
      <c r="P31" s="105" t="n"/>
      <c r="Q31" s="105" t="n"/>
      <c r="R31" s="106" t="n"/>
      <c r="S31" s="107" t="inlineStr">
        <is>
          <t>粗利益率</t>
        </is>
      </c>
      <c r="T31" s="105" t="n"/>
      <c r="U31" s="105" t="n"/>
      <c r="V31" s="105" t="n"/>
      <c r="W31" s="105" t="n"/>
      <c r="X31" s="105" t="n"/>
      <c r="Y31" s="106" t="n"/>
    </row>
    <row r="32">
      <c r="C32" s="61" t="n"/>
      <c r="D32" s="68" t="n"/>
      <c r="E32" s="72" t="n">
        <v>45748</v>
      </c>
      <c r="F32" s="62" t="n">
        <v>45778</v>
      </c>
      <c r="G32" s="62" t="n">
        <v>45809</v>
      </c>
      <c r="H32" s="62" t="n">
        <v>45839</v>
      </c>
      <c r="I32" s="62" t="n">
        <v>45870</v>
      </c>
      <c r="J32" s="62" t="n">
        <v>45901</v>
      </c>
      <c r="K32" s="64" t="inlineStr">
        <is>
          <t>合計</t>
        </is>
      </c>
      <c r="L32" s="72" t="n">
        <v>45748</v>
      </c>
      <c r="M32" s="62" t="n">
        <v>45778</v>
      </c>
      <c r="N32" s="62" t="n">
        <v>45809</v>
      </c>
      <c r="O32" s="62" t="n">
        <v>45839</v>
      </c>
      <c r="P32" s="62" t="n">
        <v>45870</v>
      </c>
      <c r="Q32" s="62" t="n">
        <v>45901</v>
      </c>
      <c r="R32" s="64" t="inlineStr">
        <is>
          <t>合計</t>
        </is>
      </c>
      <c r="S32" s="72" t="n">
        <v>45748</v>
      </c>
      <c r="T32" s="62" t="n">
        <v>45778</v>
      </c>
      <c r="U32" s="62" t="n">
        <v>45809</v>
      </c>
      <c r="V32" s="62" t="n">
        <v>45839</v>
      </c>
      <c r="W32" s="62" t="n">
        <v>45870</v>
      </c>
      <c r="X32" s="62" t="n">
        <v>45901</v>
      </c>
      <c r="Y32" s="64" t="inlineStr">
        <is>
          <t>合計</t>
        </is>
      </c>
    </row>
    <row r="33">
      <c r="C33" s="71" t="inlineStr">
        <is>
          <t>0903 集計</t>
        </is>
      </c>
      <c r="D33" s="69" t="inlineStr">
        <is>
          <t>西岡</t>
        </is>
      </c>
      <c r="E33" s="2">
        <f>(E19+E5)/2</f>
        <v/>
      </c>
      <c r="F33" s="2">
        <f>(F19+F5)/2</f>
        <v/>
      </c>
      <c r="G33" s="2">
        <f>(G19+G5)/2</f>
        <v/>
      </c>
      <c r="H33" s="2">
        <f>(H19+H5)/2</f>
        <v/>
      </c>
      <c r="I33" s="2">
        <f>(I19+I5)/2</f>
        <v/>
      </c>
      <c r="J33" s="2">
        <f>(J19+J5)/2</f>
        <v/>
      </c>
      <c r="K33" s="79">
        <f>SUM(E33:J33)</f>
        <v/>
      </c>
      <c r="L33" s="1">
        <f>(L19+L5)/2</f>
        <v/>
      </c>
      <c r="M33" s="2">
        <f>(M19+M5)/2</f>
        <v/>
      </c>
      <c r="N33" s="2">
        <f>(N19+N5)/2</f>
        <v/>
      </c>
      <c r="O33" s="2">
        <f>(O19+O5)/2</f>
        <v/>
      </c>
      <c r="P33" s="2">
        <f>(P19+P5)/2</f>
        <v/>
      </c>
      <c r="Q33" s="2">
        <f>(Q19+Q5)/2</f>
        <v/>
      </c>
      <c r="R33" s="73">
        <f>SUM(L33:Q33)</f>
        <v/>
      </c>
      <c r="S33" s="123">
        <f>IF(E33=0,"***",L33/E33)</f>
        <v/>
      </c>
      <c r="T33" s="124">
        <f>IF(F33=0,"***",M33/F33)</f>
        <v/>
      </c>
      <c r="U33" s="124">
        <f>IF(G33=0,"***",N33/G33)</f>
        <v/>
      </c>
      <c r="V33" s="124">
        <f>IF(H33=0,"***",O33/H33)</f>
        <v/>
      </c>
      <c r="W33" s="124">
        <f>IF(I33=0,"***",P33/I33)</f>
        <v/>
      </c>
      <c r="X33" s="124">
        <f>IF(J33=0,"***",Q33/J33)</f>
        <v/>
      </c>
      <c r="Y33" s="125">
        <f>IF(K33=0,"***",R33/K33)</f>
        <v/>
      </c>
    </row>
    <row r="34">
      <c r="C34" s="71" t="inlineStr">
        <is>
          <t>0904 集計</t>
        </is>
      </c>
      <c r="D34" s="69" t="inlineStr">
        <is>
          <t>足立次長</t>
        </is>
      </c>
      <c r="E34" s="2">
        <f>(E20+E6)/2</f>
        <v/>
      </c>
      <c r="F34" s="2">
        <f>(F20+F6)/2</f>
        <v/>
      </c>
      <c r="G34" s="2">
        <f>(G20+G6)/2</f>
        <v/>
      </c>
      <c r="H34" s="2">
        <f>(H20+H6)/2</f>
        <v/>
      </c>
      <c r="I34" s="2">
        <f>(I20+I6)/2</f>
        <v/>
      </c>
      <c r="J34" s="2">
        <f>(J20+J6)/2</f>
        <v/>
      </c>
      <c r="K34" s="79">
        <f>SUM(E34:J34)</f>
        <v/>
      </c>
      <c r="L34" s="1">
        <f>(L20+L6)/2</f>
        <v/>
      </c>
      <c r="M34" s="2">
        <f>(M20+M6)/2</f>
        <v/>
      </c>
      <c r="N34" s="2">
        <f>(N20+N6)/2</f>
        <v/>
      </c>
      <c r="O34" s="2">
        <f>(O20+O6)/2</f>
        <v/>
      </c>
      <c r="P34" s="2">
        <f>(P20+P6)/2</f>
        <v/>
      </c>
      <c r="Q34" s="2">
        <f>(Q20+Q6)/2</f>
        <v/>
      </c>
      <c r="R34" s="73">
        <f>SUM(L34:Q34)</f>
        <v/>
      </c>
      <c r="S34" s="123">
        <f>IF(E34=0,"***",L34/E34)</f>
        <v/>
      </c>
      <c r="T34" s="124">
        <f>IF(F34=0,"***",M34/F34)</f>
        <v/>
      </c>
      <c r="U34" s="124">
        <f>IF(G34=0,"***",N34/G34)</f>
        <v/>
      </c>
      <c r="V34" s="124">
        <f>IF(H34=0,"***",O34/H34)</f>
        <v/>
      </c>
      <c r="W34" s="124">
        <f>IF(I34=0,"***",P34/I34)</f>
        <v/>
      </c>
      <c r="X34" s="124">
        <f>IF(J34=0,"***",Q34/J34)</f>
        <v/>
      </c>
      <c r="Y34" s="125">
        <f>IF(K34=0,"***",R34/K34)</f>
        <v/>
      </c>
    </row>
    <row r="35">
      <c r="C35" s="71" t="inlineStr">
        <is>
          <t>0909 集計</t>
        </is>
      </c>
      <c r="D35" s="69" t="inlineStr">
        <is>
          <t>藤波課長</t>
        </is>
      </c>
      <c r="E35" s="2">
        <f>(E21+E7)/2</f>
        <v/>
      </c>
      <c r="F35" s="2">
        <f>(F21+F7)/2</f>
        <v/>
      </c>
      <c r="G35" s="2">
        <f>(G21+G7)/2</f>
        <v/>
      </c>
      <c r="H35" s="2">
        <f>(H21+H7)/2</f>
        <v/>
      </c>
      <c r="I35" s="2">
        <f>(I21+I7)/2</f>
        <v/>
      </c>
      <c r="J35" s="2">
        <f>(J21+J7)/2</f>
        <v/>
      </c>
      <c r="K35" s="79">
        <f>SUM(E35:J35)</f>
        <v/>
      </c>
      <c r="L35" s="1">
        <f>(L21+L7)/2</f>
        <v/>
      </c>
      <c r="M35" s="2">
        <f>(M21+M7)/2</f>
        <v/>
      </c>
      <c r="N35" s="2">
        <f>(N21+N7)/2</f>
        <v/>
      </c>
      <c r="O35" s="2">
        <f>(O21+O7)/2</f>
        <v/>
      </c>
      <c r="P35" s="2">
        <f>(P21+P7)/2</f>
        <v/>
      </c>
      <c r="Q35" s="2">
        <f>(Q21+Q7)/2</f>
        <v/>
      </c>
      <c r="R35" s="73">
        <f>SUM(L35:Q35)</f>
        <v/>
      </c>
      <c r="S35" s="130">
        <f>IF(E35=0,"***",L35/E35)</f>
        <v/>
      </c>
      <c r="T35" s="131">
        <f>IF(F35=0,"***",M35/F35)</f>
        <v/>
      </c>
      <c r="U35" s="131">
        <f>IF(G35=0,"***",N35/G35)</f>
        <v/>
      </c>
      <c r="V35" s="131">
        <f>IF(H35=0,"***",O35/H35)</f>
        <v/>
      </c>
      <c r="W35" s="131">
        <f>IF(I35=0,"***",P35/I35)</f>
        <v/>
      </c>
      <c r="X35" s="131">
        <f>IF(J35=0,"***",Q35/J35)</f>
        <v/>
      </c>
      <c r="Y35" s="125">
        <f>IF(K35=0,"***",R35/K35)</f>
        <v/>
      </c>
    </row>
    <row r="36">
      <c r="C36" s="71" t="inlineStr">
        <is>
          <t>0910 集計</t>
        </is>
      </c>
      <c r="D36" s="69" t="inlineStr">
        <is>
          <t>足立課長</t>
        </is>
      </c>
      <c r="E36" s="2">
        <f>(E22+E8)/2</f>
        <v/>
      </c>
      <c r="F36" s="2">
        <f>(F22+F8)/2</f>
        <v/>
      </c>
      <c r="G36" s="2">
        <f>(G22+G8)/2</f>
        <v/>
      </c>
      <c r="H36" s="2">
        <f>(H22+H8)/2</f>
        <v/>
      </c>
      <c r="I36" s="2">
        <f>(I22+I8)/2</f>
        <v/>
      </c>
      <c r="J36" s="2">
        <f>(J22+J8)/2</f>
        <v/>
      </c>
      <c r="K36" s="79">
        <f>SUM(E36:J36)</f>
        <v/>
      </c>
      <c r="L36" s="1">
        <f>(L22+L8)/2</f>
        <v/>
      </c>
      <c r="M36" s="2">
        <f>(M22+M8)/2</f>
        <v/>
      </c>
      <c r="N36" s="2">
        <f>(N22+N8)/2</f>
        <v/>
      </c>
      <c r="O36" s="2">
        <f>(O22+O8)/2</f>
        <v/>
      </c>
      <c r="P36" s="2">
        <f>(P22+P8)/2</f>
        <v/>
      </c>
      <c r="Q36" s="2">
        <f>(Q22+Q8)/2</f>
        <v/>
      </c>
      <c r="R36" s="73">
        <f>SUM(L36:Q36)</f>
        <v/>
      </c>
      <c r="S36" s="130">
        <f>IF(E36=0,"***",L36/E36)</f>
        <v/>
      </c>
      <c r="T36" s="131">
        <f>IF(F36=0,"***",M36/F36)</f>
        <v/>
      </c>
      <c r="U36" s="131">
        <f>IF(G36=0,"***",N36/G36)</f>
        <v/>
      </c>
      <c r="V36" s="131">
        <f>IF(H36=0,"***",O36/H36)</f>
        <v/>
      </c>
      <c r="W36" s="131">
        <f>IF(I36=0,"***",P36/I36)</f>
        <v/>
      </c>
      <c r="X36" s="131">
        <f>IF(J36=0,"***",Q36/J36)</f>
        <v/>
      </c>
      <c r="Y36" s="125">
        <f>IF(K36=0,"***",R36/K36)</f>
        <v/>
      </c>
    </row>
    <row r="37">
      <c r="C37" s="71" t="inlineStr">
        <is>
          <t>0911 集計</t>
        </is>
      </c>
      <c r="D37" s="69" t="inlineStr">
        <is>
          <t>川邊主任</t>
        </is>
      </c>
      <c r="E37" s="2">
        <f>(E23+E9)/2</f>
        <v/>
      </c>
      <c r="F37" s="2">
        <f>(F23+F9)/2</f>
        <v/>
      </c>
      <c r="G37" s="2">
        <f>(G23+G9)/2</f>
        <v/>
      </c>
      <c r="H37" s="2">
        <f>(H23+H9)/2</f>
        <v/>
      </c>
      <c r="I37" s="2">
        <f>(I23+I9)/2</f>
        <v/>
      </c>
      <c r="J37" s="2">
        <f>(J23+J9)/2</f>
        <v/>
      </c>
      <c r="K37" s="79">
        <f>SUM(E37:J37)</f>
        <v/>
      </c>
      <c r="L37" s="48">
        <f>(L23+L9)/2</f>
        <v/>
      </c>
      <c r="M37" s="45">
        <f>(M23+M9)/2</f>
        <v/>
      </c>
      <c r="N37" s="45">
        <f>(N23+N9)/2</f>
        <v/>
      </c>
      <c r="O37" s="45">
        <f>(O23+O9)/2</f>
        <v/>
      </c>
      <c r="P37" s="45">
        <f>(P23+P9)/2</f>
        <v/>
      </c>
      <c r="Q37" s="45">
        <f>(Q23+Q9)/2</f>
        <v/>
      </c>
      <c r="R37" s="49">
        <f>SUM(L37:Q37)</f>
        <v/>
      </c>
      <c r="S37" s="130">
        <f>IF(E37=0,"***",L37/E37)</f>
        <v/>
      </c>
      <c r="T37" s="131">
        <f>IF(F37=0,"***",M37/F37)</f>
        <v/>
      </c>
      <c r="U37" s="131">
        <f>IF(G37=0,"***",N37/G37)</f>
        <v/>
      </c>
      <c r="V37" s="131">
        <f>IF(H37=0,"***",O37/H37)</f>
        <v/>
      </c>
      <c r="W37" s="131">
        <f>IF(I37=0,"***",P37/I37)</f>
        <v/>
      </c>
      <c r="X37" s="131">
        <f>IF(J37=0,"***",Q37/J37)</f>
        <v/>
      </c>
      <c r="Y37" s="125">
        <f>IF(K37=0,"***",R37/K37)</f>
        <v/>
      </c>
    </row>
    <row r="38">
      <c r="C38" s="71" t="inlineStr">
        <is>
          <t>0914 集計</t>
        </is>
      </c>
      <c r="D38" s="69" t="inlineStr">
        <is>
          <t>白根主任</t>
        </is>
      </c>
      <c r="E38" s="45">
        <f>(E24+E10)/2</f>
        <v/>
      </c>
      <c r="F38" s="45">
        <f>(F24+F10)/2</f>
        <v/>
      </c>
      <c r="G38" s="45">
        <f>(G24+G10)/2</f>
        <v/>
      </c>
      <c r="H38" s="45">
        <f>(H24+H10)/2</f>
        <v/>
      </c>
      <c r="I38" s="45">
        <f>(I24+I10)/2</f>
        <v/>
      </c>
      <c r="J38" s="45">
        <f>(J24+J10)/2</f>
        <v/>
      </c>
      <c r="K38" s="46">
        <f>SUM(E38:J38)</f>
        <v/>
      </c>
      <c r="L38" s="48">
        <f>(L24+L10)/2</f>
        <v/>
      </c>
      <c r="M38" s="45">
        <f>(M24+M10)/2</f>
        <v/>
      </c>
      <c r="N38" s="45">
        <f>(N24+N10)/2</f>
        <v/>
      </c>
      <c r="O38" s="45">
        <f>(O24+O10)/2</f>
        <v/>
      </c>
      <c r="P38" s="45">
        <f>(P24+P10)/2</f>
        <v/>
      </c>
      <c r="Q38" s="45">
        <f>(Q24+Q10)/2</f>
        <v/>
      </c>
      <c r="R38" s="49">
        <f>SUM(L38:Q38)</f>
        <v/>
      </c>
      <c r="S38" s="130">
        <f>IF(E38=0,"***",L38/E38)</f>
        <v/>
      </c>
      <c r="T38" s="131">
        <f>IF(F38=0,"***",M38/F38)</f>
        <v/>
      </c>
      <c r="U38" s="131">
        <f>IF(G38=0,"***",N38/G38)</f>
        <v/>
      </c>
      <c r="V38" s="131">
        <f>IF(H38=0,"***",O38/H38)</f>
        <v/>
      </c>
      <c r="W38" s="131">
        <f>IF(I38=0,"***",P38/I38)</f>
        <v/>
      </c>
      <c r="X38" s="131">
        <f>IF(J38=0,"***",Q38/J38)</f>
        <v/>
      </c>
      <c r="Y38" s="125">
        <f>IF(K38=0,"***",R38/K38)</f>
        <v/>
      </c>
    </row>
    <row r="39">
      <c r="C39" s="71" t="inlineStr">
        <is>
          <t>0918 集計</t>
        </is>
      </c>
      <c r="D39" s="69" t="inlineStr">
        <is>
          <t>海外</t>
        </is>
      </c>
      <c r="E39" s="45">
        <f>(E25+E11)/2</f>
        <v/>
      </c>
      <c r="F39" s="45">
        <f>(F25+F11)/2</f>
        <v/>
      </c>
      <c r="G39" s="45">
        <f>(G25+G11)/2</f>
        <v/>
      </c>
      <c r="H39" s="45">
        <f>(H25+H11)/2</f>
        <v/>
      </c>
      <c r="I39" s="45">
        <f>(I25+I11)/2</f>
        <v/>
      </c>
      <c r="J39" s="45">
        <f>(J25+J11)/2</f>
        <v/>
      </c>
      <c r="K39" s="46">
        <f>SUM(E39:J39)</f>
        <v/>
      </c>
      <c r="L39" s="48">
        <f>(L25+L11)/2</f>
        <v/>
      </c>
      <c r="M39" s="45">
        <f>(M25+M11)/2</f>
        <v/>
      </c>
      <c r="N39" s="45">
        <f>(N25+N11)/2</f>
        <v/>
      </c>
      <c r="O39" s="45">
        <f>(O25+O11)/2</f>
        <v/>
      </c>
      <c r="P39" s="45">
        <f>(P25+P11)/2</f>
        <v/>
      </c>
      <c r="Q39" s="45">
        <f>(Q25+Q11)/2</f>
        <v/>
      </c>
      <c r="R39" s="49">
        <f>SUM(L39:Q39)</f>
        <v/>
      </c>
      <c r="S39" s="130">
        <f>IF(E39=0,"***",L39/E39)</f>
        <v/>
      </c>
      <c r="T39" s="131">
        <f>IF(F39=0,"***",M39/F39)</f>
        <v/>
      </c>
      <c r="U39" s="131">
        <f>IF(G39=0,"***",N39/G39)</f>
        <v/>
      </c>
      <c r="V39" s="131">
        <f>IF(H39=0,"***",O39/H39)</f>
        <v/>
      </c>
      <c r="W39" s="131">
        <f>IF(I39=0,"***",P39/I39)</f>
        <v/>
      </c>
      <c r="X39" s="131">
        <f>IF(J39=0,"***",Q39/J39)</f>
        <v/>
      </c>
      <c r="Y39" s="125">
        <f>IF(K39=0,"***",R39/K39)</f>
        <v/>
      </c>
    </row>
    <row r="40">
      <c r="C40" s="71" t="inlineStr">
        <is>
          <t>0919 集計</t>
        </is>
      </c>
      <c r="D40" s="69" t="inlineStr">
        <is>
          <t>その他</t>
        </is>
      </c>
      <c r="E40" s="2">
        <f>(E26+E12)/2</f>
        <v/>
      </c>
      <c r="F40" s="2">
        <f>(F26+F12)/2</f>
        <v/>
      </c>
      <c r="G40" s="2">
        <f>(G26+G12)/2</f>
        <v/>
      </c>
      <c r="H40" s="2">
        <f>(H26+H12)/2</f>
        <v/>
      </c>
      <c r="I40" s="2">
        <f>(I26+I12)/2</f>
        <v/>
      </c>
      <c r="J40" s="2">
        <f>(J26+J12)/2</f>
        <v/>
      </c>
      <c r="K40" s="79">
        <f>SUM(E40:J40)</f>
        <v/>
      </c>
      <c r="L40" s="1">
        <f>(L26+L12)/2</f>
        <v/>
      </c>
      <c r="M40" s="2">
        <f>(M26+M12)/2</f>
        <v/>
      </c>
      <c r="N40" s="2">
        <f>(N26+N12)/2</f>
        <v/>
      </c>
      <c r="O40" s="2">
        <f>(O26+O12)/2</f>
        <v/>
      </c>
      <c r="P40" s="2">
        <f>(P26+P12)/2</f>
        <v/>
      </c>
      <c r="Q40" s="2">
        <f>(Q26+Q12)/2</f>
        <v/>
      </c>
      <c r="R40" s="73">
        <f>SUM(L40:Q40)</f>
        <v/>
      </c>
      <c r="S40" s="123">
        <f>IF(E40=0,"***",L40/E40)</f>
        <v/>
      </c>
      <c r="T40" s="124">
        <f>IF(F40=0,"***",M40/F40)</f>
        <v/>
      </c>
      <c r="U40" s="124">
        <f>IF(G40=0,"***",N40/G40)</f>
        <v/>
      </c>
      <c r="V40" s="124">
        <f>IF(H40=0,"***",O40/H40)</f>
        <v/>
      </c>
      <c r="W40" s="124">
        <f>IF(I40=0,"***",P40/I40)</f>
        <v/>
      </c>
      <c r="X40" s="124">
        <f>IF(J40=0,"***",Q40/J40)</f>
        <v/>
      </c>
      <c r="Y40" s="125">
        <f>IF(K40=0,"***",R40/K40)</f>
        <v/>
      </c>
    </row>
    <row r="41">
      <c r="C41" s="71" t="inlineStr">
        <is>
          <t>0930 集計</t>
        </is>
      </c>
      <c r="D41" s="69" t="inlineStr">
        <is>
          <t>自治体</t>
        </is>
      </c>
      <c r="E41" s="2">
        <f>(E27+E13)/2</f>
        <v/>
      </c>
      <c r="F41" s="2">
        <f>(F27+F13)/2</f>
        <v/>
      </c>
      <c r="G41" s="2">
        <f>(G27+G13)/2</f>
        <v/>
      </c>
      <c r="H41" s="2">
        <f>(H27+H13)/2</f>
        <v/>
      </c>
      <c r="I41" s="2">
        <f>(I27+I13)/2</f>
        <v/>
      </c>
      <c r="J41" s="2">
        <f>(J27+J13)/2</f>
        <v/>
      </c>
      <c r="K41" s="79">
        <f>SUM(E41:J41)</f>
        <v/>
      </c>
      <c r="L41" s="1">
        <f>(L27+L13)/2</f>
        <v/>
      </c>
      <c r="M41" s="2">
        <f>(M27+M13)/2</f>
        <v/>
      </c>
      <c r="N41" s="2">
        <f>(N27+N13)/2</f>
        <v/>
      </c>
      <c r="O41" s="2">
        <f>(O27+O13)/2</f>
        <v/>
      </c>
      <c r="P41" s="2">
        <f>(P27+P13)/2</f>
        <v/>
      </c>
      <c r="Q41" s="2">
        <f>(Q27+Q13)/2</f>
        <v/>
      </c>
      <c r="R41" s="73">
        <f>SUM(L41:Q41)</f>
        <v/>
      </c>
      <c r="S41" s="123">
        <f>IF(E41=0,"***",L41/E41)</f>
        <v/>
      </c>
      <c r="T41" s="124">
        <f>IF(F41=0,"***",M41/F41)</f>
        <v/>
      </c>
      <c r="U41" s="124">
        <f>IF(G41=0,"***",N41/G41)</f>
        <v/>
      </c>
      <c r="V41" s="124">
        <f>IF(H41=0,"***",O41/H41)</f>
        <v/>
      </c>
      <c r="W41" s="124">
        <f>IF(I41=0,"***",P41/I41)</f>
        <v/>
      </c>
      <c r="X41" s="124">
        <f>IF(J41=0,"***",Q41/J41)</f>
        <v/>
      </c>
      <c r="Y41" s="125">
        <f>IF(K41=0,"***",R41/K41)</f>
        <v/>
      </c>
    </row>
    <row r="42">
      <c r="C42" s="3" t="inlineStr">
        <is>
          <t>合計</t>
        </is>
      </c>
      <c r="D42" s="70" t="n"/>
      <c r="E42" s="74">
        <f>SUM(E33:E41)</f>
        <v/>
      </c>
      <c r="F42" s="63">
        <f>SUM(F33:F41)</f>
        <v/>
      </c>
      <c r="G42" s="63">
        <f>SUM(G33:G41)</f>
        <v/>
      </c>
      <c r="H42" s="63">
        <f>SUM(H33:H41)</f>
        <v/>
      </c>
      <c r="I42" s="63">
        <f>SUM(I33:I41)</f>
        <v/>
      </c>
      <c r="J42" s="63">
        <f>SUM(J33:J41)</f>
        <v/>
      </c>
      <c r="K42" s="75">
        <f>SUM(K33:K41)</f>
        <v/>
      </c>
      <c r="L42" s="74">
        <f>SUM(L33:L41)</f>
        <v/>
      </c>
      <c r="M42" s="63">
        <f>SUM(M33:M41)</f>
        <v/>
      </c>
      <c r="N42" s="63">
        <f>SUM(N33:N41)</f>
        <v/>
      </c>
      <c r="O42" s="63">
        <f>SUM(O33:O41)</f>
        <v/>
      </c>
      <c r="P42" s="63">
        <f>SUM(P33:P41)</f>
        <v/>
      </c>
      <c r="Q42" s="63">
        <f>SUM(Q33:Q41)</f>
        <v/>
      </c>
      <c r="R42" s="75">
        <f>SUM(R33:R41)</f>
        <v/>
      </c>
      <c r="S42" s="126">
        <f>IF(E42=0,"***",L42/E42)</f>
        <v/>
      </c>
      <c r="T42" s="127">
        <f>IF(F42=0,"***",M42/F42)</f>
        <v/>
      </c>
      <c r="U42" s="127">
        <f>IF(G42=0,"***",N42/G42)</f>
        <v/>
      </c>
      <c r="V42" s="127">
        <f>IF(H42=0,"***",O42/H42)</f>
        <v/>
      </c>
      <c r="W42" s="127">
        <f>IF(I42=0,"***",P42/I42)</f>
        <v/>
      </c>
      <c r="X42" s="127">
        <f>IF(J42=0,"***",Q42/J42)</f>
        <v/>
      </c>
      <c r="Y42" s="128">
        <f>IF(K42=0,"***",R42/K42)</f>
        <v/>
      </c>
    </row>
    <row r="43">
      <c r="C43" s="6" t="n"/>
      <c r="E43" s="5" t="n"/>
      <c r="F43" s="5" t="n"/>
      <c r="G43" s="5" t="n"/>
      <c r="H43" s="5" t="n"/>
      <c r="I43" s="5" t="n"/>
      <c r="J43" s="5" t="n"/>
      <c r="K43" s="6" t="n"/>
      <c r="L43" s="5" t="n"/>
      <c r="M43" s="5" t="n"/>
      <c r="N43" s="5" t="n"/>
      <c r="O43" s="5" t="n"/>
      <c r="P43" s="5" t="n"/>
      <c r="Q43" s="5" t="n"/>
      <c r="R43" s="6" t="n"/>
      <c r="S43" s="129" t="n"/>
      <c r="T43" s="129" t="n"/>
      <c r="U43" s="129" t="n"/>
      <c r="V43" s="129" t="n"/>
      <c r="W43" s="129" t="n"/>
      <c r="X43" s="129" t="n"/>
      <c r="Y43" s="129" t="n"/>
    </row>
    <row r="44">
      <c r="C44" s="6" t="inlineStr">
        <is>
          <t>4．計画</t>
        </is>
      </c>
    </row>
    <row r="45">
      <c r="C45" s="104" t="n"/>
      <c r="D45" s="106" t="n"/>
      <c r="E45" s="104" t="inlineStr">
        <is>
          <t>売上</t>
        </is>
      </c>
      <c r="F45" s="105" t="n"/>
      <c r="G45" s="105" t="n"/>
      <c r="H45" s="105" t="n"/>
      <c r="I45" s="105" t="n"/>
      <c r="J45" s="105" t="n"/>
      <c r="K45" s="106" t="n"/>
      <c r="L45" s="108" t="inlineStr">
        <is>
          <t>粗利益</t>
        </is>
      </c>
      <c r="M45" s="105" t="n"/>
      <c r="N45" s="105" t="n"/>
      <c r="O45" s="105" t="n"/>
      <c r="P45" s="105" t="n"/>
      <c r="Q45" s="105" t="n"/>
      <c r="R45" s="106" t="n"/>
      <c r="S45" s="108" t="inlineStr">
        <is>
          <t>粗利益率</t>
        </is>
      </c>
      <c r="T45" s="105" t="n"/>
      <c r="U45" s="105" t="n"/>
      <c r="V45" s="105" t="n"/>
      <c r="W45" s="105" t="n"/>
      <c r="X45" s="105" t="n"/>
      <c r="Y45" s="106" t="n"/>
    </row>
    <row r="46">
      <c r="C46" s="61" t="n"/>
      <c r="D46" s="68" t="n"/>
      <c r="E46" s="72" t="n">
        <v>46113</v>
      </c>
      <c r="F46" s="62" t="n">
        <v>46143</v>
      </c>
      <c r="G46" s="62" t="n">
        <v>46174</v>
      </c>
      <c r="H46" s="62" t="n">
        <v>46204</v>
      </c>
      <c r="I46" s="62" t="n">
        <v>46235</v>
      </c>
      <c r="J46" s="62" t="n">
        <v>46266</v>
      </c>
      <c r="K46" s="64" t="inlineStr">
        <is>
          <t>合計</t>
        </is>
      </c>
      <c r="L46" s="88" t="n">
        <v>46113</v>
      </c>
      <c r="M46" s="62" t="n">
        <v>46143</v>
      </c>
      <c r="N46" s="62" t="n">
        <v>46174</v>
      </c>
      <c r="O46" s="62" t="n">
        <v>46204</v>
      </c>
      <c r="P46" s="62" t="n">
        <v>46235</v>
      </c>
      <c r="Q46" s="62" t="n">
        <v>46266</v>
      </c>
      <c r="R46" s="64" t="inlineStr">
        <is>
          <t>合計</t>
        </is>
      </c>
      <c r="S46" s="88" t="n">
        <v>46113</v>
      </c>
      <c r="T46" s="62" t="n">
        <v>46143</v>
      </c>
      <c r="U46" s="62" t="n">
        <v>46174</v>
      </c>
      <c r="V46" s="62" t="n">
        <v>46204</v>
      </c>
      <c r="W46" s="62" t="n">
        <v>46235</v>
      </c>
      <c r="X46" s="62" t="n">
        <v>46266</v>
      </c>
      <c r="Y46" s="64" t="inlineStr">
        <is>
          <t>合計</t>
        </is>
      </c>
    </row>
    <row r="47">
      <c r="C47" s="71" t="inlineStr">
        <is>
          <t>0903 集計</t>
        </is>
      </c>
      <c r="D47" s="69" t="inlineStr">
        <is>
          <t>西岡</t>
        </is>
      </c>
      <c r="E47" s="39" t="n">
        <v>2500</v>
      </c>
      <c r="F47" s="39" t="n">
        <v>1900</v>
      </c>
      <c r="G47" s="39" t="n">
        <v>2500</v>
      </c>
      <c r="H47" s="39">
        <f>1400+ROUND([1]包装資材6月まで計画!H47,-1)</f>
        <v/>
      </c>
      <c r="I47" s="39">
        <f>1200+ROUND([1]包装資材6月まで計画!I47,-1)</f>
        <v/>
      </c>
      <c r="J47" s="39">
        <f>2600+ROUND([1]包装資材6月まで計画!J47,-1)</f>
        <v/>
      </c>
      <c r="K47" s="79">
        <f>SUM(E47:J47)</f>
        <v/>
      </c>
      <c r="L47" s="53" t="n">
        <v>550</v>
      </c>
      <c r="M47" s="39" t="n">
        <v>410</v>
      </c>
      <c r="N47" s="39" t="n">
        <v>480</v>
      </c>
      <c r="O47" s="39">
        <f>320++ROUND([1]包装資材6月まで計画!O47,-1)</f>
        <v/>
      </c>
      <c r="P47" s="39">
        <f>260+ROUND([1]包装資材6月まで計画!P47,-1)</f>
        <v/>
      </c>
      <c r="Q47" s="39">
        <f>520++ROUND([1]包装資材6月まで計画!Q47,-1)</f>
        <v/>
      </c>
      <c r="R47" s="73">
        <f>SUM(L47:Q47)</f>
        <v/>
      </c>
      <c r="S47" s="123">
        <f>IF(E47=0,"***",L47/E47)</f>
        <v/>
      </c>
      <c r="T47" s="124">
        <f>IF(F47=0,"***",M47/F47)</f>
        <v/>
      </c>
      <c r="U47" s="124">
        <f>IF(G47=0,"***",N47/G47)</f>
        <v/>
      </c>
      <c r="V47" s="124">
        <f>IF(H47=0,"***",O47/H47)</f>
        <v/>
      </c>
      <c r="W47" s="124">
        <f>IF(I47=0,"***",P47/I47)</f>
        <v/>
      </c>
      <c r="X47" s="124">
        <f>IF(J47=0,"***",Q47/J47)</f>
        <v/>
      </c>
      <c r="Y47" s="125">
        <f>IF(K47=0,"***",R47/K47)</f>
        <v/>
      </c>
    </row>
    <row r="48">
      <c r="C48" s="71" t="inlineStr">
        <is>
          <t>0904 集計</t>
        </is>
      </c>
      <c r="D48" s="69" t="inlineStr">
        <is>
          <t>足立次長</t>
        </is>
      </c>
      <c r="E48" s="39" t="n">
        <v>12500</v>
      </c>
      <c r="F48" s="39" t="n">
        <v>12500</v>
      </c>
      <c r="G48" s="39" t="n">
        <v>8250</v>
      </c>
      <c r="H48" s="39" t="n">
        <v>13000</v>
      </c>
      <c r="I48" s="39" t="n">
        <v>13000</v>
      </c>
      <c r="J48" s="39" t="n">
        <v>11300</v>
      </c>
      <c r="K48" s="79">
        <f>SUM(E48:J48)</f>
        <v/>
      </c>
      <c r="L48" s="53" t="n">
        <v>2720</v>
      </c>
      <c r="M48" s="39" t="n">
        <v>2740</v>
      </c>
      <c r="N48" s="39" t="n">
        <v>1880</v>
      </c>
      <c r="O48" s="39" t="n">
        <v>2520</v>
      </c>
      <c r="P48" s="39" t="n">
        <v>2480</v>
      </c>
      <c r="Q48" s="39" t="n">
        <v>2200</v>
      </c>
      <c r="R48" s="73">
        <f>SUM(L48:Q48)</f>
        <v/>
      </c>
      <c r="S48" s="130">
        <f>IF(E48=0,"***",L48/E48)</f>
        <v/>
      </c>
      <c r="T48" s="131">
        <f>IF(F48=0,"***",M48/F48)</f>
        <v/>
      </c>
      <c r="U48" s="131">
        <f>IF(G48=0,"***",N48/G48)</f>
        <v/>
      </c>
      <c r="V48" s="131">
        <f>IF(H48=0,"***",O48/H48)</f>
        <v/>
      </c>
      <c r="W48" s="131">
        <f>IF(I48=0,"***",P48/I48)</f>
        <v/>
      </c>
      <c r="X48" s="131">
        <f>IF(J48=0,"***",Q48/J48)</f>
        <v/>
      </c>
      <c r="Y48" s="125">
        <f>IF(K48=0,"***",R48/K48)</f>
        <v/>
      </c>
    </row>
    <row r="49">
      <c r="C49" s="71" t="inlineStr">
        <is>
          <t>0909 集計</t>
        </is>
      </c>
      <c r="D49" s="69" t="inlineStr">
        <is>
          <t>藤波課長</t>
        </is>
      </c>
      <c r="E49" s="39" t="n">
        <v>8400</v>
      </c>
      <c r="F49" s="39" t="n">
        <v>5540</v>
      </c>
      <c r="G49" s="39" t="n">
        <v>6330</v>
      </c>
      <c r="H49" s="39">
        <f>8400+ROUND([1]包装資材6月まで計画!H49,-1)</f>
        <v/>
      </c>
      <c r="I49" s="39">
        <f>6980+ROUND([1]包装資材6月まで計画!I49,-1)</f>
        <v/>
      </c>
      <c r="J49" s="39">
        <f>10850+ROUND([1]包装資材6月まで計画!J49,-1)</f>
        <v/>
      </c>
      <c r="K49" s="79">
        <f>SUM(E49:J49)</f>
        <v/>
      </c>
      <c r="L49" s="53" t="n">
        <v>1450</v>
      </c>
      <c r="M49" s="39" t="n">
        <v>1150</v>
      </c>
      <c r="N49" s="39" t="n">
        <v>1200</v>
      </c>
      <c r="O49" s="39">
        <f>1510+ROUND([1]包装資材6月まで計画!O49,-1)</f>
        <v/>
      </c>
      <c r="P49" s="39">
        <f>1260+ROUND([1]包装資材6月まで計画!P49,-1)</f>
        <v/>
      </c>
      <c r="Q49" s="39">
        <f>1980+ROUND([1]包装資材6月まで計画!Q49,-1)</f>
        <v/>
      </c>
      <c r="R49" s="73">
        <f>SUM(L49:Q49)</f>
        <v/>
      </c>
      <c r="S49" s="130">
        <f>IF(E49=0,"***",L49/E49)</f>
        <v/>
      </c>
      <c r="T49" s="131">
        <f>IF(F49=0,"***",M49/F49)</f>
        <v/>
      </c>
      <c r="U49" s="131">
        <f>IF(G49=0,"***",N49/G49)</f>
        <v/>
      </c>
      <c r="V49" s="131">
        <f>IF(H49=0,"***",O49/H49)</f>
        <v/>
      </c>
      <c r="W49" s="131">
        <f>IF(I49=0,"***",P49/I49)</f>
        <v/>
      </c>
      <c r="X49" s="131">
        <f>IF(J49=0,"***",Q49/J49)</f>
        <v/>
      </c>
      <c r="Y49" s="125">
        <f>IF(K49=0,"***",R49/K49)</f>
        <v/>
      </c>
    </row>
    <row r="50">
      <c r="C50" s="71" t="inlineStr">
        <is>
          <t>0910 集計</t>
        </is>
      </c>
      <c r="D50" s="69" t="inlineStr">
        <is>
          <t>足立課長</t>
        </is>
      </c>
      <c r="E50" s="39" t="n">
        <v>4000</v>
      </c>
      <c r="F50" s="39" t="n">
        <v>3480</v>
      </c>
      <c r="G50" s="39" t="n">
        <v>3320</v>
      </c>
      <c r="H50" s="39" t="n"/>
      <c r="I50" s="39" t="n"/>
      <c r="J50" s="39" t="n"/>
      <c r="K50" s="79">
        <f>SUM(E50:J50)</f>
        <v/>
      </c>
      <c r="L50" s="53" t="n">
        <v>580</v>
      </c>
      <c r="M50" s="39" t="n">
        <v>480</v>
      </c>
      <c r="N50" s="39" t="n">
        <v>470</v>
      </c>
      <c r="O50" s="39" t="n"/>
      <c r="P50" s="39" t="n"/>
      <c r="Q50" s="39" t="n"/>
      <c r="R50" s="73">
        <f>SUM(L50:Q50)</f>
        <v/>
      </c>
      <c r="S50" s="130">
        <f>IF(E50=0,"***",L50/E50)</f>
        <v/>
      </c>
      <c r="T50" s="131">
        <f>IF(F50=0,"***",M50/F50)</f>
        <v/>
      </c>
      <c r="U50" s="131">
        <f>IF(G50=0,"***",N50/G50)</f>
        <v/>
      </c>
      <c r="V50" s="131">
        <f>IF(H50=0,"***",O50/H50)</f>
        <v/>
      </c>
      <c r="W50" s="131">
        <f>IF(I50=0,"***",P50/I50)</f>
        <v/>
      </c>
      <c r="X50" s="131">
        <f>IF(J50=0,"***",Q50/J50)</f>
        <v/>
      </c>
      <c r="Y50" s="125">
        <f>IF(K50=0,"***",R50/K50)</f>
        <v/>
      </c>
    </row>
    <row r="51">
      <c r="C51" s="71" t="inlineStr">
        <is>
          <t>0911 集計</t>
        </is>
      </c>
      <c r="D51" s="69" t="inlineStr">
        <is>
          <t>川邊主任</t>
        </is>
      </c>
      <c r="E51" s="39" t="n">
        <v>11000</v>
      </c>
      <c r="F51" s="39" t="n">
        <v>10000</v>
      </c>
      <c r="G51" s="39" t="n">
        <v>7760</v>
      </c>
      <c r="H51" s="39" t="n">
        <v>10000</v>
      </c>
      <c r="I51" s="39" t="n">
        <v>7300</v>
      </c>
      <c r="J51" s="39" t="n">
        <v>10000</v>
      </c>
      <c r="K51" s="79">
        <f>SUM(E51:J51)</f>
        <v/>
      </c>
      <c r="L51" s="53" t="n">
        <v>1900</v>
      </c>
      <c r="M51" s="39" t="n">
        <v>1730</v>
      </c>
      <c r="N51" s="39" t="n">
        <v>1380</v>
      </c>
      <c r="O51" s="39" t="n">
        <v>1800</v>
      </c>
      <c r="P51" s="39" t="n">
        <v>1300</v>
      </c>
      <c r="Q51" s="39" t="n">
        <v>1700</v>
      </c>
      <c r="R51" s="73">
        <f>SUM(L51:Q51)</f>
        <v/>
      </c>
      <c r="S51" s="123">
        <f>IF(E51=0,"***",L51/E51)</f>
        <v/>
      </c>
      <c r="T51" s="124">
        <f>IF(F51=0,"***",M51/F51)</f>
        <v/>
      </c>
      <c r="U51" s="124">
        <f>IF(G51=0,"***",N51/G51)</f>
        <v/>
      </c>
      <c r="V51" s="124">
        <f>IF(H51=0,"***",O51/H51)</f>
        <v/>
      </c>
      <c r="W51" s="124">
        <f>IF(I51=0,"***",P51/I51)</f>
        <v/>
      </c>
      <c r="X51" s="124">
        <f>IF(J51=0,"***",Q51/J51)</f>
        <v/>
      </c>
      <c r="Y51" s="125">
        <f>IF(K51=0,"***",R51/K51)</f>
        <v/>
      </c>
    </row>
    <row r="52">
      <c r="C52" s="71" t="inlineStr">
        <is>
          <t>0914 集計</t>
        </is>
      </c>
      <c r="D52" s="69" t="inlineStr">
        <is>
          <t>白根主任</t>
        </is>
      </c>
      <c r="E52" s="39" t="n">
        <v>8700</v>
      </c>
      <c r="F52" s="39" t="n">
        <v>9500</v>
      </c>
      <c r="G52" s="39" t="n">
        <v>7500</v>
      </c>
      <c r="H52" s="39" t="n">
        <v>12000</v>
      </c>
      <c r="I52" s="39" t="n">
        <v>8500</v>
      </c>
      <c r="J52" s="39" t="n">
        <v>24500</v>
      </c>
      <c r="K52" s="79">
        <f>SUM(E52:J52)</f>
        <v/>
      </c>
      <c r="L52" s="53" t="n">
        <v>1600</v>
      </c>
      <c r="M52" s="39" t="n">
        <v>1850</v>
      </c>
      <c r="N52" s="39" t="n">
        <v>1480</v>
      </c>
      <c r="O52" s="39" t="n">
        <v>2880</v>
      </c>
      <c r="P52" s="39" t="n">
        <v>1730</v>
      </c>
      <c r="Q52" s="39" t="n">
        <v>6000</v>
      </c>
      <c r="R52" s="73">
        <f>SUM(L52:Q52)</f>
        <v/>
      </c>
      <c r="S52" s="123">
        <f>IF(E52=0,"***",L52/E52)</f>
        <v/>
      </c>
      <c r="T52" s="124">
        <f>IF(F52=0,"***",M52/F52)</f>
        <v/>
      </c>
      <c r="U52" s="124">
        <f>IF(G52=0,"***",N52/G52)</f>
        <v/>
      </c>
      <c r="V52" s="124">
        <f>IF(H52=0,"***",O52/H52)</f>
        <v/>
      </c>
      <c r="W52" s="124">
        <f>IF(I52=0,"***",P52/I52)</f>
        <v/>
      </c>
      <c r="X52" s="124">
        <f>IF(J52=0,"***",Q52/J52)</f>
        <v/>
      </c>
      <c r="Y52" s="125">
        <f>IF(K52=0,"***",R52/K52)</f>
        <v/>
      </c>
    </row>
    <row r="53" ht="18.6" customHeight="1" s="113">
      <c r="C53" s="71" t="inlineStr">
        <is>
          <t>0918 集計</t>
        </is>
      </c>
      <c r="D53" s="69" t="inlineStr">
        <is>
          <t>海外</t>
        </is>
      </c>
      <c r="E53" s="39" t="n">
        <v>830</v>
      </c>
      <c r="F53" s="39" t="n">
        <v>1600</v>
      </c>
      <c r="G53" s="39" t="n">
        <v>460</v>
      </c>
      <c r="H53" s="39" t="n">
        <v>990</v>
      </c>
      <c r="I53" s="39" t="n">
        <v>130</v>
      </c>
      <c r="J53" s="39" t="n">
        <v>2200</v>
      </c>
      <c r="K53" s="79">
        <f>SUM(E53:J53)</f>
        <v/>
      </c>
      <c r="L53" s="53" t="n">
        <v>180</v>
      </c>
      <c r="M53" s="39" t="n">
        <v>350</v>
      </c>
      <c r="N53" s="39" t="n">
        <v>110</v>
      </c>
      <c r="O53" s="39" t="n">
        <v>150</v>
      </c>
      <c r="P53" s="39" t="n">
        <v>20</v>
      </c>
      <c r="Q53" s="39" t="n">
        <v>350</v>
      </c>
      <c r="R53" s="73">
        <f>SUM(L53:Q53)</f>
        <v/>
      </c>
      <c r="S53" s="130">
        <f>IF(E53=0,"***",L53/E53)</f>
        <v/>
      </c>
      <c r="T53" s="131">
        <f>IF(F53=0,"***",M53/F53)</f>
        <v/>
      </c>
      <c r="U53" s="131">
        <f>IF(G53=0,"***",N53/G53)</f>
        <v/>
      </c>
      <c r="V53" s="131">
        <f>IF(H53=0,"***",O53/H53)</f>
        <v/>
      </c>
      <c r="W53" s="131">
        <f>IF(I53=0,"***",P53/I53)</f>
        <v/>
      </c>
      <c r="X53" s="131">
        <f>IF(J53=0,"***",Q53/J53)</f>
        <v/>
      </c>
      <c r="Y53" s="125">
        <f>IF(K53=0,"***",R53/K53)</f>
        <v/>
      </c>
    </row>
    <row r="54">
      <c r="C54" s="71" t="inlineStr">
        <is>
          <t>0919 集計</t>
        </is>
      </c>
      <c r="D54" s="69" t="inlineStr">
        <is>
          <t>その他</t>
        </is>
      </c>
      <c r="E54" s="39" t="n">
        <v>30</v>
      </c>
      <c r="F54" s="39" t="n">
        <v>30</v>
      </c>
      <c r="G54" s="39" t="n">
        <v>30</v>
      </c>
      <c r="H54" s="39" t="n">
        <v>30</v>
      </c>
      <c r="I54" s="39" t="n">
        <v>30</v>
      </c>
      <c r="J54" s="39" t="n">
        <v>30</v>
      </c>
      <c r="K54" s="79">
        <f>SUM(E54:J54)</f>
        <v/>
      </c>
      <c r="L54" s="53" t="n">
        <v>10</v>
      </c>
      <c r="M54" s="39" t="n">
        <v>10</v>
      </c>
      <c r="N54" s="39" t="n">
        <v>10</v>
      </c>
      <c r="O54" s="39" t="n">
        <v>10</v>
      </c>
      <c r="P54" s="39" t="n">
        <v>10</v>
      </c>
      <c r="Q54" s="39" t="n">
        <v>10</v>
      </c>
      <c r="R54" s="73">
        <f>SUM(L54:Q54)</f>
        <v/>
      </c>
      <c r="S54" s="123">
        <f>IF(E54=0,"***",L54/E54)</f>
        <v/>
      </c>
      <c r="T54" s="124">
        <f>IF(F54=0,"***",M54/F54)</f>
        <v/>
      </c>
      <c r="U54" s="124">
        <f>IF(G54=0,"***",N54/G54)</f>
        <v/>
      </c>
      <c r="V54" s="124">
        <f>IF(H54=0,"***",O54/H54)</f>
        <v/>
      </c>
      <c r="W54" s="124">
        <f>IF(I54=0,"***",P54/I54)</f>
        <v/>
      </c>
      <c r="X54" s="124">
        <f>IF(J54=0,"***",Q54/J54)</f>
        <v/>
      </c>
      <c r="Y54" s="125">
        <f>IF(K54=0,"***",R54/K54)</f>
        <v/>
      </c>
    </row>
    <row r="55">
      <c r="C55" s="71" t="inlineStr">
        <is>
          <t>0930 集計</t>
        </is>
      </c>
      <c r="D55" s="69" t="inlineStr">
        <is>
          <t>自治体</t>
        </is>
      </c>
      <c r="E55" s="91" t="n">
        <v>0</v>
      </c>
      <c r="F55" s="91" t="n">
        <v>0</v>
      </c>
      <c r="G55" s="91" t="n">
        <v>0</v>
      </c>
      <c r="H55" s="91" t="n">
        <v>0</v>
      </c>
      <c r="I55" s="91" t="n">
        <v>0</v>
      </c>
      <c r="J55" s="91" t="n">
        <v>0</v>
      </c>
      <c r="K55" s="79">
        <f>SUM(E55:J55)</f>
        <v/>
      </c>
      <c r="L55" s="92" t="n">
        <v>0</v>
      </c>
      <c r="M55" s="91" t="n">
        <v>0</v>
      </c>
      <c r="N55" s="91" t="n">
        <v>0</v>
      </c>
      <c r="O55" s="91" t="n">
        <v>0</v>
      </c>
      <c r="P55" s="91" t="n">
        <v>0</v>
      </c>
      <c r="Q55" s="91" t="n">
        <v>0</v>
      </c>
      <c r="R55" s="73">
        <f>SUM(L55:Q55)</f>
        <v/>
      </c>
      <c r="S55" s="132" t="n"/>
      <c r="T55" s="133" t="n"/>
      <c r="U55" s="133" t="n"/>
      <c r="V55" s="133" t="n"/>
      <c r="W55" s="133" t="n"/>
      <c r="X55" s="133" t="n"/>
      <c r="Y55" s="134" t="n"/>
    </row>
    <row r="56">
      <c r="C56" s="3" t="inlineStr">
        <is>
          <t>合計</t>
        </is>
      </c>
      <c r="D56" s="70" t="n"/>
      <c r="E56" s="74">
        <f>SUM(E47:E55)</f>
        <v/>
      </c>
      <c r="F56" s="63">
        <f>SUM(F47:F55)</f>
        <v/>
      </c>
      <c r="G56" s="63">
        <f>SUM(G47:G55)</f>
        <v/>
      </c>
      <c r="H56" s="63">
        <f>SUM(H47:H55)</f>
        <v/>
      </c>
      <c r="I56" s="63">
        <f>SUM(I47:I55)</f>
        <v/>
      </c>
      <c r="J56" s="63">
        <f>SUM(J47:J55)</f>
        <v/>
      </c>
      <c r="K56" s="75">
        <f>SUM(K47:K55)</f>
        <v/>
      </c>
      <c r="L56" s="74">
        <f>SUM(L47:L55)</f>
        <v/>
      </c>
      <c r="M56" s="63">
        <f>SUM(M47:M55)</f>
        <v/>
      </c>
      <c r="N56" s="63">
        <f>SUM(N47:N55)</f>
        <v/>
      </c>
      <c r="O56" s="63">
        <f>SUM(O47:O55)</f>
        <v/>
      </c>
      <c r="P56" s="63">
        <f>SUM(P47:P55)</f>
        <v/>
      </c>
      <c r="Q56" s="63">
        <f>SUM(Q47:Q55)</f>
        <v/>
      </c>
      <c r="R56" s="75">
        <f>SUM(R47:R55)</f>
        <v/>
      </c>
      <c r="S56" s="126">
        <f>IF(E56=0,"***",L56/E56)</f>
        <v/>
      </c>
      <c r="T56" s="127">
        <f>IF(F56=0,"***",M56/F56)</f>
        <v/>
      </c>
      <c r="U56" s="127">
        <f>IF(G56=0,"***",N56/G56)</f>
        <v/>
      </c>
      <c r="V56" s="127">
        <f>IF(H56=0,"***",O56/H56)</f>
        <v/>
      </c>
      <c r="W56" s="127">
        <f>IF(I56=0,"***",P56/I56)</f>
        <v/>
      </c>
      <c r="X56" s="127">
        <f>IF(J56=0,"***",Q56/J56)</f>
        <v/>
      </c>
      <c r="Y56" s="128">
        <f>IF(K56=0,"***",R56/K56)</f>
        <v/>
      </c>
    </row>
    <row r="57" hidden="1" s="113">
      <c r="C57" s="6" t="n"/>
      <c r="E57" s="5" t="n"/>
      <c r="F57" s="5" t="n"/>
      <c r="G57" s="5" t="n"/>
      <c r="H57" s="5" t="n"/>
      <c r="I57" s="5" t="n"/>
      <c r="J57" s="5" t="n"/>
      <c r="K57" s="6" t="n"/>
      <c r="L57" s="5" t="n"/>
      <c r="M57" s="5" t="n"/>
      <c r="N57" s="5" t="n"/>
      <c r="O57" s="5" t="n"/>
      <c r="P57" s="5" t="n"/>
      <c r="Q57" s="5" t="n"/>
      <c r="R57" s="6" t="n"/>
      <c r="S57" s="129" t="n"/>
      <c r="T57" s="129" t="n"/>
      <c r="U57" s="129" t="n"/>
      <c r="V57" s="129" t="n"/>
      <c r="W57" s="129" t="n"/>
      <c r="X57" s="129" t="n"/>
      <c r="Y57" s="129" t="n"/>
    </row>
    <row r="58" hidden="1" s="113">
      <c r="C58" s="6" t="inlineStr">
        <is>
          <t>５．前期比</t>
        </is>
      </c>
      <c r="E58" s="5" t="n"/>
      <c r="F58" s="5" t="n"/>
      <c r="G58" s="5" t="n"/>
      <c r="H58" s="5" t="n"/>
      <c r="I58" s="5" t="n"/>
      <c r="J58" s="5" t="n"/>
      <c r="K58" s="6" t="n"/>
      <c r="L58" s="5" t="n"/>
      <c r="M58" s="5" t="n"/>
      <c r="N58" s="5" t="n"/>
      <c r="O58" s="5" t="n"/>
      <c r="P58" s="5" t="n"/>
      <c r="Q58" s="5" t="n"/>
      <c r="R58" s="6" t="n"/>
      <c r="S58" s="129" t="n"/>
      <c r="T58" s="129" t="n"/>
      <c r="U58" s="129" t="n"/>
      <c r="V58" s="129" t="n"/>
      <c r="W58" s="129" t="n"/>
      <c r="X58" s="129" t="n"/>
      <c r="Y58" s="129" t="n"/>
    </row>
    <row r="59" hidden="1" s="113">
      <c r="C59" s="104" t="n"/>
      <c r="D59" s="106" t="n"/>
      <c r="E59" s="104" t="inlineStr">
        <is>
          <t>売上</t>
        </is>
      </c>
      <c r="F59" s="105" t="n"/>
      <c r="G59" s="105" t="n"/>
      <c r="H59" s="105" t="n"/>
      <c r="I59" s="105" t="n"/>
      <c r="J59" s="105" t="n"/>
      <c r="K59" s="106" t="n"/>
      <c r="L59" s="108" t="inlineStr">
        <is>
          <t>粗利益</t>
        </is>
      </c>
      <c r="M59" s="105" t="n"/>
      <c r="N59" s="105" t="n"/>
      <c r="O59" s="105" t="n"/>
      <c r="P59" s="105" t="n"/>
      <c r="Q59" s="105" t="n"/>
      <c r="R59" s="106" t="n"/>
      <c r="S59" s="108" t="inlineStr">
        <is>
          <t>粗利益率</t>
        </is>
      </c>
      <c r="T59" s="105" t="n"/>
      <c r="U59" s="105" t="n"/>
      <c r="V59" s="105" t="n"/>
      <c r="W59" s="105" t="n"/>
      <c r="X59" s="105" t="n"/>
      <c r="Y59" s="106" t="n"/>
    </row>
    <row r="60" hidden="1" s="113">
      <c r="C60" s="61" t="n"/>
      <c r="D60" s="68" t="n"/>
      <c r="E60" s="72" t="n">
        <v>46113</v>
      </c>
      <c r="F60" s="62" t="n">
        <v>46143</v>
      </c>
      <c r="G60" s="62" t="n">
        <v>46174</v>
      </c>
      <c r="H60" s="62" t="n">
        <v>46204</v>
      </c>
      <c r="I60" s="62" t="n">
        <v>46235</v>
      </c>
      <c r="J60" s="62" t="n">
        <v>46266</v>
      </c>
      <c r="K60" s="64" t="inlineStr">
        <is>
          <t>合計</t>
        </is>
      </c>
      <c r="L60" s="88" t="n">
        <v>46113</v>
      </c>
      <c r="M60" s="62" t="n">
        <v>46143</v>
      </c>
      <c r="N60" s="62" t="n">
        <v>46174</v>
      </c>
      <c r="O60" s="62" t="n">
        <v>46204</v>
      </c>
      <c r="P60" s="62" t="n">
        <v>46235</v>
      </c>
      <c r="Q60" s="62" t="n">
        <v>46266</v>
      </c>
      <c r="R60" s="64" t="inlineStr">
        <is>
          <t>合計</t>
        </is>
      </c>
      <c r="S60" s="88" t="n">
        <v>46113</v>
      </c>
      <c r="T60" s="62" t="n">
        <v>46143</v>
      </c>
      <c r="U60" s="62" t="n">
        <v>46174</v>
      </c>
      <c r="V60" s="62" t="n">
        <v>46204</v>
      </c>
      <c r="W60" s="62" t="n">
        <v>46235</v>
      </c>
      <c r="X60" s="62" t="n">
        <v>46266</v>
      </c>
      <c r="Y60" s="64" t="inlineStr">
        <is>
          <t>合計</t>
        </is>
      </c>
    </row>
    <row r="61" hidden="1" s="113">
      <c r="C61" s="71" t="inlineStr">
        <is>
          <t>0903 集計</t>
        </is>
      </c>
      <c r="D61" s="69" t="inlineStr">
        <is>
          <t>西岡</t>
        </is>
      </c>
      <c r="E61" s="2">
        <f>E47-E19</f>
        <v/>
      </c>
      <c r="F61" s="2">
        <f>F47-F19</f>
        <v/>
      </c>
      <c r="G61" s="2">
        <f>G47-G19</f>
        <v/>
      </c>
      <c r="H61" s="2">
        <f>H47-H19</f>
        <v/>
      </c>
      <c r="I61" s="2">
        <f>I47-I19</f>
        <v/>
      </c>
      <c r="J61" s="2">
        <f>J47-J19</f>
        <v/>
      </c>
      <c r="K61" s="79">
        <f>SUM(E61:J61)</f>
        <v/>
      </c>
      <c r="L61" s="1">
        <f>L47-L19</f>
        <v/>
      </c>
      <c r="M61" s="2">
        <f>M47-M19</f>
        <v/>
      </c>
      <c r="N61" s="2">
        <f>N47-N19</f>
        <v/>
      </c>
      <c r="O61" s="2">
        <f>O47-O19</f>
        <v/>
      </c>
      <c r="P61" s="2">
        <f>P47-P19</f>
        <v/>
      </c>
      <c r="Q61" s="2">
        <f>Q47-Q19</f>
        <v/>
      </c>
      <c r="R61" s="73">
        <f>SUM(L61:Q61)</f>
        <v/>
      </c>
      <c r="S61" s="123">
        <f>S47-S19</f>
        <v/>
      </c>
      <c r="T61" s="124">
        <f>T47-T19</f>
        <v/>
      </c>
      <c r="U61" s="124">
        <f>U47-U19</f>
        <v/>
      </c>
      <c r="V61" s="124">
        <f>V47-V19</f>
        <v/>
      </c>
      <c r="W61" s="124">
        <f>W47-W19</f>
        <v/>
      </c>
      <c r="X61" s="124">
        <f>X47-X19</f>
        <v/>
      </c>
      <c r="Y61" s="125">
        <f>Y47-Y19</f>
        <v/>
      </c>
    </row>
    <row r="62" hidden="1" s="113">
      <c r="C62" s="71" t="inlineStr">
        <is>
          <t>0904 集計</t>
        </is>
      </c>
      <c r="D62" s="69" t="inlineStr">
        <is>
          <t>足立次長</t>
        </is>
      </c>
      <c r="E62" s="2">
        <f>E48-E20</f>
        <v/>
      </c>
      <c r="F62" s="2">
        <f>F48-F20</f>
        <v/>
      </c>
      <c r="G62" s="2">
        <f>G48-G20</f>
        <v/>
      </c>
      <c r="H62" s="2">
        <f>H48-H20</f>
        <v/>
      </c>
      <c r="I62" s="2">
        <f>I48-I20</f>
        <v/>
      </c>
      <c r="J62" s="2">
        <f>J48-J20</f>
        <v/>
      </c>
      <c r="K62" s="79">
        <f>SUM(E62:J62)</f>
        <v/>
      </c>
      <c r="L62" s="1">
        <f>L48-L20</f>
        <v/>
      </c>
      <c r="M62" s="2">
        <f>M48-M20</f>
        <v/>
      </c>
      <c r="N62" s="2">
        <f>N48-N20</f>
        <v/>
      </c>
      <c r="O62" s="2">
        <f>O48-O20</f>
        <v/>
      </c>
      <c r="P62" s="2">
        <f>P48-P20</f>
        <v/>
      </c>
      <c r="Q62" s="2">
        <f>Q48-Q20</f>
        <v/>
      </c>
      <c r="R62" s="73">
        <f>SUM(L62:Q62)</f>
        <v/>
      </c>
      <c r="S62" s="123">
        <f>S48-S20</f>
        <v/>
      </c>
      <c r="T62" s="124">
        <f>T48-T20</f>
        <v/>
      </c>
      <c r="U62" s="124">
        <f>U48-U20</f>
        <v/>
      </c>
      <c r="V62" s="124">
        <f>V48-V20</f>
        <v/>
      </c>
      <c r="W62" s="124">
        <f>W48-W20</f>
        <v/>
      </c>
      <c r="X62" s="124">
        <f>X48-X20</f>
        <v/>
      </c>
      <c r="Y62" s="125">
        <f>Y48-Y20</f>
        <v/>
      </c>
    </row>
    <row r="63" hidden="1" s="113">
      <c r="C63" s="71" t="inlineStr">
        <is>
          <t>0909 集計</t>
        </is>
      </c>
      <c r="D63" s="69" t="inlineStr">
        <is>
          <t>藤波課長</t>
        </is>
      </c>
      <c r="E63" s="2">
        <f>E49-E21</f>
        <v/>
      </c>
      <c r="F63" s="2">
        <f>F49-F21</f>
        <v/>
      </c>
      <c r="G63" s="2">
        <f>G49-G21</f>
        <v/>
      </c>
      <c r="H63" s="2">
        <f>H49-H21</f>
        <v/>
      </c>
      <c r="I63" s="2">
        <f>I49-I21</f>
        <v/>
      </c>
      <c r="J63" s="2">
        <f>J49-J21</f>
        <v/>
      </c>
      <c r="K63" s="79">
        <f>SUM(E63:J63)</f>
        <v/>
      </c>
      <c r="L63" s="1">
        <f>L49-L21</f>
        <v/>
      </c>
      <c r="M63" s="2">
        <f>M49-M21</f>
        <v/>
      </c>
      <c r="N63" s="2">
        <f>N49-N21</f>
        <v/>
      </c>
      <c r="O63" s="2">
        <f>O49-O21</f>
        <v/>
      </c>
      <c r="P63" s="2">
        <f>P49-P21</f>
        <v/>
      </c>
      <c r="Q63" s="2">
        <f>Q49-Q21</f>
        <v/>
      </c>
      <c r="R63" s="73">
        <f>SUM(L63:Q63)</f>
        <v/>
      </c>
      <c r="S63" s="123">
        <f>S49-S21</f>
        <v/>
      </c>
      <c r="T63" s="124">
        <f>T49-T21</f>
        <v/>
      </c>
      <c r="U63" s="124">
        <f>U49-U21</f>
        <v/>
      </c>
      <c r="V63" s="124">
        <f>V49-V21</f>
        <v/>
      </c>
      <c r="W63" s="124">
        <f>W49-W21</f>
        <v/>
      </c>
      <c r="X63" s="124">
        <f>X49-X21</f>
        <v/>
      </c>
      <c r="Y63" s="125">
        <f>Y49-Y21</f>
        <v/>
      </c>
    </row>
    <row r="64" hidden="1" s="113">
      <c r="C64" s="71" t="inlineStr">
        <is>
          <t>0910 集計</t>
        </is>
      </c>
      <c r="D64" s="69" t="inlineStr">
        <is>
          <t>足立課長</t>
        </is>
      </c>
      <c r="E64" s="2">
        <f>E50-E22</f>
        <v/>
      </c>
      <c r="F64" s="2">
        <f>F50-F22</f>
        <v/>
      </c>
      <c r="G64" s="2">
        <f>G50-G22</f>
        <v/>
      </c>
      <c r="H64" s="2">
        <f>H50-H22</f>
        <v/>
      </c>
      <c r="I64" s="2">
        <f>I50-I22</f>
        <v/>
      </c>
      <c r="J64" s="2">
        <f>J50-J22</f>
        <v/>
      </c>
      <c r="K64" s="79">
        <f>SUM(E64:J64)</f>
        <v/>
      </c>
      <c r="L64" s="1">
        <f>L50-L22</f>
        <v/>
      </c>
      <c r="M64" s="2">
        <f>M50-M22</f>
        <v/>
      </c>
      <c r="N64" s="2">
        <f>N50-N22</f>
        <v/>
      </c>
      <c r="O64" s="2">
        <f>O50-O22</f>
        <v/>
      </c>
      <c r="P64" s="2">
        <f>P50-P22</f>
        <v/>
      </c>
      <c r="Q64" s="2">
        <f>Q50-Q22</f>
        <v/>
      </c>
      <c r="R64" s="73">
        <f>SUM(L64:Q64)</f>
        <v/>
      </c>
      <c r="S64" s="123">
        <f>S50-S22</f>
        <v/>
      </c>
      <c r="T64" s="124">
        <f>T50-T22</f>
        <v/>
      </c>
      <c r="U64" s="124">
        <f>U50-U22</f>
        <v/>
      </c>
      <c r="V64" s="124">
        <f>V50-V22</f>
        <v/>
      </c>
      <c r="W64" s="124">
        <f>W50-W22</f>
        <v/>
      </c>
      <c r="X64" s="124">
        <f>X50-X22</f>
        <v/>
      </c>
      <c r="Y64" s="125">
        <f>Y50-Y22</f>
        <v/>
      </c>
    </row>
    <row r="65" hidden="1" s="113">
      <c r="C65" s="71" t="inlineStr">
        <is>
          <t>0911 集計</t>
        </is>
      </c>
      <c r="D65" s="69" t="inlineStr">
        <is>
          <t>川邊主任</t>
        </is>
      </c>
      <c r="E65" s="2">
        <f>E51-E23</f>
        <v/>
      </c>
      <c r="F65" s="2">
        <f>F51-F23</f>
        <v/>
      </c>
      <c r="G65" s="2">
        <f>G51-G23</f>
        <v/>
      </c>
      <c r="H65" s="2">
        <f>H51-H23</f>
        <v/>
      </c>
      <c r="I65" s="2">
        <f>I51-I23</f>
        <v/>
      </c>
      <c r="J65" s="2">
        <f>J51-J23</f>
        <v/>
      </c>
      <c r="K65" s="79">
        <f>SUM(E65:J65)</f>
        <v/>
      </c>
      <c r="L65" s="1">
        <f>L51-L23</f>
        <v/>
      </c>
      <c r="M65" s="2">
        <f>M51-M23</f>
        <v/>
      </c>
      <c r="N65" s="2">
        <f>N51-N23</f>
        <v/>
      </c>
      <c r="O65" s="2">
        <f>O51-O23</f>
        <v/>
      </c>
      <c r="P65" s="2">
        <f>P51-P23</f>
        <v/>
      </c>
      <c r="Q65" s="2">
        <f>Q51-Q23</f>
        <v/>
      </c>
      <c r="R65" s="73">
        <f>SUM(L65:Q65)</f>
        <v/>
      </c>
      <c r="S65" s="123">
        <f>S51-S23</f>
        <v/>
      </c>
      <c r="T65" s="124">
        <f>T51-T23</f>
        <v/>
      </c>
      <c r="U65" s="124">
        <f>U51-U23</f>
        <v/>
      </c>
      <c r="V65" s="124">
        <f>V51-V23</f>
        <v/>
      </c>
      <c r="W65" s="124">
        <f>W51-W23</f>
        <v/>
      </c>
      <c r="X65" s="124">
        <f>X51-X23</f>
        <v/>
      </c>
      <c r="Y65" s="125">
        <f>Y51-Y23</f>
        <v/>
      </c>
    </row>
    <row r="66" hidden="1" s="113">
      <c r="C66" s="71" t="inlineStr">
        <is>
          <t>0914 集計</t>
        </is>
      </c>
      <c r="D66" s="69" t="inlineStr">
        <is>
          <t>白根主任</t>
        </is>
      </c>
      <c r="E66" s="2">
        <f>E52-E24</f>
        <v/>
      </c>
      <c r="F66" s="2">
        <f>F52-F24</f>
        <v/>
      </c>
      <c r="G66" s="2">
        <f>G52-G24</f>
        <v/>
      </c>
      <c r="H66" s="2">
        <f>H52-H24</f>
        <v/>
      </c>
      <c r="I66" s="2">
        <f>I52-I24</f>
        <v/>
      </c>
      <c r="J66" s="2">
        <f>J52-J24</f>
        <v/>
      </c>
      <c r="K66" s="79">
        <f>SUM(E66:J66)</f>
        <v/>
      </c>
      <c r="L66" s="1">
        <f>L52-L24</f>
        <v/>
      </c>
      <c r="M66" s="2">
        <f>M52-M24</f>
        <v/>
      </c>
      <c r="N66" s="2">
        <f>N52-N24</f>
        <v/>
      </c>
      <c r="O66" s="2">
        <f>O52-O24</f>
        <v/>
      </c>
      <c r="P66" s="2">
        <f>P52-P24</f>
        <v/>
      </c>
      <c r="Q66" s="2">
        <f>Q52-Q24</f>
        <v/>
      </c>
      <c r="R66" s="73">
        <f>SUM(L66:Q66)</f>
        <v/>
      </c>
      <c r="S66" s="123">
        <f>S52-S24</f>
        <v/>
      </c>
      <c r="T66" s="131">
        <f>T52-T24</f>
        <v/>
      </c>
      <c r="U66" s="131">
        <f>U52-U24</f>
        <v/>
      </c>
      <c r="V66" s="131">
        <f>V52-V24</f>
        <v/>
      </c>
      <c r="W66" s="131">
        <f>W52-W24</f>
        <v/>
      </c>
      <c r="X66" s="131">
        <f>X52-X24</f>
        <v/>
      </c>
      <c r="Y66" s="125">
        <f>Y52-Y24</f>
        <v/>
      </c>
    </row>
    <row r="67" hidden="1" s="113">
      <c r="C67" s="71" t="inlineStr">
        <is>
          <t>0918 集計</t>
        </is>
      </c>
      <c r="D67" s="69" t="inlineStr">
        <is>
          <t>海外</t>
        </is>
      </c>
      <c r="E67" s="2">
        <f>E53-E25</f>
        <v/>
      </c>
      <c r="F67" s="2">
        <f>F53-F25</f>
        <v/>
      </c>
      <c r="G67" s="2">
        <f>G53-G25</f>
        <v/>
      </c>
      <c r="H67" s="2">
        <f>H53-H25</f>
        <v/>
      </c>
      <c r="I67" s="2">
        <f>I53-I25</f>
        <v/>
      </c>
      <c r="J67" s="2">
        <f>J53-J25</f>
        <v/>
      </c>
      <c r="K67" s="79">
        <f>SUM(E67:J67)</f>
        <v/>
      </c>
      <c r="L67" s="48">
        <f>L53-L25</f>
        <v/>
      </c>
      <c r="M67" s="45">
        <f>M53-M25</f>
        <v/>
      </c>
      <c r="N67" s="45">
        <f>N53-N25</f>
        <v/>
      </c>
      <c r="O67" s="45">
        <f>O53-O25</f>
        <v/>
      </c>
      <c r="P67" s="45">
        <f>P53-P25</f>
        <v/>
      </c>
      <c r="Q67" s="45">
        <f>Q53-Q25</f>
        <v/>
      </c>
      <c r="R67" s="49">
        <f>SUM(L67:Q67)</f>
        <v/>
      </c>
      <c r="S67" s="130">
        <f>S53-S25</f>
        <v/>
      </c>
      <c r="T67" s="131">
        <f>T53-T25</f>
        <v/>
      </c>
      <c r="U67" s="131">
        <f>U53-U25</f>
        <v/>
      </c>
      <c r="V67" s="131">
        <f>V53-V25</f>
        <v/>
      </c>
      <c r="W67" s="131">
        <f>W53-W25</f>
        <v/>
      </c>
      <c r="X67" s="131">
        <f>X53-X25</f>
        <v/>
      </c>
      <c r="Y67" s="125">
        <f>Y53-Y25</f>
        <v/>
      </c>
    </row>
    <row r="68" hidden="1" s="113">
      <c r="C68" s="71" t="inlineStr">
        <is>
          <t>0919 集計</t>
        </is>
      </c>
      <c r="D68" s="69" t="inlineStr">
        <is>
          <t>その他</t>
        </is>
      </c>
      <c r="E68" s="2">
        <f>E54-E26</f>
        <v/>
      </c>
      <c r="F68" s="2">
        <f>F54-F26</f>
        <v/>
      </c>
      <c r="G68" s="2">
        <f>G54-G26</f>
        <v/>
      </c>
      <c r="H68" s="2">
        <f>H54-H26</f>
        <v/>
      </c>
      <c r="I68" s="2">
        <f>I54-I26</f>
        <v/>
      </c>
      <c r="J68" s="2">
        <f>J54-J26</f>
        <v/>
      </c>
      <c r="K68" s="79">
        <f>SUM(E68:J68)</f>
        <v/>
      </c>
      <c r="L68" s="48">
        <f>L54-L26</f>
        <v/>
      </c>
      <c r="M68" s="45">
        <f>M54-M26</f>
        <v/>
      </c>
      <c r="N68" s="45">
        <f>N54-N26</f>
        <v/>
      </c>
      <c r="O68" s="45">
        <f>O54-O26</f>
        <v/>
      </c>
      <c r="P68" s="45">
        <f>P54-P26</f>
        <v/>
      </c>
      <c r="Q68" s="45">
        <f>Q54-Q26</f>
        <v/>
      </c>
      <c r="R68" s="49">
        <f>SUM(L68:Q68)</f>
        <v/>
      </c>
      <c r="S68" s="130">
        <f>S54-S26</f>
        <v/>
      </c>
      <c r="T68" s="124">
        <f>T54-T26</f>
        <v/>
      </c>
      <c r="U68" s="124">
        <f>U54-U26</f>
        <v/>
      </c>
      <c r="V68" s="124">
        <f>V54-V26</f>
        <v/>
      </c>
      <c r="W68" s="124">
        <f>W54-W26</f>
        <v/>
      </c>
      <c r="X68" s="124">
        <f>X54-X26</f>
        <v/>
      </c>
      <c r="Y68" s="125">
        <f>Y54-Y26</f>
        <v/>
      </c>
    </row>
    <row r="69" hidden="1" s="113">
      <c r="C69" s="71" t="inlineStr">
        <is>
          <t>0930 集計</t>
        </is>
      </c>
      <c r="D69" s="69" t="inlineStr">
        <is>
          <t>自治体</t>
        </is>
      </c>
      <c r="E69" s="2">
        <f>E55-E27</f>
        <v/>
      </c>
      <c r="F69" s="2">
        <f>F55-F27</f>
        <v/>
      </c>
      <c r="G69" s="2">
        <f>G55-G27</f>
        <v/>
      </c>
      <c r="H69" s="2">
        <f>H55-H27</f>
        <v/>
      </c>
      <c r="I69" s="2">
        <f>I55-I27</f>
        <v/>
      </c>
      <c r="J69" s="2">
        <f>J55-J27</f>
        <v/>
      </c>
      <c r="K69" s="79">
        <f>SUM(E69:J69)</f>
        <v/>
      </c>
      <c r="L69" s="48">
        <f>L55-L27</f>
        <v/>
      </c>
      <c r="M69" s="45">
        <f>M55-M27</f>
        <v/>
      </c>
      <c r="N69" s="45">
        <f>N55-N27</f>
        <v/>
      </c>
      <c r="O69" s="45">
        <f>O55-O27</f>
        <v/>
      </c>
      <c r="P69" s="45">
        <f>P55-P27</f>
        <v/>
      </c>
      <c r="Q69" s="45">
        <f>Q55-Q27</f>
        <v/>
      </c>
      <c r="R69" s="49">
        <f>SUM(L69:Q69)</f>
        <v/>
      </c>
      <c r="S69" s="130">
        <f>S55-S27</f>
        <v/>
      </c>
      <c r="T69" s="124">
        <f>T55-T27</f>
        <v/>
      </c>
      <c r="U69" s="124">
        <f>U55-U27</f>
        <v/>
      </c>
      <c r="V69" s="124">
        <f>V55-V27</f>
        <v/>
      </c>
      <c r="W69" s="124">
        <f>W55-W27</f>
        <v/>
      </c>
      <c r="X69" s="124">
        <f>X55-X27</f>
        <v/>
      </c>
      <c r="Y69" s="125">
        <f>Y55-Y27</f>
        <v/>
      </c>
    </row>
    <row r="70" hidden="1" s="113">
      <c r="C70" s="3" t="inlineStr">
        <is>
          <t>合計</t>
        </is>
      </c>
      <c r="D70" s="70" t="n"/>
      <c r="E70" s="74">
        <f>SUM(E61:E69)</f>
        <v/>
      </c>
      <c r="F70" s="63">
        <f>SUM(F61:F69)</f>
        <v/>
      </c>
      <c r="G70" s="63">
        <f>SUM(G61:G69)</f>
        <v/>
      </c>
      <c r="H70" s="63">
        <f>SUM(H61:H69)</f>
        <v/>
      </c>
      <c r="I70" s="63">
        <f>SUM(I61:I69)</f>
        <v/>
      </c>
      <c r="J70" s="63">
        <f>SUM(J61:J69)</f>
        <v/>
      </c>
      <c r="K70" s="75">
        <f>SUM(K61:K69)</f>
        <v/>
      </c>
      <c r="L70" s="74">
        <f>SUM(L61:L69)</f>
        <v/>
      </c>
      <c r="M70" s="63">
        <f>SUM(M61:M69)</f>
        <v/>
      </c>
      <c r="N70" s="63">
        <f>SUM(N61:N69)</f>
        <v/>
      </c>
      <c r="O70" s="63">
        <f>SUM(O61:O69)</f>
        <v/>
      </c>
      <c r="P70" s="63">
        <f>SUM(P61:P69)</f>
        <v/>
      </c>
      <c r="Q70" s="63">
        <f>SUM(Q61:Q69)</f>
        <v/>
      </c>
      <c r="R70" s="75">
        <f>SUM(R61:R69)</f>
        <v/>
      </c>
      <c r="S70" s="126">
        <f>S56-S28</f>
        <v/>
      </c>
      <c r="T70" s="127">
        <f>T56-T28</f>
        <v/>
      </c>
      <c r="U70" s="127">
        <f>U56-U28</f>
        <v/>
      </c>
      <c r="V70" s="127">
        <f>V56-V28</f>
        <v/>
      </c>
      <c r="W70" s="127">
        <f>W56-W28</f>
        <v/>
      </c>
      <c r="X70" s="127">
        <f>X56-X28</f>
        <v/>
      </c>
      <c r="Y70" s="128">
        <f>Y56-Y28</f>
        <v/>
      </c>
    </row>
    <row r="71" hidden="1" s="113">
      <c r="C71" s="6" t="n"/>
      <c r="E71" s="5" t="n"/>
      <c r="F71" s="5" t="n"/>
      <c r="G71" s="5" t="n"/>
      <c r="H71" s="5" t="n"/>
      <c r="I71" s="5" t="n"/>
      <c r="J71" s="5" t="n"/>
      <c r="K71" s="6" t="n"/>
      <c r="L71" s="5" t="n"/>
      <c r="M71" s="5" t="n"/>
      <c r="N71" s="5" t="n"/>
      <c r="O71" s="5" t="n"/>
      <c r="P71" s="5" t="n"/>
      <c r="Q71" s="5" t="n"/>
      <c r="R71" s="6" t="n"/>
      <c r="S71" s="129" t="n"/>
      <c r="T71" s="129" t="n"/>
      <c r="U71" s="129" t="n"/>
      <c r="V71" s="129" t="n"/>
      <c r="W71" s="129" t="n"/>
      <c r="X71" s="129" t="n"/>
      <c r="Y71" s="129" t="n"/>
    </row>
    <row r="72" hidden="1" s="113">
      <c r="C72" s="6" t="inlineStr">
        <is>
          <t>6．過年度平均比</t>
        </is>
      </c>
    </row>
    <row r="73" hidden="1" s="113">
      <c r="C73" s="104" t="n"/>
      <c r="D73" s="106" t="n"/>
      <c r="E73" s="104" t="inlineStr">
        <is>
          <t>売上</t>
        </is>
      </c>
      <c r="F73" s="105" t="n"/>
      <c r="G73" s="105" t="n"/>
      <c r="H73" s="105" t="n"/>
      <c r="I73" s="105" t="n"/>
      <c r="J73" s="105" t="n"/>
      <c r="K73" s="106" t="n"/>
      <c r="L73" s="108" t="inlineStr">
        <is>
          <t>粗利益</t>
        </is>
      </c>
      <c r="M73" s="105" t="n"/>
      <c r="N73" s="105" t="n"/>
      <c r="O73" s="105" t="n"/>
      <c r="P73" s="105" t="n"/>
      <c r="Q73" s="105" t="n"/>
      <c r="R73" s="106" t="n"/>
      <c r="S73" s="108" t="inlineStr">
        <is>
          <t>粗利益率</t>
        </is>
      </c>
      <c r="T73" s="105" t="n"/>
      <c r="U73" s="105" t="n"/>
      <c r="V73" s="105" t="n"/>
      <c r="W73" s="105" t="n"/>
      <c r="X73" s="105" t="n"/>
      <c r="Y73" s="106" t="n"/>
    </row>
    <row r="74" hidden="1" s="113">
      <c r="C74" s="61" t="n"/>
      <c r="D74" s="68" t="n"/>
      <c r="E74" s="72" t="n">
        <v>46113</v>
      </c>
      <c r="F74" s="62" t="n">
        <v>46143</v>
      </c>
      <c r="G74" s="62" t="n">
        <v>46174</v>
      </c>
      <c r="H74" s="62" t="n">
        <v>46204</v>
      </c>
      <c r="I74" s="62" t="n">
        <v>46235</v>
      </c>
      <c r="J74" s="62" t="n">
        <v>46266</v>
      </c>
      <c r="K74" s="64" t="inlineStr">
        <is>
          <t>合計</t>
        </is>
      </c>
      <c r="L74" s="88" t="n">
        <v>46113</v>
      </c>
      <c r="M74" s="62" t="n">
        <v>46143</v>
      </c>
      <c r="N74" s="62" t="n">
        <v>46174</v>
      </c>
      <c r="O74" s="62" t="n">
        <v>46204</v>
      </c>
      <c r="P74" s="62" t="n">
        <v>46235</v>
      </c>
      <c r="Q74" s="62" t="n">
        <v>46266</v>
      </c>
      <c r="R74" s="64" t="inlineStr">
        <is>
          <t>合計</t>
        </is>
      </c>
      <c r="S74" s="88" t="n">
        <v>46113</v>
      </c>
      <c r="T74" s="62" t="n">
        <v>46143</v>
      </c>
      <c r="U74" s="62" t="n">
        <v>46174</v>
      </c>
      <c r="V74" s="62" t="n">
        <v>46204</v>
      </c>
      <c r="W74" s="62" t="n">
        <v>46235</v>
      </c>
      <c r="X74" s="62" t="n">
        <v>46266</v>
      </c>
      <c r="Y74" s="64" t="inlineStr">
        <is>
          <t>合計</t>
        </is>
      </c>
    </row>
    <row r="75" hidden="1" s="113">
      <c r="C75" s="71" t="inlineStr">
        <is>
          <t>0903 集計</t>
        </is>
      </c>
      <c r="D75" s="69" t="inlineStr">
        <is>
          <t>西岡</t>
        </is>
      </c>
      <c r="E75" s="2">
        <f>E47-E33</f>
        <v/>
      </c>
      <c r="F75" s="2">
        <f>F47-F33</f>
        <v/>
      </c>
      <c r="G75" s="2">
        <f>G47-G33</f>
        <v/>
      </c>
      <c r="H75" s="2">
        <f>H47-H33</f>
        <v/>
      </c>
      <c r="I75" s="2">
        <f>I47-I33</f>
        <v/>
      </c>
      <c r="J75" s="2">
        <f>J47-J33</f>
        <v/>
      </c>
      <c r="K75" s="79">
        <f>SUM(E75:J75)</f>
        <v/>
      </c>
      <c r="L75" s="1">
        <f>L47-L33</f>
        <v/>
      </c>
      <c r="M75" s="2">
        <f>M47-M33</f>
        <v/>
      </c>
      <c r="N75" s="2">
        <f>N47-N33</f>
        <v/>
      </c>
      <c r="O75" s="2">
        <f>O47-O33</f>
        <v/>
      </c>
      <c r="P75" s="2">
        <f>P47-P33</f>
        <v/>
      </c>
      <c r="Q75" s="2">
        <f>Q47-Q33</f>
        <v/>
      </c>
      <c r="R75" s="73">
        <f>SUM(L75:Q75)</f>
        <v/>
      </c>
      <c r="S75" s="123">
        <f>IF(E75=0,"***",L75/E75)</f>
        <v/>
      </c>
      <c r="T75" s="124">
        <f>IF(F75=0,"***",M75/F75)</f>
        <v/>
      </c>
      <c r="U75" s="124">
        <f>IF(G75=0,"***",N75/G75)</f>
        <v/>
      </c>
      <c r="V75" s="124">
        <f>IF(H75=0,"***",O75/H75)</f>
        <v/>
      </c>
      <c r="W75" s="124">
        <f>IF(I75=0,"***",P75/I75)</f>
        <v/>
      </c>
      <c r="X75" s="124">
        <f>IF(J75=0,"***",Q75/J75)</f>
        <v/>
      </c>
      <c r="Y75" s="125">
        <f>IF(K75=0,"***",R75/K75)</f>
        <v/>
      </c>
    </row>
    <row r="76" hidden="1" s="113">
      <c r="C76" s="71" t="inlineStr">
        <is>
          <t>0904 集計</t>
        </is>
      </c>
      <c r="D76" s="69" t="inlineStr">
        <is>
          <t>足立次長</t>
        </is>
      </c>
      <c r="E76" s="2">
        <f>E48-E34</f>
        <v/>
      </c>
      <c r="F76" s="2">
        <f>F48-F34</f>
        <v/>
      </c>
      <c r="G76" s="2">
        <f>G48-G34</f>
        <v/>
      </c>
      <c r="H76" s="2">
        <f>H48-H34</f>
        <v/>
      </c>
      <c r="I76" s="2">
        <f>I48-I34</f>
        <v/>
      </c>
      <c r="J76" s="2">
        <f>J48-J34</f>
        <v/>
      </c>
      <c r="K76" s="79">
        <f>SUM(E76:J76)</f>
        <v/>
      </c>
      <c r="L76" s="1">
        <f>L48-L34</f>
        <v/>
      </c>
      <c r="M76" s="2">
        <f>M48-M34</f>
        <v/>
      </c>
      <c r="N76" s="2">
        <f>N48-N34</f>
        <v/>
      </c>
      <c r="O76" s="2">
        <f>O48-O34</f>
        <v/>
      </c>
      <c r="P76" s="2">
        <f>P48-P34</f>
        <v/>
      </c>
      <c r="Q76" s="2">
        <f>Q48-Q34</f>
        <v/>
      </c>
      <c r="R76" s="73">
        <f>SUM(L76:Q76)</f>
        <v/>
      </c>
      <c r="S76" s="123">
        <f>IF(E76=0,"***",L76/E76)</f>
        <v/>
      </c>
      <c r="T76" s="124">
        <f>IF(F76=0,"***",M76/F76)</f>
        <v/>
      </c>
      <c r="U76" s="124">
        <f>IF(G76=0,"***",N76/G76)</f>
        <v/>
      </c>
      <c r="V76" s="124">
        <f>IF(H76=0,"***",O76/H76)</f>
        <v/>
      </c>
      <c r="W76" s="124">
        <f>IF(I76=0,"***",P76/I76)</f>
        <v/>
      </c>
      <c r="X76" s="124">
        <f>IF(J76=0,"***",Q76/J76)</f>
        <v/>
      </c>
      <c r="Y76" s="125">
        <f>IF(K76=0,"***",R76/K76)</f>
        <v/>
      </c>
    </row>
    <row r="77" hidden="1" s="113">
      <c r="C77" s="71" t="inlineStr">
        <is>
          <t>0909 集計</t>
        </is>
      </c>
      <c r="D77" s="69" t="inlineStr">
        <is>
          <t>藤波課長</t>
        </is>
      </c>
      <c r="E77" s="2">
        <f>E49-E35</f>
        <v/>
      </c>
      <c r="F77" s="2">
        <f>F49-F35</f>
        <v/>
      </c>
      <c r="G77" s="2">
        <f>G49-G35</f>
        <v/>
      </c>
      <c r="H77" s="2">
        <f>H49-H35</f>
        <v/>
      </c>
      <c r="I77" s="2">
        <f>I49-I35</f>
        <v/>
      </c>
      <c r="J77" s="2">
        <f>J49-J35</f>
        <v/>
      </c>
      <c r="K77" s="79">
        <f>SUM(E77:J77)</f>
        <v/>
      </c>
      <c r="L77" s="1">
        <f>L49-L35</f>
        <v/>
      </c>
      <c r="M77" s="2">
        <f>M49-M35</f>
        <v/>
      </c>
      <c r="N77" s="2">
        <f>N49-N35</f>
        <v/>
      </c>
      <c r="O77" s="2">
        <f>O49-O35</f>
        <v/>
      </c>
      <c r="P77" s="2">
        <f>P49-P35</f>
        <v/>
      </c>
      <c r="Q77" s="2">
        <f>Q49-Q35</f>
        <v/>
      </c>
      <c r="R77" s="73">
        <f>SUM(L77:Q77)</f>
        <v/>
      </c>
      <c r="S77" s="123">
        <f>IF(E77=0,"***",L77/E77)</f>
        <v/>
      </c>
      <c r="T77" s="124">
        <f>IF(F77=0,"***",M77/F77)</f>
        <v/>
      </c>
      <c r="U77" s="124">
        <f>IF(G77=0,"***",N77/G77)</f>
        <v/>
      </c>
      <c r="V77" s="124">
        <f>IF(H77=0,"***",O77/H77)</f>
        <v/>
      </c>
      <c r="W77" s="124">
        <f>IF(I77=0,"***",P77/I77)</f>
        <v/>
      </c>
      <c r="X77" s="124">
        <f>IF(J77=0,"***",Q77/J77)</f>
        <v/>
      </c>
      <c r="Y77" s="125">
        <f>IF(K77=0,"***",R77/K77)</f>
        <v/>
      </c>
    </row>
    <row r="78" hidden="1" s="113">
      <c r="C78" s="71" t="inlineStr">
        <is>
          <t>0910 集計</t>
        </is>
      </c>
      <c r="D78" s="69" t="inlineStr">
        <is>
          <t>足立課長</t>
        </is>
      </c>
      <c r="E78" s="2">
        <f>E50-E36</f>
        <v/>
      </c>
      <c r="F78" s="2">
        <f>F50-F36</f>
        <v/>
      </c>
      <c r="G78" s="2">
        <f>G50-G36</f>
        <v/>
      </c>
      <c r="H78" s="2">
        <f>H50-H36</f>
        <v/>
      </c>
      <c r="I78" s="2">
        <f>I50-I36</f>
        <v/>
      </c>
      <c r="J78" s="2">
        <f>J50-J36</f>
        <v/>
      </c>
      <c r="K78" s="79">
        <f>SUM(E78:J78)</f>
        <v/>
      </c>
      <c r="L78" s="1">
        <f>L50-L36</f>
        <v/>
      </c>
      <c r="M78" s="2">
        <f>M50-M36</f>
        <v/>
      </c>
      <c r="N78" s="2">
        <f>N50-N36</f>
        <v/>
      </c>
      <c r="O78" s="2">
        <f>O50-O36</f>
        <v/>
      </c>
      <c r="P78" s="2">
        <f>P50-P36</f>
        <v/>
      </c>
      <c r="Q78" s="2">
        <f>Q50-Q36</f>
        <v/>
      </c>
      <c r="R78" s="73">
        <f>SUM(L78:Q78)</f>
        <v/>
      </c>
      <c r="S78" s="123">
        <f>IF(E78=0,"***",L78/E78)</f>
        <v/>
      </c>
      <c r="T78" s="124">
        <f>IF(F78=0,"***",M78/F78)</f>
        <v/>
      </c>
      <c r="U78" s="124">
        <f>IF(G78=0,"***",N78/G78)</f>
        <v/>
      </c>
      <c r="V78" s="124">
        <f>IF(H78=0,"***",O78/H78)</f>
        <v/>
      </c>
      <c r="W78" s="124">
        <f>IF(I78=0,"***",P78/I78)</f>
        <v/>
      </c>
      <c r="X78" s="124">
        <f>IF(J78=0,"***",Q78/J78)</f>
        <v/>
      </c>
      <c r="Y78" s="125">
        <f>IF(K78=0,"***",R78/K78)</f>
        <v/>
      </c>
    </row>
    <row r="79" hidden="1" s="113">
      <c r="C79" s="71" t="inlineStr">
        <is>
          <t>0911 集計</t>
        </is>
      </c>
      <c r="D79" s="69" t="inlineStr">
        <is>
          <t>川邊主任</t>
        </is>
      </c>
      <c r="E79" s="2">
        <f>E51-E37</f>
        <v/>
      </c>
      <c r="F79" s="2">
        <f>F51-F37</f>
        <v/>
      </c>
      <c r="G79" s="2">
        <f>G51-G37</f>
        <v/>
      </c>
      <c r="H79" s="2">
        <f>H51-H37</f>
        <v/>
      </c>
      <c r="I79" s="2">
        <f>I51-I37</f>
        <v/>
      </c>
      <c r="J79" s="2">
        <f>J51-J37</f>
        <v/>
      </c>
      <c r="K79" s="79">
        <f>SUM(E79:J79)</f>
        <v/>
      </c>
      <c r="L79" s="1">
        <f>L51-L37</f>
        <v/>
      </c>
      <c r="M79" s="2">
        <f>M51-M37</f>
        <v/>
      </c>
      <c r="N79" s="2">
        <f>N51-N37</f>
        <v/>
      </c>
      <c r="O79" s="2">
        <f>O51-O37</f>
        <v/>
      </c>
      <c r="P79" s="2">
        <f>P51-P37</f>
        <v/>
      </c>
      <c r="Q79" s="2">
        <f>Q51-Q37</f>
        <v/>
      </c>
      <c r="R79" s="73">
        <f>SUM(L79:Q79)</f>
        <v/>
      </c>
      <c r="S79" s="123">
        <f>IF(E79=0,"***",L79/E79)</f>
        <v/>
      </c>
      <c r="T79" s="124">
        <f>IF(F79=0,"***",M79/F79)</f>
        <v/>
      </c>
      <c r="U79" s="124">
        <f>IF(G79=0,"***",N79/G79)</f>
        <v/>
      </c>
      <c r="V79" s="124">
        <f>IF(H79=0,"***",O79/H79)</f>
        <v/>
      </c>
      <c r="W79" s="124">
        <f>IF(I79=0,"***",P79/I79)</f>
        <v/>
      </c>
      <c r="X79" s="124">
        <f>IF(J79=0,"***",Q79/J79)</f>
        <v/>
      </c>
      <c r="Y79" s="125">
        <f>IF(K79=0,"***",R79/K79)</f>
        <v/>
      </c>
    </row>
    <row r="80" hidden="1" s="113">
      <c r="C80" s="71" t="inlineStr">
        <is>
          <t>0914 集計</t>
        </is>
      </c>
      <c r="D80" s="69" t="inlineStr">
        <is>
          <t>白根主任</t>
        </is>
      </c>
      <c r="E80" s="2">
        <f>E52-E38</f>
        <v/>
      </c>
      <c r="F80" s="2">
        <f>F52-F38</f>
        <v/>
      </c>
      <c r="G80" s="2">
        <f>G52-G38</f>
        <v/>
      </c>
      <c r="H80" s="2">
        <f>H52-H38</f>
        <v/>
      </c>
      <c r="I80" s="2">
        <f>I52-I38</f>
        <v/>
      </c>
      <c r="J80" s="2">
        <f>J52-J38</f>
        <v/>
      </c>
      <c r="K80" s="79">
        <f>SUM(E80:J80)</f>
        <v/>
      </c>
      <c r="L80" s="1">
        <f>L52-L38</f>
        <v/>
      </c>
      <c r="M80" s="2">
        <f>M52-M38</f>
        <v/>
      </c>
      <c r="N80" s="2">
        <f>N52-N38</f>
        <v/>
      </c>
      <c r="O80" s="2">
        <f>O52-O38</f>
        <v/>
      </c>
      <c r="P80" s="2">
        <f>P52-P38</f>
        <v/>
      </c>
      <c r="Q80" s="2">
        <f>Q52-Q38</f>
        <v/>
      </c>
      <c r="R80" s="73">
        <f>SUM(L80:Q80)</f>
        <v/>
      </c>
      <c r="S80" s="123">
        <f>IF(E80=0,"***",L80/E80)</f>
        <v/>
      </c>
      <c r="T80" s="124">
        <f>IF(F80=0,"***",M80/F80)</f>
        <v/>
      </c>
      <c r="U80" s="124">
        <f>IF(G80=0,"***",N80/G80)</f>
        <v/>
      </c>
      <c r="V80" s="124">
        <f>IF(H80=0,"***",O80/H80)</f>
        <v/>
      </c>
      <c r="W80" s="124">
        <f>IF(I80=0,"***",P80/I80)</f>
        <v/>
      </c>
      <c r="X80" s="124">
        <f>IF(J80=0,"***",Q80/J80)</f>
        <v/>
      </c>
      <c r="Y80" s="125">
        <f>IF(K80=0,"***",R80/K80)</f>
        <v/>
      </c>
    </row>
    <row r="81" hidden="1" s="113">
      <c r="C81" s="71" t="inlineStr">
        <is>
          <t>0918 集計</t>
        </is>
      </c>
      <c r="D81" s="69" t="inlineStr">
        <is>
          <t>海外</t>
        </is>
      </c>
      <c r="E81" s="2">
        <f>E53-E39</f>
        <v/>
      </c>
      <c r="F81" s="2">
        <f>F53-F39</f>
        <v/>
      </c>
      <c r="G81" s="2">
        <f>G53-G39</f>
        <v/>
      </c>
      <c r="H81" s="2">
        <f>H53-H39</f>
        <v/>
      </c>
      <c r="I81" s="2">
        <f>I53-I39</f>
        <v/>
      </c>
      <c r="J81" s="2">
        <f>J53-J39</f>
        <v/>
      </c>
      <c r="K81" s="79">
        <f>SUM(E81:J81)</f>
        <v/>
      </c>
      <c r="L81" s="1">
        <f>L53-L39</f>
        <v/>
      </c>
      <c r="M81" s="2">
        <f>M53-M39</f>
        <v/>
      </c>
      <c r="N81" s="2">
        <f>N53-N39</f>
        <v/>
      </c>
      <c r="O81" s="2">
        <f>O53-O39</f>
        <v/>
      </c>
      <c r="P81" s="2">
        <f>P53-P39</f>
        <v/>
      </c>
      <c r="Q81" s="2">
        <f>Q53-Q39</f>
        <v/>
      </c>
      <c r="R81" s="73">
        <f>SUM(L81:Q81)</f>
        <v/>
      </c>
      <c r="S81" s="123">
        <f>IF(E81=0,"***",L81/E81)</f>
        <v/>
      </c>
      <c r="T81" s="124">
        <f>IF(F81=0,"***",M81/F81)</f>
        <v/>
      </c>
      <c r="U81" s="124">
        <f>IF(G81=0,"***",N81/G81)</f>
        <v/>
      </c>
      <c r="V81" s="124">
        <f>IF(H81=0,"***",O81/H81)</f>
        <v/>
      </c>
      <c r="W81" s="124">
        <f>IF(I81=0,"***",P81/I81)</f>
        <v/>
      </c>
      <c r="X81" s="124">
        <f>IF(J81=0,"***",Q81/J81)</f>
        <v/>
      </c>
      <c r="Y81" s="125">
        <f>IF(K81=0,"***",R81/K81)</f>
        <v/>
      </c>
    </row>
    <row r="82" hidden="1" s="113">
      <c r="C82" s="71" t="inlineStr">
        <is>
          <t>0919 集計</t>
        </is>
      </c>
      <c r="D82" s="69" t="inlineStr">
        <is>
          <t>その他</t>
        </is>
      </c>
      <c r="E82" s="2">
        <f>E54-E40</f>
        <v/>
      </c>
      <c r="F82" s="2">
        <f>F54-F40</f>
        <v/>
      </c>
      <c r="G82" s="2">
        <f>G54-G40</f>
        <v/>
      </c>
      <c r="H82" s="2">
        <f>H54-H40</f>
        <v/>
      </c>
      <c r="I82" s="2">
        <f>I54-I40</f>
        <v/>
      </c>
      <c r="J82" s="2">
        <f>J54-J40</f>
        <v/>
      </c>
      <c r="K82" s="79">
        <f>SUM(E82:J82)</f>
        <v/>
      </c>
      <c r="L82" s="1">
        <f>L54-L40</f>
        <v/>
      </c>
      <c r="M82" s="2">
        <f>M54-M40</f>
        <v/>
      </c>
      <c r="N82" s="2">
        <f>N54-N40</f>
        <v/>
      </c>
      <c r="O82" s="2">
        <f>O54-O40</f>
        <v/>
      </c>
      <c r="P82" s="2">
        <f>P54-P40</f>
        <v/>
      </c>
      <c r="Q82" s="2">
        <f>Q54-Q40</f>
        <v/>
      </c>
      <c r="R82" s="73">
        <f>SUM(L82:Q82)</f>
        <v/>
      </c>
      <c r="S82" s="123">
        <f>IF(E82=0,"***",L82/E82)</f>
        <v/>
      </c>
      <c r="T82" s="124">
        <f>IF(F82=0,"***",M82/F82)</f>
        <v/>
      </c>
      <c r="U82" s="124">
        <f>IF(G82=0,"***",N82/G82)</f>
        <v/>
      </c>
      <c r="V82" s="124">
        <f>IF(H82=0,"***",O82/H82)</f>
        <v/>
      </c>
      <c r="W82" s="124">
        <f>IF(I82=0,"***",P82/I82)</f>
        <v/>
      </c>
      <c r="X82" s="124">
        <f>IF(J82=0,"***",Q82/J82)</f>
        <v/>
      </c>
      <c r="Y82" s="125">
        <f>IF(K82=0,"***",R82/K82)</f>
        <v/>
      </c>
    </row>
    <row r="83" hidden="1" s="113">
      <c r="C83" s="71" t="inlineStr">
        <is>
          <t>0930 集計</t>
        </is>
      </c>
      <c r="D83" s="69" t="inlineStr">
        <is>
          <t>自治体</t>
        </is>
      </c>
      <c r="E83" s="2">
        <f>E55-E41</f>
        <v/>
      </c>
      <c r="F83" s="2">
        <f>F55-F41</f>
        <v/>
      </c>
      <c r="G83" s="2">
        <f>G55-G41</f>
        <v/>
      </c>
      <c r="H83" s="2">
        <f>H55-H41</f>
        <v/>
      </c>
      <c r="I83" s="2">
        <f>I55-I41</f>
        <v/>
      </c>
      <c r="J83" s="2">
        <f>J55-J41</f>
        <v/>
      </c>
      <c r="K83" s="79">
        <f>SUM(E83:J83)</f>
        <v/>
      </c>
      <c r="L83" s="1">
        <f>L55-L41</f>
        <v/>
      </c>
      <c r="M83" s="2">
        <f>M55-M41</f>
        <v/>
      </c>
      <c r="N83" s="2">
        <f>N55-N41</f>
        <v/>
      </c>
      <c r="O83" s="2">
        <f>O55-O41</f>
        <v/>
      </c>
      <c r="P83" s="2">
        <f>P55-P41</f>
        <v/>
      </c>
      <c r="Q83" s="2">
        <f>Q55-Q41</f>
        <v/>
      </c>
      <c r="R83" s="73">
        <f>SUM(L83:Q83)</f>
        <v/>
      </c>
      <c r="S83" s="123">
        <f>IF(E83=0,"***",L83/E83)</f>
        <v/>
      </c>
      <c r="T83" s="124">
        <f>IF(F83=0,"***",M83/F83)</f>
        <v/>
      </c>
      <c r="U83" s="124">
        <f>IF(G83=0,"***",N83/G83)</f>
        <v/>
      </c>
      <c r="V83" s="124">
        <f>IF(H83=0,"***",O83/H83)</f>
        <v/>
      </c>
      <c r="W83" s="124">
        <f>IF(I83=0,"***",P83/I83)</f>
        <v/>
      </c>
      <c r="X83" s="124">
        <f>IF(J83=0,"***",Q83/J83)</f>
        <v/>
      </c>
      <c r="Y83" s="125">
        <f>IF(K83=0,"***",R83/K83)</f>
        <v/>
      </c>
    </row>
    <row r="84" hidden="1" s="113">
      <c r="C84" s="3" t="inlineStr">
        <is>
          <t>合計</t>
        </is>
      </c>
      <c r="D84" s="70" t="n"/>
      <c r="E84" s="74">
        <f>SUM(E75:E83)</f>
        <v/>
      </c>
      <c r="F84" s="63">
        <f>SUM(F75:F83)</f>
        <v/>
      </c>
      <c r="G84" s="63">
        <f>SUM(G75:G83)</f>
        <v/>
      </c>
      <c r="H84" s="63">
        <f>SUM(H75:H83)</f>
        <v/>
      </c>
      <c r="I84" s="63">
        <f>SUM(I75:I83)</f>
        <v/>
      </c>
      <c r="J84" s="63">
        <f>SUM(J75:J83)</f>
        <v/>
      </c>
      <c r="K84" s="75">
        <f>SUM(K75:K83)</f>
        <v/>
      </c>
      <c r="L84" s="74">
        <f>SUM(L75:L83)</f>
        <v/>
      </c>
      <c r="M84" s="63">
        <f>SUM(M75:M83)</f>
        <v/>
      </c>
      <c r="N84" s="63">
        <f>SUM(N75:N83)</f>
        <v/>
      </c>
      <c r="O84" s="63">
        <f>SUM(O75:O83)</f>
        <v/>
      </c>
      <c r="P84" s="63">
        <f>SUM(P75:P83)</f>
        <v/>
      </c>
      <c r="Q84" s="63">
        <f>SUM(Q75:Q83)</f>
        <v/>
      </c>
      <c r="R84" s="75">
        <f>SUM(R75:R83)</f>
        <v/>
      </c>
      <c r="S84" s="126">
        <f>IF(E84=0,"***",L84/E84)</f>
        <v/>
      </c>
      <c r="T84" s="127">
        <f>IF(F84=0,"***",M84/F84)</f>
        <v/>
      </c>
      <c r="U84" s="127">
        <f>IF(G84=0,"***",N84/G84)</f>
        <v/>
      </c>
      <c r="V84" s="127">
        <f>IF(H84=0,"***",O84/H84)</f>
        <v/>
      </c>
      <c r="W84" s="127">
        <f>IF(I84=0,"***",P84/I84)</f>
        <v/>
      </c>
      <c r="X84" s="127">
        <f>IF(J84=0,"***",Q84/J84)</f>
        <v/>
      </c>
      <c r="Y84" s="128">
        <f>IF(K84=0,"***",R84/K84)</f>
        <v/>
      </c>
    </row>
    <row r="85">
      <c r="C85" s="6" t="n"/>
      <c r="E85" s="5" t="n"/>
      <c r="F85" s="5" t="n"/>
      <c r="G85" s="5" t="n"/>
      <c r="H85" s="5" t="n"/>
      <c r="I85" s="5" t="n"/>
      <c r="J85" s="5" t="n"/>
      <c r="K85" s="6" t="n"/>
      <c r="L85" s="5" t="n"/>
      <c r="M85" s="5" t="n"/>
      <c r="N85" s="5" t="n"/>
      <c r="O85" s="5" t="n"/>
      <c r="P85" s="5" t="n"/>
      <c r="Q85" s="5" t="n"/>
      <c r="R85" s="6" t="n"/>
      <c r="S85" s="129" t="n"/>
      <c r="T85" s="129" t="n"/>
      <c r="U85" s="129" t="n"/>
      <c r="V85" s="129" t="n"/>
      <c r="W85" s="129" t="n"/>
      <c r="X85" s="129" t="n"/>
      <c r="Y85" s="129" t="n"/>
    </row>
    <row r="86">
      <c r="C86" s="6" t="inlineStr">
        <is>
          <t>7．実績</t>
        </is>
      </c>
    </row>
    <row r="87">
      <c r="C87" s="104" t="n"/>
      <c r="D87" s="106" t="n"/>
      <c r="E87" s="104" t="inlineStr">
        <is>
          <t>売上</t>
        </is>
      </c>
      <c r="F87" s="105" t="n"/>
      <c r="G87" s="105" t="n"/>
      <c r="H87" s="105" t="n"/>
      <c r="I87" s="105" t="n"/>
      <c r="J87" s="105" t="n"/>
      <c r="K87" s="106" t="n"/>
      <c r="L87" s="108" t="inlineStr">
        <is>
          <t>粗利益</t>
        </is>
      </c>
      <c r="M87" s="105" t="n"/>
      <c r="N87" s="105" t="n"/>
      <c r="O87" s="105" t="n"/>
      <c r="P87" s="105" t="n"/>
      <c r="Q87" s="105" t="n"/>
      <c r="R87" s="106" t="n"/>
      <c r="S87" s="108" t="inlineStr">
        <is>
          <t>粗利益率</t>
        </is>
      </c>
      <c r="T87" s="105" t="n"/>
      <c r="U87" s="105" t="n"/>
      <c r="V87" s="105" t="n"/>
      <c r="W87" s="105" t="n"/>
      <c r="X87" s="105" t="n"/>
      <c r="Y87" s="106" t="n"/>
    </row>
    <row r="88">
      <c r="C88" s="61" t="n"/>
      <c r="D88" s="68" t="n"/>
      <c r="E88" s="72" t="n">
        <v>46113</v>
      </c>
      <c r="F88" s="62" t="n">
        <v>46143</v>
      </c>
      <c r="G88" s="62" t="n">
        <v>46174</v>
      </c>
      <c r="H88" s="62" t="n">
        <v>46204</v>
      </c>
      <c r="I88" s="62" t="n">
        <v>46235</v>
      </c>
      <c r="J88" s="62" t="n">
        <v>46266</v>
      </c>
      <c r="K88" s="64" t="inlineStr">
        <is>
          <t>合計</t>
        </is>
      </c>
      <c r="L88" s="88" t="n">
        <v>46113</v>
      </c>
      <c r="M88" s="62" t="n">
        <v>46143</v>
      </c>
      <c r="N88" s="62" t="n">
        <v>46174</v>
      </c>
      <c r="O88" s="62" t="n">
        <v>46204</v>
      </c>
      <c r="P88" s="62" t="n">
        <v>46235</v>
      </c>
      <c r="Q88" s="62" t="n">
        <v>46266</v>
      </c>
      <c r="R88" s="64" t="inlineStr">
        <is>
          <t>合計</t>
        </is>
      </c>
      <c r="S88" s="88" t="n">
        <v>46113</v>
      </c>
      <c r="T88" s="62" t="n">
        <v>46143</v>
      </c>
      <c r="U88" s="62" t="n">
        <v>46174</v>
      </c>
      <c r="V88" s="62" t="n">
        <v>46204</v>
      </c>
      <c r="W88" s="62" t="n">
        <v>46235</v>
      </c>
      <c r="X88" s="62" t="n">
        <v>46266</v>
      </c>
      <c r="Y88" s="64" t="inlineStr">
        <is>
          <t>合計</t>
        </is>
      </c>
    </row>
    <row r="89">
      <c r="C89" s="71" t="inlineStr">
        <is>
          <t>0903 集計</t>
        </is>
      </c>
      <c r="D89" s="69" t="inlineStr">
        <is>
          <t>西岡</t>
        </is>
      </c>
      <c r="E89" s="80">
        <f>全体!E89-機械!E89</f>
        <v/>
      </c>
      <c r="F89" s="80">
        <f>全体!F89-機械!F89</f>
        <v/>
      </c>
      <c r="G89" s="80">
        <f>全体!G89-機械!G89</f>
        <v/>
      </c>
      <c r="H89" s="80">
        <f>全体!H89-機械!H89</f>
        <v/>
      </c>
      <c r="I89" s="80">
        <f>全体!I89-機械!I89</f>
        <v/>
      </c>
      <c r="J89" s="80">
        <f>全体!J89-機械!J89</f>
        <v/>
      </c>
      <c r="K89" s="58">
        <f>SUM(E89:J89)</f>
        <v/>
      </c>
      <c r="L89" s="80">
        <f>全体!L89-機械!L89</f>
        <v/>
      </c>
      <c r="M89" s="80">
        <f>全体!M89-機械!M89</f>
        <v/>
      </c>
      <c r="N89" s="80">
        <f>全体!N89-機械!N89</f>
        <v/>
      </c>
      <c r="O89" s="80">
        <f>全体!O89-機械!O89</f>
        <v/>
      </c>
      <c r="P89" s="80">
        <f>全体!P89-機械!P89</f>
        <v/>
      </c>
      <c r="Q89" s="80">
        <f>全体!Q89-機械!Q89</f>
        <v/>
      </c>
      <c r="R89" s="73">
        <f>SUM(L89:Q89)</f>
        <v/>
      </c>
      <c r="S89" s="123">
        <f>IF(E89=0,"***",L89/E89)</f>
        <v/>
      </c>
      <c r="T89" s="124">
        <f>IF(F89=0,"***",M89/F89)</f>
        <v/>
      </c>
      <c r="U89" s="124">
        <f>IF(G89=0,"***",N89/G89)</f>
        <v/>
      </c>
      <c r="V89" s="124">
        <f>IF(H89=0,"***",O89/H89)</f>
        <v/>
      </c>
      <c r="W89" s="124">
        <f>IF(I89=0,"***",P89/I89)</f>
        <v/>
      </c>
      <c r="X89" s="124">
        <f>IF(J89=0,"***",Q89/J89)</f>
        <v/>
      </c>
      <c r="Y89" s="125">
        <f>IF(K89=0,"***",R89/K89)</f>
        <v/>
      </c>
    </row>
    <row r="90">
      <c r="C90" s="71" t="inlineStr">
        <is>
          <t>0904 集計</t>
        </is>
      </c>
      <c r="D90" s="69" t="inlineStr">
        <is>
          <t>足立次長</t>
        </is>
      </c>
      <c r="E90" s="80">
        <f>全体!E90-機械!E90</f>
        <v/>
      </c>
      <c r="F90" s="80">
        <f>全体!F90-機械!F90</f>
        <v/>
      </c>
      <c r="G90" s="80">
        <f>全体!G90-機械!G90</f>
        <v/>
      </c>
      <c r="H90" s="80">
        <f>全体!H90-機械!H90</f>
        <v/>
      </c>
      <c r="I90" s="80">
        <f>全体!I90-機械!I90</f>
        <v/>
      </c>
      <c r="J90" s="80">
        <f>全体!J90-機械!J90</f>
        <v/>
      </c>
      <c r="K90" s="58">
        <f>SUM(E90:J90)</f>
        <v/>
      </c>
      <c r="L90" s="80">
        <f>全体!L90-機械!L90</f>
        <v/>
      </c>
      <c r="M90" s="80">
        <f>全体!M90-機械!M90</f>
        <v/>
      </c>
      <c r="N90" s="80">
        <f>全体!N90-機械!N90</f>
        <v/>
      </c>
      <c r="O90" s="80">
        <f>全体!O90-機械!O90</f>
        <v/>
      </c>
      <c r="P90" s="80">
        <f>全体!P90-機械!P90</f>
        <v/>
      </c>
      <c r="Q90" s="80">
        <f>全体!Q90-機械!Q90</f>
        <v/>
      </c>
      <c r="R90" s="73">
        <f>SUM(L90:Q90)</f>
        <v/>
      </c>
      <c r="S90" s="130">
        <f>IF(E90=0,"***",L90/E90)</f>
        <v/>
      </c>
      <c r="T90" s="131">
        <f>IF(F90=0,"***",M90/F90)</f>
        <v/>
      </c>
      <c r="U90" s="131">
        <f>IF(G90=0,"***",N90/G90)</f>
        <v/>
      </c>
      <c r="V90" s="131">
        <f>IF(H90=0,"***",O90/H90)</f>
        <v/>
      </c>
      <c r="W90" s="131">
        <f>IF(I90=0,"***",P90/I90)</f>
        <v/>
      </c>
      <c r="X90" s="131">
        <f>IF(J90=0,"***",Q90/J90)</f>
        <v/>
      </c>
      <c r="Y90" s="125">
        <f>IF(K90=0,"***",R90/K90)</f>
        <v/>
      </c>
    </row>
    <row r="91">
      <c r="C91" s="71" t="inlineStr">
        <is>
          <t>0909 集計</t>
        </is>
      </c>
      <c r="D91" s="69" t="inlineStr">
        <is>
          <t>藤波課長</t>
        </is>
      </c>
      <c r="E91" s="80">
        <f>全体!E91-機械!E91</f>
        <v/>
      </c>
      <c r="F91" s="80">
        <f>全体!F91-機械!F91</f>
        <v/>
      </c>
      <c r="G91" s="80">
        <f>全体!G91-機械!G91</f>
        <v/>
      </c>
      <c r="H91" s="80">
        <f>全体!H91-機械!H91</f>
        <v/>
      </c>
      <c r="I91" s="80">
        <f>全体!I91-機械!I91</f>
        <v/>
      </c>
      <c r="J91" s="80">
        <f>全体!J91-機械!J91</f>
        <v/>
      </c>
      <c r="K91" s="58">
        <f>SUM(E91:J91)</f>
        <v/>
      </c>
      <c r="L91" s="80">
        <f>全体!L91-機械!L91</f>
        <v/>
      </c>
      <c r="M91" s="80">
        <f>全体!M91-機械!M91</f>
        <v/>
      </c>
      <c r="N91" s="80">
        <f>全体!N91-機械!N91</f>
        <v/>
      </c>
      <c r="O91" s="80">
        <f>全体!O91-機械!O91</f>
        <v/>
      </c>
      <c r="P91" s="80">
        <f>全体!P91-機械!P91</f>
        <v/>
      </c>
      <c r="Q91" s="80">
        <f>全体!Q91-機械!Q91</f>
        <v/>
      </c>
      <c r="R91" s="73">
        <f>SUM(L91:Q91)</f>
        <v/>
      </c>
      <c r="S91" s="130">
        <f>IF(E91=0,"***",L91/E91)</f>
        <v/>
      </c>
      <c r="T91" s="131">
        <f>IF(F91=0,"***",M91/F91)</f>
        <v/>
      </c>
      <c r="U91" s="131">
        <f>IF(G91=0,"***",N91/G91)</f>
        <v/>
      </c>
      <c r="V91" s="131">
        <f>IF(H91=0,"***",O91/H91)</f>
        <v/>
      </c>
      <c r="W91" s="131">
        <f>IF(I91=0,"***",P91/I91)</f>
        <v/>
      </c>
      <c r="X91" s="131">
        <f>IF(J91=0,"***",Q91/J91)</f>
        <v/>
      </c>
      <c r="Y91" s="125">
        <f>IF(K91=0,"***",R91/K91)</f>
        <v/>
      </c>
    </row>
    <row r="92">
      <c r="C92" s="71" t="inlineStr">
        <is>
          <t>0910 集計</t>
        </is>
      </c>
      <c r="D92" s="69" t="inlineStr">
        <is>
          <t>足立課長</t>
        </is>
      </c>
      <c r="E92" s="80">
        <f>全体!E92-機械!E92</f>
        <v/>
      </c>
      <c r="F92" s="80">
        <f>全体!F92-機械!F92</f>
        <v/>
      </c>
      <c r="G92" s="80">
        <f>全体!G92-機械!G92</f>
        <v/>
      </c>
      <c r="H92" s="80">
        <f>全体!H92-機械!H92</f>
        <v/>
      </c>
      <c r="I92" s="80">
        <f>全体!I92-機械!I92</f>
        <v/>
      </c>
      <c r="J92" s="80">
        <f>全体!J92-機械!J92</f>
        <v/>
      </c>
      <c r="K92" s="58">
        <f>SUM(E92:J92)</f>
        <v/>
      </c>
      <c r="L92" s="80">
        <f>全体!L92-機械!L92</f>
        <v/>
      </c>
      <c r="M92" s="80">
        <f>全体!M92-機械!M92</f>
        <v/>
      </c>
      <c r="N92" s="80">
        <f>全体!N92-機械!N92</f>
        <v/>
      </c>
      <c r="O92" s="80">
        <f>全体!O92-機械!O92</f>
        <v/>
      </c>
      <c r="P92" s="80">
        <f>全体!P92-機械!P92</f>
        <v/>
      </c>
      <c r="Q92" s="80">
        <f>全体!Q92-機械!Q92</f>
        <v/>
      </c>
      <c r="R92" s="73">
        <f>SUM(L92:Q92)</f>
        <v/>
      </c>
      <c r="S92" s="130">
        <f>IF(E92=0,"***",L92/E92)</f>
        <v/>
      </c>
      <c r="T92" s="131">
        <f>IF(F92=0,"***",M92/F92)</f>
        <v/>
      </c>
      <c r="U92" s="131">
        <f>IF(G92=0,"***",N92/G92)</f>
        <v/>
      </c>
      <c r="V92" s="131">
        <f>IF(H92=0,"***",O92/H92)</f>
        <v/>
      </c>
      <c r="W92" s="131">
        <f>IF(I92=0,"***",P92/I92)</f>
        <v/>
      </c>
      <c r="X92" s="131">
        <f>IF(J92=0,"***",Q92/J92)</f>
        <v/>
      </c>
      <c r="Y92" s="125">
        <f>IF(K92=0,"***",R92/K92)</f>
        <v/>
      </c>
    </row>
    <row r="93">
      <c r="C93" s="71" t="inlineStr">
        <is>
          <t>0911 集計</t>
        </is>
      </c>
      <c r="D93" s="69" t="inlineStr">
        <is>
          <t>川邊主任</t>
        </is>
      </c>
      <c r="E93" s="80">
        <f>全体!E93-機械!E93</f>
        <v/>
      </c>
      <c r="F93" s="80">
        <f>全体!F93-機械!F93</f>
        <v/>
      </c>
      <c r="G93" s="80">
        <f>全体!G93-機械!G93</f>
        <v/>
      </c>
      <c r="H93" s="80">
        <f>全体!H93-機械!H93</f>
        <v/>
      </c>
      <c r="I93" s="80">
        <f>全体!I93-機械!I93</f>
        <v/>
      </c>
      <c r="J93" s="80">
        <f>全体!J93-機械!J93</f>
        <v/>
      </c>
      <c r="K93" s="58">
        <f>SUM(E93:J93)</f>
        <v/>
      </c>
      <c r="L93" s="80">
        <f>全体!L93-機械!L93</f>
        <v/>
      </c>
      <c r="M93" s="80">
        <f>全体!M93-機械!M93</f>
        <v/>
      </c>
      <c r="N93" s="80">
        <f>全体!N93-機械!N93</f>
        <v/>
      </c>
      <c r="O93" s="80">
        <f>全体!O93-機械!O93</f>
        <v/>
      </c>
      <c r="P93" s="80">
        <f>全体!P93-機械!P93</f>
        <v/>
      </c>
      <c r="Q93" s="80">
        <f>全体!Q93-機械!Q93</f>
        <v/>
      </c>
      <c r="R93" s="73">
        <f>SUM(L93:Q93)</f>
        <v/>
      </c>
      <c r="S93" s="123">
        <f>IF(E93=0,"***",L93/E93)</f>
        <v/>
      </c>
      <c r="T93" s="124">
        <f>IF(F93=0,"***",M93/F93)</f>
        <v/>
      </c>
      <c r="U93" s="124">
        <f>IF(G93=0,"***",N93/G93)</f>
        <v/>
      </c>
      <c r="V93" s="124">
        <f>IF(H93=0,"***",O93/H93)</f>
        <v/>
      </c>
      <c r="W93" s="124">
        <f>IF(I93=0,"***",P93/I93)</f>
        <v/>
      </c>
      <c r="X93" s="124">
        <f>IF(J93=0,"***",Q93/J93)</f>
        <v/>
      </c>
      <c r="Y93" s="125">
        <f>IF(K93=0,"***",R93/K93)</f>
        <v/>
      </c>
    </row>
    <row r="94">
      <c r="C94" s="71" t="inlineStr">
        <is>
          <t>0914 集計</t>
        </is>
      </c>
      <c r="D94" s="69" t="inlineStr">
        <is>
          <t>白根主任</t>
        </is>
      </c>
      <c r="E94" s="80">
        <f>全体!E94-機械!E94</f>
        <v/>
      </c>
      <c r="F94" s="80">
        <f>全体!F94-機械!F94</f>
        <v/>
      </c>
      <c r="G94" s="80">
        <f>全体!G94-機械!G94</f>
        <v/>
      </c>
      <c r="H94" s="80">
        <f>全体!H94-機械!H94</f>
        <v/>
      </c>
      <c r="I94" s="80">
        <f>全体!I94-機械!I94</f>
        <v/>
      </c>
      <c r="J94" s="80">
        <f>全体!J94-機械!J94</f>
        <v/>
      </c>
      <c r="K94" s="58">
        <f>SUM(E94:J94)</f>
        <v/>
      </c>
      <c r="L94" s="80">
        <f>全体!L94-機械!L94</f>
        <v/>
      </c>
      <c r="M94" s="80">
        <f>全体!M94-機械!M94</f>
        <v/>
      </c>
      <c r="N94" s="80">
        <f>全体!N94-機械!N94</f>
        <v/>
      </c>
      <c r="O94" s="80">
        <f>全体!O94-機械!O94</f>
        <v/>
      </c>
      <c r="P94" s="80">
        <f>全体!P94-機械!P94</f>
        <v/>
      </c>
      <c r="Q94" s="80">
        <f>全体!Q94-機械!Q94</f>
        <v/>
      </c>
      <c r="R94" s="73">
        <f>SUM(L94:Q94)</f>
        <v/>
      </c>
      <c r="S94" s="123">
        <f>IF(E94=0,"***",L94/E94)</f>
        <v/>
      </c>
      <c r="T94" s="124">
        <f>IF(F94=0,"***",M94/F94)</f>
        <v/>
      </c>
      <c r="U94" s="124">
        <f>IF(G94=0,"***",N94/G94)</f>
        <v/>
      </c>
      <c r="V94" s="124">
        <f>IF(H94=0,"***",O94/H94)</f>
        <v/>
      </c>
      <c r="W94" s="124">
        <f>IF(I94=0,"***",P94/I94)</f>
        <v/>
      </c>
      <c r="X94" s="124">
        <f>IF(J94=0,"***",Q94/J94)</f>
        <v/>
      </c>
      <c r="Y94" s="125">
        <f>IF(K94=0,"***",R94/K94)</f>
        <v/>
      </c>
    </row>
    <row r="95">
      <c r="C95" s="71" t="inlineStr">
        <is>
          <t>0918 集計</t>
        </is>
      </c>
      <c r="D95" s="69" t="inlineStr">
        <is>
          <t>海外</t>
        </is>
      </c>
      <c r="E95" s="80">
        <f>全体!E95-機械!E95</f>
        <v/>
      </c>
      <c r="F95" s="80">
        <f>全体!F95-機械!F95</f>
        <v/>
      </c>
      <c r="G95" s="80">
        <f>全体!G95-機械!G95</f>
        <v/>
      </c>
      <c r="H95" s="80">
        <f>全体!H95-機械!H95</f>
        <v/>
      </c>
      <c r="I95" s="80">
        <f>全体!I95-機械!I95</f>
        <v/>
      </c>
      <c r="J95" s="80">
        <f>全体!J95-機械!J95</f>
        <v/>
      </c>
      <c r="K95" s="58">
        <f>SUM(E95:J95)</f>
        <v/>
      </c>
      <c r="L95" s="80">
        <f>全体!L95-機械!L95</f>
        <v/>
      </c>
      <c r="M95" s="80">
        <f>全体!M95-機械!M95</f>
        <v/>
      </c>
      <c r="N95" s="80">
        <f>全体!N95-機械!N95</f>
        <v/>
      </c>
      <c r="O95" s="80">
        <f>全体!O95-機械!O95</f>
        <v/>
      </c>
      <c r="P95" s="80">
        <f>全体!P95-機械!P95</f>
        <v/>
      </c>
      <c r="Q95" s="80">
        <f>全体!Q95-機械!Q95</f>
        <v/>
      </c>
      <c r="R95" s="73">
        <f>SUM(L95:Q95)</f>
        <v/>
      </c>
      <c r="S95" s="130">
        <f>IF(E95=0,"***",L95/E95)</f>
        <v/>
      </c>
      <c r="T95" s="131">
        <f>IF(F95=0,"***",M95/F95)</f>
        <v/>
      </c>
      <c r="U95" s="131">
        <f>IF(G95=0,"***",N95/G95)</f>
        <v/>
      </c>
      <c r="V95" s="131">
        <f>IF(H95=0,"***",O95/H95)</f>
        <v/>
      </c>
      <c r="W95" s="131">
        <f>IF(I95=0,"***",P95/I95)</f>
        <v/>
      </c>
      <c r="X95" s="131">
        <f>IF(J95=0,"***",Q95/J95)</f>
        <v/>
      </c>
      <c r="Y95" s="125">
        <f>IF(K95=0,"***",R95/K95)</f>
        <v/>
      </c>
    </row>
    <row r="96">
      <c r="C96" s="71" t="inlineStr">
        <is>
          <t>0919 集計</t>
        </is>
      </c>
      <c r="D96" s="69" t="inlineStr">
        <is>
          <t>その他</t>
        </is>
      </c>
      <c r="E96" s="80">
        <f>全体!E96-機械!E96</f>
        <v/>
      </c>
      <c r="F96" s="80">
        <f>全体!F96-機械!F96</f>
        <v/>
      </c>
      <c r="G96" s="80">
        <f>全体!G96-機械!G96</f>
        <v/>
      </c>
      <c r="H96" s="80">
        <f>全体!H96-機械!H96</f>
        <v/>
      </c>
      <c r="I96" s="80">
        <f>全体!I96-機械!I96</f>
        <v/>
      </c>
      <c r="J96" s="80">
        <f>全体!J96-機械!J96</f>
        <v/>
      </c>
      <c r="K96" s="58">
        <f>SUM(E96:J96)</f>
        <v/>
      </c>
      <c r="L96" s="80">
        <f>全体!L96-機械!L96</f>
        <v/>
      </c>
      <c r="M96" s="80">
        <f>全体!M96-機械!M96</f>
        <v/>
      </c>
      <c r="N96" s="80">
        <f>全体!N96-機械!N96</f>
        <v/>
      </c>
      <c r="O96" s="80">
        <f>全体!O96-機械!O96</f>
        <v/>
      </c>
      <c r="P96" s="80">
        <f>全体!P96-機械!P96</f>
        <v/>
      </c>
      <c r="Q96" s="80">
        <f>全体!Q96-機械!Q96</f>
        <v/>
      </c>
      <c r="R96" s="73">
        <f>SUM(L96:Q96)</f>
        <v/>
      </c>
      <c r="S96" s="123">
        <f>IF(E96=0,"***",L96/E96)</f>
        <v/>
      </c>
      <c r="T96" s="124">
        <f>IF(F96=0,"***",M96/F96)</f>
        <v/>
      </c>
      <c r="U96" s="124">
        <f>IF(G96=0,"***",N96/G96)</f>
        <v/>
      </c>
      <c r="V96" s="124">
        <f>IF(H96=0,"***",O96/H96)</f>
        <v/>
      </c>
      <c r="W96" s="124">
        <f>IF(I96=0,"***",P96/I96)</f>
        <v/>
      </c>
      <c r="X96" s="124">
        <f>IF(J96=0,"***",Q96/J96)</f>
        <v/>
      </c>
      <c r="Y96" s="125">
        <f>IF(K96=0,"***",R96/K96)</f>
        <v/>
      </c>
    </row>
    <row r="97">
      <c r="C97" s="71" t="inlineStr">
        <is>
          <t>0930 集計</t>
        </is>
      </c>
      <c r="D97" s="69" t="inlineStr">
        <is>
          <t>自治体</t>
        </is>
      </c>
      <c r="E97" s="80">
        <f>全体!E97-機械!E97</f>
        <v/>
      </c>
      <c r="F97" s="80" t="n"/>
      <c r="G97" s="80">
        <f>全体!G97-機械!G97</f>
        <v/>
      </c>
      <c r="H97" s="80">
        <f>全体!H97-機械!H97</f>
        <v/>
      </c>
      <c r="I97" s="80">
        <f>全体!I97-機械!I97</f>
        <v/>
      </c>
      <c r="J97" s="80">
        <f>全体!J97-機械!J97</f>
        <v/>
      </c>
      <c r="K97" s="58">
        <f>SUM(E97:J97)</f>
        <v/>
      </c>
      <c r="L97" s="80">
        <f>全体!L97-機械!L97</f>
        <v/>
      </c>
      <c r="M97" s="80" t="n"/>
      <c r="N97" s="80">
        <f>全体!N97-機械!N97</f>
        <v/>
      </c>
      <c r="O97" s="80">
        <f>全体!O97-機械!O97</f>
        <v/>
      </c>
      <c r="P97" s="80">
        <f>全体!P97-機械!P97</f>
        <v/>
      </c>
      <c r="Q97" s="80">
        <f>全体!Q97-機械!Q97</f>
        <v/>
      </c>
      <c r="R97" s="73">
        <f>SUM(L97:Q97)</f>
        <v/>
      </c>
      <c r="S97" s="123">
        <f>IF(E97=0,"***",L97/E97)</f>
        <v/>
      </c>
      <c r="T97" s="124">
        <f>IF(F97=0,"***",M97/F97)</f>
        <v/>
      </c>
      <c r="U97" s="124">
        <f>IF(G97=0,"***",N97/G97)</f>
        <v/>
      </c>
      <c r="V97" s="124">
        <f>IF(H97=0,"***",O97/H97)</f>
        <v/>
      </c>
      <c r="W97" s="124">
        <f>IF(I97=0,"***",P97/I97)</f>
        <v/>
      </c>
      <c r="X97" s="124">
        <f>IF(J97=0,"***",Q97/J97)</f>
        <v/>
      </c>
      <c r="Y97" s="125">
        <f>IF(K97=0,"***",R97/K97)</f>
        <v/>
      </c>
    </row>
    <row r="98">
      <c r="C98" s="3" t="inlineStr">
        <is>
          <t>合計</t>
        </is>
      </c>
      <c r="D98" s="70" t="n"/>
      <c r="E98" s="74">
        <f>SUM(E89:E97)</f>
        <v/>
      </c>
      <c r="F98" s="63">
        <f>SUM(F89:F97)</f>
        <v/>
      </c>
      <c r="G98" s="63">
        <f>SUM(G89:G97)</f>
        <v/>
      </c>
      <c r="H98" s="63">
        <f>SUM(H89:H97)</f>
        <v/>
      </c>
      <c r="I98" s="63">
        <f>SUM(I89:I97)</f>
        <v/>
      </c>
      <c r="J98" s="63">
        <f>SUM(J89:J97)</f>
        <v/>
      </c>
      <c r="K98" s="75">
        <f>SUM(K89:K97)</f>
        <v/>
      </c>
      <c r="L98" s="74">
        <f>SUM(L89:L97)</f>
        <v/>
      </c>
      <c r="M98" s="63">
        <f>SUM(M89:M97)</f>
        <v/>
      </c>
      <c r="N98" s="63">
        <f>SUM(N89:N97)</f>
        <v/>
      </c>
      <c r="O98" s="63">
        <f>SUM(O89:O97)</f>
        <v/>
      </c>
      <c r="P98" s="63">
        <f>SUM(P89:P97)</f>
        <v/>
      </c>
      <c r="Q98" s="63">
        <f>SUM(Q89:Q97)</f>
        <v/>
      </c>
      <c r="R98" s="75">
        <f>SUM(R89:R97)</f>
        <v/>
      </c>
      <c r="S98" s="126">
        <f>IF(E98=0,"***",L98/E98)</f>
        <v/>
      </c>
      <c r="T98" s="127">
        <f>IF(F98=0,"***",M98/F98)</f>
        <v/>
      </c>
      <c r="U98" s="127">
        <f>IF(G98=0,"***",N98/G98)</f>
        <v/>
      </c>
      <c r="V98" s="127">
        <f>IF(H98=0,"***",O98/H98)</f>
        <v/>
      </c>
      <c r="W98" s="127">
        <f>IF(I98=0,"***",P98/I98)</f>
        <v/>
      </c>
      <c r="X98" s="127">
        <f>IF(J98=0,"***",Q98/J98)</f>
        <v/>
      </c>
      <c r="Y98" s="128">
        <f>IF(K98=0,"***",R98/K98)</f>
        <v/>
      </c>
    </row>
    <row r="99">
      <c r="C99" s="6" t="n"/>
      <c r="E99" s="5" t="n"/>
      <c r="F99" s="5" t="n"/>
      <c r="G99" s="5" t="n"/>
      <c r="H99" s="5" t="n"/>
      <c r="I99" s="5" t="n"/>
      <c r="J99" s="5" t="n"/>
      <c r="K99" s="6" t="n"/>
      <c r="L99" s="5" t="n"/>
      <c r="M99" s="5" t="n"/>
      <c r="N99" s="5" t="n"/>
      <c r="O99" s="5" t="n"/>
      <c r="P99" s="5" t="n"/>
      <c r="Q99" s="5" t="n"/>
      <c r="R99" s="6" t="n"/>
      <c r="S99" s="129" t="n"/>
      <c r="T99" s="129" t="n"/>
      <c r="U99" s="129" t="n"/>
      <c r="V99" s="129" t="n"/>
      <c r="W99" s="129" t="n"/>
      <c r="X99" s="129" t="n"/>
      <c r="Y99" s="129" t="n"/>
    </row>
    <row r="100">
      <c r="C100" s="6" t="inlineStr">
        <is>
          <t>8．計画比</t>
        </is>
      </c>
    </row>
    <row r="101">
      <c r="C101" s="104" t="n"/>
      <c r="D101" s="106" t="n"/>
      <c r="E101" s="104" t="inlineStr">
        <is>
          <t>売上</t>
        </is>
      </c>
      <c r="F101" s="105" t="n"/>
      <c r="G101" s="105" t="n"/>
      <c r="H101" s="105" t="n"/>
      <c r="I101" s="105" t="n"/>
      <c r="J101" s="105" t="n"/>
      <c r="K101" s="106" t="n"/>
      <c r="L101" s="108" t="inlineStr">
        <is>
          <t>粗利益</t>
        </is>
      </c>
      <c r="M101" s="105" t="n"/>
      <c r="N101" s="105" t="n"/>
      <c r="O101" s="105" t="n"/>
      <c r="P101" s="105" t="n"/>
      <c r="Q101" s="105" t="n"/>
      <c r="R101" s="106" t="n"/>
      <c r="S101" s="108" t="inlineStr">
        <is>
          <t>粗利益率</t>
        </is>
      </c>
      <c r="T101" s="105" t="n"/>
      <c r="U101" s="105" t="n"/>
      <c r="V101" s="105" t="n"/>
      <c r="W101" s="105" t="n"/>
      <c r="X101" s="105" t="n"/>
      <c r="Y101" s="106" t="n"/>
    </row>
    <row r="102">
      <c r="C102" s="61" t="n"/>
      <c r="D102" s="68" t="n"/>
      <c r="E102" s="72" t="n">
        <v>46113</v>
      </c>
      <c r="F102" s="62" t="n">
        <v>46143</v>
      </c>
      <c r="G102" s="62" t="n">
        <v>46174</v>
      </c>
      <c r="H102" s="62" t="n">
        <v>46204</v>
      </c>
      <c r="I102" s="62" t="n">
        <v>46235</v>
      </c>
      <c r="J102" s="62" t="n">
        <v>46266</v>
      </c>
      <c r="K102" s="64" t="inlineStr">
        <is>
          <t>合計</t>
        </is>
      </c>
      <c r="L102" s="88" t="n">
        <v>46113</v>
      </c>
      <c r="M102" s="62" t="n">
        <v>46143</v>
      </c>
      <c r="N102" s="62" t="n">
        <v>46174</v>
      </c>
      <c r="O102" s="62" t="n">
        <v>46204</v>
      </c>
      <c r="P102" s="62" t="n">
        <v>46235</v>
      </c>
      <c r="Q102" s="62" t="n">
        <v>46266</v>
      </c>
      <c r="R102" s="64" t="inlineStr">
        <is>
          <t>合計</t>
        </is>
      </c>
      <c r="S102" s="88" t="n">
        <v>46113</v>
      </c>
      <c r="T102" s="62" t="n">
        <v>46143</v>
      </c>
      <c r="U102" s="62" t="n">
        <v>46174</v>
      </c>
      <c r="V102" s="62" t="n">
        <v>46204</v>
      </c>
      <c r="W102" s="62" t="n">
        <v>46235</v>
      </c>
      <c r="X102" s="62" t="n">
        <v>46266</v>
      </c>
      <c r="Y102" s="64" t="inlineStr">
        <is>
          <t>合計</t>
        </is>
      </c>
    </row>
    <row r="103">
      <c r="C103" s="71" t="inlineStr">
        <is>
          <t>0903 集計</t>
        </is>
      </c>
      <c r="D103" s="69" t="inlineStr">
        <is>
          <t>西岡</t>
        </is>
      </c>
      <c r="E103" s="39">
        <f>E89-E47</f>
        <v/>
      </c>
      <c r="F103" s="39">
        <f>F89-F47</f>
        <v/>
      </c>
      <c r="G103" s="39">
        <f>G89-G47</f>
        <v/>
      </c>
      <c r="H103" s="39">
        <f>H89-H47</f>
        <v/>
      </c>
      <c r="I103" s="39">
        <f>I89-I47</f>
        <v/>
      </c>
      <c r="J103" s="39">
        <f>J89-J47</f>
        <v/>
      </c>
      <c r="K103" s="79">
        <f>SUM(E103:J103)</f>
        <v/>
      </c>
      <c r="L103" s="53">
        <f>L89-L47</f>
        <v/>
      </c>
      <c r="M103" s="2">
        <f>M89-M47</f>
        <v/>
      </c>
      <c r="N103" s="39">
        <f>N89-N47</f>
        <v/>
      </c>
      <c r="O103" s="2">
        <f>O89-O47</f>
        <v/>
      </c>
      <c r="P103" s="2">
        <f>P89-P47</f>
        <v/>
      </c>
      <c r="Q103" s="2">
        <f>Q89-Q47</f>
        <v/>
      </c>
      <c r="R103" s="73">
        <f>SUM(L103:Q103)</f>
        <v/>
      </c>
      <c r="S103" s="123">
        <f>S89-S47</f>
        <v/>
      </c>
      <c r="T103" s="124">
        <f>T89-T47</f>
        <v/>
      </c>
      <c r="U103" s="124">
        <f>U89-U47</f>
        <v/>
      </c>
      <c r="V103" s="124">
        <f>V89-V47</f>
        <v/>
      </c>
      <c r="W103" s="124">
        <f>W89-W47</f>
        <v/>
      </c>
      <c r="X103" s="124">
        <f>X89-X47</f>
        <v/>
      </c>
      <c r="Y103" s="125">
        <f>Y89-Y47</f>
        <v/>
      </c>
    </row>
    <row r="104">
      <c r="C104" s="71" t="inlineStr">
        <is>
          <t>0904 集計</t>
        </is>
      </c>
      <c r="D104" s="69" t="inlineStr">
        <is>
          <t>足立次長</t>
        </is>
      </c>
      <c r="E104" s="39">
        <f>E90-E48</f>
        <v/>
      </c>
      <c r="F104" s="39">
        <f>F90-F48</f>
        <v/>
      </c>
      <c r="G104" s="39">
        <f>G90-G48</f>
        <v/>
      </c>
      <c r="H104" s="39">
        <f>H90-H48</f>
        <v/>
      </c>
      <c r="I104" s="39">
        <f>I90-I48</f>
        <v/>
      </c>
      <c r="J104" s="39">
        <f>J90-J48</f>
        <v/>
      </c>
      <c r="K104" s="79">
        <f>SUM(E104:J104)</f>
        <v/>
      </c>
      <c r="L104" s="53">
        <f>L90-L48</f>
        <v/>
      </c>
      <c r="M104" s="2">
        <f>M90-M48</f>
        <v/>
      </c>
      <c r="N104" s="39">
        <f>N90-N48</f>
        <v/>
      </c>
      <c r="O104" s="2">
        <f>O90-O48</f>
        <v/>
      </c>
      <c r="P104" s="2">
        <f>P90-P48</f>
        <v/>
      </c>
      <c r="Q104" s="2">
        <f>Q90-Q48</f>
        <v/>
      </c>
      <c r="R104" s="73">
        <f>SUM(L104:Q104)</f>
        <v/>
      </c>
      <c r="S104" s="130">
        <f>S90-S48</f>
        <v/>
      </c>
      <c r="T104" s="131">
        <f>T90-T48</f>
        <v/>
      </c>
      <c r="U104" s="131">
        <f>U90-U48</f>
        <v/>
      </c>
      <c r="V104" s="131">
        <f>V90-V48</f>
        <v/>
      </c>
      <c r="W104" s="131">
        <f>W90-W48</f>
        <v/>
      </c>
      <c r="X104" s="131">
        <f>X90-X48</f>
        <v/>
      </c>
      <c r="Y104" s="125">
        <f>Y90-Y48</f>
        <v/>
      </c>
    </row>
    <row r="105">
      <c r="C105" s="71" t="inlineStr">
        <is>
          <t>0909 集計</t>
        </is>
      </c>
      <c r="D105" s="69" t="inlineStr">
        <is>
          <t>藤波課長</t>
        </is>
      </c>
      <c r="E105" s="39">
        <f>E91-E49</f>
        <v/>
      </c>
      <c r="F105" s="39">
        <f>F91-F49</f>
        <v/>
      </c>
      <c r="G105" s="39">
        <f>G91-G49</f>
        <v/>
      </c>
      <c r="H105" s="39">
        <f>H91-H49</f>
        <v/>
      </c>
      <c r="I105" s="39">
        <f>I91-I49</f>
        <v/>
      </c>
      <c r="J105" s="39">
        <f>J91-J49</f>
        <v/>
      </c>
      <c r="K105" s="79">
        <f>SUM(E105:J105)</f>
        <v/>
      </c>
      <c r="L105" s="53">
        <f>L91-L49</f>
        <v/>
      </c>
      <c r="M105" s="2">
        <f>M91-M49</f>
        <v/>
      </c>
      <c r="N105" s="39">
        <f>N91-N49</f>
        <v/>
      </c>
      <c r="O105" s="2">
        <f>O91-O49</f>
        <v/>
      </c>
      <c r="P105" s="2">
        <f>P91-P49</f>
        <v/>
      </c>
      <c r="Q105" s="2">
        <f>Q91-Q49</f>
        <v/>
      </c>
      <c r="R105" s="73">
        <f>SUM(L105:Q105)</f>
        <v/>
      </c>
      <c r="S105" s="130">
        <f>S91-S49</f>
        <v/>
      </c>
      <c r="T105" s="131">
        <f>T91-T49</f>
        <v/>
      </c>
      <c r="U105" s="131">
        <f>U91-U49</f>
        <v/>
      </c>
      <c r="V105" s="131">
        <f>V91-V49</f>
        <v/>
      </c>
      <c r="W105" s="131">
        <f>W91-W49</f>
        <v/>
      </c>
      <c r="X105" s="131">
        <f>X91-X49</f>
        <v/>
      </c>
      <c r="Y105" s="125">
        <f>Y91-Y49</f>
        <v/>
      </c>
    </row>
    <row r="106">
      <c r="C106" s="71" t="inlineStr">
        <is>
          <t>0910 集計</t>
        </is>
      </c>
      <c r="D106" s="69" t="inlineStr">
        <is>
          <t>足立課長</t>
        </is>
      </c>
      <c r="E106" s="39">
        <f>E92-E50</f>
        <v/>
      </c>
      <c r="F106" s="39">
        <f>F92-F50</f>
        <v/>
      </c>
      <c r="G106" s="39">
        <f>G92-G50</f>
        <v/>
      </c>
      <c r="H106" s="39">
        <f>H92-H50</f>
        <v/>
      </c>
      <c r="I106" s="39">
        <f>I92-I50</f>
        <v/>
      </c>
      <c r="J106" s="39">
        <f>J92-J50</f>
        <v/>
      </c>
      <c r="K106" s="79">
        <f>SUM(E106:J106)</f>
        <v/>
      </c>
      <c r="L106" s="53">
        <f>L92-L50</f>
        <v/>
      </c>
      <c r="M106" s="2">
        <f>M92-M50</f>
        <v/>
      </c>
      <c r="N106" s="39">
        <f>N92-N50</f>
        <v/>
      </c>
      <c r="O106" s="2">
        <f>O92-O50</f>
        <v/>
      </c>
      <c r="P106" s="2">
        <f>P92-P50</f>
        <v/>
      </c>
      <c r="Q106" s="2">
        <f>Q92-Q50</f>
        <v/>
      </c>
      <c r="R106" s="73">
        <f>SUM(L106:Q106)</f>
        <v/>
      </c>
      <c r="S106" s="130">
        <f>S92-S50</f>
        <v/>
      </c>
      <c r="T106" s="131">
        <f>T92-T50</f>
        <v/>
      </c>
      <c r="U106" s="131">
        <f>U92-U50</f>
        <v/>
      </c>
      <c r="V106" s="131">
        <f>V92-V50</f>
        <v/>
      </c>
      <c r="W106" s="131">
        <f>W92-W50</f>
        <v/>
      </c>
      <c r="X106" s="131">
        <f>X92-X50</f>
        <v/>
      </c>
      <c r="Y106" s="125">
        <f>Y92-Y50</f>
        <v/>
      </c>
    </row>
    <row r="107">
      <c r="C107" s="71" t="inlineStr">
        <is>
          <t>0911 集計</t>
        </is>
      </c>
      <c r="D107" s="69" t="inlineStr">
        <is>
          <t>川邊主任</t>
        </is>
      </c>
      <c r="E107" s="39">
        <f>E93-E51</f>
        <v/>
      </c>
      <c r="F107" s="39">
        <f>F93-F51</f>
        <v/>
      </c>
      <c r="G107" s="39">
        <f>G93-G51</f>
        <v/>
      </c>
      <c r="H107" s="39">
        <f>H93-H51</f>
        <v/>
      </c>
      <c r="I107" s="39">
        <f>I93-I51</f>
        <v/>
      </c>
      <c r="J107" s="39">
        <f>J93-J51</f>
        <v/>
      </c>
      <c r="K107" s="79">
        <f>SUM(E107:J107)</f>
        <v/>
      </c>
      <c r="L107" s="53">
        <f>L93-L51</f>
        <v/>
      </c>
      <c r="M107" s="2">
        <f>M93-M51</f>
        <v/>
      </c>
      <c r="N107" s="39">
        <f>N93-N51</f>
        <v/>
      </c>
      <c r="O107" s="2">
        <f>O93-O51</f>
        <v/>
      </c>
      <c r="P107" s="2">
        <f>P93-P51</f>
        <v/>
      </c>
      <c r="Q107" s="2">
        <f>Q93-Q51</f>
        <v/>
      </c>
      <c r="R107" s="73">
        <f>SUM(L107:Q107)</f>
        <v/>
      </c>
      <c r="S107" s="123">
        <f>S93-S51</f>
        <v/>
      </c>
      <c r="T107" s="124">
        <f>T93-T51</f>
        <v/>
      </c>
      <c r="U107" s="124">
        <f>U93-U51</f>
        <v/>
      </c>
      <c r="V107" s="124">
        <f>V93-V51</f>
        <v/>
      </c>
      <c r="W107" s="124">
        <f>W93-W51</f>
        <v/>
      </c>
      <c r="X107" s="124">
        <f>X93-X51</f>
        <v/>
      </c>
      <c r="Y107" s="125">
        <f>Y93-Y51</f>
        <v/>
      </c>
    </row>
    <row r="108">
      <c r="C108" s="71" t="inlineStr">
        <is>
          <t>0914 集計</t>
        </is>
      </c>
      <c r="D108" s="69" t="inlineStr">
        <is>
          <t>白根主任</t>
        </is>
      </c>
      <c r="E108" s="39">
        <f>E94-E52</f>
        <v/>
      </c>
      <c r="F108" s="39">
        <f>F94-F52</f>
        <v/>
      </c>
      <c r="G108" s="39">
        <f>G94-G52</f>
        <v/>
      </c>
      <c r="H108" s="39">
        <f>H94-H52</f>
        <v/>
      </c>
      <c r="I108" s="39">
        <f>I94-I52</f>
        <v/>
      </c>
      <c r="J108" s="39">
        <f>J94-J52</f>
        <v/>
      </c>
      <c r="K108" s="79">
        <f>SUM(E108:J108)</f>
        <v/>
      </c>
      <c r="L108" s="53">
        <f>L94-L52</f>
        <v/>
      </c>
      <c r="M108" s="2">
        <f>M94-M52</f>
        <v/>
      </c>
      <c r="N108" s="39">
        <f>N94-N52</f>
        <v/>
      </c>
      <c r="O108" s="2">
        <f>O94-O52</f>
        <v/>
      </c>
      <c r="P108" s="2">
        <f>P94-P52</f>
        <v/>
      </c>
      <c r="Q108" s="2">
        <f>Q94-Q52</f>
        <v/>
      </c>
      <c r="R108" s="73">
        <f>SUM(L108:Q108)</f>
        <v/>
      </c>
      <c r="S108" s="123">
        <f>S94-S52</f>
        <v/>
      </c>
      <c r="T108" s="124">
        <f>T94-T52</f>
        <v/>
      </c>
      <c r="U108" s="124">
        <f>U94-U52</f>
        <v/>
      </c>
      <c r="V108" s="124">
        <f>V94-V52</f>
        <v/>
      </c>
      <c r="W108" s="124">
        <f>W94-W52</f>
        <v/>
      </c>
      <c r="X108" s="124">
        <f>X94-X52</f>
        <v/>
      </c>
      <c r="Y108" s="125">
        <f>Y94-Y52</f>
        <v/>
      </c>
    </row>
    <row r="109">
      <c r="C109" s="71" t="inlineStr">
        <is>
          <t>0918 集計</t>
        </is>
      </c>
      <c r="D109" s="69" t="inlineStr">
        <is>
          <t>海外</t>
        </is>
      </c>
      <c r="E109" s="39">
        <f>E95-E53</f>
        <v/>
      </c>
      <c r="F109" s="39">
        <f>F95-F53</f>
        <v/>
      </c>
      <c r="G109" s="39">
        <f>G95-G53</f>
        <v/>
      </c>
      <c r="H109" s="39">
        <f>H95-H53</f>
        <v/>
      </c>
      <c r="I109" s="39">
        <f>I95-I53</f>
        <v/>
      </c>
      <c r="J109" s="39">
        <f>J95-J53</f>
        <v/>
      </c>
      <c r="K109" s="79">
        <f>SUM(E109:J109)</f>
        <v/>
      </c>
      <c r="L109" s="53">
        <f>L95-L53</f>
        <v/>
      </c>
      <c r="M109" s="2">
        <f>M95-M53</f>
        <v/>
      </c>
      <c r="N109" s="39">
        <f>N95-N53</f>
        <v/>
      </c>
      <c r="O109" s="2">
        <f>O95-O53</f>
        <v/>
      </c>
      <c r="P109" s="2">
        <f>P95-P53</f>
        <v/>
      </c>
      <c r="Q109" s="2">
        <f>Q95-Q53</f>
        <v/>
      </c>
      <c r="R109" s="73">
        <f>SUM(L109:Q109)</f>
        <v/>
      </c>
      <c r="S109" s="130">
        <f>S95-S53</f>
        <v/>
      </c>
      <c r="T109" s="131">
        <f>T95-T53</f>
        <v/>
      </c>
      <c r="U109" s="131">
        <f>U95-U53</f>
        <v/>
      </c>
      <c r="V109" s="131">
        <f>V95-V53</f>
        <v/>
      </c>
      <c r="W109" s="131">
        <f>W95-W53</f>
        <v/>
      </c>
      <c r="X109" s="131">
        <f>X95-X53</f>
        <v/>
      </c>
      <c r="Y109" s="125">
        <f>Y95-Y53</f>
        <v/>
      </c>
    </row>
    <row r="110">
      <c r="C110" s="71" t="inlineStr">
        <is>
          <t>0919 集計</t>
        </is>
      </c>
      <c r="D110" s="69" t="inlineStr">
        <is>
          <t>その他</t>
        </is>
      </c>
      <c r="E110" s="39">
        <f>E96-E54</f>
        <v/>
      </c>
      <c r="F110" s="39">
        <f>F96-F54</f>
        <v/>
      </c>
      <c r="G110" s="39">
        <f>G96-G54</f>
        <v/>
      </c>
      <c r="H110" s="39">
        <f>H96-H54</f>
        <v/>
      </c>
      <c r="I110" s="39">
        <f>I96-I54</f>
        <v/>
      </c>
      <c r="J110" s="39">
        <f>J96-J54</f>
        <v/>
      </c>
      <c r="K110" s="79">
        <f>SUM(E110:J110)</f>
        <v/>
      </c>
      <c r="L110" s="53">
        <f>L96-L54</f>
        <v/>
      </c>
      <c r="M110" s="2">
        <f>M96-M54</f>
        <v/>
      </c>
      <c r="N110" s="39">
        <f>N96-N54</f>
        <v/>
      </c>
      <c r="O110" s="2">
        <f>O96-O54</f>
        <v/>
      </c>
      <c r="P110" s="2">
        <f>P96-P54</f>
        <v/>
      </c>
      <c r="Q110" s="2">
        <f>Q96-Q54</f>
        <v/>
      </c>
      <c r="R110" s="73">
        <f>SUM(L110:Q110)</f>
        <v/>
      </c>
      <c r="S110" s="123">
        <f>S96-S54</f>
        <v/>
      </c>
      <c r="T110" s="124">
        <f>T96-T54</f>
        <v/>
      </c>
      <c r="U110" s="124">
        <f>U96-U54</f>
        <v/>
      </c>
      <c r="V110" s="124">
        <f>V96-V54</f>
        <v/>
      </c>
      <c r="W110" s="124">
        <f>W96-W54</f>
        <v/>
      </c>
      <c r="X110" s="124">
        <f>X96-X54</f>
        <v/>
      </c>
      <c r="Y110" s="125">
        <f>Y96-Y54</f>
        <v/>
      </c>
    </row>
    <row r="111">
      <c r="C111" s="71" t="inlineStr">
        <is>
          <t>0930 集計</t>
        </is>
      </c>
      <c r="D111" s="69" t="inlineStr">
        <is>
          <t>自治体</t>
        </is>
      </c>
      <c r="E111" s="39">
        <f>E97-E55</f>
        <v/>
      </c>
      <c r="F111" s="39">
        <f>F97-F55</f>
        <v/>
      </c>
      <c r="G111" s="39">
        <f>G97-G55</f>
        <v/>
      </c>
      <c r="H111" s="39">
        <f>H97-H55</f>
        <v/>
      </c>
      <c r="I111" s="39">
        <f>I97-I55</f>
        <v/>
      </c>
      <c r="J111" s="39">
        <f>J97-J55</f>
        <v/>
      </c>
      <c r="K111" s="79">
        <f>SUM(E111:J111)</f>
        <v/>
      </c>
      <c r="L111" s="53">
        <f>L97-L55</f>
        <v/>
      </c>
      <c r="M111" s="2">
        <f>M97-M55</f>
        <v/>
      </c>
      <c r="N111" s="39">
        <f>N97-N55</f>
        <v/>
      </c>
      <c r="O111" s="2">
        <f>O97-O55</f>
        <v/>
      </c>
      <c r="P111" s="2">
        <f>P97-P55</f>
        <v/>
      </c>
      <c r="Q111" s="2">
        <f>Q97-Q55</f>
        <v/>
      </c>
      <c r="R111" s="73">
        <f>SUM(L111:Q111)</f>
        <v/>
      </c>
      <c r="S111" s="123">
        <f>S97-S55</f>
        <v/>
      </c>
      <c r="T111" s="124">
        <f>T97-T55</f>
        <v/>
      </c>
      <c r="U111" s="124">
        <f>U97-U55</f>
        <v/>
      </c>
      <c r="V111" s="124">
        <f>V97-V55</f>
        <v/>
      </c>
      <c r="W111" s="124">
        <f>W97-W55</f>
        <v/>
      </c>
      <c r="X111" s="124">
        <f>X97-X55</f>
        <v/>
      </c>
      <c r="Y111" s="125">
        <f>Y97-Y55</f>
        <v/>
      </c>
    </row>
    <row r="112">
      <c r="C112" s="3" t="inlineStr">
        <is>
          <t>合計</t>
        </is>
      </c>
      <c r="D112" s="70" t="n"/>
      <c r="E112" s="74">
        <f>SUM(E103:E111)</f>
        <v/>
      </c>
      <c r="F112" s="63">
        <f>SUM(F103:F111)</f>
        <v/>
      </c>
      <c r="G112" s="63">
        <f>SUM(G103:G111)</f>
        <v/>
      </c>
      <c r="H112" s="63">
        <f>SUM(H103:H111)</f>
        <v/>
      </c>
      <c r="I112" s="63">
        <f>SUM(I103:I111)</f>
        <v/>
      </c>
      <c r="J112" s="63">
        <f>SUM(J103:J111)</f>
        <v/>
      </c>
      <c r="K112" s="75">
        <f>SUM(K103:K111)</f>
        <v/>
      </c>
      <c r="L112" s="74">
        <f>SUM(L103:L111)</f>
        <v/>
      </c>
      <c r="M112" s="63">
        <f>SUM(M103:M111)</f>
        <v/>
      </c>
      <c r="N112" s="63">
        <f>SUM(N103:N111)</f>
        <v/>
      </c>
      <c r="O112" s="63">
        <f>SUM(O103:O111)</f>
        <v/>
      </c>
      <c r="P112" s="63">
        <f>SUM(P103:P111)</f>
        <v/>
      </c>
      <c r="Q112" s="63">
        <f>SUM(Q103:Q111)</f>
        <v/>
      </c>
      <c r="R112" s="75">
        <f>SUM(R103:R111)</f>
        <v/>
      </c>
      <c r="S112" s="126">
        <f>S98-S56</f>
        <v/>
      </c>
      <c r="T112" s="127">
        <f>T98-T56</f>
        <v/>
      </c>
      <c r="U112" s="127">
        <f>U98-U56</f>
        <v/>
      </c>
      <c r="V112" s="127">
        <f>V98-V56</f>
        <v/>
      </c>
      <c r="W112" s="127">
        <f>W98-W56</f>
        <v/>
      </c>
      <c r="X112" s="127">
        <f>X98-X56</f>
        <v/>
      </c>
      <c r="Y112" s="128">
        <f>Y98-Y56</f>
        <v/>
      </c>
    </row>
    <row r="113">
      <c r="C113" s="6" t="n"/>
      <c r="E113" s="5" t="n"/>
      <c r="F113" s="5" t="n"/>
      <c r="G113" s="5" t="n"/>
      <c r="H113" s="5" t="n"/>
      <c r="I113" s="5" t="n"/>
      <c r="J113" s="5" t="n"/>
      <c r="K113" s="6" t="n"/>
      <c r="L113" s="5" t="n"/>
      <c r="M113" s="5" t="n"/>
      <c r="N113" s="5" t="n"/>
      <c r="O113" s="5" t="n"/>
      <c r="P113" s="5" t="n"/>
      <c r="Q113" s="5" t="n"/>
      <c r="R113" s="6" t="n"/>
      <c r="S113" s="129" t="n"/>
      <c r="T113" s="129" t="n"/>
      <c r="U113" s="129" t="n"/>
      <c r="V113" s="129" t="n"/>
      <c r="W113" s="129" t="n"/>
      <c r="X113" s="129" t="n"/>
      <c r="Y113" s="129" t="n"/>
    </row>
    <row r="114">
      <c r="C114" s="6" t="inlineStr">
        <is>
          <t>9．前期比</t>
        </is>
      </c>
    </row>
    <row r="115">
      <c r="C115" s="104" t="n"/>
      <c r="D115" s="106" t="n"/>
      <c r="E115" s="104" t="inlineStr">
        <is>
          <t>売上</t>
        </is>
      </c>
      <c r="F115" s="105" t="n"/>
      <c r="G115" s="105" t="n"/>
      <c r="H115" s="105" t="n"/>
      <c r="I115" s="105" t="n"/>
      <c r="J115" s="105" t="n"/>
      <c r="K115" s="106" t="n"/>
      <c r="L115" s="108" t="inlineStr">
        <is>
          <t>粗利益</t>
        </is>
      </c>
      <c r="M115" s="105" t="n"/>
      <c r="N115" s="105" t="n"/>
      <c r="O115" s="105" t="n"/>
      <c r="P115" s="105" t="n"/>
      <c r="Q115" s="105" t="n"/>
      <c r="R115" s="106" t="n"/>
      <c r="S115" s="108" t="inlineStr">
        <is>
          <t>粗利益率</t>
        </is>
      </c>
      <c r="T115" s="105" t="n"/>
      <c r="U115" s="105" t="n"/>
      <c r="V115" s="105" t="n"/>
      <c r="W115" s="105" t="n"/>
      <c r="X115" s="105" t="n"/>
      <c r="Y115" s="106" t="n"/>
    </row>
    <row r="116">
      <c r="C116" s="61" t="n"/>
      <c r="D116" s="68" t="n"/>
      <c r="E116" s="72" t="n">
        <v>46113</v>
      </c>
      <c r="F116" s="62" t="n">
        <v>46143</v>
      </c>
      <c r="G116" s="62" t="n">
        <v>46174</v>
      </c>
      <c r="H116" s="62" t="n">
        <v>46204</v>
      </c>
      <c r="I116" s="62" t="n">
        <v>46235</v>
      </c>
      <c r="J116" s="62" t="n">
        <v>46266</v>
      </c>
      <c r="K116" s="64" t="inlineStr">
        <is>
          <t>合計</t>
        </is>
      </c>
      <c r="L116" s="88" t="n">
        <v>46113</v>
      </c>
      <c r="M116" s="62" t="n">
        <v>46143</v>
      </c>
      <c r="N116" s="62" t="n">
        <v>46174</v>
      </c>
      <c r="O116" s="62" t="n">
        <v>46204</v>
      </c>
      <c r="P116" s="62" t="n">
        <v>46235</v>
      </c>
      <c r="Q116" s="62" t="n">
        <v>46266</v>
      </c>
      <c r="R116" s="64" t="inlineStr">
        <is>
          <t>合計</t>
        </is>
      </c>
      <c r="S116" s="88" t="n">
        <v>46113</v>
      </c>
      <c r="T116" s="62" t="n">
        <v>46143</v>
      </c>
      <c r="U116" s="62" t="n">
        <v>46174</v>
      </c>
      <c r="V116" s="62" t="n">
        <v>46204</v>
      </c>
      <c r="W116" s="62" t="n">
        <v>46235</v>
      </c>
      <c r="X116" s="62" t="n">
        <v>46266</v>
      </c>
      <c r="Y116" s="64" t="inlineStr">
        <is>
          <t>合計</t>
        </is>
      </c>
    </row>
    <row r="117">
      <c r="C117" s="71" t="inlineStr">
        <is>
          <t>0903 集計</t>
        </is>
      </c>
      <c r="D117" s="69" t="inlineStr">
        <is>
          <t>西岡</t>
        </is>
      </c>
      <c r="E117" s="57">
        <f>E89-E19</f>
        <v/>
      </c>
      <c r="F117" s="41">
        <f>F89-F19</f>
        <v/>
      </c>
      <c r="G117" s="41">
        <f>G89-G19</f>
        <v/>
      </c>
      <c r="H117" s="103">
        <f>H89-H19</f>
        <v/>
      </c>
      <c r="I117" s="103">
        <f>I89-I19</f>
        <v/>
      </c>
      <c r="J117" s="103">
        <f>J89-J19</f>
        <v/>
      </c>
      <c r="K117" s="73">
        <f>SUM(E117:J117)</f>
        <v/>
      </c>
      <c r="L117" s="41">
        <f>L89-L19</f>
        <v/>
      </c>
      <c r="M117" s="41">
        <f>M89-M19</f>
        <v/>
      </c>
      <c r="N117" s="41">
        <f>N89-N19</f>
        <v/>
      </c>
      <c r="O117" s="103">
        <f>O89-O19</f>
        <v/>
      </c>
      <c r="P117" s="103">
        <f>P89-P19</f>
        <v/>
      </c>
      <c r="Q117" s="103">
        <f>Q89-Q19</f>
        <v/>
      </c>
      <c r="R117" s="73">
        <f>SUM(L117:Q117)</f>
        <v/>
      </c>
      <c r="S117" s="123">
        <f>S89-S19</f>
        <v/>
      </c>
      <c r="T117" s="124">
        <f>T89-T19</f>
        <v/>
      </c>
      <c r="U117" s="124">
        <f>U89-U19</f>
        <v/>
      </c>
      <c r="V117" s="124">
        <f>V89-V19</f>
        <v/>
      </c>
      <c r="W117" s="124">
        <f>W89-W19</f>
        <v/>
      </c>
      <c r="X117" s="124">
        <f>X89-X19</f>
        <v/>
      </c>
      <c r="Y117" s="125">
        <f>Y89-Y19</f>
        <v/>
      </c>
    </row>
    <row r="118">
      <c r="C118" s="71" t="inlineStr">
        <is>
          <t>0904 集計</t>
        </is>
      </c>
      <c r="D118" s="69" t="inlineStr">
        <is>
          <t>足立次長</t>
        </is>
      </c>
      <c r="E118" s="57">
        <f>E90-E20</f>
        <v/>
      </c>
      <c r="F118" s="41">
        <f>F90-F20</f>
        <v/>
      </c>
      <c r="G118" s="41">
        <f>G90-G20</f>
        <v/>
      </c>
      <c r="H118" s="41">
        <f>H90-H20</f>
        <v/>
      </c>
      <c r="I118" s="41">
        <f>I90-I20</f>
        <v/>
      </c>
      <c r="J118" s="41">
        <f>J90-J20</f>
        <v/>
      </c>
      <c r="K118" s="73">
        <f>SUM(E118:J118)</f>
        <v/>
      </c>
      <c r="L118" s="41">
        <f>L90-L20</f>
        <v/>
      </c>
      <c r="M118" s="41">
        <f>M90-M20</f>
        <v/>
      </c>
      <c r="N118" s="41">
        <f>N90-N20</f>
        <v/>
      </c>
      <c r="O118" s="41">
        <f>O90-O20</f>
        <v/>
      </c>
      <c r="P118" s="41">
        <f>P90-P20</f>
        <v/>
      </c>
      <c r="Q118" s="41">
        <f>Q90-Q20</f>
        <v/>
      </c>
      <c r="R118" s="73">
        <f>SUM(L118:Q118)</f>
        <v/>
      </c>
      <c r="S118" s="130">
        <f>S90-S20</f>
        <v/>
      </c>
      <c r="T118" s="131">
        <f>T90-T20</f>
        <v/>
      </c>
      <c r="U118" s="131">
        <f>U90-U20</f>
        <v/>
      </c>
      <c r="V118" s="131">
        <f>V90-V20</f>
        <v/>
      </c>
      <c r="W118" s="131">
        <f>W90-W20</f>
        <v/>
      </c>
      <c r="X118" s="131">
        <f>X90-X20</f>
        <v/>
      </c>
      <c r="Y118" s="125">
        <f>Y90-Y20</f>
        <v/>
      </c>
    </row>
    <row r="119">
      <c r="C119" s="71" t="inlineStr">
        <is>
          <t>0909 集計</t>
        </is>
      </c>
      <c r="D119" s="69" t="inlineStr">
        <is>
          <t>藤波課長</t>
        </is>
      </c>
      <c r="E119" s="57">
        <f>E91-E21</f>
        <v/>
      </c>
      <c r="F119" s="41">
        <f>F91-F21</f>
        <v/>
      </c>
      <c r="G119" s="41">
        <f>G91-G21</f>
        <v/>
      </c>
      <c r="H119" s="41">
        <f>H91-H21</f>
        <v/>
      </c>
      <c r="I119" s="41">
        <f>I91-I21</f>
        <v/>
      </c>
      <c r="J119" s="41">
        <f>J91-J21</f>
        <v/>
      </c>
      <c r="K119" s="73">
        <f>SUM(E119:J119)</f>
        <v/>
      </c>
      <c r="L119" s="41">
        <f>L91-L21</f>
        <v/>
      </c>
      <c r="M119" s="41">
        <f>M91-M21</f>
        <v/>
      </c>
      <c r="N119" s="41">
        <f>N91-N21</f>
        <v/>
      </c>
      <c r="O119" s="41">
        <f>O91-O21</f>
        <v/>
      </c>
      <c r="P119" s="41">
        <f>P91-P21</f>
        <v/>
      </c>
      <c r="Q119" s="41">
        <f>Q91-Q21</f>
        <v/>
      </c>
      <c r="R119" s="73">
        <f>SUM(L119:Q119)</f>
        <v/>
      </c>
      <c r="S119" s="130">
        <f>S91-S21</f>
        <v/>
      </c>
      <c r="T119" s="131">
        <f>T91-T21</f>
        <v/>
      </c>
      <c r="U119" s="131">
        <f>U91-U21</f>
        <v/>
      </c>
      <c r="V119" s="131">
        <f>V91-V21</f>
        <v/>
      </c>
      <c r="W119" s="131">
        <f>W91-W21</f>
        <v/>
      </c>
      <c r="X119" s="131">
        <f>X91-X21</f>
        <v/>
      </c>
      <c r="Y119" s="125">
        <f>Y91-Y21</f>
        <v/>
      </c>
    </row>
    <row r="120">
      <c r="C120" s="71" t="inlineStr">
        <is>
          <t>0910 集計</t>
        </is>
      </c>
      <c r="D120" s="69" t="inlineStr">
        <is>
          <t>足立課長</t>
        </is>
      </c>
      <c r="E120" s="57">
        <f>E92-E22</f>
        <v/>
      </c>
      <c r="F120" s="41">
        <f>F92-F22</f>
        <v/>
      </c>
      <c r="G120" s="41">
        <f>G92-G22</f>
        <v/>
      </c>
      <c r="H120" s="41">
        <f>H92-H22</f>
        <v/>
      </c>
      <c r="I120" s="41">
        <f>I92-I22</f>
        <v/>
      </c>
      <c r="J120" s="41">
        <f>J92-J22</f>
        <v/>
      </c>
      <c r="K120" s="73">
        <f>SUM(E120:J120)</f>
        <v/>
      </c>
      <c r="L120" s="41">
        <f>L92-L22</f>
        <v/>
      </c>
      <c r="M120" s="41">
        <f>M92-M22</f>
        <v/>
      </c>
      <c r="N120" s="41">
        <f>N92-N22</f>
        <v/>
      </c>
      <c r="O120" s="41">
        <f>O92-O22</f>
        <v/>
      </c>
      <c r="P120" s="41">
        <f>P92-P22</f>
        <v/>
      </c>
      <c r="Q120" s="41">
        <f>Q92-Q22</f>
        <v/>
      </c>
      <c r="R120" s="73">
        <f>SUM(L120:Q120)</f>
        <v/>
      </c>
      <c r="S120" s="130">
        <f>S92-S22</f>
        <v/>
      </c>
      <c r="T120" s="131">
        <f>T92-T22</f>
        <v/>
      </c>
      <c r="U120" s="131">
        <f>U92-U22</f>
        <v/>
      </c>
      <c r="V120" s="131">
        <f>V92-V22</f>
        <v/>
      </c>
      <c r="W120" s="131">
        <f>W92-W22</f>
        <v/>
      </c>
      <c r="X120" s="131">
        <f>X92-X22</f>
        <v/>
      </c>
      <c r="Y120" s="125">
        <f>Y92-Y22</f>
        <v/>
      </c>
    </row>
    <row r="121">
      <c r="C121" s="71" t="inlineStr">
        <is>
          <t>0911 集計</t>
        </is>
      </c>
      <c r="D121" s="69" t="inlineStr">
        <is>
          <t>川邊主任</t>
        </is>
      </c>
      <c r="E121" s="57">
        <f>E93-E23</f>
        <v/>
      </c>
      <c r="F121" s="41">
        <f>F93-F23</f>
        <v/>
      </c>
      <c r="G121" s="41">
        <f>G93-G23</f>
        <v/>
      </c>
      <c r="H121" s="41">
        <f>H93-H23</f>
        <v/>
      </c>
      <c r="I121" s="41">
        <f>I93-I23</f>
        <v/>
      </c>
      <c r="J121" s="41">
        <f>J93-J23</f>
        <v/>
      </c>
      <c r="K121" s="73">
        <f>SUM(E121:J121)</f>
        <v/>
      </c>
      <c r="L121" s="41">
        <f>L93-L23</f>
        <v/>
      </c>
      <c r="M121" s="41">
        <f>M93-M23</f>
        <v/>
      </c>
      <c r="N121" s="41">
        <f>N93-N23</f>
        <v/>
      </c>
      <c r="O121" s="41">
        <f>O93-O23</f>
        <v/>
      </c>
      <c r="P121" s="41">
        <f>P93-P23</f>
        <v/>
      </c>
      <c r="Q121" s="41">
        <f>Q93-Q23</f>
        <v/>
      </c>
      <c r="R121" s="73">
        <f>SUM(L121:Q121)</f>
        <v/>
      </c>
      <c r="S121" s="123">
        <f>S93-S23</f>
        <v/>
      </c>
      <c r="T121" s="124">
        <f>T93-T23</f>
        <v/>
      </c>
      <c r="U121" s="124">
        <f>U93-U23</f>
        <v/>
      </c>
      <c r="V121" s="124">
        <f>V93-V23</f>
        <v/>
      </c>
      <c r="W121" s="124">
        <f>W93-W23</f>
        <v/>
      </c>
      <c r="X121" s="124">
        <f>X93-X23</f>
        <v/>
      </c>
      <c r="Y121" s="125">
        <f>Y93-Y23</f>
        <v/>
      </c>
    </row>
    <row r="122">
      <c r="C122" s="71" t="inlineStr">
        <is>
          <t>0914 集計</t>
        </is>
      </c>
      <c r="D122" s="69" t="inlineStr">
        <is>
          <t>白根主任</t>
        </is>
      </c>
      <c r="E122" s="57">
        <f>E94-E24</f>
        <v/>
      </c>
      <c r="F122" s="41">
        <f>F94-F24</f>
        <v/>
      </c>
      <c r="G122" s="41">
        <f>G94-G24</f>
        <v/>
      </c>
      <c r="H122" s="41">
        <f>H94-H24</f>
        <v/>
      </c>
      <c r="I122" s="41">
        <f>I94-I24</f>
        <v/>
      </c>
      <c r="J122" s="41">
        <f>J94-J24</f>
        <v/>
      </c>
      <c r="K122" s="73">
        <f>SUM(E122:J122)</f>
        <v/>
      </c>
      <c r="L122" s="41">
        <f>L94-L24</f>
        <v/>
      </c>
      <c r="M122" s="41">
        <f>M94-M24</f>
        <v/>
      </c>
      <c r="N122" s="41">
        <f>N94-N24</f>
        <v/>
      </c>
      <c r="O122" s="41">
        <f>O94-O24</f>
        <v/>
      </c>
      <c r="P122" s="41">
        <f>P94-P24</f>
        <v/>
      </c>
      <c r="Q122" s="41">
        <f>Q94-Q24</f>
        <v/>
      </c>
      <c r="R122" s="73">
        <f>SUM(L122:Q122)</f>
        <v/>
      </c>
      <c r="S122" s="123">
        <f>S94-S24</f>
        <v/>
      </c>
      <c r="T122" s="124">
        <f>T94-T24</f>
        <v/>
      </c>
      <c r="U122" s="124">
        <f>U94-U24</f>
        <v/>
      </c>
      <c r="V122" s="124">
        <f>V94-V24</f>
        <v/>
      </c>
      <c r="W122" s="124">
        <f>W94-W24</f>
        <v/>
      </c>
      <c r="X122" s="124">
        <f>X94-X24</f>
        <v/>
      </c>
      <c r="Y122" s="125">
        <f>Y94-Y24</f>
        <v/>
      </c>
    </row>
    <row r="123">
      <c r="C123" s="71" t="inlineStr">
        <is>
          <t>0918 集計</t>
        </is>
      </c>
      <c r="D123" s="69" t="inlineStr">
        <is>
          <t>海外</t>
        </is>
      </c>
      <c r="E123" s="57">
        <f>E95-E25</f>
        <v/>
      </c>
      <c r="F123" s="41">
        <f>F95-F25</f>
        <v/>
      </c>
      <c r="G123" s="41">
        <f>G95-G25</f>
        <v/>
      </c>
      <c r="H123" s="41">
        <f>H95-H25</f>
        <v/>
      </c>
      <c r="I123" s="41">
        <f>I95-I25</f>
        <v/>
      </c>
      <c r="J123" s="41">
        <f>J95-J25</f>
        <v/>
      </c>
      <c r="K123" s="73">
        <f>SUM(E123:J123)</f>
        <v/>
      </c>
      <c r="L123" s="41">
        <f>L95-L25</f>
        <v/>
      </c>
      <c r="M123" s="41">
        <f>M95-M25</f>
        <v/>
      </c>
      <c r="N123" s="41">
        <f>N95-N25</f>
        <v/>
      </c>
      <c r="O123" s="41">
        <f>O95-O25</f>
        <v/>
      </c>
      <c r="P123" s="41">
        <f>P95-P25</f>
        <v/>
      </c>
      <c r="Q123" s="41">
        <f>Q95-Q25</f>
        <v/>
      </c>
      <c r="R123" s="73">
        <f>SUM(L123:Q123)</f>
        <v/>
      </c>
      <c r="S123" s="130">
        <f>S95-S25</f>
        <v/>
      </c>
      <c r="T123" s="131">
        <f>T95-T25</f>
        <v/>
      </c>
      <c r="U123" s="131">
        <f>U95-U25</f>
        <v/>
      </c>
      <c r="V123" s="131">
        <f>V95-V25</f>
        <v/>
      </c>
      <c r="W123" s="131">
        <f>W95-W25</f>
        <v/>
      </c>
      <c r="X123" s="131">
        <f>X95-X25</f>
        <v/>
      </c>
      <c r="Y123" s="125">
        <f>Y95-Y25</f>
        <v/>
      </c>
    </row>
    <row r="124">
      <c r="C124" s="71" t="inlineStr">
        <is>
          <t>0919 集計</t>
        </is>
      </c>
      <c r="D124" s="69" t="inlineStr">
        <is>
          <t>その他</t>
        </is>
      </c>
      <c r="E124" s="57">
        <f>E96-E26</f>
        <v/>
      </c>
      <c r="F124" s="41">
        <f>F96-F26</f>
        <v/>
      </c>
      <c r="G124" s="41">
        <f>G96-G26</f>
        <v/>
      </c>
      <c r="H124" s="41">
        <f>H96-H26</f>
        <v/>
      </c>
      <c r="I124" s="41">
        <f>I96-I26</f>
        <v/>
      </c>
      <c r="J124" s="41">
        <f>J96-J26</f>
        <v/>
      </c>
      <c r="K124" s="73">
        <f>SUM(E124:J124)</f>
        <v/>
      </c>
      <c r="L124" s="41">
        <f>L96-L26</f>
        <v/>
      </c>
      <c r="M124" s="41">
        <f>M96-M26</f>
        <v/>
      </c>
      <c r="N124" s="41">
        <f>N96-N26</f>
        <v/>
      </c>
      <c r="O124" s="41">
        <f>O96-O26</f>
        <v/>
      </c>
      <c r="P124" s="41">
        <f>P96-P26</f>
        <v/>
      </c>
      <c r="Q124" s="41">
        <f>Q96-Q26</f>
        <v/>
      </c>
      <c r="R124" s="73">
        <f>SUM(L124:Q124)</f>
        <v/>
      </c>
      <c r="S124" s="123">
        <f>S96-S26</f>
        <v/>
      </c>
      <c r="T124" s="124">
        <f>T96-T26</f>
        <v/>
      </c>
      <c r="U124" s="124">
        <f>U96-U26</f>
        <v/>
      </c>
      <c r="V124" s="124">
        <f>V96-V26</f>
        <v/>
      </c>
      <c r="W124" s="124">
        <f>W96-W26</f>
        <v/>
      </c>
      <c r="X124" s="124">
        <f>X96-X26</f>
        <v/>
      </c>
      <c r="Y124" s="125">
        <f>Y96-Y26</f>
        <v/>
      </c>
    </row>
    <row r="125">
      <c r="C125" s="71" t="inlineStr">
        <is>
          <t>0930 集計</t>
        </is>
      </c>
      <c r="D125" s="69" t="inlineStr">
        <is>
          <t>自治体</t>
        </is>
      </c>
      <c r="E125" s="57">
        <f>E97-E27</f>
        <v/>
      </c>
      <c r="F125" s="41">
        <f>F97-F27</f>
        <v/>
      </c>
      <c r="G125" s="41">
        <f>G97-G27</f>
        <v/>
      </c>
      <c r="H125" s="41">
        <f>H97-H27</f>
        <v/>
      </c>
      <c r="I125" s="41">
        <f>I97-I27</f>
        <v/>
      </c>
      <c r="J125" s="41">
        <f>J97-J27</f>
        <v/>
      </c>
      <c r="K125" s="73">
        <f>SUM(E125:J125)</f>
        <v/>
      </c>
      <c r="L125" s="41">
        <f>L97-L27</f>
        <v/>
      </c>
      <c r="M125" s="41">
        <f>M97-M27</f>
        <v/>
      </c>
      <c r="N125" s="41">
        <f>N97-N27</f>
        <v/>
      </c>
      <c r="O125" s="41">
        <f>O97-O27</f>
        <v/>
      </c>
      <c r="P125" s="41">
        <f>P97-P27</f>
        <v/>
      </c>
      <c r="Q125" s="41">
        <f>Q97-Q27</f>
        <v/>
      </c>
      <c r="R125" s="73">
        <f>SUM(L125:Q125)</f>
        <v/>
      </c>
      <c r="S125" s="123">
        <f>S97-S27</f>
        <v/>
      </c>
      <c r="T125" s="124">
        <f>T97-T27</f>
        <v/>
      </c>
      <c r="U125" s="124">
        <f>U97-U27</f>
        <v/>
      </c>
      <c r="V125" s="124">
        <f>V97-V27</f>
        <v/>
      </c>
      <c r="W125" s="124">
        <f>W97-W27</f>
        <v/>
      </c>
      <c r="X125" s="124">
        <f>X97-X27</f>
        <v/>
      </c>
      <c r="Y125" s="125">
        <f>Y97-Y27</f>
        <v/>
      </c>
    </row>
    <row r="126">
      <c r="C126" s="3" t="inlineStr">
        <is>
          <t>合計</t>
        </is>
      </c>
      <c r="D126" s="70" t="n"/>
      <c r="E126" s="74">
        <f>SUM(E117:E125)</f>
        <v/>
      </c>
      <c r="F126" s="63">
        <f>SUM(F117:F125)</f>
        <v/>
      </c>
      <c r="G126" s="63">
        <f>SUM(G117:G125)</f>
        <v/>
      </c>
      <c r="H126" s="63">
        <f>SUM(H117:H125)</f>
        <v/>
      </c>
      <c r="I126" s="63">
        <f>SUM(I117:I125)</f>
        <v/>
      </c>
      <c r="J126" s="63">
        <f>SUM(J117:J125)</f>
        <v/>
      </c>
      <c r="K126" s="75">
        <f>SUM(K117:K125)</f>
        <v/>
      </c>
      <c r="L126" s="74">
        <f>SUM(L117:L125)</f>
        <v/>
      </c>
      <c r="M126" s="63">
        <f>SUM(M117:M125)</f>
        <v/>
      </c>
      <c r="N126" s="63">
        <f>SUM(N117:N125)</f>
        <v/>
      </c>
      <c r="O126" s="63">
        <f>SUM(O117:O125)</f>
        <v/>
      </c>
      <c r="P126" s="63">
        <f>SUM(P117:P125)</f>
        <v/>
      </c>
      <c r="Q126" s="63">
        <f>SUM(Q117:Q125)</f>
        <v/>
      </c>
      <c r="R126" s="75">
        <f>SUM(R117:R125)</f>
        <v/>
      </c>
      <c r="S126" s="126">
        <f>S98-S28</f>
        <v/>
      </c>
      <c r="T126" s="127">
        <f>T98-T28</f>
        <v/>
      </c>
      <c r="U126" s="127">
        <f>U98-U28</f>
        <v/>
      </c>
      <c r="V126" s="127">
        <f>V112-V70</f>
        <v/>
      </c>
      <c r="W126" s="127">
        <f>W112-W70</f>
        <v/>
      </c>
      <c r="X126" s="127">
        <f>X112-X70</f>
        <v/>
      </c>
      <c r="Y126" s="128">
        <f>Y98-Y28</f>
        <v/>
      </c>
    </row>
  </sheetData>
  <mergeCells count="36">
    <mergeCell ref="E45:K45"/>
    <mergeCell ref="C101:D101"/>
    <mergeCell ref="E101:K101"/>
    <mergeCell ref="L31:R31"/>
    <mergeCell ref="S45:Y45"/>
    <mergeCell ref="C45:D45"/>
    <mergeCell ref="L59:R59"/>
    <mergeCell ref="L115:R115"/>
    <mergeCell ref="C73:D73"/>
    <mergeCell ref="E115:K115"/>
    <mergeCell ref="E3:K3"/>
    <mergeCell ref="S31:Y31"/>
    <mergeCell ref="L17:R17"/>
    <mergeCell ref="S59:Y59"/>
    <mergeCell ref="C31:D31"/>
    <mergeCell ref="L101:R101"/>
    <mergeCell ref="C59:D59"/>
    <mergeCell ref="S115:Y115"/>
    <mergeCell ref="C115:D115"/>
    <mergeCell ref="E17:K17"/>
    <mergeCell ref="S3:Y3"/>
    <mergeCell ref="L87:R87"/>
    <mergeCell ref="L3:R3"/>
    <mergeCell ref="E73:K73"/>
    <mergeCell ref="E87:K87"/>
    <mergeCell ref="S17:Y17"/>
    <mergeCell ref="S73:Y73"/>
    <mergeCell ref="C17:D17"/>
    <mergeCell ref="S101:Y101"/>
    <mergeCell ref="E31:K31"/>
    <mergeCell ref="L45:R45"/>
    <mergeCell ref="S87:Y87"/>
    <mergeCell ref="E59:K59"/>
    <mergeCell ref="L73:R73"/>
    <mergeCell ref="C3:D3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51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C1:Y126"/>
  <sheetViews>
    <sheetView topLeftCell="B1" workbookViewId="0">
      <pane xSplit="3" ySplit="1" topLeftCell="E41" activePane="bottomRight" state="frozen"/>
      <selection activeCell="D117" sqref="D117"/>
      <selection pane="topRight" activeCell="D117" sqref="D117"/>
      <selection pane="bottomLeft" activeCell="D117" sqref="D117"/>
      <selection pane="bottomRight" activeCell="D117" sqref="D117"/>
    </sheetView>
  </sheetViews>
  <sheetFormatPr baseColWidth="8" defaultRowHeight="18.75"/>
  <cols>
    <col width="9.75" bestFit="1" customWidth="1" style="113" min="3" max="3"/>
    <col width="10.125" customWidth="1" style="113" min="5" max="25"/>
  </cols>
  <sheetData>
    <row r="1">
      <c r="C1" s="8" t="inlineStr">
        <is>
          <t>境港営業所機械</t>
        </is>
      </c>
    </row>
    <row r="2">
      <c r="C2" s="114" t="inlineStr">
        <is>
          <t>1．2024年</t>
        </is>
      </c>
    </row>
    <row r="3">
      <c r="C3" s="104" t="n"/>
      <c r="D3" s="106" t="n"/>
      <c r="E3" s="104" t="inlineStr">
        <is>
          <t>売上</t>
        </is>
      </c>
      <c r="F3" s="105" t="n"/>
      <c r="G3" s="105" t="n"/>
      <c r="H3" s="105" t="n"/>
      <c r="I3" s="105" t="n"/>
      <c r="J3" s="105" t="n"/>
      <c r="K3" s="106" t="n"/>
      <c r="L3" s="107" t="inlineStr">
        <is>
          <t>粗利益</t>
        </is>
      </c>
      <c r="M3" s="105" t="n"/>
      <c r="N3" s="105" t="n"/>
      <c r="O3" s="105" t="n"/>
      <c r="P3" s="105" t="n"/>
      <c r="Q3" s="105" t="n"/>
      <c r="R3" s="106" t="n"/>
      <c r="S3" s="107" t="inlineStr">
        <is>
          <t>粗利益率</t>
        </is>
      </c>
      <c r="T3" s="105" t="n"/>
      <c r="U3" s="105" t="n"/>
      <c r="V3" s="105" t="n"/>
      <c r="W3" s="105" t="n"/>
      <c r="X3" s="105" t="n"/>
      <c r="Y3" s="106" t="n"/>
    </row>
    <row r="4">
      <c r="C4" s="61" t="n"/>
      <c r="D4" s="68" t="n"/>
      <c r="E4" s="62" t="n">
        <v>45383</v>
      </c>
      <c r="F4" s="62" t="n">
        <v>45413</v>
      </c>
      <c r="G4" s="62" t="n">
        <v>45444</v>
      </c>
      <c r="H4" s="62" t="n">
        <v>45474</v>
      </c>
      <c r="I4" s="62" t="n">
        <v>45505</v>
      </c>
      <c r="J4" s="62" t="n">
        <v>45536</v>
      </c>
      <c r="K4" s="78" t="inlineStr">
        <is>
          <t>合計</t>
        </is>
      </c>
      <c r="L4" s="72" t="n">
        <v>45383</v>
      </c>
      <c r="M4" s="62" t="n">
        <v>45413</v>
      </c>
      <c r="N4" s="62" t="n">
        <v>45444</v>
      </c>
      <c r="O4" s="62" t="n">
        <v>45474</v>
      </c>
      <c r="P4" s="62" t="n">
        <v>45505</v>
      </c>
      <c r="Q4" s="62" t="n">
        <v>45536</v>
      </c>
      <c r="R4" s="64" t="inlineStr">
        <is>
          <t>合計</t>
        </is>
      </c>
      <c r="S4" s="72" t="n">
        <v>45383</v>
      </c>
      <c r="T4" s="62" t="n">
        <v>45413</v>
      </c>
      <c r="U4" s="62" t="n">
        <v>45444</v>
      </c>
      <c r="V4" s="62" t="n">
        <v>45474</v>
      </c>
      <c r="W4" s="62" t="n">
        <v>45505</v>
      </c>
      <c r="X4" s="62" t="n">
        <v>45536</v>
      </c>
      <c r="Y4" s="64" t="inlineStr">
        <is>
          <t>合計</t>
        </is>
      </c>
    </row>
    <row r="5">
      <c r="C5" s="71" t="inlineStr">
        <is>
          <t>0903 集計</t>
        </is>
      </c>
      <c r="D5" s="40" t="inlineStr">
        <is>
          <t>西岡</t>
        </is>
      </c>
      <c r="E5" s="1" t="n">
        <v>1</v>
      </c>
      <c r="F5" s="2" t="n">
        <v>72</v>
      </c>
      <c r="G5" s="2" t="n">
        <v>56</v>
      </c>
      <c r="H5" s="2">
        <f>168+76</f>
        <v/>
      </c>
      <c r="I5" s="2">
        <f>217+11</f>
        <v/>
      </c>
      <c r="J5" s="2" t="n">
        <v>268</v>
      </c>
      <c r="K5" s="73">
        <f>SUM(E5:J5)</f>
        <v/>
      </c>
      <c r="L5" s="1" t="n">
        <v>0</v>
      </c>
      <c r="M5" s="2" t="n">
        <v>13</v>
      </c>
      <c r="N5" s="2" t="n">
        <v>14</v>
      </c>
      <c r="O5" s="2">
        <f>56+24</f>
        <v/>
      </c>
      <c r="P5" s="2">
        <f>62+3</f>
        <v/>
      </c>
      <c r="Q5" s="2" t="n">
        <v>98</v>
      </c>
      <c r="R5" s="73">
        <f>SUM(L5:Q5)</f>
        <v/>
      </c>
      <c r="S5" s="123">
        <f>IF(E5=0,"***",L5/E5)</f>
        <v/>
      </c>
      <c r="T5" s="124">
        <f>IF(F5=0,"***",M5/F5)</f>
        <v/>
      </c>
      <c r="U5" s="124">
        <f>IF(G5=0,"***",N5/G5)</f>
        <v/>
      </c>
      <c r="V5" s="124">
        <f>IF(H5=0,"***",O5/H5)</f>
        <v/>
      </c>
      <c r="W5" s="124">
        <f>IF(I5=0,"***",P5/I5)</f>
        <v/>
      </c>
      <c r="X5" s="124">
        <f>IF(J5=0,"***",Q5/J5)</f>
        <v/>
      </c>
      <c r="Y5" s="125">
        <f>IF(K5=0,"***",R5/K5)</f>
        <v/>
      </c>
    </row>
    <row r="6">
      <c r="C6" s="71" t="inlineStr">
        <is>
          <t>0904 集計</t>
        </is>
      </c>
      <c r="D6" s="40" t="inlineStr">
        <is>
          <t>足立次長</t>
        </is>
      </c>
      <c r="E6" s="1" t="n">
        <v>643</v>
      </c>
      <c r="F6" s="2" t="n">
        <v>26318</v>
      </c>
      <c r="G6" s="2" t="n">
        <v>397</v>
      </c>
      <c r="H6" s="2" t="n">
        <v>472</v>
      </c>
      <c r="I6" s="2" t="n">
        <v>265</v>
      </c>
      <c r="J6" s="2" t="n">
        <v>444</v>
      </c>
      <c r="K6" s="73">
        <f>SUM(E6:J6)</f>
        <v/>
      </c>
      <c r="L6" s="1" t="n">
        <v>105</v>
      </c>
      <c r="M6" s="2" t="n">
        <v>5374</v>
      </c>
      <c r="N6" s="2" t="n">
        <v>81</v>
      </c>
      <c r="O6" s="2" t="n">
        <v>124</v>
      </c>
      <c r="P6" s="2" t="n">
        <v>47</v>
      </c>
      <c r="Q6" s="2" t="n">
        <v>71</v>
      </c>
      <c r="R6" s="73">
        <f>SUM(L6:Q6)</f>
        <v/>
      </c>
      <c r="S6" s="123">
        <f>IF(E6=0,"***",L6/E6)</f>
        <v/>
      </c>
      <c r="T6" s="124">
        <f>IF(F6=0,"***",M6/F6)</f>
        <v/>
      </c>
      <c r="U6" s="124">
        <f>IF(G6=0,"***",N6/G6)</f>
        <v/>
      </c>
      <c r="V6" s="124">
        <f>IF(H6=0,"***",O6/H6)</f>
        <v/>
      </c>
      <c r="W6" s="124">
        <f>IF(I6=0,"***",P6/I6)</f>
        <v/>
      </c>
      <c r="X6" s="124">
        <f>IF(J6=0,"***",Q6/J6)</f>
        <v/>
      </c>
      <c r="Y6" s="125">
        <f>IF(K6=0,"***",R6/K6)</f>
        <v/>
      </c>
    </row>
    <row r="7">
      <c r="C7" s="71" t="inlineStr">
        <is>
          <t>0909 集計</t>
        </is>
      </c>
      <c r="D7" s="40" t="inlineStr">
        <is>
          <t>藤波課長</t>
        </is>
      </c>
      <c r="E7" s="1" t="n">
        <v>575</v>
      </c>
      <c r="F7" s="2" t="n">
        <v>675</v>
      </c>
      <c r="G7" s="2" t="n">
        <v>193</v>
      </c>
      <c r="H7" s="2">
        <f>414+70</f>
        <v/>
      </c>
      <c r="I7" s="2">
        <f>169+58</f>
        <v/>
      </c>
      <c r="J7" s="2" t="n">
        <v>814</v>
      </c>
      <c r="K7" s="73">
        <f>SUM(E7:J7)</f>
        <v/>
      </c>
      <c r="L7" s="1" t="n">
        <v>209</v>
      </c>
      <c r="M7" s="2" t="n">
        <v>193</v>
      </c>
      <c r="N7" s="2" t="n">
        <v>89</v>
      </c>
      <c r="O7" s="2">
        <f>201+23</f>
        <v/>
      </c>
      <c r="P7" s="2">
        <f>91+18</f>
        <v/>
      </c>
      <c r="Q7" s="2" t="n">
        <v>223</v>
      </c>
      <c r="R7" s="73">
        <f>SUM(L7:Q7)</f>
        <v/>
      </c>
      <c r="S7" s="123">
        <f>IF(E7=0,"***",L7/E7)</f>
        <v/>
      </c>
      <c r="T7" s="124">
        <f>IF(F7=0,"***",M7/F7)</f>
        <v/>
      </c>
      <c r="U7" s="124">
        <f>IF(G7=0,"***",N7/G7)</f>
        <v/>
      </c>
      <c r="V7" s="124">
        <f>IF(H7=0,"***",O7/H7)</f>
        <v/>
      </c>
      <c r="W7" s="124">
        <f>IF(I7=0,"***",P7/I7)</f>
        <v/>
      </c>
      <c r="X7" s="124">
        <f>IF(J7=0,"***",Q7/J7)</f>
        <v/>
      </c>
      <c r="Y7" s="125">
        <f>IF(K7=0,"***",R7/K7)</f>
        <v/>
      </c>
    </row>
    <row r="8">
      <c r="C8" s="71" t="inlineStr">
        <is>
          <t>0910 集計</t>
        </is>
      </c>
      <c r="D8" s="40" t="inlineStr">
        <is>
          <t>足立課長</t>
        </is>
      </c>
      <c r="E8" s="1" t="n">
        <v>6691</v>
      </c>
      <c r="F8" s="2" t="n">
        <v>59</v>
      </c>
      <c r="G8" s="2" t="n">
        <v>60</v>
      </c>
      <c r="H8" s="2" t="n"/>
      <c r="I8" s="2" t="n"/>
      <c r="J8" s="2" t="n"/>
      <c r="K8" s="73">
        <f>SUM(E8:J8)</f>
        <v/>
      </c>
      <c r="L8" s="1" t="n">
        <v>1276</v>
      </c>
      <c r="M8" s="2" t="n">
        <v>14</v>
      </c>
      <c r="N8" s="2" t="n">
        <v>16</v>
      </c>
      <c r="O8" s="2" t="n"/>
      <c r="P8" s="2" t="n"/>
      <c r="Q8" s="2" t="n"/>
      <c r="R8" s="73">
        <f>SUM(L8:Q8)</f>
        <v/>
      </c>
      <c r="S8" s="123">
        <f>IF(E8=0,"***",L8/E8)</f>
        <v/>
      </c>
      <c r="T8" s="124">
        <f>IF(F8=0,"***",M8/F8)</f>
        <v/>
      </c>
      <c r="U8" s="124">
        <f>IF(G8=0,"***",N8/G8)</f>
        <v/>
      </c>
      <c r="V8" s="124">
        <f>IF(H8=0,"***",O8/H8)</f>
        <v/>
      </c>
      <c r="W8" s="124">
        <f>IF(I8=0,"***",P8/I8)</f>
        <v/>
      </c>
      <c r="X8" s="124">
        <f>IF(J8=0,"***",Q8/J8)</f>
        <v/>
      </c>
      <c r="Y8" s="125">
        <f>IF(K8=0,"***",R8/K8)</f>
        <v/>
      </c>
    </row>
    <row r="9">
      <c r="C9" s="71" t="inlineStr">
        <is>
          <t>0911 集計</t>
        </is>
      </c>
      <c r="D9" s="40" t="inlineStr">
        <is>
          <t>川邊主任</t>
        </is>
      </c>
      <c r="E9" s="1" t="n">
        <v>393</v>
      </c>
      <c r="F9" s="2" t="n">
        <v>1326</v>
      </c>
      <c r="G9" s="2" t="n">
        <v>753</v>
      </c>
      <c r="H9" s="2" t="n">
        <v>511</v>
      </c>
      <c r="I9" s="2" t="n">
        <v>237</v>
      </c>
      <c r="J9" s="2" t="n">
        <v>389</v>
      </c>
      <c r="K9" s="73">
        <f>SUM(E9:J9)</f>
        <v/>
      </c>
      <c r="L9" s="1" t="n">
        <v>101</v>
      </c>
      <c r="M9" s="2" t="n">
        <v>298</v>
      </c>
      <c r="N9" s="2" t="n">
        <v>166</v>
      </c>
      <c r="O9" s="2" t="n">
        <v>124</v>
      </c>
      <c r="P9" s="2" t="n">
        <v>52</v>
      </c>
      <c r="Q9" s="2" t="n">
        <v>87</v>
      </c>
      <c r="R9" s="73">
        <f>SUM(L9:Q9)</f>
        <v/>
      </c>
      <c r="S9" s="123">
        <f>IF(E9=0,"***",L9/E9)</f>
        <v/>
      </c>
      <c r="T9" s="124">
        <f>IF(F9=0,"***",M9/F9)</f>
        <v/>
      </c>
      <c r="U9" s="124">
        <f>IF(G9=0,"***",N9/G9)</f>
        <v/>
      </c>
      <c r="V9" s="124">
        <f>IF(H9=0,"***",O9/H9)</f>
        <v/>
      </c>
      <c r="W9" s="124">
        <f>IF(I9=0,"***",P9/I9)</f>
        <v/>
      </c>
      <c r="X9" s="124">
        <f>IF(J9=0,"***",Q9/J9)</f>
        <v/>
      </c>
      <c r="Y9" s="125">
        <f>IF(K9=0,"***",R9/K9)</f>
        <v/>
      </c>
    </row>
    <row r="10">
      <c r="C10" s="71" t="inlineStr">
        <is>
          <t>0914 集計</t>
        </is>
      </c>
      <c r="D10" s="40" t="inlineStr">
        <is>
          <t>白根主任</t>
        </is>
      </c>
      <c r="E10" s="1" t="n">
        <v>978</v>
      </c>
      <c r="F10" s="2" t="n">
        <v>3707</v>
      </c>
      <c r="G10" s="2" t="n">
        <v>2099</v>
      </c>
      <c r="H10" s="2" t="n">
        <v>711</v>
      </c>
      <c r="I10" s="2" t="n">
        <v>326</v>
      </c>
      <c r="J10" s="2" t="n">
        <v>956</v>
      </c>
      <c r="K10" s="73">
        <f>SUM(E10:J10)</f>
        <v/>
      </c>
      <c r="L10" s="1" t="n">
        <v>278</v>
      </c>
      <c r="M10" s="2" t="n">
        <v>384</v>
      </c>
      <c r="N10" s="2" t="n">
        <v>539</v>
      </c>
      <c r="O10" s="2" t="n">
        <v>197</v>
      </c>
      <c r="P10" s="2" t="n">
        <v>89</v>
      </c>
      <c r="Q10" s="2" t="n">
        <v>260</v>
      </c>
      <c r="R10" s="73">
        <f>SUM(L10:Q10)</f>
        <v/>
      </c>
      <c r="S10" s="123">
        <f>IF(E10=0,"***",L10/E10)</f>
        <v/>
      </c>
      <c r="T10" s="124">
        <f>IF(F10=0,"***",M10/F10)</f>
        <v/>
      </c>
      <c r="U10" s="124">
        <f>IF(G10=0,"***",N10/G10)</f>
        <v/>
      </c>
      <c r="V10" s="124">
        <f>IF(H10=0,"***",O10/H10)</f>
        <v/>
      </c>
      <c r="W10" s="124">
        <f>IF(I10=0,"***",P10/I10)</f>
        <v/>
      </c>
      <c r="X10" s="124">
        <f>IF(J10=0,"***",Q10/J10)</f>
        <v/>
      </c>
      <c r="Y10" s="125">
        <f>IF(K10=0,"***",R10/K10)</f>
        <v/>
      </c>
    </row>
    <row r="11">
      <c r="C11" s="71" t="inlineStr">
        <is>
          <t>0918 集計</t>
        </is>
      </c>
      <c r="D11" s="40" t="inlineStr">
        <is>
          <t>海外</t>
        </is>
      </c>
      <c r="E11" s="1" t="n">
        <v>199</v>
      </c>
      <c r="F11" s="2" t="n">
        <v>2039</v>
      </c>
      <c r="G11" s="2" t="n">
        <v>379</v>
      </c>
      <c r="H11" s="2" t="n">
        <v>108</v>
      </c>
      <c r="I11" s="2" t="n">
        <v>35</v>
      </c>
      <c r="J11" s="2" t="n">
        <v>0</v>
      </c>
      <c r="K11" s="73">
        <f>SUM(E11:J11)</f>
        <v/>
      </c>
      <c r="L11" s="1" t="n">
        <v>56</v>
      </c>
      <c r="M11" s="2" t="n">
        <v>381</v>
      </c>
      <c r="N11" s="2" t="n">
        <v>90</v>
      </c>
      <c r="O11" s="2" t="n">
        <v>27</v>
      </c>
      <c r="P11" s="2" t="n">
        <v>29</v>
      </c>
      <c r="Q11" s="2" t="n">
        <v>0</v>
      </c>
      <c r="R11" s="73">
        <f>SUM(L11:Q11)</f>
        <v/>
      </c>
      <c r="S11" s="123">
        <f>IF(E11=0,"***",L11/E11)</f>
        <v/>
      </c>
      <c r="T11" s="124">
        <f>IF(F11=0,"***",M11/F11)</f>
        <v/>
      </c>
      <c r="U11" s="124">
        <f>IF(G11=0,"***",N11/G11)</f>
        <v/>
      </c>
      <c r="V11" s="124">
        <f>IF(H11=0,"***",O11/H11)</f>
        <v/>
      </c>
      <c r="W11" s="124">
        <f>IF(I11=0,"***",P11/I11)</f>
        <v/>
      </c>
      <c r="X11" s="124">
        <f>IF(J11=0,"***",Q11/J11)</f>
        <v/>
      </c>
      <c r="Y11" s="125">
        <f>IF(K11=0,"***",R11/K11)</f>
        <v/>
      </c>
    </row>
    <row r="12">
      <c r="C12" s="71" t="inlineStr">
        <is>
          <t>0919 集計</t>
        </is>
      </c>
      <c r="D12" s="40" t="inlineStr">
        <is>
          <t>その他</t>
        </is>
      </c>
      <c r="E12" s="1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4</v>
      </c>
      <c r="K12" s="73">
        <f>SUM(E12:J12)</f>
        <v/>
      </c>
      <c r="L12" s="1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</v>
      </c>
      <c r="R12" s="73">
        <f>SUM(L12:Q12)</f>
        <v/>
      </c>
      <c r="S12" s="123">
        <f>IF(E12=0,"***",L12/E12)</f>
        <v/>
      </c>
      <c r="T12" s="124">
        <f>IF(F12=0,"***",M12/F12)</f>
        <v/>
      </c>
      <c r="U12" s="124">
        <f>IF(G12=0,"***",N12/G12)</f>
        <v/>
      </c>
      <c r="V12" s="124">
        <f>IF(H12=0,"***",O12/H12)</f>
        <v/>
      </c>
      <c r="W12" s="124">
        <f>IF(I12=0,"***",P12/I12)</f>
        <v/>
      </c>
      <c r="X12" s="124">
        <f>IF(J12=0,"***",Q12/J12)</f>
        <v/>
      </c>
      <c r="Y12" s="125">
        <f>IF(K12=0,"***",R12/K12)</f>
        <v/>
      </c>
    </row>
    <row r="13">
      <c r="C13" s="71" t="inlineStr">
        <is>
          <t>0930 集計</t>
        </is>
      </c>
      <c r="D13" s="40" t="inlineStr">
        <is>
          <t>自治体</t>
        </is>
      </c>
      <c r="E13" s="83" t="n"/>
      <c r="F13" s="86" t="n"/>
      <c r="G13" s="86" t="n"/>
      <c r="H13" s="86" t="n"/>
      <c r="I13" s="86" t="n"/>
      <c r="J13" s="86" t="n"/>
      <c r="K13" s="73">
        <f>SUM(E13:J13)</f>
        <v/>
      </c>
      <c r="L13" s="83" t="n"/>
      <c r="M13" s="86" t="n"/>
      <c r="N13" s="86" t="n"/>
      <c r="O13" s="86" t="n"/>
      <c r="P13" s="86" t="n"/>
      <c r="Q13" s="86" t="n"/>
      <c r="R13" s="73">
        <f>SUM(L13:Q13)</f>
        <v/>
      </c>
      <c r="S13" s="123">
        <f>IF(E13=0,"***",L13/E13)</f>
        <v/>
      </c>
      <c r="T13" s="124">
        <f>IF(F13=0,"***",M13/F13)</f>
        <v/>
      </c>
      <c r="U13" s="124">
        <f>IF(G13=0,"***",N13/G13)</f>
        <v/>
      </c>
      <c r="V13" s="124">
        <f>IF(H13=0,"***",O13/H13)</f>
        <v/>
      </c>
      <c r="W13" s="124">
        <f>IF(I13=0,"***",P13/I13)</f>
        <v/>
      </c>
      <c r="X13" s="124">
        <f>IF(J13=0,"***",Q13/J13)</f>
        <v/>
      </c>
      <c r="Y13" s="125">
        <f>IF(K13=0,"***",R13/K13)</f>
        <v/>
      </c>
    </row>
    <row r="14" ht="14.25" customHeight="1" s="113">
      <c r="C14" s="3" t="inlineStr">
        <is>
          <t>合計</t>
        </is>
      </c>
      <c r="D14" s="70" t="n"/>
      <c r="E14" s="74">
        <f>SUM(E5:E13)</f>
        <v/>
      </c>
      <c r="F14" s="63">
        <f>SUM(F5:F13)</f>
        <v/>
      </c>
      <c r="G14" s="63">
        <f>SUM(G5:G13)</f>
        <v/>
      </c>
      <c r="H14" s="63">
        <f>SUM(H5:H13)</f>
        <v/>
      </c>
      <c r="I14" s="63">
        <f>SUM(I5:I13)</f>
        <v/>
      </c>
      <c r="J14" s="63">
        <f>SUM(J5:J13)</f>
        <v/>
      </c>
      <c r="K14" s="75">
        <f>SUM(K5:K13)</f>
        <v/>
      </c>
      <c r="L14" s="74">
        <f>SUM(L5:L13)</f>
        <v/>
      </c>
      <c r="M14" s="63">
        <f>SUM(M5:M13)</f>
        <v/>
      </c>
      <c r="N14" s="63">
        <f>SUM(N5:N13)</f>
        <v/>
      </c>
      <c r="O14" s="63">
        <f>SUM(O5:O13)</f>
        <v/>
      </c>
      <c r="P14" s="63">
        <f>SUM(P5:P13)</f>
        <v/>
      </c>
      <c r="Q14" s="63">
        <f>SUM(Q5:Q13)</f>
        <v/>
      </c>
      <c r="R14" s="75">
        <f>SUM(R5:R13)</f>
        <v/>
      </c>
      <c r="S14" s="126">
        <f>IF(E14=0,"***",L14/E14)</f>
        <v/>
      </c>
      <c r="T14" s="127">
        <f>IF(F14=0,"***",M14/F14)</f>
        <v/>
      </c>
      <c r="U14" s="127">
        <f>IF(G14=0,"***",N14/G14)</f>
        <v/>
      </c>
      <c r="V14" s="127">
        <f>IF(H14=0,"***",O14/H14)</f>
        <v/>
      </c>
      <c r="W14" s="127">
        <f>IF(I14=0,"***",P14/I14)</f>
        <v/>
      </c>
      <c r="X14" s="127">
        <f>IF(J14=0,"***",Q14/J14)</f>
        <v/>
      </c>
      <c r="Y14" s="128">
        <f>IF(K14=0,"***",R14/K14)</f>
        <v/>
      </c>
    </row>
    <row r="15">
      <c r="C15" s="6" t="n"/>
      <c r="E15" s="5" t="n"/>
      <c r="F15" s="5" t="n"/>
      <c r="G15" s="5" t="n"/>
      <c r="H15" s="5" t="n"/>
      <c r="I15" s="5" t="n"/>
      <c r="J15" s="5" t="n"/>
      <c r="K15" s="6" t="n"/>
      <c r="L15" s="5" t="n"/>
      <c r="M15" s="5" t="n"/>
      <c r="N15" s="5" t="n"/>
      <c r="O15" s="5" t="n"/>
      <c r="P15" s="5" t="n"/>
      <c r="Q15" s="5" t="n"/>
      <c r="R15" s="6" t="n"/>
      <c r="S15" s="129" t="n"/>
      <c r="T15" s="129" t="n"/>
      <c r="U15" s="129" t="n"/>
      <c r="V15" s="129" t="n"/>
      <c r="W15" s="129" t="n"/>
      <c r="X15" s="129" t="n"/>
      <c r="Y15" s="129" t="n"/>
    </row>
    <row r="16">
      <c r="C16" s="6" t="inlineStr">
        <is>
          <t>2．2025年</t>
        </is>
      </c>
    </row>
    <row r="17">
      <c r="C17" s="104" t="n"/>
      <c r="D17" s="106" t="n"/>
      <c r="E17" s="104" t="inlineStr">
        <is>
          <t>売上</t>
        </is>
      </c>
      <c r="F17" s="105" t="n"/>
      <c r="G17" s="105" t="n"/>
      <c r="H17" s="105" t="n"/>
      <c r="I17" s="105" t="n"/>
      <c r="J17" s="105" t="n"/>
      <c r="K17" s="106" t="n"/>
      <c r="L17" s="107" t="inlineStr">
        <is>
          <t>粗利益</t>
        </is>
      </c>
      <c r="M17" s="105" t="n"/>
      <c r="N17" s="105" t="n"/>
      <c r="O17" s="105" t="n"/>
      <c r="P17" s="105" t="n"/>
      <c r="Q17" s="105" t="n"/>
      <c r="R17" s="106" t="n"/>
      <c r="S17" s="107" t="inlineStr">
        <is>
          <t>粗利益率</t>
        </is>
      </c>
      <c r="T17" s="105" t="n"/>
      <c r="U17" s="105" t="n"/>
      <c r="V17" s="105" t="n"/>
      <c r="W17" s="105" t="n"/>
      <c r="X17" s="105" t="n"/>
      <c r="Y17" s="106" t="n"/>
    </row>
    <row r="18">
      <c r="C18" s="61" t="n"/>
      <c r="D18" s="68" t="n"/>
      <c r="E18" s="72" t="n">
        <v>45748</v>
      </c>
      <c r="F18" s="62" t="n">
        <v>45778</v>
      </c>
      <c r="G18" s="62" t="n">
        <v>45809</v>
      </c>
      <c r="H18" s="62" t="n">
        <v>45839</v>
      </c>
      <c r="I18" s="62" t="n">
        <v>45870</v>
      </c>
      <c r="J18" s="62" t="n">
        <v>45901</v>
      </c>
      <c r="K18" s="64" t="inlineStr">
        <is>
          <t>合計</t>
        </is>
      </c>
      <c r="L18" s="72" t="n">
        <v>45748</v>
      </c>
      <c r="M18" s="62" t="n">
        <v>45778</v>
      </c>
      <c r="N18" s="62" t="n">
        <v>45809</v>
      </c>
      <c r="O18" s="62" t="n">
        <v>45839</v>
      </c>
      <c r="P18" s="62" t="n">
        <v>45870</v>
      </c>
      <c r="Q18" s="62" t="n">
        <v>45901</v>
      </c>
      <c r="R18" s="64" t="inlineStr">
        <is>
          <t>合計</t>
        </is>
      </c>
      <c r="S18" s="72" t="n">
        <v>45748</v>
      </c>
      <c r="T18" s="62" t="n">
        <v>45778</v>
      </c>
      <c r="U18" s="62" t="n">
        <v>45809</v>
      </c>
      <c r="V18" s="62" t="n">
        <v>45839</v>
      </c>
      <c r="W18" s="62" t="n">
        <v>45870</v>
      </c>
      <c r="X18" s="62" t="n">
        <v>45901</v>
      </c>
      <c r="Y18" s="64" t="inlineStr">
        <is>
          <t>合計</t>
        </is>
      </c>
    </row>
    <row r="19">
      <c r="C19" s="71" t="inlineStr">
        <is>
          <t>0903 集計</t>
        </is>
      </c>
      <c r="D19" s="40" t="inlineStr">
        <is>
          <t>西岡</t>
        </is>
      </c>
      <c r="E19" s="2" t="n">
        <v>145</v>
      </c>
      <c r="F19" s="2" t="n">
        <v>22</v>
      </c>
      <c r="G19" s="2" t="n">
        <v>250</v>
      </c>
      <c r="H19" s="2">
        <f>57+130</f>
        <v/>
      </c>
      <c r="I19" s="2">
        <f>60+8</f>
        <v/>
      </c>
      <c r="J19" s="2">
        <f>130+5</f>
        <v/>
      </c>
      <c r="K19" s="79">
        <f>SUM(E19:J19)</f>
        <v/>
      </c>
      <c r="L19" s="1" t="n">
        <v>35</v>
      </c>
      <c r="M19" s="2" t="n">
        <v>3</v>
      </c>
      <c r="N19" s="2" t="n">
        <v>127</v>
      </c>
      <c r="O19" s="2">
        <f>23+27</f>
        <v/>
      </c>
      <c r="P19" s="2">
        <f>14+0</f>
        <v/>
      </c>
      <c r="Q19" s="2">
        <f>32+1</f>
        <v/>
      </c>
      <c r="R19" s="73">
        <f>SUM(L19:Q19)</f>
        <v/>
      </c>
      <c r="S19" s="135">
        <f>IF(E19=0,"***",L19/E19)</f>
        <v/>
      </c>
      <c r="T19" s="124">
        <f>IF(F19=0,"***",M19/F19)</f>
        <v/>
      </c>
      <c r="U19" s="124">
        <f>IF(G19=0,"***",N19/G19)</f>
        <v/>
      </c>
      <c r="V19" s="124">
        <f>IF(H19=0,"***",O19/H19)</f>
        <v/>
      </c>
      <c r="W19" s="124">
        <f>IF(I19=0,"***",P19/I19)</f>
        <v/>
      </c>
      <c r="X19" s="124">
        <f>IF(J19=0,"***",Q19/J19)</f>
        <v/>
      </c>
      <c r="Y19" s="125">
        <f>IF(K19=0,"***",R19/K19)</f>
        <v/>
      </c>
    </row>
    <row r="20">
      <c r="C20" s="71" t="inlineStr">
        <is>
          <t>0904 集計</t>
        </is>
      </c>
      <c r="D20" s="40" t="inlineStr">
        <is>
          <t>足立次長</t>
        </is>
      </c>
      <c r="E20" s="2" t="n">
        <v>625</v>
      </c>
      <c r="F20" s="2" t="n">
        <v>200</v>
      </c>
      <c r="G20" s="2" t="n">
        <v>207</v>
      </c>
      <c r="H20" s="2" t="n">
        <v>1557</v>
      </c>
      <c r="I20" s="2" t="n">
        <v>82542</v>
      </c>
      <c r="J20" s="2" t="n">
        <v>30771</v>
      </c>
      <c r="K20" s="79">
        <f>SUM(E20:J20)</f>
        <v/>
      </c>
      <c r="L20" s="1" t="n">
        <v>106</v>
      </c>
      <c r="M20" s="2" t="n">
        <v>40</v>
      </c>
      <c r="N20" s="2" t="n">
        <v>37</v>
      </c>
      <c r="O20" s="2" t="n">
        <v>296</v>
      </c>
      <c r="P20" s="2" t="n">
        <v>13969</v>
      </c>
      <c r="Q20" s="2" t="n">
        <v>7512</v>
      </c>
      <c r="R20" s="73">
        <f>SUM(L20:Q20)</f>
        <v/>
      </c>
      <c r="S20" s="135">
        <f>IF(E20=0,"***",L20/E20)</f>
        <v/>
      </c>
      <c r="T20" s="124">
        <f>IF(F20=0,"***",M20/F20)</f>
        <v/>
      </c>
      <c r="U20" s="124">
        <f>IF(G20=0,"***",N20/G20)</f>
        <v/>
      </c>
      <c r="V20" s="124">
        <f>IF(H20=0,"***",O20/H20)</f>
        <v/>
      </c>
      <c r="W20" s="124">
        <f>IF(I20=0,"***",P20/I20)</f>
        <v/>
      </c>
      <c r="X20" s="124">
        <f>IF(J20=0,"***",Q20/J20)</f>
        <v/>
      </c>
      <c r="Y20" s="125">
        <f>IF(K20=0,"***",R20/K20)</f>
        <v/>
      </c>
    </row>
    <row r="21">
      <c r="C21" s="71" t="inlineStr">
        <is>
          <t>0909 集計</t>
        </is>
      </c>
      <c r="D21" s="40" t="inlineStr">
        <is>
          <t>藤波課長</t>
        </is>
      </c>
      <c r="E21" s="2" t="n">
        <v>419</v>
      </c>
      <c r="F21" s="2" t="n">
        <v>740</v>
      </c>
      <c r="G21" s="2" t="n">
        <v>708</v>
      </c>
      <c r="H21" s="2">
        <f>3107+1124-130</f>
        <v/>
      </c>
      <c r="I21" s="2">
        <f>434+1804</f>
        <v/>
      </c>
      <c r="J21" s="2">
        <f>244+132-5</f>
        <v/>
      </c>
      <c r="K21" s="79">
        <f>SUM(E21:J21)</f>
        <v/>
      </c>
      <c r="L21" s="1" t="n">
        <v>172</v>
      </c>
      <c r="M21" s="2" t="n">
        <v>261</v>
      </c>
      <c r="N21" s="2" t="n">
        <v>302</v>
      </c>
      <c r="O21" s="2">
        <f>945+376-27</f>
        <v/>
      </c>
      <c r="P21" s="2">
        <f>190+491-0</f>
        <v/>
      </c>
      <c r="Q21" s="2">
        <f>141+33-1</f>
        <v/>
      </c>
      <c r="R21" s="73">
        <f>SUM(L21:Q21)</f>
        <v/>
      </c>
      <c r="S21" s="135">
        <f>IF(E21=0,"***",L21/E21)</f>
        <v/>
      </c>
      <c r="T21" s="124">
        <f>IF(F21=0,"***",M21/F21)</f>
        <v/>
      </c>
      <c r="U21" s="124">
        <f>IF(G21=0,"***",N21/G21)</f>
        <v/>
      </c>
      <c r="V21" s="124">
        <f>IF(H21=0,"***",O21/H21)</f>
        <v/>
      </c>
      <c r="W21" s="124">
        <f>IF(I21=0,"***",P21/I21)</f>
        <v/>
      </c>
      <c r="X21" s="124">
        <f>IF(J21=0,"***",Q21/J21)</f>
        <v/>
      </c>
      <c r="Y21" s="125">
        <f>IF(K21=0,"***",R21/K21)</f>
        <v/>
      </c>
    </row>
    <row r="22">
      <c r="C22" s="71" t="inlineStr">
        <is>
          <t>0910 集計</t>
        </is>
      </c>
      <c r="D22" s="40" t="inlineStr">
        <is>
          <t>足立課長</t>
        </is>
      </c>
      <c r="E22" s="2" t="n">
        <v>114</v>
      </c>
      <c r="F22" s="2" t="n">
        <v>87</v>
      </c>
      <c r="G22" s="2" t="n">
        <v>124</v>
      </c>
      <c r="H22" s="2" t="n"/>
      <c r="I22" s="2" t="n"/>
      <c r="J22" s="2" t="n"/>
      <c r="K22" s="79">
        <f>SUM(E22:J22)</f>
        <v/>
      </c>
      <c r="L22" s="1" t="n">
        <v>31</v>
      </c>
      <c r="M22" s="2" t="n">
        <v>31</v>
      </c>
      <c r="N22" s="2" t="n">
        <v>34</v>
      </c>
      <c r="O22" s="2" t="n"/>
      <c r="P22" s="2" t="n"/>
      <c r="Q22" s="2" t="n"/>
      <c r="R22" s="73">
        <f>SUM(L22:Q22)</f>
        <v/>
      </c>
      <c r="S22" s="135">
        <f>IF(E22=0,"***",L22/E22)</f>
        <v/>
      </c>
      <c r="T22" s="124">
        <f>IF(F22=0,"***",M22/F22)</f>
        <v/>
      </c>
      <c r="U22" s="124">
        <f>IF(G22=0,"***",N22/G22)</f>
        <v/>
      </c>
      <c r="V22" s="124">
        <f>IF(H22=0,"***",O22/H22)</f>
        <v/>
      </c>
      <c r="W22" s="124">
        <f>IF(I22=0,"***",P22/I22)</f>
        <v/>
      </c>
      <c r="X22" s="124">
        <f>IF(J22=0,"***",Q22/J22)</f>
        <v/>
      </c>
      <c r="Y22" s="125">
        <f>IF(K22=0,"***",R22/K22)</f>
        <v/>
      </c>
    </row>
    <row r="23">
      <c r="C23" s="71" t="inlineStr">
        <is>
          <t>0911 集計</t>
        </is>
      </c>
      <c r="D23" s="40" t="inlineStr">
        <is>
          <t>川邊主任</t>
        </is>
      </c>
      <c r="E23" s="2" t="n">
        <v>319</v>
      </c>
      <c r="F23" s="2" t="n">
        <v>1653</v>
      </c>
      <c r="G23" s="2" t="n">
        <v>400</v>
      </c>
      <c r="H23" s="2" t="n">
        <v>906</v>
      </c>
      <c r="I23" s="2" t="n">
        <v>402</v>
      </c>
      <c r="J23" s="2" t="n">
        <v>243</v>
      </c>
      <c r="K23" s="79">
        <f>SUM(E23:J23)</f>
        <v/>
      </c>
      <c r="L23" s="1" t="n">
        <v>101</v>
      </c>
      <c r="M23" s="2" t="n">
        <v>284</v>
      </c>
      <c r="N23" s="2" t="n">
        <v>90</v>
      </c>
      <c r="O23" s="2" t="n">
        <v>184</v>
      </c>
      <c r="P23" s="2" t="n">
        <v>77</v>
      </c>
      <c r="Q23" s="2" t="n">
        <v>39</v>
      </c>
      <c r="R23" s="73">
        <f>SUM(L23:Q23)</f>
        <v/>
      </c>
      <c r="S23" s="135">
        <f>IF(E23=0,"***",L23/E23)</f>
        <v/>
      </c>
      <c r="T23" s="124">
        <f>IF(F23=0,"***",M23/F23)</f>
        <v/>
      </c>
      <c r="U23" s="124">
        <f>IF(G23=0,"***",N23/G23)</f>
        <v/>
      </c>
      <c r="V23" s="124">
        <f>IF(H23=0,"***",O23/H23)</f>
        <v/>
      </c>
      <c r="W23" s="124">
        <f>IF(I23=0,"***",P23/I23)</f>
        <v/>
      </c>
      <c r="X23" s="124">
        <f>IF(J23=0,"***",Q23/J23)</f>
        <v/>
      </c>
      <c r="Y23" s="125">
        <f>IF(K23=0,"***",R23/K23)</f>
        <v/>
      </c>
    </row>
    <row r="24">
      <c r="C24" s="71" t="inlineStr">
        <is>
          <t>0914 集計</t>
        </is>
      </c>
      <c r="D24" s="40" t="inlineStr">
        <is>
          <t>白根主任</t>
        </is>
      </c>
      <c r="E24" s="2" t="n">
        <v>1021</v>
      </c>
      <c r="F24" s="2" t="n">
        <v>176</v>
      </c>
      <c r="G24" s="2" t="n">
        <v>6504</v>
      </c>
      <c r="H24" s="2" t="n">
        <v>738</v>
      </c>
      <c r="I24" s="2" t="n">
        <v>427</v>
      </c>
      <c r="J24" s="2" t="n">
        <v>394</v>
      </c>
      <c r="K24" s="79">
        <f>SUM(E24:J24)</f>
        <v/>
      </c>
      <c r="L24" s="1" t="n">
        <v>346</v>
      </c>
      <c r="M24" s="2" t="n">
        <v>55</v>
      </c>
      <c r="N24" s="2" t="n">
        <v>1639</v>
      </c>
      <c r="O24" s="2" t="n">
        <v>217</v>
      </c>
      <c r="P24" s="2" t="n">
        <v>158</v>
      </c>
      <c r="Q24" s="2" t="n">
        <v>101</v>
      </c>
      <c r="R24" s="73">
        <f>SUM(L24:Q24)</f>
        <v/>
      </c>
      <c r="S24" s="135">
        <f>IF(E24=0,"***",L24/E24)</f>
        <v/>
      </c>
      <c r="T24" s="124">
        <f>IF(F24=0,"***",M24/F24)</f>
        <v/>
      </c>
      <c r="U24" s="124">
        <f>IF(G24=0,"***",N24/G24)</f>
        <v/>
      </c>
      <c r="V24" s="124">
        <f>IF(H24=0,"***",O24/H24)</f>
        <v/>
      </c>
      <c r="W24" s="124">
        <f>IF(I24=0,"***",P24/I24)</f>
        <v/>
      </c>
      <c r="X24" s="124">
        <f>IF(J24=0,"***",Q24/J24)</f>
        <v/>
      </c>
      <c r="Y24" s="125">
        <f>IF(K24=0,"***",R24/K24)</f>
        <v/>
      </c>
    </row>
    <row r="25">
      <c r="C25" s="71" t="inlineStr">
        <is>
          <t>0918 集計</t>
        </is>
      </c>
      <c r="D25" s="40" t="inlineStr">
        <is>
          <t>海外</t>
        </is>
      </c>
      <c r="E25" s="2" t="n">
        <v>643</v>
      </c>
      <c r="F25" s="2" t="n">
        <v>95</v>
      </c>
      <c r="G25" s="2" t="n">
        <v>576</v>
      </c>
      <c r="H25" s="2" t="n">
        <v>219</v>
      </c>
      <c r="I25" s="2" t="n">
        <v>2</v>
      </c>
      <c r="J25" s="2" t="n">
        <v>176</v>
      </c>
      <c r="K25" s="79">
        <f>SUM(E25:J25)</f>
        <v/>
      </c>
      <c r="L25" s="1" t="n">
        <v>130</v>
      </c>
      <c r="M25" s="2" t="n">
        <v>19</v>
      </c>
      <c r="N25" s="2" t="n">
        <v>130</v>
      </c>
      <c r="O25" s="2" t="n">
        <v>47</v>
      </c>
      <c r="P25" s="2" t="n">
        <v>0</v>
      </c>
      <c r="Q25" s="2" t="n">
        <v>48</v>
      </c>
      <c r="R25" s="73">
        <f>SUM(L25:Q25)</f>
        <v/>
      </c>
      <c r="S25" s="135">
        <f>IF(E25=0,"***",L25/E25)</f>
        <v/>
      </c>
      <c r="T25" s="124">
        <f>IF(F25=0,"***",M25/F25)</f>
        <v/>
      </c>
      <c r="U25" s="124">
        <f>IF(G25=0,"***",N25/G25)</f>
        <v/>
      </c>
      <c r="V25" s="124">
        <f>IF(H25=0,"***",O25/H25)</f>
        <v/>
      </c>
      <c r="W25" s="124">
        <f>IF(I25=0,"***",P25/I25)</f>
        <v/>
      </c>
      <c r="X25" s="124">
        <f>IF(J25=0,"***",Q25/J25)</f>
        <v/>
      </c>
      <c r="Y25" s="125">
        <f>IF(K25=0,"***",R25/K25)</f>
        <v/>
      </c>
    </row>
    <row r="26">
      <c r="C26" s="71" t="inlineStr">
        <is>
          <t>0919 集計</t>
        </is>
      </c>
      <c r="D26" s="40" t="inlineStr">
        <is>
          <t>その他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79">
        <f>SUM(E26:J26)</f>
        <v/>
      </c>
      <c r="L26" s="1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73">
        <f>SUM(L26:Q26)</f>
        <v/>
      </c>
      <c r="S26" s="135">
        <f>IF(E26=0,"***",L26/E26)</f>
        <v/>
      </c>
      <c r="T26" s="124">
        <f>IF(F26=0,"***",M26/F26)</f>
        <v/>
      </c>
      <c r="U26" s="124">
        <f>IF(G26=0,"***",N26/G26)</f>
        <v/>
      </c>
      <c r="V26" s="124">
        <f>IF(H26=0,"***",O26/H26)</f>
        <v/>
      </c>
      <c r="W26" s="124">
        <f>IF(I26=0,"***",P26/I26)</f>
        <v/>
      </c>
      <c r="X26" s="124">
        <f>IF(J26=0,"***",Q26/J26)</f>
        <v/>
      </c>
      <c r="Y26" s="125">
        <f>IF(K26=0,"***",R26/K26)</f>
        <v/>
      </c>
    </row>
    <row r="27">
      <c r="C27" s="71" t="inlineStr">
        <is>
          <t>0930 集計</t>
        </is>
      </c>
      <c r="D27" s="40" t="inlineStr">
        <is>
          <t>自治体</t>
        </is>
      </c>
      <c r="E27" s="86" t="n"/>
      <c r="F27" s="86" t="n"/>
      <c r="G27" s="86" t="n"/>
      <c r="H27" s="86" t="n"/>
      <c r="I27" s="86" t="n"/>
      <c r="J27" s="86" t="n"/>
      <c r="K27" s="59" t="n"/>
      <c r="L27" s="83" t="n"/>
      <c r="M27" s="86" t="n"/>
      <c r="N27" s="86" t="n"/>
      <c r="O27" s="86" t="n"/>
      <c r="P27" s="86" t="n"/>
      <c r="Q27" s="86" t="n"/>
      <c r="R27" s="84" t="n"/>
      <c r="S27" s="136" t="n"/>
      <c r="T27" s="133" t="n"/>
      <c r="U27" s="133" t="n"/>
      <c r="V27" s="133" t="n"/>
      <c r="W27" s="133" t="n"/>
      <c r="X27" s="133" t="n"/>
      <c r="Y27" s="134" t="n"/>
    </row>
    <row r="28">
      <c r="C28" s="3" t="inlineStr">
        <is>
          <t>合計</t>
        </is>
      </c>
      <c r="D28" s="70" t="n"/>
      <c r="E28" s="74">
        <f>SUM(E19:E27)</f>
        <v/>
      </c>
      <c r="F28" s="63">
        <f>SUM(F19:F27)</f>
        <v/>
      </c>
      <c r="G28" s="63">
        <f>SUM(G19:G27)</f>
        <v/>
      </c>
      <c r="H28" s="63">
        <f>SUM(H19:H27)</f>
        <v/>
      </c>
      <c r="I28" s="63">
        <f>SUM(I19:I27)</f>
        <v/>
      </c>
      <c r="J28" s="63">
        <f>SUM(J19:J27)</f>
        <v/>
      </c>
      <c r="K28" s="75">
        <f>SUM(K19:K27)</f>
        <v/>
      </c>
      <c r="L28" s="74">
        <f>SUM(L19:L27)</f>
        <v/>
      </c>
      <c r="M28" s="63">
        <f>SUM(M19:M27)</f>
        <v/>
      </c>
      <c r="N28" s="63">
        <f>SUM(N19:N27)</f>
        <v/>
      </c>
      <c r="O28" s="63">
        <f>SUM(O19:O27)</f>
        <v/>
      </c>
      <c r="P28" s="63">
        <f>SUM(P19:P27)</f>
        <v/>
      </c>
      <c r="Q28" s="63">
        <f>SUM(Q19:Q27)</f>
        <v/>
      </c>
      <c r="R28" s="75">
        <f>SUM(R19:R27)</f>
        <v/>
      </c>
      <c r="S28" s="137">
        <f>IF(E28=0,"***",L28/E28)</f>
        <v/>
      </c>
      <c r="T28" s="127">
        <f>IF(F28=0,"***",M28/F28)</f>
        <v/>
      </c>
      <c r="U28" s="127">
        <f>IF(G28=0,"***",N28/G28)</f>
        <v/>
      </c>
      <c r="V28" s="127">
        <f>IF(H28=0,"***",O28/H28)</f>
        <v/>
      </c>
      <c r="W28" s="127">
        <f>IF(I28=0,"***",P28/I28)</f>
        <v/>
      </c>
      <c r="X28" s="127">
        <f>IF(J28=0,"***",Q28/J28)</f>
        <v/>
      </c>
      <c r="Y28" s="128">
        <f>IF(K28=0,"***",R28/K28)</f>
        <v/>
      </c>
    </row>
    <row r="29">
      <c r="C29" s="6" t="n"/>
      <c r="E29" s="5" t="n"/>
      <c r="F29" s="5" t="n"/>
      <c r="G29" s="5" t="n"/>
      <c r="H29" s="5" t="n"/>
      <c r="I29" s="5" t="n"/>
      <c r="J29" s="5" t="n"/>
      <c r="K29" s="6" t="n"/>
      <c r="L29" s="5" t="n"/>
      <c r="M29" s="5" t="n"/>
      <c r="N29" s="5" t="n"/>
      <c r="O29" s="5" t="n"/>
      <c r="P29" s="5" t="n"/>
      <c r="Q29" s="5" t="n"/>
      <c r="R29" s="6" t="n"/>
      <c r="S29" s="129" t="n"/>
      <c r="T29" s="129" t="n"/>
      <c r="U29" s="129" t="n"/>
      <c r="V29" s="129" t="n"/>
      <c r="W29" s="129" t="n"/>
      <c r="X29" s="129" t="n"/>
      <c r="Y29" s="129" t="n"/>
    </row>
    <row r="30">
      <c r="C30" s="6" t="inlineStr">
        <is>
          <t>3．過年度平均</t>
        </is>
      </c>
    </row>
    <row r="31" ht="18.75" customHeight="1" s="113">
      <c r="C31" s="104" t="n"/>
      <c r="D31" s="106" t="n"/>
      <c r="E31" s="104" t="inlineStr">
        <is>
          <t>売上</t>
        </is>
      </c>
      <c r="F31" s="105" t="n"/>
      <c r="G31" s="105" t="n"/>
      <c r="H31" s="105" t="n"/>
      <c r="I31" s="105" t="n"/>
      <c r="J31" s="105" t="n"/>
      <c r="K31" s="106" t="n"/>
      <c r="L31" s="107" t="inlineStr">
        <is>
          <t>粗利益</t>
        </is>
      </c>
      <c r="M31" s="105" t="n"/>
      <c r="N31" s="105" t="n"/>
      <c r="O31" s="105" t="n"/>
      <c r="P31" s="105" t="n"/>
      <c r="Q31" s="105" t="n"/>
      <c r="R31" s="106" t="n"/>
      <c r="S31" s="107" t="inlineStr">
        <is>
          <t>粗利益率</t>
        </is>
      </c>
      <c r="T31" s="105" t="n"/>
      <c r="U31" s="105" t="n"/>
      <c r="V31" s="105" t="n"/>
      <c r="W31" s="105" t="n"/>
      <c r="X31" s="105" t="n"/>
      <c r="Y31" s="106" t="n"/>
    </row>
    <row r="32" ht="18.75" customHeight="1" s="113">
      <c r="C32" s="61" t="n"/>
      <c r="D32" s="68" t="n"/>
      <c r="E32" s="72" t="n">
        <v>45748</v>
      </c>
      <c r="F32" s="62" t="n">
        <v>45778</v>
      </c>
      <c r="G32" s="62" t="n">
        <v>45809</v>
      </c>
      <c r="H32" s="62" t="n">
        <v>45839</v>
      </c>
      <c r="I32" s="62" t="n">
        <v>45870</v>
      </c>
      <c r="J32" s="62" t="n">
        <v>45901</v>
      </c>
      <c r="K32" s="64" t="inlineStr">
        <is>
          <t>合計</t>
        </is>
      </c>
      <c r="L32" s="72" t="n">
        <v>45748</v>
      </c>
      <c r="M32" s="62" t="n">
        <v>45778</v>
      </c>
      <c r="N32" s="62" t="n">
        <v>45809</v>
      </c>
      <c r="O32" s="62" t="n">
        <v>45839</v>
      </c>
      <c r="P32" s="62" t="n">
        <v>45870</v>
      </c>
      <c r="Q32" s="62" t="n">
        <v>45901</v>
      </c>
      <c r="R32" s="64" t="inlineStr">
        <is>
          <t>合計</t>
        </is>
      </c>
      <c r="S32" s="72" t="n">
        <v>45748</v>
      </c>
      <c r="T32" s="62" t="n">
        <v>45778</v>
      </c>
      <c r="U32" s="62" t="n">
        <v>45809</v>
      </c>
      <c r="V32" s="62" t="n">
        <v>45839</v>
      </c>
      <c r="W32" s="62" t="n">
        <v>45870</v>
      </c>
      <c r="X32" s="62" t="n">
        <v>45901</v>
      </c>
      <c r="Y32" s="64" t="inlineStr">
        <is>
          <t>合計</t>
        </is>
      </c>
    </row>
    <row r="33">
      <c r="C33" s="71" t="inlineStr">
        <is>
          <t>0903 集計</t>
        </is>
      </c>
      <c r="D33" s="40" t="inlineStr">
        <is>
          <t>西岡</t>
        </is>
      </c>
      <c r="E33" s="2">
        <f>(E19+E5)/2</f>
        <v/>
      </c>
      <c r="F33" s="2">
        <f>(F19+F5)/2</f>
        <v/>
      </c>
      <c r="G33" s="2">
        <f>(G19+G5)/2</f>
        <v/>
      </c>
      <c r="H33" s="2">
        <f>(H19+H5)/2</f>
        <v/>
      </c>
      <c r="I33" s="2">
        <f>(I19+I5)/2</f>
        <v/>
      </c>
      <c r="J33" s="2">
        <f>(J19+J5)/2</f>
        <v/>
      </c>
      <c r="K33" s="79">
        <f>SUM(E33:J33)</f>
        <v/>
      </c>
      <c r="L33" s="1">
        <f>(L19+L5)/2</f>
        <v/>
      </c>
      <c r="M33" s="2">
        <f>(M19+M5)/2</f>
        <v/>
      </c>
      <c r="N33" s="2">
        <f>(N19+N5)/2</f>
        <v/>
      </c>
      <c r="O33" s="2">
        <f>(O19+O5)/2</f>
        <v/>
      </c>
      <c r="P33" s="2">
        <f>(P19+P5)/2</f>
        <v/>
      </c>
      <c r="Q33" s="2">
        <f>(Q19+Q5)/2</f>
        <v/>
      </c>
      <c r="R33" s="73">
        <f>SUM(L33:Q33)</f>
        <v/>
      </c>
      <c r="S33" s="135">
        <f>IF(E33=0,"***",L33/E33)</f>
        <v/>
      </c>
      <c r="T33" s="124">
        <f>IF(F33=0,"***",M33/F33)</f>
        <v/>
      </c>
      <c r="U33" s="124">
        <f>IF(G33=0,"***",N33/G33)</f>
        <v/>
      </c>
      <c r="V33" s="124">
        <f>IF(H33=0,"***",O33/H33)</f>
        <v/>
      </c>
      <c r="W33" s="124">
        <f>IF(I33=0,"***",P33/I33)</f>
        <v/>
      </c>
      <c r="X33" s="124">
        <f>IF(J33=0,"***",Q33/J33)</f>
        <v/>
      </c>
      <c r="Y33" s="125">
        <f>IF(K33=0,"***",R33/K33)</f>
        <v/>
      </c>
    </row>
    <row r="34">
      <c r="C34" s="71" t="inlineStr">
        <is>
          <t>0904 集計</t>
        </is>
      </c>
      <c r="D34" s="40" t="inlineStr">
        <is>
          <t>足立次長</t>
        </is>
      </c>
      <c r="E34" s="2">
        <f>(E20+E6)/2</f>
        <v/>
      </c>
      <c r="F34" s="2">
        <f>(F20+F6)/2</f>
        <v/>
      </c>
      <c r="G34" s="2">
        <f>(G20+G6)/2</f>
        <v/>
      </c>
      <c r="H34" s="2">
        <f>(H20+H6)/2</f>
        <v/>
      </c>
      <c r="I34" s="2">
        <f>(I20+I6)/2</f>
        <v/>
      </c>
      <c r="J34" s="2">
        <f>(J20+J6)/2</f>
        <v/>
      </c>
      <c r="K34" s="79">
        <f>SUM(E34:J34)</f>
        <v/>
      </c>
      <c r="L34" s="1">
        <f>(L20+L6)/2</f>
        <v/>
      </c>
      <c r="M34" s="2">
        <f>(M20+M6)/2</f>
        <v/>
      </c>
      <c r="N34" s="2">
        <f>(N20+N6)/2</f>
        <v/>
      </c>
      <c r="O34" s="2">
        <f>(O20+O6)/2</f>
        <v/>
      </c>
      <c r="P34" s="2">
        <f>(P20+P6)/2</f>
        <v/>
      </c>
      <c r="Q34" s="2">
        <f>(Q20+Q6)/2</f>
        <v/>
      </c>
      <c r="R34" s="73">
        <f>SUM(L34:Q34)</f>
        <v/>
      </c>
      <c r="S34" s="135">
        <f>IF(E34=0,"***",L34/E34)</f>
        <v/>
      </c>
      <c r="T34" s="124">
        <f>IF(F34=0,"***",M34/F34)</f>
        <v/>
      </c>
      <c r="U34" s="124">
        <f>IF(G34=0,"***",N34/G34)</f>
        <v/>
      </c>
      <c r="V34" s="124">
        <f>IF(H34=0,"***",O34/H34)</f>
        <v/>
      </c>
      <c r="W34" s="124">
        <f>IF(I34=0,"***",P34/I34)</f>
        <v/>
      </c>
      <c r="X34" s="124">
        <f>IF(J34=0,"***",Q34/J34)</f>
        <v/>
      </c>
      <c r="Y34" s="125">
        <f>IF(K34=0,"***",R34/K34)</f>
        <v/>
      </c>
    </row>
    <row r="35">
      <c r="C35" s="71" t="inlineStr">
        <is>
          <t>0909 集計</t>
        </is>
      </c>
      <c r="D35" s="40" t="inlineStr">
        <is>
          <t>藤波課長</t>
        </is>
      </c>
      <c r="E35" s="2">
        <f>(E21+E7)/2</f>
        <v/>
      </c>
      <c r="F35" s="2">
        <f>(F21+F7)/2</f>
        <v/>
      </c>
      <c r="G35" s="2">
        <f>(G21+G7)/2</f>
        <v/>
      </c>
      <c r="H35" s="2">
        <f>(H21+H7)/2</f>
        <v/>
      </c>
      <c r="I35" s="2">
        <f>(I21+I7)/2</f>
        <v/>
      </c>
      <c r="J35" s="2">
        <f>(J21+J7)/2</f>
        <v/>
      </c>
      <c r="K35" s="79">
        <f>SUM(E35:J35)</f>
        <v/>
      </c>
      <c r="L35" s="1">
        <f>(L21+L7)/2</f>
        <v/>
      </c>
      <c r="M35" s="2">
        <f>(M21+M7)/2</f>
        <v/>
      </c>
      <c r="N35" s="2">
        <f>(N21+N7)/2</f>
        <v/>
      </c>
      <c r="O35" s="2">
        <f>(O21+O7)/2</f>
        <v/>
      </c>
      <c r="P35" s="2">
        <f>(P21+P7)/2</f>
        <v/>
      </c>
      <c r="Q35" s="2">
        <f>(Q21+Q7)/2</f>
        <v/>
      </c>
      <c r="R35" s="73">
        <f>SUM(L35:Q35)</f>
        <v/>
      </c>
      <c r="S35" s="135">
        <f>IF(E35=0,"***",L35/E35)</f>
        <v/>
      </c>
      <c r="T35" s="124">
        <f>IF(F35=0,"***",M35/F35)</f>
        <v/>
      </c>
      <c r="U35" s="124">
        <f>IF(G35=0,"***",N35/G35)</f>
        <v/>
      </c>
      <c r="V35" s="124">
        <f>IF(H35=0,"***",O35/H35)</f>
        <v/>
      </c>
      <c r="W35" s="124">
        <f>IF(I35=0,"***",P35/I35)</f>
        <v/>
      </c>
      <c r="X35" s="124">
        <f>IF(J35=0,"***",Q35/J35)</f>
        <v/>
      </c>
      <c r="Y35" s="125">
        <f>IF(K35=0,"***",R35/K35)</f>
        <v/>
      </c>
    </row>
    <row r="36">
      <c r="C36" s="71" t="inlineStr">
        <is>
          <t>0910 集計</t>
        </is>
      </c>
      <c r="D36" s="40" t="inlineStr">
        <is>
          <t>足立課長</t>
        </is>
      </c>
      <c r="E36" s="2">
        <f>(E22+E8)/2</f>
        <v/>
      </c>
      <c r="F36" s="2">
        <f>(F22+F8)/2</f>
        <v/>
      </c>
      <c r="G36" s="2">
        <f>(G22+G8)/2</f>
        <v/>
      </c>
      <c r="H36" s="2">
        <f>(H22+H8)/2</f>
        <v/>
      </c>
      <c r="I36" s="2">
        <f>(I22+I8)/2</f>
        <v/>
      </c>
      <c r="J36" s="2">
        <f>(J22+J8)/2</f>
        <v/>
      </c>
      <c r="K36" s="79">
        <f>SUM(E36:J36)</f>
        <v/>
      </c>
      <c r="L36" s="1">
        <f>(L22+L8)/2</f>
        <v/>
      </c>
      <c r="M36" s="2">
        <f>(M22+M8)/2</f>
        <v/>
      </c>
      <c r="N36" s="2">
        <f>(N22+N8)/2</f>
        <v/>
      </c>
      <c r="O36" s="2">
        <f>(O22+O8)/2</f>
        <v/>
      </c>
      <c r="P36" s="2">
        <f>(P22+P8)/2</f>
        <v/>
      </c>
      <c r="Q36" s="2">
        <f>(Q22+Q8)/2</f>
        <v/>
      </c>
      <c r="R36" s="73">
        <f>SUM(L36:Q36)</f>
        <v/>
      </c>
      <c r="S36" s="135">
        <f>IF(E36=0,"***",L36/E36)</f>
        <v/>
      </c>
      <c r="T36" s="124">
        <f>IF(F36=0,"***",M36/F36)</f>
        <v/>
      </c>
      <c r="U36" s="124">
        <f>IF(G36=0,"***",N36/G36)</f>
        <v/>
      </c>
      <c r="V36" s="124">
        <f>IF(H36=0,"***",O36/H36)</f>
        <v/>
      </c>
      <c r="W36" s="124">
        <f>IF(I36=0,"***",P36/I36)</f>
        <v/>
      </c>
      <c r="X36" s="124">
        <f>IF(J36=0,"***",Q36/J36)</f>
        <v/>
      </c>
      <c r="Y36" s="125">
        <f>IF(K36=0,"***",R36/K36)</f>
        <v/>
      </c>
    </row>
    <row r="37">
      <c r="C37" s="71" t="inlineStr">
        <is>
          <t>0911 集計</t>
        </is>
      </c>
      <c r="D37" s="40" t="inlineStr">
        <is>
          <t>川邊主任</t>
        </is>
      </c>
      <c r="E37" s="2">
        <f>(E23+E9)/2</f>
        <v/>
      </c>
      <c r="F37" s="2">
        <f>(F23+F9)/2</f>
        <v/>
      </c>
      <c r="G37" s="2">
        <f>(G23+G9)/2</f>
        <v/>
      </c>
      <c r="H37" s="2">
        <f>(H23+H9)/2</f>
        <v/>
      </c>
      <c r="I37" s="2">
        <f>(I23+I9)/2</f>
        <v/>
      </c>
      <c r="J37" s="2">
        <f>(J23+J9)/2</f>
        <v/>
      </c>
      <c r="K37" s="79">
        <f>SUM(E37:J37)</f>
        <v/>
      </c>
      <c r="L37" s="1">
        <f>(L23+L9)/2</f>
        <v/>
      </c>
      <c r="M37" s="2">
        <f>(M23+M9)/2</f>
        <v/>
      </c>
      <c r="N37" s="2">
        <f>(N23+N9)/2</f>
        <v/>
      </c>
      <c r="O37" s="2">
        <f>(O23+O9)/2</f>
        <v/>
      </c>
      <c r="P37" s="2">
        <f>(P23+P9)/2</f>
        <v/>
      </c>
      <c r="Q37" s="2">
        <f>(Q23+Q9)/2</f>
        <v/>
      </c>
      <c r="R37" s="73">
        <f>SUM(L37:Q37)</f>
        <v/>
      </c>
      <c r="S37" s="135">
        <f>IF(E37=0,"***",L37/E37)</f>
        <v/>
      </c>
      <c r="T37" s="124">
        <f>IF(F37=0,"***",M37/F37)</f>
        <v/>
      </c>
      <c r="U37" s="124">
        <f>IF(G37=0,"***",N37/G37)</f>
        <v/>
      </c>
      <c r="V37" s="124">
        <f>IF(H37=0,"***",O37/H37)</f>
        <v/>
      </c>
      <c r="W37" s="124">
        <f>IF(I37=0,"***",P37/I37)</f>
        <v/>
      </c>
      <c r="X37" s="124">
        <f>IF(J37=0,"***",Q37/J37)</f>
        <v/>
      </c>
      <c r="Y37" s="125">
        <f>IF(K37=0,"***",R37/K37)</f>
        <v/>
      </c>
    </row>
    <row r="38">
      <c r="C38" s="71" t="inlineStr">
        <is>
          <t>0914 集計</t>
        </is>
      </c>
      <c r="D38" s="40" t="inlineStr">
        <is>
          <t>白根主任</t>
        </is>
      </c>
      <c r="E38" s="2">
        <f>(E24+E10)/2</f>
        <v/>
      </c>
      <c r="F38" s="2">
        <f>(F24+F10)/2</f>
        <v/>
      </c>
      <c r="G38" s="2">
        <f>(G24+G10)/2</f>
        <v/>
      </c>
      <c r="H38" s="2">
        <f>(H24+H10)/2</f>
        <v/>
      </c>
      <c r="I38" s="2">
        <f>(I24+I10)/2</f>
        <v/>
      </c>
      <c r="J38" s="2">
        <f>(J24+J10)/2</f>
        <v/>
      </c>
      <c r="K38" s="79">
        <f>SUM(E38:J38)</f>
        <v/>
      </c>
      <c r="L38" s="1">
        <f>(L24+L10)/2</f>
        <v/>
      </c>
      <c r="M38" s="2">
        <f>(M24+M10)/2</f>
        <v/>
      </c>
      <c r="N38" s="2">
        <f>(N24+N10)/2</f>
        <v/>
      </c>
      <c r="O38" s="2">
        <f>(O24+O10)/2</f>
        <v/>
      </c>
      <c r="P38" s="2">
        <f>(P24+P10)/2</f>
        <v/>
      </c>
      <c r="Q38" s="2">
        <f>(Q24+Q10)/2</f>
        <v/>
      </c>
      <c r="R38" s="73">
        <f>SUM(L38:Q38)</f>
        <v/>
      </c>
      <c r="S38" s="135">
        <f>IF(E38=0,"***",L38/E38)</f>
        <v/>
      </c>
      <c r="T38" s="124">
        <f>IF(F38=0,"***",M38/F38)</f>
        <v/>
      </c>
      <c r="U38" s="124">
        <f>IF(G38=0,"***",N38/G38)</f>
        <v/>
      </c>
      <c r="V38" s="124">
        <f>IF(H38=0,"***",O38/H38)</f>
        <v/>
      </c>
      <c r="W38" s="124">
        <f>IF(I38=0,"***",P38/I38)</f>
        <v/>
      </c>
      <c r="X38" s="124">
        <f>IF(J38=0,"***",Q38/J38)</f>
        <v/>
      </c>
      <c r="Y38" s="125">
        <f>IF(K38=0,"***",R38/K38)</f>
        <v/>
      </c>
    </row>
    <row r="39">
      <c r="C39" s="71" t="inlineStr">
        <is>
          <t>0918 集計</t>
        </is>
      </c>
      <c r="D39" s="40" t="inlineStr">
        <is>
          <t>海外</t>
        </is>
      </c>
      <c r="E39" s="2">
        <f>(E25+E11)/2</f>
        <v/>
      </c>
      <c r="F39" s="2">
        <f>(F25+F11)/2</f>
        <v/>
      </c>
      <c r="G39" s="2">
        <f>(G25+G11)/2</f>
        <v/>
      </c>
      <c r="H39" s="2">
        <f>(H25+H11)/2</f>
        <v/>
      </c>
      <c r="I39" s="2">
        <f>(I25+I11)/2</f>
        <v/>
      </c>
      <c r="J39" s="2">
        <f>(J25+J11)/2</f>
        <v/>
      </c>
      <c r="K39" s="79">
        <f>SUM(E39:J39)</f>
        <v/>
      </c>
      <c r="L39" s="1">
        <f>(L25+L11)/2</f>
        <v/>
      </c>
      <c r="M39" s="2">
        <f>(M25+M11)/2</f>
        <v/>
      </c>
      <c r="N39" s="2">
        <f>(N25+N11)/2</f>
        <v/>
      </c>
      <c r="O39" s="2">
        <f>(O25+O11)/2</f>
        <v/>
      </c>
      <c r="P39" s="2">
        <f>(P25+P11)/2</f>
        <v/>
      </c>
      <c r="Q39" s="2">
        <f>(Q25+Q11)/2</f>
        <v/>
      </c>
      <c r="R39" s="73">
        <f>SUM(L39:Q39)</f>
        <v/>
      </c>
      <c r="S39" s="135">
        <f>IF(E39=0,"***",L39/E39)</f>
        <v/>
      </c>
      <c r="T39" s="124">
        <f>IF(F39=0,"***",M39/F39)</f>
        <v/>
      </c>
      <c r="U39" s="124">
        <f>IF(G39=0,"***",N39/G39)</f>
        <v/>
      </c>
      <c r="V39" s="124">
        <f>IF(H39=0,"***",O39/H39)</f>
        <v/>
      </c>
      <c r="W39" s="124">
        <f>IF(I39=0,"***",P39/I39)</f>
        <v/>
      </c>
      <c r="X39" s="124">
        <f>IF(J39=0,"***",Q39/J39)</f>
        <v/>
      </c>
      <c r="Y39" s="125">
        <f>IF(K39=0,"***",R39/K39)</f>
        <v/>
      </c>
    </row>
    <row r="40">
      <c r="C40" s="71" t="inlineStr">
        <is>
          <t>0919 集計</t>
        </is>
      </c>
      <c r="D40" s="40" t="inlineStr">
        <is>
          <t>その他</t>
        </is>
      </c>
      <c r="E40" s="2">
        <f>(E26+E12)/2</f>
        <v/>
      </c>
      <c r="F40" s="2">
        <f>(F26+F12)/2</f>
        <v/>
      </c>
      <c r="G40" s="2">
        <f>(G26+G12)/2</f>
        <v/>
      </c>
      <c r="H40" s="2">
        <f>(H26+H12)/2</f>
        <v/>
      </c>
      <c r="I40" s="2">
        <f>(I26+I12)/2</f>
        <v/>
      </c>
      <c r="J40" s="2">
        <f>(J26+J12)/2</f>
        <v/>
      </c>
      <c r="K40" s="79">
        <f>SUM(E40:J40)</f>
        <v/>
      </c>
      <c r="L40" s="1">
        <f>(L26+L12)/2</f>
        <v/>
      </c>
      <c r="M40" s="2">
        <f>(M26+M12)/2</f>
        <v/>
      </c>
      <c r="N40" s="2">
        <f>(N26+N12)/2</f>
        <v/>
      </c>
      <c r="O40" s="2">
        <f>(O26+O12)/2</f>
        <v/>
      </c>
      <c r="P40" s="2">
        <f>(P26+P12)/2</f>
        <v/>
      </c>
      <c r="Q40" s="2">
        <f>(Q26+Q12)/2</f>
        <v/>
      </c>
      <c r="R40" s="73">
        <f>SUM(L40:Q40)</f>
        <v/>
      </c>
      <c r="S40" s="135">
        <f>IF(E40=0,"***",L40/E40)</f>
        <v/>
      </c>
      <c r="T40" s="124">
        <f>IF(F40=0,"***",M40/F40)</f>
        <v/>
      </c>
      <c r="U40" s="124">
        <f>IF(G40=0,"***",N40/G40)</f>
        <v/>
      </c>
      <c r="V40" s="124">
        <f>IF(H40=0,"***",O40/H40)</f>
        <v/>
      </c>
      <c r="W40" s="124">
        <f>IF(I40=0,"***",P40/I40)</f>
        <v/>
      </c>
      <c r="X40" s="124">
        <f>IF(J40=0,"***",Q40/J40)</f>
        <v/>
      </c>
      <c r="Y40" s="125">
        <f>IF(K40=0,"***",R40/K40)</f>
        <v/>
      </c>
    </row>
    <row r="41">
      <c r="C41" s="71" t="inlineStr">
        <is>
          <t>0930 集計</t>
        </is>
      </c>
      <c r="D41" s="40" t="inlineStr">
        <is>
          <t>自治体</t>
        </is>
      </c>
      <c r="E41" s="2">
        <f>(E27+E13)/2</f>
        <v/>
      </c>
      <c r="F41" s="2">
        <f>(F27+F13)/2</f>
        <v/>
      </c>
      <c r="G41" s="2">
        <f>(G27+G13)/2</f>
        <v/>
      </c>
      <c r="H41" s="2">
        <f>(H27+H13)/2</f>
        <v/>
      </c>
      <c r="I41" s="2">
        <f>(I27+I13)/2</f>
        <v/>
      </c>
      <c r="J41" s="2">
        <f>(J27+J13)/2</f>
        <v/>
      </c>
      <c r="K41" s="79">
        <f>SUM(E41:J41)</f>
        <v/>
      </c>
      <c r="L41" s="1">
        <f>(L27+L13)/2</f>
        <v/>
      </c>
      <c r="M41" s="2">
        <f>(M27+M13)/2</f>
        <v/>
      </c>
      <c r="N41" s="2">
        <f>(N27+N13)/2</f>
        <v/>
      </c>
      <c r="O41" s="2">
        <f>(O27+O13)/2</f>
        <v/>
      </c>
      <c r="P41" s="2">
        <f>(P27+P13)/2</f>
        <v/>
      </c>
      <c r="Q41" s="2">
        <f>(Q27+Q13)/2</f>
        <v/>
      </c>
      <c r="R41" s="73">
        <f>SUM(L41:Q41)</f>
        <v/>
      </c>
      <c r="S41" s="135">
        <f>IF(E41=0,"***",L41/E41)</f>
        <v/>
      </c>
      <c r="T41" s="124">
        <f>IF(F41=0,"***",M41/F41)</f>
        <v/>
      </c>
      <c r="U41" s="124">
        <f>IF(G41=0,"***",N41/G41)</f>
        <v/>
      </c>
      <c r="V41" s="124">
        <f>IF(H41=0,"***",O41/H41)</f>
        <v/>
      </c>
      <c r="W41" s="124">
        <f>IF(I41=0,"***",P41/I41)</f>
        <v/>
      </c>
      <c r="X41" s="124">
        <f>IF(J41=0,"***",Q41/J41)</f>
        <v/>
      </c>
      <c r="Y41" s="125">
        <f>IF(K41=0,"***",R41/K41)</f>
        <v/>
      </c>
    </row>
    <row r="42">
      <c r="C42" s="3" t="inlineStr">
        <is>
          <t>合計</t>
        </is>
      </c>
      <c r="D42" s="70" t="n"/>
      <c r="E42" s="74">
        <f>SUM(E33:E41)</f>
        <v/>
      </c>
      <c r="F42" s="63">
        <f>SUM(F33:F41)</f>
        <v/>
      </c>
      <c r="G42" s="63">
        <f>SUM(G33:G41)</f>
        <v/>
      </c>
      <c r="H42" s="63">
        <f>SUM(H33:H41)</f>
        <v/>
      </c>
      <c r="I42" s="63">
        <f>SUM(I33:I41)</f>
        <v/>
      </c>
      <c r="J42" s="63">
        <f>SUM(J33:J41)</f>
        <v/>
      </c>
      <c r="K42" s="75">
        <f>SUM(K33:K41)</f>
        <v/>
      </c>
      <c r="L42" s="74">
        <f>SUM(L33:L41)</f>
        <v/>
      </c>
      <c r="M42" s="63">
        <f>SUM(M33:M41)</f>
        <v/>
      </c>
      <c r="N42" s="63">
        <f>SUM(N33:N41)</f>
        <v/>
      </c>
      <c r="O42" s="63">
        <f>SUM(O33:O41)</f>
        <v/>
      </c>
      <c r="P42" s="63">
        <f>SUM(P33:P41)</f>
        <v/>
      </c>
      <c r="Q42" s="63">
        <f>SUM(Q33:Q41)</f>
        <v/>
      </c>
      <c r="R42" s="75">
        <f>SUM(R33:R41)</f>
        <v/>
      </c>
      <c r="S42" s="137">
        <f>IF(E42=0,"***",L42/E42)</f>
        <v/>
      </c>
      <c r="T42" s="127">
        <f>IF(F42=0,"***",M42/F42)</f>
        <v/>
      </c>
      <c r="U42" s="127">
        <f>IF(G42=0,"***",N42/G42)</f>
        <v/>
      </c>
      <c r="V42" s="127">
        <f>IF(H42=0,"***",O42/H42)</f>
        <v/>
      </c>
      <c r="W42" s="127">
        <f>IF(I42=0,"***",P42/I42)</f>
        <v/>
      </c>
      <c r="X42" s="127">
        <f>IF(J42=0,"***",Q42/J42)</f>
        <v/>
      </c>
      <c r="Y42" s="128">
        <f>IF(K42=0,"***",R42/K42)</f>
        <v/>
      </c>
    </row>
    <row r="43">
      <c r="C43" s="6" t="n"/>
      <c r="E43" s="5" t="n"/>
      <c r="F43" s="5" t="n"/>
      <c r="G43" s="5" t="n"/>
      <c r="H43" s="5" t="n"/>
      <c r="I43" s="5" t="n"/>
      <c r="J43" s="5" t="n"/>
      <c r="K43" s="6" t="n"/>
      <c r="L43" s="5" t="n"/>
      <c r="M43" s="5" t="n"/>
      <c r="N43" s="5" t="n"/>
      <c r="O43" s="5" t="n"/>
      <c r="P43" s="5" t="n"/>
      <c r="Q43" s="5" t="n"/>
      <c r="R43" s="6" t="n"/>
      <c r="S43" s="129" t="n"/>
      <c r="T43" s="129" t="n"/>
      <c r="U43" s="129" t="n"/>
      <c r="V43" s="129" t="n"/>
      <c r="W43" s="129" t="n"/>
      <c r="X43" s="129" t="n"/>
      <c r="Y43" s="129" t="n"/>
    </row>
    <row r="44">
      <c r="C44" s="6" t="inlineStr">
        <is>
          <t>4．計画</t>
        </is>
      </c>
    </row>
    <row r="45">
      <c r="C45" s="104" t="n"/>
      <c r="D45" s="106" t="n"/>
      <c r="E45" s="104" t="inlineStr">
        <is>
          <t>売上</t>
        </is>
      </c>
      <c r="F45" s="105" t="n"/>
      <c r="G45" s="105" t="n"/>
      <c r="H45" s="105" t="n"/>
      <c r="I45" s="105" t="n"/>
      <c r="J45" s="105" t="n"/>
      <c r="K45" s="106" t="n"/>
      <c r="L45" s="108" t="inlineStr">
        <is>
          <t>粗利益</t>
        </is>
      </c>
      <c r="M45" s="105" t="n"/>
      <c r="N45" s="105" t="n"/>
      <c r="O45" s="105" t="n"/>
      <c r="P45" s="105" t="n"/>
      <c r="Q45" s="105" t="n"/>
      <c r="R45" s="106" t="n"/>
      <c r="S45" s="108" t="inlineStr">
        <is>
          <t>粗利益率</t>
        </is>
      </c>
      <c r="T45" s="105" t="n"/>
      <c r="U45" s="105" t="n"/>
      <c r="V45" s="105" t="n"/>
      <c r="W45" s="105" t="n"/>
      <c r="X45" s="105" t="n"/>
      <c r="Y45" s="106" t="n"/>
    </row>
    <row r="46">
      <c r="C46" s="61" t="n"/>
      <c r="D46" s="68" t="n"/>
      <c r="E46" s="72" t="n">
        <v>46113</v>
      </c>
      <c r="F46" s="62" t="n">
        <v>46143</v>
      </c>
      <c r="G46" s="62" t="n">
        <v>46174</v>
      </c>
      <c r="H46" s="62" t="n">
        <v>46204</v>
      </c>
      <c r="I46" s="62" t="n">
        <v>46235</v>
      </c>
      <c r="J46" s="62" t="n">
        <v>46266</v>
      </c>
      <c r="K46" s="64" t="inlineStr">
        <is>
          <t>合計</t>
        </is>
      </c>
      <c r="L46" s="88" t="n">
        <v>46113</v>
      </c>
      <c r="M46" s="62" t="n">
        <v>46143</v>
      </c>
      <c r="N46" s="62" t="n">
        <v>46174</v>
      </c>
      <c r="O46" s="62" t="n">
        <v>46204</v>
      </c>
      <c r="P46" s="62" t="n">
        <v>46235</v>
      </c>
      <c r="Q46" s="62" t="n">
        <v>46266</v>
      </c>
      <c r="R46" s="64" t="inlineStr">
        <is>
          <t>合計</t>
        </is>
      </c>
      <c r="S46" s="88" t="n">
        <v>46113</v>
      </c>
      <c r="T46" s="62" t="n">
        <v>46143</v>
      </c>
      <c r="U46" s="62" t="n">
        <v>46174</v>
      </c>
      <c r="V46" s="62" t="n">
        <v>46204</v>
      </c>
      <c r="W46" s="62" t="n">
        <v>46235</v>
      </c>
      <c r="X46" s="62" t="n">
        <v>46266</v>
      </c>
      <c r="Y46" s="64" t="inlineStr">
        <is>
          <t>合計</t>
        </is>
      </c>
    </row>
    <row r="47">
      <c r="C47" s="71" t="inlineStr">
        <is>
          <t>0903 集計</t>
        </is>
      </c>
      <c r="D47" s="40" t="inlineStr">
        <is>
          <t>西岡</t>
        </is>
      </c>
      <c r="E47" s="39" t="n">
        <v>200</v>
      </c>
      <c r="F47" s="39" t="n">
        <v>200</v>
      </c>
      <c r="G47" s="39" t="n">
        <v>200</v>
      </c>
      <c r="H47" s="39" t="n">
        <v>200</v>
      </c>
      <c r="I47" s="39" t="n">
        <v>200</v>
      </c>
      <c r="J47" s="39" t="n">
        <v>200</v>
      </c>
      <c r="K47" s="79">
        <f>SUM(E47:J47)</f>
        <v/>
      </c>
      <c r="L47" s="53" t="n">
        <v>40</v>
      </c>
      <c r="M47" s="39" t="n">
        <v>70</v>
      </c>
      <c r="N47" s="39" t="n">
        <v>70</v>
      </c>
      <c r="O47" s="39" t="n">
        <v>70</v>
      </c>
      <c r="P47" s="39" t="n">
        <v>70</v>
      </c>
      <c r="Q47" s="39" t="n">
        <v>70</v>
      </c>
      <c r="R47" s="73">
        <f>SUM(L47:Q47)</f>
        <v/>
      </c>
      <c r="S47" s="135">
        <f>IF(E47=0,"***",L47/E47)</f>
        <v/>
      </c>
      <c r="T47" s="124">
        <f>IF(F47=0,"***",M47/F47)</f>
        <v/>
      </c>
      <c r="U47" s="124">
        <f>IF(G47=0,"***",N47/G47)</f>
        <v/>
      </c>
      <c r="V47" s="124">
        <f>IF(H47=0,"***",O47/H47)</f>
        <v/>
      </c>
      <c r="W47" s="124">
        <f>IF(I47=0,"***",P47/I47)</f>
        <v/>
      </c>
      <c r="X47" s="124">
        <f>IF(J47=0,"***",Q47/J47)</f>
        <v/>
      </c>
      <c r="Y47" s="125">
        <f>IF(K47=0,"***",R47/K47)</f>
        <v/>
      </c>
    </row>
    <row r="48">
      <c r="C48" s="71" t="inlineStr">
        <is>
          <t>0904 集計</t>
        </is>
      </c>
      <c r="D48" s="40" t="inlineStr">
        <is>
          <t>足立次長</t>
        </is>
      </c>
      <c r="E48" s="39" t="n">
        <v>5000</v>
      </c>
      <c r="F48" s="39" t="n">
        <v>5000</v>
      </c>
      <c r="G48" s="39" t="n">
        <v>5000</v>
      </c>
      <c r="H48" s="39" t="n">
        <v>5000</v>
      </c>
      <c r="I48" s="39" t="n">
        <v>5000</v>
      </c>
      <c r="J48" s="39" t="n">
        <v>5000</v>
      </c>
      <c r="K48" s="79">
        <f>SUM(E48:J48)</f>
        <v/>
      </c>
      <c r="L48" s="53" t="n">
        <v>1000</v>
      </c>
      <c r="M48" s="39" t="n">
        <v>1000</v>
      </c>
      <c r="N48" s="39" t="n">
        <v>1000</v>
      </c>
      <c r="O48" s="39" t="n">
        <v>1000</v>
      </c>
      <c r="P48" s="39" t="n">
        <v>1000</v>
      </c>
      <c r="Q48" s="39" t="n">
        <v>1000</v>
      </c>
      <c r="R48" s="73">
        <f>SUM(L48:Q48)</f>
        <v/>
      </c>
      <c r="S48" s="135">
        <f>IF(E48=0,"***",L48/E48)</f>
        <v/>
      </c>
      <c r="T48" s="124">
        <f>IF(F48=0,"***",M48/F48)</f>
        <v/>
      </c>
      <c r="U48" s="124">
        <f>IF(G48=0,"***",N48/G48)</f>
        <v/>
      </c>
      <c r="V48" s="124">
        <f>IF(H48=0,"***",O48/H48)</f>
        <v/>
      </c>
      <c r="W48" s="124">
        <f>IF(I48=0,"***",P48/I48)</f>
        <v/>
      </c>
      <c r="X48" s="124">
        <f>IF(J48=0,"***",Q48/J48)</f>
        <v/>
      </c>
      <c r="Y48" s="125">
        <f>IF(K48=0,"***",R48/K48)</f>
        <v/>
      </c>
    </row>
    <row r="49">
      <c r="C49" s="71" t="inlineStr">
        <is>
          <t>0909 集計</t>
        </is>
      </c>
      <c r="D49" s="40" t="inlineStr">
        <is>
          <t>藤波課長</t>
        </is>
      </c>
      <c r="E49" s="39" t="n">
        <v>700</v>
      </c>
      <c r="F49" s="39" t="n">
        <v>700</v>
      </c>
      <c r="G49" s="39" t="n">
        <v>18700</v>
      </c>
      <c r="H49" s="39" t="n">
        <v>700</v>
      </c>
      <c r="I49" s="39" t="n">
        <v>700</v>
      </c>
      <c r="J49" s="39" t="n">
        <v>700</v>
      </c>
      <c r="K49" s="79">
        <f>SUM(E49:J49)</f>
        <v/>
      </c>
      <c r="L49" s="53" t="n">
        <v>250</v>
      </c>
      <c r="M49" s="39" t="n">
        <v>250</v>
      </c>
      <c r="N49" s="39" t="n">
        <v>5410</v>
      </c>
      <c r="O49" s="39" t="n">
        <v>250</v>
      </c>
      <c r="P49" s="39" t="n">
        <v>250</v>
      </c>
      <c r="Q49" s="39" t="n">
        <v>250</v>
      </c>
      <c r="R49" s="73">
        <f>SUM(L49:Q49)</f>
        <v/>
      </c>
      <c r="S49" s="135">
        <f>IF(E49=0,"***",L49/E49)</f>
        <v/>
      </c>
      <c r="T49" s="124">
        <f>IF(F49=0,"***",M49/F49)</f>
        <v/>
      </c>
      <c r="U49" s="124">
        <f>IF(G49=0,"***",N49/G49)</f>
        <v/>
      </c>
      <c r="V49" s="124">
        <f>IF(H49=0,"***",O49/H49)</f>
        <v/>
      </c>
      <c r="W49" s="124">
        <f>IF(I49=0,"***",P49/I49)</f>
        <v/>
      </c>
      <c r="X49" s="124">
        <f>IF(J49=0,"***",Q49/J49)</f>
        <v/>
      </c>
      <c r="Y49" s="125">
        <f>IF(K49=0,"***",R49/K49)</f>
        <v/>
      </c>
    </row>
    <row r="50">
      <c r="C50" s="71" t="inlineStr">
        <is>
          <t>0910 集計</t>
        </is>
      </c>
      <c r="D50" s="40" t="inlineStr">
        <is>
          <t>足立課長</t>
        </is>
      </c>
      <c r="E50" s="39" t="n">
        <v>1000</v>
      </c>
      <c r="F50" s="39" t="n">
        <v>1000</v>
      </c>
      <c r="G50" s="39" t="n">
        <v>1000</v>
      </c>
      <c r="H50" s="39" t="n"/>
      <c r="I50" s="39" t="n"/>
      <c r="J50" s="39" t="n"/>
      <c r="K50" s="79">
        <f>SUM(E50:J50)</f>
        <v/>
      </c>
      <c r="L50" s="53" t="n">
        <v>250</v>
      </c>
      <c r="M50" s="39" t="n">
        <v>250</v>
      </c>
      <c r="N50" s="39" t="n">
        <v>250</v>
      </c>
      <c r="O50" s="39" t="n"/>
      <c r="P50" s="39" t="n"/>
      <c r="Q50" s="39" t="n"/>
      <c r="R50" s="73">
        <f>SUM(L50:Q50)</f>
        <v/>
      </c>
      <c r="S50" s="135">
        <f>IF(E50=0,"***",L50/E50)</f>
        <v/>
      </c>
      <c r="T50" s="124">
        <f>IF(F50=0,"***",M50/F50)</f>
        <v/>
      </c>
      <c r="U50" s="124">
        <f>IF(G50=0,"***",N50/G50)</f>
        <v/>
      </c>
      <c r="V50" s="124">
        <f>IF(H50=0,"***",O50/H50)</f>
        <v/>
      </c>
      <c r="W50" s="124">
        <f>IF(I50=0,"***",P50/I50)</f>
        <v/>
      </c>
      <c r="X50" s="124">
        <f>IF(J50=0,"***",Q50/J50)</f>
        <v/>
      </c>
      <c r="Y50" s="125">
        <f>IF(K50=0,"***",R50/K50)</f>
        <v/>
      </c>
    </row>
    <row r="51">
      <c r="C51" s="71" t="inlineStr">
        <is>
          <t>0911 集計</t>
        </is>
      </c>
      <c r="D51" s="40" t="inlineStr">
        <is>
          <t>川邊主任</t>
        </is>
      </c>
      <c r="E51" s="39" t="n">
        <v>700</v>
      </c>
      <c r="F51" s="39" t="n">
        <v>700</v>
      </c>
      <c r="G51" s="39" t="n">
        <v>700</v>
      </c>
      <c r="H51" s="39" t="n">
        <v>700</v>
      </c>
      <c r="I51" s="39" t="n">
        <v>700</v>
      </c>
      <c r="J51" s="39" t="n">
        <v>700</v>
      </c>
      <c r="K51" s="79">
        <f>SUM(E51:J51)</f>
        <v/>
      </c>
      <c r="L51" s="53" t="n">
        <v>180</v>
      </c>
      <c r="M51" s="39" t="n">
        <v>180</v>
      </c>
      <c r="N51" s="39" t="n">
        <v>180</v>
      </c>
      <c r="O51" s="39" t="n">
        <v>180</v>
      </c>
      <c r="P51" s="39" t="n">
        <v>180</v>
      </c>
      <c r="Q51" s="39" t="n">
        <v>180</v>
      </c>
      <c r="R51" s="73">
        <f>SUM(L51:Q51)</f>
        <v/>
      </c>
      <c r="S51" s="135">
        <f>IF(E51=0,"***",L51/E51)</f>
        <v/>
      </c>
      <c r="T51" s="124">
        <f>IF(F51=0,"***",M51/F51)</f>
        <v/>
      </c>
      <c r="U51" s="124">
        <f>IF(G51=0,"***",N51/G51)</f>
        <v/>
      </c>
      <c r="V51" s="124">
        <f>IF(H51=0,"***",O51/H51)</f>
        <v/>
      </c>
      <c r="W51" s="124">
        <f>IF(I51=0,"***",P51/I51)</f>
        <v/>
      </c>
      <c r="X51" s="124">
        <f>IF(J51=0,"***",Q51/J51)</f>
        <v/>
      </c>
      <c r="Y51" s="125">
        <f>IF(K51=0,"***",R51/K51)</f>
        <v/>
      </c>
    </row>
    <row r="52">
      <c r="C52" s="71" t="inlineStr">
        <is>
          <t>0914 集計</t>
        </is>
      </c>
      <c r="D52" s="40" t="inlineStr">
        <is>
          <t>白根主任</t>
        </is>
      </c>
      <c r="E52" s="39" t="n">
        <v>20500</v>
      </c>
      <c r="F52" s="39" t="n">
        <v>1500</v>
      </c>
      <c r="G52" s="39" t="n">
        <v>1500</v>
      </c>
      <c r="H52" s="39" t="n">
        <v>1500</v>
      </c>
      <c r="I52" s="39" t="n">
        <v>1500</v>
      </c>
      <c r="J52" s="39" t="n">
        <v>1500</v>
      </c>
      <c r="K52" s="79">
        <f>SUM(E52:J52)</f>
        <v/>
      </c>
      <c r="L52" s="53" t="n">
        <v>2600</v>
      </c>
      <c r="M52" s="39" t="n">
        <v>300</v>
      </c>
      <c r="N52" s="39" t="n">
        <v>300</v>
      </c>
      <c r="O52" s="39" t="n">
        <v>300</v>
      </c>
      <c r="P52" s="39" t="n">
        <v>300</v>
      </c>
      <c r="Q52" s="39" t="n">
        <v>300</v>
      </c>
      <c r="R52" s="73">
        <f>SUM(L52:Q52)</f>
        <v/>
      </c>
      <c r="S52" s="135">
        <f>IF(E52=0,"***",L52/E52)</f>
        <v/>
      </c>
      <c r="T52" s="124">
        <f>IF(F52=0,"***",M52/F52)</f>
        <v/>
      </c>
      <c r="U52" s="124">
        <f>IF(G52=0,"***",N52/G52)</f>
        <v/>
      </c>
      <c r="V52" s="124">
        <f>IF(H52=0,"***",O52/H52)</f>
        <v/>
      </c>
      <c r="W52" s="124">
        <f>IF(I52=0,"***",P52/I52)</f>
        <v/>
      </c>
      <c r="X52" s="124">
        <f>IF(J52=0,"***",Q52/J52)</f>
        <v/>
      </c>
      <c r="Y52" s="125">
        <f>IF(K52=0,"***",R52/K52)</f>
        <v/>
      </c>
    </row>
    <row r="53">
      <c r="C53" s="71" t="inlineStr">
        <is>
          <t>0918 集計</t>
        </is>
      </c>
      <c r="D53" s="40" t="inlineStr">
        <is>
          <t>海外</t>
        </is>
      </c>
      <c r="E53" s="39" t="n">
        <v>400</v>
      </c>
      <c r="F53" s="39" t="n">
        <v>400</v>
      </c>
      <c r="G53" s="39" t="n">
        <v>400</v>
      </c>
      <c r="H53" s="39" t="n">
        <v>400</v>
      </c>
      <c r="I53" s="39" t="n">
        <v>400</v>
      </c>
      <c r="J53" s="39" t="n">
        <v>400</v>
      </c>
      <c r="K53" s="79">
        <f>SUM(E53:J53)</f>
        <v/>
      </c>
      <c r="L53" s="53" t="n">
        <v>80</v>
      </c>
      <c r="M53" s="39" t="n">
        <v>80</v>
      </c>
      <c r="N53" s="39" t="n">
        <v>80</v>
      </c>
      <c r="O53" s="39" t="n">
        <v>80</v>
      </c>
      <c r="P53" s="39" t="n">
        <v>80</v>
      </c>
      <c r="Q53" s="39" t="n">
        <v>80</v>
      </c>
      <c r="R53" s="73">
        <f>SUM(L53:Q53)</f>
        <v/>
      </c>
      <c r="S53" s="135">
        <f>IF(E53=0,"***",L53/E53)</f>
        <v/>
      </c>
      <c r="T53" s="124">
        <f>IF(F53=0,"***",M53/F53)</f>
        <v/>
      </c>
      <c r="U53" s="124">
        <f>IF(G53=0,"***",N53/G53)</f>
        <v/>
      </c>
      <c r="V53" s="124">
        <f>IF(H53=0,"***",O53/H53)</f>
        <v/>
      </c>
      <c r="W53" s="124">
        <f>IF(I53=0,"***",P53/I53)</f>
        <v/>
      </c>
      <c r="X53" s="124">
        <f>IF(J53=0,"***",Q53/J53)</f>
        <v/>
      </c>
      <c r="Y53" s="125">
        <f>IF(K53=0,"***",R53/K53)</f>
        <v/>
      </c>
    </row>
    <row r="54">
      <c r="C54" s="71" t="inlineStr">
        <is>
          <t>0919 集計</t>
        </is>
      </c>
      <c r="D54" s="40" t="inlineStr">
        <is>
          <t>その他</t>
        </is>
      </c>
      <c r="E54" s="39" t="n">
        <v>0</v>
      </c>
      <c r="F54" s="39" t="n">
        <v>0</v>
      </c>
      <c r="G54" s="39" t="n">
        <v>0</v>
      </c>
      <c r="H54" s="39" t="n">
        <v>0</v>
      </c>
      <c r="I54" s="39" t="n">
        <v>0</v>
      </c>
      <c r="J54" s="39" t="n">
        <v>0</v>
      </c>
      <c r="K54" s="79">
        <f>SUM(E54:J54)</f>
        <v/>
      </c>
      <c r="L54" s="53" t="n">
        <v>0</v>
      </c>
      <c r="M54" s="39" t="n">
        <v>0</v>
      </c>
      <c r="N54" s="39" t="n">
        <v>0</v>
      </c>
      <c r="O54" s="39" t="n">
        <v>0</v>
      </c>
      <c r="P54" s="39" t="n">
        <v>0</v>
      </c>
      <c r="Q54" s="39" t="n">
        <v>0</v>
      </c>
      <c r="R54" s="73">
        <f>SUM(L54:Q54)</f>
        <v/>
      </c>
      <c r="S54" s="135">
        <f>IF(E54=0,"***",L54/E54)</f>
        <v/>
      </c>
      <c r="T54" s="124">
        <f>IF(F54=0,"***",M54/F54)</f>
        <v/>
      </c>
      <c r="U54" s="124">
        <f>IF(G54=0,"***",N54/G54)</f>
        <v/>
      </c>
      <c r="V54" s="124">
        <f>IF(H54=0,"***",O54/H54)</f>
        <v/>
      </c>
      <c r="W54" s="124">
        <f>IF(I54=0,"***",P54/I54)</f>
        <v/>
      </c>
      <c r="X54" s="124">
        <f>IF(J54=0,"***",Q54/J54)</f>
        <v/>
      </c>
      <c r="Y54" s="125">
        <f>IF(K54=0,"***",R54/K54)</f>
        <v/>
      </c>
    </row>
    <row r="55">
      <c r="C55" s="71" t="inlineStr">
        <is>
          <t>0930 集計</t>
        </is>
      </c>
      <c r="D55" s="40" t="inlineStr">
        <is>
          <t>自治体</t>
        </is>
      </c>
      <c r="E55" s="91" t="n">
        <v>0</v>
      </c>
      <c r="F55" s="91" t="n">
        <v>0</v>
      </c>
      <c r="G55" s="91" t="n">
        <v>0</v>
      </c>
      <c r="H55" s="91" t="n">
        <v>0</v>
      </c>
      <c r="I55" s="91" t="n">
        <v>0</v>
      </c>
      <c r="J55" s="91" t="n">
        <v>0</v>
      </c>
      <c r="K55" s="59">
        <f>SUM(E55:J55)</f>
        <v/>
      </c>
      <c r="L55" s="92" t="n">
        <v>0</v>
      </c>
      <c r="M55" s="91" t="n">
        <v>0</v>
      </c>
      <c r="N55" s="91" t="n">
        <v>0</v>
      </c>
      <c r="O55" s="91" t="n">
        <v>0</v>
      </c>
      <c r="P55" s="91" t="n">
        <v>0</v>
      </c>
      <c r="Q55" s="91" t="n">
        <v>0</v>
      </c>
      <c r="R55" s="84">
        <f>SUM(L55:Q55)</f>
        <v/>
      </c>
      <c r="S55" s="136">
        <f>IF(E55=0,"***",L55/E55)</f>
        <v/>
      </c>
      <c r="T55" s="133">
        <f>IF(F55=0,"***",M55/F55)</f>
        <v/>
      </c>
      <c r="U55" s="133">
        <f>IF(G55=0,"***",N55/G55)</f>
        <v/>
      </c>
      <c r="V55" s="133">
        <f>IF(H55=0,"***",O55/H55)</f>
        <v/>
      </c>
      <c r="W55" s="133">
        <f>IF(I55=0,"***",P55/I55)</f>
        <v/>
      </c>
      <c r="X55" s="133">
        <f>IF(J55=0,"***",Q55/J55)</f>
        <v/>
      </c>
      <c r="Y55" s="134">
        <f>IF(K55=0,"***",R55/K55)</f>
        <v/>
      </c>
    </row>
    <row r="56">
      <c r="C56" s="3" t="inlineStr">
        <is>
          <t>合計</t>
        </is>
      </c>
      <c r="D56" s="70" t="n"/>
      <c r="E56" s="74">
        <f>SUM(E47:E55)</f>
        <v/>
      </c>
      <c r="F56" s="63">
        <f>SUM(F47:F55)</f>
        <v/>
      </c>
      <c r="G56" s="63">
        <f>SUM(G47:G55)</f>
        <v/>
      </c>
      <c r="H56" s="63">
        <f>SUM(H47:H55)</f>
        <v/>
      </c>
      <c r="I56" s="63">
        <f>SUM(I47:I55)</f>
        <v/>
      </c>
      <c r="J56" s="63">
        <f>SUM(J47:J55)</f>
        <v/>
      </c>
      <c r="K56" s="75">
        <f>SUM(K47:K55)</f>
        <v/>
      </c>
      <c r="L56" s="74">
        <f>SUM(L47:L55)</f>
        <v/>
      </c>
      <c r="M56" s="63">
        <f>SUM(M47:M55)</f>
        <v/>
      </c>
      <c r="N56" s="63">
        <f>SUM(N47:N55)</f>
        <v/>
      </c>
      <c r="O56" s="63">
        <f>SUM(O47:O55)</f>
        <v/>
      </c>
      <c r="P56" s="63">
        <f>SUM(P47:P55)</f>
        <v/>
      </c>
      <c r="Q56" s="63">
        <f>SUM(Q47:Q55)</f>
        <v/>
      </c>
      <c r="R56" s="75">
        <f>SUM(R47:R55)</f>
        <v/>
      </c>
      <c r="S56" s="137">
        <f>IF(E56=0,"***",L56/E56)</f>
        <v/>
      </c>
      <c r="T56" s="127">
        <f>IF(F56=0,"***",M56/F56)</f>
        <v/>
      </c>
      <c r="U56" s="127">
        <f>IF(G56=0,"***",N56/G56)</f>
        <v/>
      </c>
      <c r="V56" s="127">
        <f>IF(H56=0,"***",O56/H56)</f>
        <v/>
      </c>
      <c r="W56" s="127">
        <f>IF(I56=0,"***",P56/I56)</f>
        <v/>
      </c>
      <c r="X56" s="127">
        <f>IF(J56=0,"***",Q56/J56)</f>
        <v/>
      </c>
      <c r="Y56" s="128">
        <f>IF(K56=0,"***",R56/K56)</f>
        <v/>
      </c>
    </row>
    <row r="57" hidden="1" s="113">
      <c r="C57" s="6" t="n"/>
      <c r="E57" s="5" t="n"/>
      <c r="F57" s="5" t="n"/>
      <c r="G57" s="5" t="n"/>
      <c r="H57" s="5" t="n"/>
      <c r="I57" s="5" t="n"/>
      <c r="J57" s="5" t="n"/>
      <c r="K57" s="6" t="n"/>
      <c r="L57" s="5" t="n"/>
      <c r="M57" s="5" t="n"/>
      <c r="N57" s="5" t="n"/>
      <c r="O57" s="5" t="n"/>
      <c r="P57" s="5" t="n"/>
      <c r="Q57" s="5" t="n"/>
      <c r="R57" s="6" t="n"/>
      <c r="S57" s="129" t="n"/>
      <c r="T57" s="129" t="n"/>
      <c r="U57" s="129" t="n"/>
      <c r="V57" s="129" t="n"/>
      <c r="W57" s="129" t="n"/>
      <c r="X57" s="129" t="n"/>
      <c r="Y57" s="129" t="n"/>
    </row>
    <row r="58" hidden="1" s="113">
      <c r="C58" s="6" t="inlineStr">
        <is>
          <t>５．前期比</t>
        </is>
      </c>
    </row>
    <row r="59" hidden="1" s="113">
      <c r="C59" s="104" t="n"/>
      <c r="D59" s="106" t="n"/>
      <c r="E59" s="104" t="inlineStr">
        <is>
          <t>売上</t>
        </is>
      </c>
      <c r="F59" s="105" t="n"/>
      <c r="G59" s="105" t="n"/>
      <c r="H59" s="105" t="n"/>
      <c r="I59" s="105" t="n"/>
      <c r="J59" s="105" t="n"/>
      <c r="K59" s="106" t="n"/>
      <c r="L59" s="108" t="inlineStr">
        <is>
          <t>粗利益</t>
        </is>
      </c>
      <c r="M59" s="105" t="n"/>
      <c r="N59" s="105" t="n"/>
      <c r="O59" s="105" t="n"/>
      <c r="P59" s="105" t="n"/>
      <c r="Q59" s="105" t="n"/>
      <c r="R59" s="106" t="n"/>
      <c r="S59" s="108" t="inlineStr">
        <is>
          <t>粗利益率</t>
        </is>
      </c>
      <c r="T59" s="105" t="n"/>
      <c r="U59" s="105" t="n"/>
      <c r="V59" s="105" t="n"/>
      <c r="W59" s="105" t="n"/>
      <c r="X59" s="105" t="n"/>
      <c r="Y59" s="106" t="n"/>
    </row>
    <row r="60" hidden="1" s="113">
      <c r="C60" s="61" t="n"/>
      <c r="D60" s="68" t="n"/>
      <c r="E60" s="72" t="n">
        <v>46113</v>
      </c>
      <c r="F60" s="62" t="n">
        <v>46143</v>
      </c>
      <c r="G60" s="62" t="n">
        <v>46174</v>
      </c>
      <c r="H60" s="62" t="n">
        <v>46204</v>
      </c>
      <c r="I60" s="62" t="n">
        <v>46235</v>
      </c>
      <c r="J60" s="62" t="n">
        <v>46266</v>
      </c>
      <c r="K60" s="64" t="inlineStr">
        <is>
          <t>合計</t>
        </is>
      </c>
      <c r="L60" s="88" t="n">
        <v>46113</v>
      </c>
      <c r="M60" s="62" t="n">
        <v>46143</v>
      </c>
      <c r="N60" s="62" t="n">
        <v>46174</v>
      </c>
      <c r="O60" s="62" t="n">
        <v>46204</v>
      </c>
      <c r="P60" s="62" t="n">
        <v>46235</v>
      </c>
      <c r="Q60" s="62" t="n">
        <v>46266</v>
      </c>
      <c r="R60" s="64" t="inlineStr">
        <is>
          <t>合計</t>
        </is>
      </c>
      <c r="S60" s="88" t="n">
        <v>46113</v>
      </c>
      <c r="T60" s="62" t="n">
        <v>46143</v>
      </c>
      <c r="U60" s="62" t="n">
        <v>46174</v>
      </c>
      <c r="V60" s="62" t="n">
        <v>46204</v>
      </c>
      <c r="W60" s="62" t="n">
        <v>46235</v>
      </c>
      <c r="X60" s="62" t="n">
        <v>46266</v>
      </c>
      <c r="Y60" s="64" t="inlineStr">
        <is>
          <t>合計</t>
        </is>
      </c>
    </row>
    <row r="61" hidden="1" s="113">
      <c r="C61" s="71" t="inlineStr">
        <is>
          <t>0903 集計</t>
        </is>
      </c>
      <c r="D61" s="40" t="inlineStr">
        <is>
          <t>西岡</t>
        </is>
      </c>
      <c r="E61" s="2">
        <f>E47-E19</f>
        <v/>
      </c>
      <c r="F61" s="2">
        <f>F47-F19</f>
        <v/>
      </c>
      <c r="G61" s="2">
        <f>G47-G19</f>
        <v/>
      </c>
      <c r="H61" s="2">
        <f>H47-H19</f>
        <v/>
      </c>
      <c r="I61" s="2">
        <f>I47-I19</f>
        <v/>
      </c>
      <c r="J61" s="2">
        <f>J47-J19</f>
        <v/>
      </c>
      <c r="K61" s="79">
        <f>SUM(E61:J61)</f>
        <v/>
      </c>
      <c r="L61" s="1">
        <f>L47-L19</f>
        <v/>
      </c>
      <c r="M61" s="2">
        <f>M47-M19</f>
        <v/>
      </c>
      <c r="N61" s="2">
        <f>N47-N19</f>
        <v/>
      </c>
      <c r="O61" s="2">
        <f>O47-O19</f>
        <v/>
      </c>
      <c r="P61" s="2">
        <f>P47-P19</f>
        <v/>
      </c>
      <c r="Q61" s="2">
        <f>Q47-Q19</f>
        <v/>
      </c>
      <c r="R61" s="73">
        <f>SUM(L61:Q61)</f>
        <v/>
      </c>
      <c r="S61" s="123">
        <f>S47-S19</f>
        <v/>
      </c>
      <c r="T61" s="124">
        <f>T47-T19</f>
        <v/>
      </c>
      <c r="U61" s="124">
        <f>U47-U19</f>
        <v/>
      </c>
      <c r="V61" s="124">
        <f>V47-V19</f>
        <v/>
      </c>
      <c r="W61" s="124">
        <f>W47-W19</f>
        <v/>
      </c>
      <c r="X61" s="124">
        <f>X47-X19</f>
        <v/>
      </c>
      <c r="Y61" s="125">
        <f>Y47-Y19</f>
        <v/>
      </c>
    </row>
    <row r="62" hidden="1" s="113">
      <c r="C62" s="71" t="inlineStr">
        <is>
          <t>0904 集計</t>
        </is>
      </c>
      <c r="D62" s="40" t="inlineStr">
        <is>
          <t>足立次長</t>
        </is>
      </c>
      <c r="E62" s="2">
        <f>E48-E20</f>
        <v/>
      </c>
      <c r="F62" s="2">
        <f>F48-F20</f>
        <v/>
      </c>
      <c r="G62" s="2">
        <f>G48-G20</f>
        <v/>
      </c>
      <c r="H62" s="2">
        <f>H48-H20</f>
        <v/>
      </c>
      <c r="I62" s="2">
        <f>I48-I20</f>
        <v/>
      </c>
      <c r="J62" s="2">
        <f>J48-J20</f>
        <v/>
      </c>
      <c r="K62" s="79">
        <f>SUM(E62:J62)</f>
        <v/>
      </c>
      <c r="L62" s="1">
        <f>L48-L20</f>
        <v/>
      </c>
      <c r="M62" s="2">
        <f>M48-M20</f>
        <v/>
      </c>
      <c r="N62" s="2">
        <f>N48-N20</f>
        <v/>
      </c>
      <c r="O62" s="2">
        <f>O48-O20</f>
        <v/>
      </c>
      <c r="P62" s="2">
        <f>P48-P20</f>
        <v/>
      </c>
      <c r="Q62" s="2">
        <f>Q48-Q20</f>
        <v/>
      </c>
      <c r="R62" s="73">
        <f>SUM(L62:Q62)</f>
        <v/>
      </c>
      <c r="S62" s="123">
        <f>S48-S20</f>
        <v/>
      </c>
      <c r="T62" s="124">
        <f>T48-T20</f>
        <v/>
      </c>
      <c r="U62" s="124">
        <f>U48-U20</f>
        <v/>
      </c>
      <c r="V62" s="124">
        <f>V48-V20</f>
        <v/>
      </c>
      <c r="W62" s="124">
        <f>W48-W20</f>
        <v/>
      </c>
      <c r="X62" s="124">
        <f>X48-X20</f>
        <v/>
      </c>
      <c r="Y62" s="125">
        <f>Y48-Y20</f>
        <v/>
      </c>
    </row>
    <row r="63" hidden="1" s="113">
      <c r="C63" s="71" t="inlineStr">
        <is>
          <t>0909 集計</t>
        </is>
      </c>
      <c r="D63" s="40" t="inlineStr">
        <is>
          <t>藤波課長</t>
        </is>
      </c>
      <c r="E63" s="2">
        <f>E49-E21</f>
        <v/>
      </c>
      <c r="F63" s="2">
        <f>F49-F21</f>
        <v/>
      </c>
      <c r="G63" s="2">
        <f>G49-G21</f>
        <v/>
      </c>
      <c r="H63" s="2">
        <f>H49-H21</f>
        <v/>
      </c>
      <c r="I63" s="2">
        <f>I49-I21</f>
        <v/>
      </c>
      <c r="J63" s="2">
        <f>J49-J21</f>
        <v/>
      </c>
      <c r="K63" s="79">
        <f>SUM(E63:J63)</f>
        <v/>
      </c>
      <c r="L63" s="1">
        <f>L49-L21</f>
        <v/>
      </c>
      <c r="M63" s="2">
        <f>M49-M21</f>
        <v/>
      </c>
      <c r="N63" s="2">
        <f>N49-N21</f>
        <v/>
      </c>
      <c r="O63" s="2">
        <f>O49-O21</f>
        <v/>
      </c>
      <c r="P63" s="2">
        <f>P49-P21</f>
        <v/>
      </c>
      <c r="Q63" s="2">
        <f>Q49-Q21</f>
        <v/>
      </c>
      <c r="R63" s="73">
        <f>SUM(L63:Q63)</f>
        <v/>
      </c>
      <c r="S63" s="123">
        <f>S49-S21</f>
        <v/>
      </c>
      <c r="T63" s="124">
        <f>T49-T21</f>
        <v/>
      </c>
      <c r="U63" s="124">
        <f>U49-U21</f>
        <v/>
      </c>
      <c r="V63" s="124">
        <f>V49-V21</f>
        <v/>
      </c>
      <c r="W63" s="124">
        <f>W49-W21</f>
        <v/>
      </c>
      <c r="X63" s="124">
        <f>X49-X21</f>
        <v/>
      </c>
      <c r="Y63" s="125">
        <f>Y49-Y21</f>
        <v/>
      </c>
    </row>
    <row r="64" hidden="1" s="113">
      <c r="C64" s="71" t="inlineStr">
        <is>
          <t>0910 集計</t>
        </is>
      </c>
      <c r="D64" s="40" t="inlineStr">
        <is>
          <t>足立課長</t>
        </is>
      </c>
      <c r="E64" s="2">
        <f>E50-E22</f>
        <v/>
      </c>
      <c r="F64" s="2">
        <f>F50-F22</f>
        <v/>
      </c>
      <c r="G64" s="2">
        <f>G50-G22</f>
        <v/>
      </c>
      <c r="H64" s="2">
        <f>H50-H22</f>
        <v/>
      </c>
      <c r="I64" s="2">
        <f>I50-I22</f>
        <v/>
      </c>
      <c r="J64" s="2">
        <f>J50-J22</f>
        <v/>
      </c>
      <c r="K64" s="79">
        <f>SUM(E64:J64)</f>
        <v/>
      </c>
      <c r="L64" s="1">
        <f>L50-L22</f>
        <v/>
      </c>
      <c r="M64" s="2">
        <f>M50-M22</f>
        <v/>
      </c>
      <c r="N64" s="2">
        <f>N50-N22</f>
        <v/>
      </c>
      <c r="O64" s="2">
        <f>O50-O22</f>
        <v/>
      </c>
      <c r="P64" s="2">
        <f>P50-P22</f>
        <v/>
      </c>
      <c r="Q64" s="2">
        <f>Q50-Q22</f>
        <v/>
      </c>
      <c r="R64" s="73">
        <f>SUM(L64:Q64)</f>
        <v/>
      </c>
      <c r="S64" s="123">
        <f>S50-S22</f>
        <v/>
      </c>
      <c r="T64" s="124">
        <f>T50-T22</f>
        <v/>
      </c>
      <c r="U64" s="124">
        <f>U50-U22</f>
        <v/>
      </c>
      <c r="V64" s="124">
        <f>V50-V22</f>
        <v/>
      </c>
      <c r="W64" s="124">
        <f>W50-W22</f>
        <v/>
      </c>
      <c r="X64" s="124">
        <f>X50-X22</f>
        <v/>
      </c>
      <c r="Y64" s="125">
        <f>Y50-Y22</f>
        <v/>
      </c>
    </row>
    <row r="65" hidden="1" s="113">
      <c r="C65" s="71" t="inlineStr">
        <is>
          <t>0911 集計</t>
        </is>
      </c>
      <c r="D65" s="40" t="inlineStr">
        <is>
          <t>川邊主任</t>
        </is>
      </c>
      <c r="E65" s="2">
        <f>E51-E23</f>
        <v/>
      </c>
      <c r="F65" s="2">
        <f>F51-F23</f>
        <v/>
      </c>
      <c r="G65" s="2">
        <f>G51-G23</f>
        <v/>
      </c>
      <c r="H65" s="2">
        <f>H51-H23</f>
        <v/>
      </c>
      <c r="I65" s="2">
        <f>I51-I23</f>
        <v/>
      </c>
      <c r="J65" s="2">
        <f>J51-J23</f>
        <v/>
      </c>
      <c r="K65" s="79">
        <f>SUM(E65:J65)</f>
        <v/>
      </c>
      <c r="L65" s="1">
        <f>L51-L23</f>
        <v/>
      </c>
      <c r="M65" s="2">
        <f>M51-M23</f>
        <v/>
      </c>
      <c r="N65" s="2">
        <f>N51-N23</f>
        <v/>
      </c>
      <c r="O65" s="2">
        <f>O51-O23</f>
        <v/>
      </c>
      <c r="P65" s="2">
        <f>P51-P23</f>
        <v/>
      </c>
      <c r="Q65" s="2">
        <f>Q51-Q23</f>
        <v/>
      </c>
      <c r="R65" s="73">
        <f>SUM(L65:Q65)</f>
        <v/>
      </c>
      <c r="S65" s="123">
        <f>S51-S23</f>
        <v/>
      </c>
      <c r="T65" s="124">
        <f>T51-T23</f>
        <v/>
      </c>
      <c r="U65" s="124">
        <f>U51-U23</f>
        <v/>
      </c>
      <c r="V65" s="124">
        <f>V51-V23</f>
        <v/>
      </c>
      <c r="W65" s="124">
        <f>W51-W23</f>
        <v/>
      </c>
      <c r="X65" s="124">
        <f>X51-X23</f>
        <v/>
      </c>
      <c r="Y65" s="125">
        <f>Y51-Y23</f>
        <v/>
      </c>
    </row>
    <row r="66" hidden="1" s="113">
      <c r="C66" s="71" t="inlineStr">
        <is>
          <t>0914 集計</t>
        </is>
      </c>
      <c r="D66" s="40" t="inlineStr">
        <is>
          <t>白根主任</t>
        </is>
      </c>
      <c r="E66" s="2">
        <f>E52-E24</f>
        <v/>
      </c>
      <c r="F66" s="2">
        <f>F52-F24</f>
        <v/>
      </c>
      <c r="G66" s="2">
        <f>G52-G24</f>
        <v/>
      </c>
      <c r="H66" s="2">
        <f>H52-H24</f>
        <v/>
      </c>
      <c r="I66" s="2">
        <f>I52-I24</f>
        <v/>
      </c>
      <c r="J66" s="2">
        <f>J52-J24</f>
        <v/>
      </c>
      <c r="K66" s="79">
        <f>SUM(E66:J66)</f>
        <v/>
      </c>
      <c r="L66" s="1">
        <f>L52-L24</f>
        <v/>
      </c>
      <c r="M66" s="2">
        <f>M52-M24</f>
        <v/>
      </c>
      <c r="N66" s="2">
        <f>N52-N24</f>
        <v/>
      </c>
      <c r="O66" s="2">
        <f>O52-O24</f>
        <v/>
      </c>
      <c r="P66" s="2">
        <f>P52-P24</f>
        <v/>
      </c>
      <c r="Q66" s="2">
        <f>Q52-Q24</f>
        <v/>
      </c>
      <c r="R66" s="73">
        <f>SUM(L66:Q66)</f>
        <v/>
      </c>
      <c r="S66" s="123">
        <f>S52-S24</f>
        <v/>
      </c>
      <c r="T66" s="124">
        <f>T52-T24</f>
        <v/>
      </c>
      <c r="U66" s="124">
        <f>U52-U24</f>
        <v/>
      </c>
      <c r="V66" s="124">
        <f>V52-V24</f>
        <v/>
      </c>
      <c r="W66" s="124">
        <f>W52-W24</f>
        <v/>
      </c>
      <c r="X66" s="124">
        <f>X52-X24</f>
        <v/>
      </c>
      <c r="Y66" s="125">
        <f>Y52-Y24</f>
        <v/>
      </c>
    </row>
    <row r="67" hidden="1" s="113">
      <c r="C67" s="71" t="inlineStr">
        <is>
          <t>0918 集計</t>
        </is>
      </c>
      <c r="D67" s="40" t="inlineStr">
        <is>
          <t>海外</t>
        </is>
      </c>
      <c r="E67" s="2">
        <f>E53-E25</f>
        <v/>
      </c>
      <c r="F67" s="2">
        <f>F53-F25</f>
        <v/>
      </c>
      <c r="G67" s="2">
        <f>G53-G25</f>
        <v/>
      </c>
      <c r="H67" s="2">
        <f>H53-H25</f>
        <v/>
      </c>
      <c r="I67" s="2">
        <f>I53-I25</f>
        <v/>
      </c>
      <c r="J67" s="2">
        <f>J53-J25</f>
        <v/>
      </c>
      <c r="K67" s="79">
        <f>SUM(E67:J67)</f>
        <v/>
      </c>
      <c r="L67" s="1">
        <f>L53-L25</f>
        <v/>
      </c>
      <c r="M67" s="2">
        <f>M53-M25</f>
        <v/>
      </c>
      <c r="N67" s="2">
        <f>N53-N25</f>
        <v/>
      </c>
      <c r="O67" s="2">
        <f>O53-O25</f>
        <v/>
      </c>
      <c r="P67" s="2">
        <f>P53-P25</f>
        <v/>
      </c>
      <c r="Q67" s="2">
        <f>Q53-Q25</f>
        <v/>
      </c>
      <c r="R67" s="73">
        <f>SUM(L67:Q67)</f>
        <v/>
      </c>
      <c r="S67" s="123">
        <f>S53-S25</f>
        <v/>
      </c>
      <c r="T67" s="124">
        <f>T53-T25</f>
        <v/>
      </c>
      <c r="U67" s="124">
        <f>U53-U25</f>
        <v/>
      </c>
      <c r="V67" s="124">
        <f>V53-V25</f>
        <v/>
      </c>
      <c r="W67" s="124">
        <f>W53-W25</f>
        <v/>
      </c>
      <c r="X67" s="124">
        <f>X53-X25</f>
        <v/>
      </c>
      <c r="Y67" s="125">
        <f>Y53-Y25</f>
        <v/>
      </c>
    </row>
    <row r="68" hidden="1" s="113">
      <c r="C68" s="71" t="inlineStr">
        <is>
          <t>0919 集計</t>
        </is>
      </c>
      <c r="D68" s="40" t="inlineStr">
        <is>
          <t>その他</t>
        </is>
      </c>
      <c r="E68" s="2">
        <f>E54-E26</f>
        <v/>
      </c>
      <c r="F68" s="2">
        <f>F54-F26</f>
        <v/>
      </c>
      <c r="G68" s="2">
        <f>G54-G26</f>
        <v/>
      </c>
      <c r="H68" s="2">
        <f>H54-H26</f>
        <v/>
      </c>
      <c r="I68" s="2">
        <f>I54-I26</f>
        <v/>
      </c>
      <c r="J68" s="2">
        <f>J54-J26</f>
        <v/>
      </c>
      <c r="K68" s="79">
        <f>SUM(E68:J68)</f>
        <v/>
      </c>
      <c r="L68" s="1">
        <f>L54-L26</f>
        <v/>
      </c>
      <c r="M68" s="2">
        <f>M54-M26</f>
        <v/>
      </c>
      <c r="N68" s="2">
        <f>N54-N26</f>
        <v/>
      </c>
      <c r="O68" s="2">
        <f>O54-O26</f>
        <v/>
      </c>
      <c r="P68" s="2">
        <f>P54-P26</f>
        <v/>
      </c>
      <c r="Q68" s="2">
        <f>Q54-Q26</f>
        <v/>
      </c>
      <c r="R68" s="73">
        <f>SUM(L68:Q68)</f>
        <v/>
      </c>
      <c r="S68" s="123">
        <f>S54-S26</f>
        <v/>
      </c>
      <c r="T68" s="124">
        <f>T54-T26</f>
        <v/>
      </c>
      <c r="U68" s="124">
        <f>U54-U26</f>
        <v/>
      </c>
      <c r="V68" s="124">
        <f>V54-V26</f>
        <v/>
      </c>
      <c r="W68" s="124">
        <f>W54-W26</f>
        <v/>
      </c>
      <c r="X68" s="124">
        <f>X54-X26</f>
        <v/>
      </c>
      <c r="Y68" s="125">
        <f>Y54-Y26</f>
        <v/>
      </c>
    </row>
    <row r="69" hidden="1" s="113">
      <c r="C69" s="71" t="inlineStr">
        <is>
          <t>0930 集計</t>
        </is>
      </c>
      <c r="D69" s="40" t="inlineStr">
        <is>
          <t>自治体</t>
        </is>
      </c>
      <c r="E69" s="2">
        <f>E55-E27</f>
        <v/>
      </c>
      <c r="F69" s="2">
        <f>F55-F27</f>
        <v/>
      </c>
      <c r="G69" s="2">
        <f>G55-G27</f>
        <v/>
      </c>
      <c r="H69" s="2">
        <f>H55-H27</f>
        <v/>
      </c>
      <c r="I69" s="2">
        <f>I55-I27</f>
        <v/>
      </c>
      <c r="J69" s="2">
        <f>J55-J27</f>
        <v/>
      </c>
      <c r="K69" s="79">
        <f>SUM(E69:J69)</f>
        <v/>
      </c>
      <c r="L69" s="1">
        <f>L55-L27</f>
        <v/>
      </c>
      <c r="M69" s="2">
        <f>M55-M27</f>
        <v/>
      </c>
      <c r="N69" s="2">
        <f>N55-N27</f>
        <v/>
      </c>
      <c r="O69" s="2">
        <f>O55-O27</f>
        <v/>
      </c>
      <c r="P69" s="2">
        <f>P55-P27</f>
        <v/>
      </c>
      <c r="Q69" s="2">
        <f>Q55-Q27</f>
        <v/>
      </c>
      <c r="R69" s="73">
        <f>SUM(L69:Q69)</f>
        <v/>
      </c>
      <c r="S69" s="123">
        <f>S55-S27</f>
        <v/>
      </c>
      <c r="T69" s="124">
        <f>T55-T27</f>
        <v/>
      </c>
      <c r="U69" s="124">
        <f>U55-U27</f>
        <v/>
      </c>
      <c r="V69" s="124">
        <f>V55-V27</f>
        <v/>
      </c>
      <c r="W69" s="124">
        <f>W55-W27</f>
        <v/>
      </c>
      <c r="X69" s="124">
        <f>X55-X27</f>
        <v/>
      </c>
      <c r="Y69" s="125">
        <f>Y55-Y27</f>
        <v/>
      </c>
    </row>
    <row r="70" hidden="1" s="113">
      <c r="C70" s="3" t="inlineStr">
        <is>
          <t>合計</t>
        </is>
      </c>
      <c r="D70" s="70" t="n"/>
      <c r="E70" s="74">
        <f>SUM(E61:E69)</f>
        <v/>
      </c>
      <c r="F70" s="63">
        <f>SUM(F61:F69)</f>
        <v/>
      </c>
      <c r="G70" s="63">
        <f>SUM(G61:G69)</f>
        <v/>
      </c>
      <c r="H70" s="63">
        <f>SUM(H61:H69)</f>
        <v/>
      </c>
      <c r="I70" s="63">
        <f>SUM(I61:I69)</f>
        <v/>
      </c>
      <c r="J70" s="63">
        <f>SUM(J61:J69)</f>
        <v/>
      </c>
      <c r="K70" s="75">
        <f>SUM(K61:K69)</f>
        <v/>
      </c>
      <c r="L70" s="74">
        <f>SUM(L61:L69)</f>
        <v/>
      </c>
      <c r="M70" s="63">
        <f>SUM(M61:M69)</f>
        <v/>
      </c>
      <c r="N70" s="63">
        <f>SUM(N61:N69)</f>
        <v/>
      </c>
      <c r="O70" s="63">
        <f>SUM(O61:O69)</f>
        <v/>
      </c>
      <c r="P70" s="63">
        <f>SUM(P61:P69)</f>
        <v/>
      </c>
      <c r="Q70" s="63">
        <f>SUM(Q61:Q69)</f>
        <v/>
      </c>
      <c r="R70" s="75">
        <f>SUM(R61:R69)</f>
        <v/>
      </c>
      <c r="S70" s="126">
        <f>S56-S28</f>
        <v/>
      </c>
      <c r="T70" s="127">
        <f>T56-T28</f>
        <v/>
      </c>
      <c r="U70" s="127">
        <f>U56-U28</f>
        <v/>
      </c>
      <c r="V70" s="127">
        <f>V56-V28</f>
        <v/>
      </c>
      <c r="W70" s="127">
        <f>W56-W28</f>
        <v/>
      </c>
      <c r="X70" s="127">
        <f>X56-X28</f>
        <v/>
      </c>
      <c r="Y70" s="128">
        <f>Y56-Y28</f>
        <v/>
      </c>
    </row>
    <row r="71" hidden="1" s="113"/>
    <row r="72" hidden="1" s="113">
      <c r="C72" s="6" t="inlineStr">
        <is>
          <t>6．過年度平均比</t>
        </is>
      </c>
    </row>
    <row r="73" hidden="1" s="113">
      <c r="C73" s="104" t="n"/>
      <c r="D73" s="106" t="n"/>
      <c r="E73" s="104" t="inlineStr">
        <is>
          <t>売上</t>
        </is>
      </c>
      <c r="F73" s="105" t="n"/>
      <c r="G73" s="105" t="n"/>
      <c r="H73" s="105" t="n"/>
      <c r="I73" s="105" t="n"/>
      <c r="J73" s="105" t="n"/>
      <c r="K73" s="106" t="n"/>
      <c r="L73" s="108" t="inlineStr">
        <is>
          <t>粗利益</t>
        </is>
      </c>
      <c r="M73" s="105" t="n"/>
      <c r="N73" s="105" t="n"/>
      <c r="O73" s="105" t="n"/>
      <c r="P73" s="105" t="n"/>
      <c r="Q73" s="105" t="n"/>
      <c r="R73" s="106" t="n"/>
      <c r="S73" s="108" t="inlineStr">
        <is>
          <t>粗利益率</t>
        </is>
      </c>
      <c r="T73" s="105" t="n"/>
      <c r="U73" s="105" t="n"/>
      <c r="V73" s="105" t="n"/>
      <c r="W73" s="105" t="n"/>
      <c r="X73" s="105" t="n"/>
      <c r="Y73" s="106" t="n"/>
    </row>
    <row r="74" hidden="1" s="113">
      <c r="C74" s="61" t="n"/>
      <c r="D74" s="68" t="n"/>
      <c r="E74" s="72" t="n">
        <v>46113</v>
      </c>
      <c r="F74" s="62" t="n">
        <v>46143</v>
      </c>
      <c r="G74" s="62" t="n">
        <v>46174</v>
      </c>
      <c r="H74" s="62" t="n">
        <v>46204</v>
      </c>
      <c r="I74" s="62" t="n">
        <v>46235</v>
      </c>
      <c r="J74" s="62" t="n">
        <v>46266</v>
      </c>
      <c r="K74" s="64" t="inlineStr">
        <is>
          <t>合計</t>
        </is>
      </c>
      <c r="L74" s="88" t="n">
        <v>46113</v>
      </c>
      <c r="M74" s="62" t="n">
        <v>46143</v>
      </c>
      <c r="N74" s="62" t="n">
        <v>46174</v>
      </c>
      <c r="O74" s="62" t="n">
        <v>46204</v>
      </c>
      <c r="P74" s="62" t="n">
        <v>46235</v>
      </c>
      <c r="Q74" s="62" t="n">
        <v>46266</v>
      </c>
      <c r="R74" s="64" t="inlineStr">
        <is>
          <t>合計</t>
        </is>
      </c>
      <c r="S74" s="88" t="n">
        <v>46113</v>
      </c>
      <c r="T74" s="62" t="n">
        <v>46143</v>
      </c>
      <c r="U74" s="62" t="n">
        <v>46174</v>
      </c>
      <c r="V74" s="62" t="n">
        <v>46204</v>
      </c>
      <c r="W74" s="62" t="n">
        <v>46235</v>
      </c>
      <c r="X74" s="62" t="n">
        <v>46266</v>
      </c>
      <c r="Y74" s="64" t="inlineStr">
        <is>
          <t>合計</t>
        </is>
      </c>
    </row>
    <row r="75" hidden="1" s="113">
      <c r="C75" s="71" t="inlineStr">
        <is>
          <t>0903 集計</t>
        </is>
      </c>
      <c r="D75" s="40" t="inlineStr">
        <is>
          <t>西岡</t>
        </is>
      </c>
      <c r="E75" s="2">
        <f>E47-E33</f>
        <v/>
      </c>
      <c r="F75" s="2">
        <f>F47-F33</f>
        <v/>
      </c>
      <c r="G75" s="2">
        <f>G47-G33</f>
        <v/>
      </c>
      <c r="H75" s="2">
        <f>H47-H33</f>
        <v/>
      </c>
      <c r="I75" s="2">
        <f>I47-I33</f>
        <v/>
      </c>
      <c r="J75" s="2">
        <f>J47-J33</f>
        <v/>
      </c>
      <c r="K75" s="79">
        <f>SUM(E75:J75)</f>
        <v/>
      </c>
      <c r="L75" s="1">
        <f>L47-L33</f>
        <v/>
      </c>
      <c r="M75" s="2">
        <f>M47-M33</f>
        <v/>
      </c>
      <c r="N75" s="2">
        <f>N47-N33</f>
        <v/>
      </c>
      <c r="O75" s="2">
        <f>O47-O33</f>
        <v/>
      </c>
      <c r="P75" s="2">
        <f>P47-P33</f>
        <v/>
      </c>
      <c r="Q75" s="2">
        <f>Q47-Q33</f>
        <v/>
      </c>
      <c r="R75" s="73">
        <f>SUM(L75:Q75)</f>
        <v/>
      </c>
      <c r="S75" s="123">
        <f>IF(E75=0,"***",L75/E75)</f>
        <v/>
      </c>
      <c r="T75" s="124">
        <f>IF(F75=0,"***",M75/F75)</f>
        <v/>
      </c>
      <c r="U75" s="124">
        <f>IF(G75=0,"***",N75/G75)</f>
        <v/>
      </c>
      <c r="V75" s="124">
        <f>IF(H75=0,"***",O75/H75)</f>
        <v/>
      </c>
      <c r="W75" s="124">
        <f>IF(I75=0,"***",P75/I75)</f>
        <v/>
      </c>
      <c r="X75" s="124">
        <f>IF(J75=0,"***",Q75/J75)</f>
        <v/>
      </c>
      <c r="Y75" s="125">
        <f>IF(K75=0,"***",R75/K75)</f>
        <v/>
      </c>
    </row>
    <row r="76" hidden="1" s="113">
      <c r="C76" s="71" t="inlineStr">
        <is>
          <t>0904 集計</t>
        </is>
      </c>
      <c r="D76" s="40" t="inlineStr">
        <is>
          <t>足立次長</t>
        </is>
      </c>
      <c r="E76" s="2">
        <f>E48-E34</f>
        <v/>
      </c>
      <c r="F76" s="2">
        <f>F48-F34</f>
        <v/>
      </c>
      <c r="G76" s="2">
        <f>G48-G34</f>
        <v/>
      </c>
      <c r="H76" s="2">
        <f>H48-H34</f>
        <v/>
      </c>
      <c r="I76" s="2">
        <f>I48-I34</f>
        <v/>
      </c>
      <c r="J76" s="2">
        <f>J48-J34</f>
        <v/>
      </c>
      <c r="K76" s="79">
        <f>SUM(E76:J76)</f>
        <v/>
      </c>
      <c r="L76" s="1">
        <f>L48-L34</f>
        <v/>
      </c>
      <c r="M76" s="2">
        <f>M48-M34</f>
        <v/>
      </c>
      <c r="N76" s="2">
        <f>N48-N34</f>
        <v/>
      </c>
      <c r="O76" s="2">
        <f>O48-O34</f>
        <v/>
      </c>
      <c r="P76" s="2">
        <f>P48-P34</f>
        <v/>
      </c>
      <c r="Q76" s="2">
        <f>Q48-Q34</f>
        <v/>
      </c>
      <c r="R76" s="73">
        <f>SUM(L76:Q76)</f>
        <v/>
      </c>
      <c r="S76" s="123">
        <f>IF(E76=0,"***",L76/E76)</f>
        <v/>
      </c>
      <c r="T76" s="124">
        <f>IF(F76=0,"***",M76/F76)</f>
        <v/>
      </c>
      <c r="U76" s="124">
        <f>IF(G76=0,"***",N76/G76)</f>
        <v/>
      </c>
      <c r="V76" s="124">
        <f>IF(H76=0,"***",O76/H76)</f>
        <v/>
      </c>
      <c r="W76" s="124">
        <f>IF(I76=0,"***",P76/I76)</f>
        <v/>
      </c>
      <c r="X76" s="124">
        <f>IF(J76=0,"***",Q76/J76)</f>
        <v/>
      </c>
      <c r="Y76" s="125">
        <f>IF(K76=0,"***",R76/K76)</f>
        <v/>
      </c>
    </row>
    <row r="77" hidden="1" s="113">
      <c r="C77" s="71" t="inlineStr">
        <is>
          <t>0909 集計</t>
        </is>
      </c>
      <c r="D77" s="40" t="inlineStr">
        <is>
          <t>藤波課長</t>
        </is>
      </c>
      <c r="E77" s="2">
        <f>E49-E35</f>
        <v/>
      </c>
      <c r="F77" s="2">
        <f>F49-F35</f>
        <v/>
      </c>
      <c r="G77" s="2">
        <f>G49-G35</f>
        <v/>
      </c>
      <c r="H77" s="2">
        <f>H49-H35</f>
        <v/>
      </c>
      <c r="I77" s="2">
        <f>I49-I35</f>
        <v/>
      </c>
      <c r="J77" s="2">
        <f>J49-J35</f>
        <v/>
      </c>
      <c r="K77" s="79">
        <f>SUM(E77:J77)</f>
        <v/>
      </c>
      <c r="L77" s="1">
        <f>L49-L35</f>
        <v/>
      </c>
      <c r="M77" s="2">
        <f>M49-M35</f>
        <v/>
      </c>
      <c r="N77" s="2">
        <f>N49-N35</f>
        <v/>
      </c>
      <c r="O77" s="2">
        <f>O49-O35</f>
        <v/>
      </c>
      <c r="P77" s="2">
        <f>P49-P35</f>
        <v/>
      </c>
      <c r="Q77" s="2">
        <f>Q49-Q35</f>
        <v/>
      </c>
      <c r="R77" s="73">
        <f>SUM(L77:Q77)</f>
        <v/>
      </c>
      <c r="S77" s="123">
        <f>IF(E77=0,"***",L77/E77)</f>
        <v/>
      </c>
      <c r="T77" s="124">
        <f>IF(F77=0,"***",M77/F77)</f>
        <v/>
      </c>
      <c r="U77" s="124">
        <f>IF(G77=0,"***",N77/G77)</f>
        <v/>
      </c>
      <c r="V77" s="124">
        <f>IF(H77=0,"***",O77/H77)</f>
        <v/>
      </c>
      <c r="W77" s="124">
        <f>IF(I77=0,"***",P77/I77)</f>
        <v/>
      </c>
      <c r="X77" s="124">
        <f>IF(J77=0,"***",Q77/J77)</f>
        <v/>
      </c>
      <c r="Y77" s="125">
        <f>IF(K77=0,"***",R77/K77)</f>
        <v/>
      </c>
    </row>
    <row r="78" hidden="1" s="113">
      <c r="C78" s="71" t="inlineStr">
        <is>
          <t>0910 集計</t>
        </is>
      </c>
      <c r="D78" s="40" t="inlineStr">
        <is>
          <t>足立課長</t>
        </is>
      </c>
      <c r="E78" s="2">
        <f>E50-E36</f>
        <v/>
      </c>
      <c r="F78" s="2">
        <f>F50-F36</f>
        <v/>
      </c>
      <c r="G78" s="2">
        <f>G50-G36</f>
        <v/>
      </c>
      <c r="H78" s="2">
        <f>H50-H36</f>
        <v/>
      </c>
      <c r="I78" s="2">
        <f>I50-I36</f>
        <v/>
      </c>
      <c r="J78" s="2">
        <f>J50-J36</f>
        <v/>
      </c>
      <c r="K78" s="79">
        <f>SUM(E78:J78)</f>
        <v/>
      </c>
      <c r="L78" s="1">
        <f>L50-L36</f>
        <v/>
      </c>
      <c r="M78" s="2">
        <f>M50-M36</f>
        <v/>
      </c>
      <c r="N78" s="2">
        <f>N50-N36</f>
        <v/>
      </c>
      <c r="O78" s="2">
        <f>O50-O36</f>
        <v/>
      </c>
      <c r="P78" s="2">
        <f>P50-P36</f>
        <v/>
      </c>
      <c r="Q78" s="2">
        <f>Q50-Q36</f>
        <v/>
      </c>
      <c r="R78" s="73">
        <f>SUM(L78:Q78)</f>
        <v/>
      </c>
      <c r="S78" s="123">
        <f>IF(E78=0,"***",L78/E78)</f>
        <v/>
      </c>
      <c r="T78" s="124">
        <f>IF(F78=0,"***",M78/F78)</f>
        <v/>
      </c>
      <c r="U78" s="124">
        <f>IF(G78=0,"***",N78/G78)</f>
        <v/>
      </c>
      <c r="V78" s="124">
        <f>IF(H78=0,"***",O78/H78)</f>
        <v/>
      </c>
      <c r="W78" s="124">
        <f>IF(I78=0,"***",P78/I78)</f>
        <v/>
      </c>
      <c r="X78" s="124">
        <f>IF(J78=0,"***",Q78/J78)</f>
        <v/>
      </c>
      <c r="Y78" s="125">
        <f>IF(K78=0,"***",R78/K78)</f>
        <v/>
      </c>
    </row>
    <row r="79" hidden="1" s="113">
      <c r="C79" s="71" t="inlineStr">
        <is>
          <t>0911 集計</t>
        </is>
      </c>
      <c r="D79" s="40" t="inlineStr">
        <is>
          <t>川邊主任</t>
        </is>
      </c>
      <c r="E79" s="2">
        <f>E51-E37</f>
        <v/>
      </c>
      <c r="F79" s="2">
        <f>F51-F37</f>
        <v/>
      </c>
      <c r="G79" s="2">
        <f>G51-G37</f>
        <v/>
      </c>
      <c r="H79" s="2">
        <f>H51-H37</f>
        <v/>
      </c>
      <c r="I79" s="2">
        <f>I51-I37</f>
        <v/>
      </c>
      <c r="J79" s="2">
        <f>J51-J37</f>
        <v/>
      </c>
      <c r="K79" s="79">
        <f>SUM(E79:J79)</f>
        <v/>
      </c>
      <c r="L79" s="1">
        <f>L51-L37</f>
        <v/>
      </c>
      <c r="M79" s="2">
        <f>M51-M37</f>
        <v/>
      </c>
      <c r="N79" s="2">
        <f>N51-N37</f>
        <v/>
      </c>
      <c r="O79" s="2">
        <f>O51-O37</f>
        <v/>
      </c>
      <c r="P79" s="2">
        <f>P51-P37</f>
        <v/>
      </c>
      <c r="Q79" s="2">
        <f>Q51-Q37</f>
        <v/>
      </c>
      <c r="R79" s="73">
        <f>SUM(L79:Q79)</f>
        <v/>
      </c>
      <c r="S79" s="123">
        <f>IF(E79=0,"***",L79/E79)</f>
        <v/>
      </c>
      <c r="T79" s="124">
        <f>IF(F79=0,"***",M79/F79)</f>
        <v/>
      </c>
      <c r="U79" s="124">
        <f>IF(G79=0,"***",N79/G79)</f>
        <v/>
      </c>
      <c r="V79" s="124">
        <f>IF(H79=0,"***",O79/H79)</f>
        <v/>
      </c>
      <c r="W79" s="124">
        <f>IF(I79=0,"***",P79/I79)</f>
        <v/>
      </c>
      <c r="X79" s="124">
        <f>IF(J79=0,"***",Q79/J79)</f>
        <v/>
      </c>
      <c r="Y79" s="125">
        <f>IF(K79=0,"***",R79/K79)</f>
        <v/>
      </c>
    </row>
    <row r="80" hidden="1" s="113">
      <c r="C80" s="71" t="inlineStr">
        <is>
          <t>0914 集計</t>
        </is>
      </c>
      <c r="D80" s="40" t="inlineStr">
        <is>
          <t>白根主任</t>
        </is>
      </c>
      <c r="E80" s="2">
        <f>E52-E38</f>
        <v/>
      </c>
      <c r="F80" s="2">
        <f>F52-F38</f>
        <v/>
      </c>
      <c r="G80" s="2">
        <f>G52-G38</f>
        <v/>
      </c>
      <c r="H80" s="2">
        <f>H52-H38</f>
        <v/>
      </c>
      <c r="I80" s="2">
        <f>I52-I38</f>
        <v/>
      </c>
      <c r="J80" s="2">
        <f>J52-J38</f>
        <v/>
      </c>
      <c r="K80" s="79">
        <f>SUM(E80:J80)</f>
        <v/>
      </c>
      <c r="L80" s="1">
        <f>L52-L38</f>
        <v/>
      </c>
      <c r="M80" s="2">
        <f>M52-M38</f>
        <v/>
      </c>
      <c r="N80" s="2">
        <f>N52-N38</f>
        <v/>
      </c>
      <c r="O80" s="2">
        <f>O52-O38</f>
        <v/>
      </c>
      <c r="P80" s="2">
        <f>P52-P38</f>
        <v/>
      </c>
      <c r="Q80" s="2">
        <f>Q52-Q38</f>
        <v/>
      </c>
      <c r="R80" s="73">
        <f>SUM(L80:Q80)</f>
        <v/>
      </c>
      <c r="S80" s="123">
        <f>IF(E80=0,"***",L80/E80)</f>
        <v/>
      </c>
      <c r="T80" s="124">
        <f>IF(F80=0,"***",M80/F80)</f>
        <v/>
      </c>
      <c r="U80" s="124">
        <f>IF(G80=0,"***",N80/G80)</f>
        <v/>
      </c>
      <c r="V80" s="124">
        <f>IF(H80=0,"***",O80/H80)</f>
        <v/>
      </c>
      <c r="W80" s="124">
        <f>IF(I80=0,"***",P80/I80)</f>
        <v/>
      </c>
      <c r="X80" s="124">
        <f>IF(J80=0,"***",Q80/J80)</f>
        <v/>
      </c>
      <c r="Y80" s="125">
        <f>IF(K80=0,"***",R80/K80)</f>
        <v/>
      </c>
    </row>
    <row r="81" hidden="1" s="113">
      <c r="C81" s="71" t="inlineStr">
        <is>
          <t>0918 集計</t>
        </is>
      </c>
      <c r="D81" s="40" t="inlineStr">
        <is>
          <t>海外</t>
        </is>
      </c>
      <c r="E81" s="2">
        <f>E53-E39</f>
        <v/>
      </c>
      <c r="F81" s="2">
        <f>F53-F39</f>
        <v/>
      </c>
      <c r="G81" s="2">
        <f>G53-G39</f>
        <v/>
      </c>
      <c r="H81" s="2">
        <f>H53-H39</f>
        <v/>
      </c>
      <c r="I81" s="2">
        <f>I53-I39</f>
        <v/>
      </c>
      <c r="J81" s="2">
        <f>J53-J39</f>
        <v/>
      </c>
      <c r="K81" s="79">
        <f>SUM(E81:J81)</f>
        <v/>
      </c>
      <c r="L81" s="1">
        <f>L53-L39</f>
        <v/>
      </c>
      <c r="M81" s="2">
        <f>M53-M39</f>
        <v/>
      </c>
      <c r="N81" s="2">
        <f>N53-N39</f>
        <v/>
      </c>
      <c r="O81" s="2">
        <f>O53-O39</f>
        <v/>
      </c>
      <c r="P81" s="2">
        <f>P53-P39</f>
        <v/>
      </c>
      <c r="Q81" s="2">
        <f>Q53-Q39</f>
        <v/>
      </c>
      <c r="R81" s="73">
        <f>SUM(L81:Q81)</f>
        <v/>
      </c>
      <c r="S81" s="123">
        <f>IF(E81=0,"***",L81/E81)</f>
        <v/>
      </c>
      <c r="T81" s="124">
        <f>IF(F81=0,"***",M81/F81)</f>
        <v/>
      </c>
      <c r="U81" s="124">
        <f>IF(G81=0,"***",N81/G81)</f>
        <v/>
      </c>
      <c r="V81" s="124">
        <f>IF(H81=0,"***",O81/H81)</f>
        <v/>
      </c>
      <c r="W81" s="124">
        <f>IF(I81=0,"***",P81/I81)</f>
        <v/>
      </c>
      <c r="X81" s="124">
        <f>IF(J81=0,"***",Q81/J81)</f>
        <v/>
      </c>
      <c r="Y81" s="125">
        <f>IF(K81=0,"***",R81/K81)</f>
        <v/>
      </c>
    </row>
    <row r="82" hidden="1" s="113">
      <c r="C82" s="71" t="inlineStr">
        <is>
          <t>0919 集計</t>
        </is>
      </c>
      <c r="D82" s="40" t="inlineStr">
        <is>
          <t>その他</t>
        </is>
      </c>
      <c r="E82" s="2">
        <f>E54-E40</f>
        <v/>
      </c>
      <c r="F82" s="2">
        <f>F54-F40</f>
        <v/>
      </c>
      <c r="G82" s="2">
        <f>G54-G40</f>
        <v/>
      </c>
      <c r="H82" s="2">
        <f>H54-H40</f>
        <v/>
      </c>
      <c r="I82" s="2">
        <f>I54-I40</f>
        <v/>
      </c>
      <c r="J82" s="2">
        <f>J54-J40</f>
        <v/>
      </c>
      <c r="K82" s="79">
        <f>SUM(E82:J82)</f>
        <v/>
      </c>
      <c r="L82" s="1">
        <f>L54-L40</f>
        <v/>
      </c>
      <c r="M82" s="2">
        <f>M54-M40</f>
        <v/>
      </c>
      <c r="N82" s="2">
        <f>N54-N40</f>
        <v/>
      </c>
      <c r="O82" s="2">
        <f>O54-O40</f>
        <v/>
      </c>
      <c r="P82" s="2">
        <f>P54-P40</f>
        <v/>
      </c>
      <c r="Q82" s="2">
        <f>Q54-Q40</f>
        <v/>
      </c>
      <c r="R82" s="73">
        <f>SUM(L82:Q82)</f>
        <v/>
      </c>
      <c r="S82" s="123">
        <f>IF(E82=0,"***",L82/E82)</f>
        <v/>
      </c>
      <c r="T82" s="124">
        <f>IF(F82=0,"***",M82/F82)</f>
        <v/>
      </c>
      <c r="U82" s="124">
        <f>IF(G82=0,"***",N82/G82)</f>
        <v/>
      </c>
      <c r="V82" s="124">
        <f>IF(H82=0,"***",O82/H82)</f>
        <v/>
      </c>
      <c r="W82" s="124">
        <f>IF(I82=0,"***",P82/I82)</f>
        <v/>
      </c>
      <c r="X82" s="124">
        <f>IF(J82=0,"***",Q82/J82)</f>
        <v/>
      </c>
      <c r="Y82" s="125">
        <f>IF(K82=0,"***",R82/K82)</f>
        <v/>
      </c>
    </row>
    <row r="83" hidden="1" s="113">
      <c r="C83" s="71" t="inlineStr">
        <is>
          <t>0930 集計</t>
        </is>
      </c>
      <c r="D83" s="40" t="inlineStr">
        <is>
          <t>自治体</t>
        </is>
      </c>
      <c r="E83" s="86" t="n"/>
      <c r="F83" s="86" t="n"/>
      <c r="G83" s="2">
        <f>G55-G41</f>
        <v/>
      </c>
      <c r="H83" s="2">
        <f>H55-H41</f>
        <v/>
      </c>
      <c r="I83" s="2">
        <f>I55-I41</f>
        <v/>
      </c>
      <c r="J83" s="2">
        <f>J55-J41</f>
        <v/>
      </c>
      <c r="K83" s="79">
        <f>SUM(E83:J83)</f>
        <v/>
      </c>
      <c r="L83" s="1">
        <f>L55-L41</f>
        <v/>
      </c>
      <c r="M83" s="2">
        <f>M55-M41</f>
        <v/>
      </c>
      <c r="N83" s="2">
        <f>N55-N41</f>
        <v/>
      </c>
      <c r="O83" s="2">
        <f>O55-O41</f>
        <v/>
      </c>
      <c r="P83" s="2">
        <f>P55-P41</f>
        <v/>
      </c>
      <c r="Q83" s="2">
        <f>Q55-Q41</f>
        <v/>
      </c>
      <c r="R83" s="73">
        <f>SUM(L83:Q83)</f>
        <v/>
      </c>
      <c r="S83" s="123">
        <f>IF(E83=0,"***",L83/E83)</f>
        <v/>
      </c>
      <c r="T83" s="124">
        <f>IF(F83=0,"***",M83/F83)</f>
        <v/>
      </c>
      <c r="U83" s="124">
        <f>IF(G83=0,"***",N83/G83)</f>
        <v/>
      </c>
      <c r="V83" s="124">
        <f>IF(H83=0,"***",O83/H83)</f>
        <v/>
      </c>
      <c r="W83" s="124">
        <f>IF(I83=0,"***",P83/I83)</f>
        <v/>
      </c>
      <c r="X83" s="124">
        <f>IF(J83=0,"***",Q83/J83)</f>
        <v/>
      </c>
      <c r="Y83" s="125">
        <f>IF(K83=0,"***",R83/K83)</f>
        <v/>
      </c>
    </row>
    <row r="84" hidden="1" s="113">
      <c r="C84" s="3" t="inlineStr">
        <is>
          <t>合計</t>
        </is>
      </c>
      <c r="D84" s="70" t="n"/>
      <c r="E84" s="74">
        <f>SUM(E75:E83)</f>
        <v/>
      </c>
      <c r="F84" s="63">
        <f>SUM(F75:F83)</f>
        <v/>
      </c>
      <c r="G84" s="63">
        <f>SUM(G75:G83)</f>
        <v/>
      </c>
      <c r="H84" s="63">
        <f>SUM(H75:H83)</f>
        <v/>
      </c>
      <c r="I84" s="63">
        <f>SUM(I75:I83)</f>
        <v/>
      </c>
      <c r="J84" s="63">
        <f>SUM(J75:J83)</f>
        <v/>
      </c>
      <c r="K84" s="75">
        <f>SUM(K75:K83)</f>
        <v/>
      </c>
      <c r="L84" s="74">
        <f>SUM(L75:L83)</f>
        <v/>
      </c>
      <c r="M84" s="63">
        <f>SUM(M75:M83)</f>
        <v/>
      </c>
      <c r="N84" s="63">
        <f>SUM(N75:N83)</f>
        <v/>
      </c>
      <c r="O84" s="63">
        <f>SUM(O75:O83)</f>
        <v/>
      </c>
      <c r="P84" s="63">
        <f>SUM(P75:P83)</f>
        <v/>
      </c>
      <c r="Q84" s="63">
        <f>SUM(Q75:Q83)</f>
        <v/>
      </c>
      <c r="R84" s="75">
        <f>SUM(R75:R83)</f>
        <v/>
      </c>
      <c r="S84" s="126">
        <f>IF(E84=0,"***",L84/E84)</f>
        <v/>
      </c>
      <c r="T84" s="127">
        <f>IF(F84=0,"***",M84/F84)</f>
        <v/>
      </c>
      <c r="U84" s="127">
        <f>IF(G84=0,"***",N84/G84)</f>
        <v/>
      </c>
      <c r="V84" s="127">
        <f>IF(H84=0,"***",O84/H84)</f>
        <v/>
      </c>
      <c r="W84" s="127">
        <f>IF(I84=0,"***",P84/I84)</f>
        <v/>
      </c>
      <c r="X84" s="127">
        <f>IF(J84=0,"***",Q84/J84)</f>
        <v/>
      </c>
      <c r="Y84" s="128">
        <f>IF(K84=0,"***",R84/K84)</f>
        <v/>
      </c>
    </row>
    <row r="85">
      <c r="C85" s="6" t="n"/>
      <c r="E85" s="5" t="n"/>
      <c r="F85" s="5" t="n"/>
      <c r="G85" s="5" t="n"/>
      <c r="H85" s="5" t="n"/>
      <c r="I85" s="5" t="n"/>
      <c r="J85" s="5" t="n"/>
      <c r="K85" s="6" t="n"/>
      <c r="L85" s="5" t="n"/>
      <c r="M85" s="5" t="n"/>
      <c r="N85" s="5" t="n"/>
      <c r="O85" s="5" t="n"/>
      <c r="P85" s="5" t="n"/>
      <c r="Q85" s="5" t="n"/>
      <c r="R85" s="6" t="n"/>
      <c r="S85" s="129" t="n"/>
      <c r="T85" s="129" t="n"/>
      <c r="U85" s="129" t="n"/>
      <c r="V85" s="129" t="n"/>
      <c r="W85" s="129" t="n"/>
      <c r="X85" s="129" t="n"/>
      <c r="Y85" s="129" t="n"/>
    </row>
    <row r="86">
      <c r="C86" s="6" t="inlineStr">
        <is>
          <t>7．実績</t>
        </is>
      </c>
    </row>
    <row r="87">
      <c r="C87" s="104" t="n"/>
      <c r="D87" s="106" t="n"/>
      <c r="E87" s="104" t="inlineStr">
        <is>
          <t>売上</t>
        </is>
      </c>
      <c r="F87" s="105" t="n"/>
      <c r="G87" s="105" t="n"/>
      <c r="H87" s="105" t="n"/>
      <c r="I87" s="105" t="n"/>
      <c r="J87" s="105" t="n"/>
      <c r="K87" s="106" t="n"/>
      <c r="L87" s="108" t="inlineStr">
        <is>
          <t>粗利益</t>
        </is>
      </c>
      <c r="M87" s="105" t="n"/>
      <c r="N87" s="105" t="n"/>
      <c r="O87" s="105" t="n"/>
      <c r="P87" s="105" t="n"/>
      <c r="Q87" s="105" t="n"/>
      <c r="R87" s="106" t="n"/>
      <c r="S87" s="108" t="inlineStr">
        <is>
          <t>粗利益率</t>
        </is>
      </c>
      <c r="T87" s="105" t="n"/>
      <c r="U87" s="105" t="n"/>
      <c r="V87" s="105" t="n"/>
      <c r="W87" s="105" t="n"/>
      <c r="X87" s="105" t="n"/>
      <c r="Y87" s="106" t="n"/>
    </row>
    <row r="88">
      <c r="C88" s="61" t="n"/>
      <c r="D88" s="68" t="n"/>
      <c r="E88" s="72" t="n">
        <v>46113</v>
      </c>
      <c r="F88" s="62" t="n">
        <v>46143</v>
      </c>
      <c r="G88" s="62" t="n">
        <v>46174</v>
      </c>
      <c r="H88" s="62" t="n">
        <v>46204</v>
      </c>
      <c r="I88" s="62" t="n">
        <v>46235</v>
      </c>
      <c r="J88" s="62" t="n">
        <v>46266</v>
      </c>
      <c r="K88" s="64" t="inlineStr">
        <is>
          <t>合計</t>
        </is>
      </c>
      <c r="L88" s="88" t="n">
        <v>46113</v>
      </c>
      <c r="M88" s="62" t="n">
        <v>46143</v>
      </c>
      <c r="N88" s="62" t="n">
        <v>46174</v>
      </c>
      <c r="O88" s="62" t="n">
        <v>46204</v>
      </c>
      <c r="P88" s="62" t="n">
        <v>46235</v>
      </c>
      <c r="Q88" s="62" t="n">
        <v>46266</v>
      </c>
      <c r="R88" s="64" t="inlineStr">
        <is>
          <t>合計</t>
        </is>
      </c>
      <c r="S88" s="88" t="n">
        <v>46113</v>
      </c>
      <c r="T88" s="62" t="n">
        <v>46143</v>
      </c>
      <c r="U88" s="62" t="n">
        <v>46174</v>
      </c>
      <c r="V88" s="62" t="n">
        <v>46204</v>
      </c>
      <c r="W88" s="62" t="n">
        <v>46235</v>
      </c>
      <c r="X88" s="62" t="n">
        <v>46266</v>
      </c>
      <c r="Y88" s="64" t="inlineStr">
        <is>
          <t>合計</t>
        </is>
      </c>
    </row>
    <row r="89">
      <c r="C89" s="71" t="inlineStr">
        <is>
          <t>0903 集計</t>
        </is>
      </c>
      <c r="D89" s="40" t="inlineStr">
        <is>
          <t>西岡</t>
        </is>
      </c>
      <c r="E89" s="39" t="n">
        <v>148.1</v>
      </c>
      <c r="F89" s="39" t="n">
        <v>2136.89</v>
      </c>
      <c r="G89" s="39" t="n">
        <v>64.5</v>
      </c>
      <c r="H89" s="39" t="n">
        <v>102.82</v>
      </c>
      <c r="I89" s="39" t="n">
        <v>95.95</v>
      </c>
      <c r="J89" s="39" t="n">
        <v>360.83</v>
      </c>
      <c r="K89" s="79">
        <f>SUM(E89:J89)</f>
        <v/>
      </c>
      <c r="L89" s="53" t="n">
        <v>33.93</v>
      </c>
      <c r="M89" s="39" t="n">
        <v>359.932</v>
      </c>
      <c r="N89" s="39" t="n">
        <v>25.568</v>
      </c>
      <c r="O89" s="39" t="n">
        <v>31.785</v>
      </c>
      <c r="P89" s="39" t="n">
        <v>31.3</v>
      </c>
      <c r="Q89" s="39" t="n">
        <v>103.33</v>
      </c>
      <c r="R89" s="73">
        <f>SUM(L89:Q89)</f>
        <v/>
      </c>
      <c r="S89" s="135">
        <f>IF(E89=0,"***",L89/E89)</f>
        <v/>
      </c>
      <c r="T89" s="124">
        <f>IF(F89=0,"***",M89/F89)</f>
        <v/>
      </c>
      <c r="U89" s="124">
        <f>IF(G89=0,"***",N89/G89)</f>
        <v/>
      </c>
      <c r="V89" s="124">
        <f>IF(H89=0,"***",O89/H89)</f>
        <v/>
      </c>
      <c r="W89" s="124">
        <f>IF(I89=0,"***",P89/I89)</f>
        <v/>
      </c>
      <c r="X89" s="124">
        <f>IF(J89=0,"***",Q89/J89)</f>
        <v/>
      </c>
      <c r="Y89" s="125">
        <f>IF(K89=0,"***",R89/K89)</f>
        <v/>
      </c>
    </row>
    <row r="90">
      <c r="C90" s="71" t="inlineStr">
        <is>
          <t>0904 集計</t>
        </is>
      </c>
      <c r="D90" s="40" t="inlineStr">
        <is>
          <t>足立次長</t>
        </is>
      </c>
      <c r="E90" s="39" t="n">
        <v>956.98</v>
      </c>
      <c r="F90" s="39" t="n">
        <v>787.45</v>
      </c>
      <c r="G90" s="39" t="n">
        <v>481.84</v>
      </c>
      <c r="H90" s="39" t="n">
        <v>507.605</v>
      </c>
      <c r="I90" s="39" t="n">
        <v>2776.22</v>
      </c>
      <c r="J90" s="39" t="n">
        <v>323.5</v>
      </c>
      <c r="K90" s="79">
        <f>SUM(E90:J90)</f>
        <v/>
      </c>
      <c r="L90" s="53" t="n">
        <v>152.797</v>
      </c>
      <c r="M90" s="39" t="n">
        <v>133.891</v>
      </c>
      <c r="N90" s="39" t="n">
        <v>101.712</v>
      </c>
      <c r="O90" s="39" t="n">
        <v>95.715</v>
      </c>
      <c r="P90" s="39" t="n">
        <v>427.306</v>
      </c>
      <c r="Q90" s="39" t="n">
        <v>51.723</v>
      </c>
      <c r="R90" s="73">
        <f>SUM(L90:Q90)</f>
        <v/>
      </c>
      <c r="S90" s="135">
        <f>IF(E90=0,"***",L90/E90)</f>
        <v/>
      </c>
      <c r="T90" s="124">
        <f>IF(F90=0,"***",M90/F90)</f>
        <v/>
      </c>
      <c r="U90" s="124">
        <f>IF(G90=0,"***",N90/G90)</f>
        <v/>
      </c>
      <c r="V90" s="124">
        <f>IF(H90=0,"***",O90/H90)</f>
        <v/>
      </c>
      <c r="W90" s="124">
        <f>IF(I90=0,"***",P90/I90)</f>
        <v/>
      </c>
      <c r="X90" s="124">
        <f>IF(J90=0,"***",Q90/J90)</f>
        <v/>
      </c>
      <c r="Y90" s="125">
        <f>IF(K90=0,"***",R90/K90)</f>
        <v/>
      </c>
    </row>
    <row r="91">
      <c r="C91" s="71" t="inlineStr">
        <is>
          <t>0909 集計</t>
        </is>
      </c>
      <c r="D91" s="40" t="inlineStr">
        <is>
          <t>藤波課長</t>
        </is>
      </c>
      <c r="E91" s="39" t="n">
        <v>391.27</v>
      </c>
      <c r="F91" s="39" t="n">
        <v>6526.66</v>
      </c>
      <c r="G91" s="39" t="n">
        <v>19790.8</v>
      </c>
      <c r="H91" s="39" t="n">
        <v>541.1900000000001</v>
      </c>
      <c r="I91" s="39" t="n">
        <v>430.34</v>
      </c>
      <c r="J91" s="39" t="n">
        <v>5195.98</v>
      </c>
      <c r="K91" s="79">
        <f>SUM(E91:J91)</f>
        <v/>
      </c>
      <c r="L91" s="53" t="n">
        <v>166.92</v>
      </c>
      <c r="M91" s="39" t="n">
        <v>1728.25</v>
      </c>
      <c r="N91" s="39" t="n">
        <v>5372.184</v>
      </c>
      <c r="O91" s="39" t="n">
        <v>236.875</v>
      </c>
      <c r="P91" s="39" t="n">
        <v>181.44</v>
      </c>
      <c r="Q91" s="39" t="n">
        <v>1185.271</v>
      </c>
      <c r="R91" s="73">
        <f>SUM(L91:Q91)</f>
        <v/>
      </c>
      <c r="S91" s="135">
        <f>IF(E91=0,"***",L91/E91)</f>
        <v/>
      </c>
      <c r="T91" s="124">
        <f>IF(F91=0,"***",M91/F91)</f>
        <v/>
      </c>
      <c r="U91" s="124">
        <f>IF(G91=0,"***",N91/G91)</f>
        <v/>
      </c>
      <c r="V91" s="124">
        <f>IF(H91=0,"***",O91/H91)</f>
        <v/>
      </c>
      <c r="W91" s="124">
        <f>IF(I91=0,"***",P91/I91)</f>
        <v/>
      </c>
      <c r="X91" s="124">
        <f>IF(J91=0,"***",Q91/J91)</f>
        <v/>
      </c>
      <c r="Y91" s="125">
        <f>IF(K91=0,"***",R91/K91)</f>
        <v/>
      </c>
    </row>
    <row r="92">
      <c r="C92" s="71" t="inlineStr">
        <is>
          <t>0910 集計</t>
        </is>
      </c>
      <c r="D92" s="40" t="inlineStr">
        <is>
          <t>足立課長</t>
        </is>
      </c>
      <c r="E92" s="39" t="n">
        <v>941.3</v>
      </c>
      <c r="F92" s="39" t="n">
        <v>124.3</v>
      </c>
      <c r="G92" s="39" t="n">
        <v>306.39</v>
      </c>
      <c r="H92" s="39" t="n">
        <v>0</v>
      </c>
      <c r="I92" s="39" t="n">
        <v>0</v>
      </c>
      <c r="J92" s="39" t="n">
        <v>0</v>
      </c>
      <c r="K92" s="79">
        <f>SUM(E92:J92)</f>
        <v/>
      </c>
      <c r="L92" s="53" t="n">
        <v>196.6</v>
      </c>
      <c r="M92" s="39" t="n">
        <v>44.381</v>
      </c>
      <c r="N92" s="39" t="n">
        <v>106.07</v>
      </c>
      <c r="O92" s="39" t="n">
        <v>0</v>
      </c>
      <c r="P92" s="39" t="n">
        <v>0</v>
      </c>
      <c r="Q92" s="39" t="n">
        <v>0</v>
      </c>
      <c r="R92" s="73">
        <f>SUM(L92:Q92)</f>
        <v/>
      </c>
      <c r="S92" s="135">
        <f>IF(E92=0,"***",L92/E92)</f>
        <v/>
      </c>
      <c r="T92" s="124">
        <f>IF(F92=0,"***",M92/F92)</f>
        <v/>
      </c>
      <c r="U92" s="124">
        <f>IF(G92=0,"***",N92/G92)</f>
        <v/>
      </c>
      <c r="V92" s="124">
        <f>IF(H92=0,"***",O92/H92)</f>
        <v/>
      </c>
      <c r="W92" s="124">
        <f>IF(I92=0,"***",P92/I92)</f>
        <v/>
      </c>
      <c r="X92" s="124">
        <f>IF(J92=0,"***",Q92/J92)</f>
        <v/>
      </c>
      <c r="Y92" s="125">
        <f>IF(K92=0,"***",R92/K92)</f>
        <v/>
      </c>
    </row>
    <row r="93">
      <c r="C93" s="71" t="inlineStr">
        <is>
          <t>0911 集計</t>
        </is>
      </c>
      <c r="D93" s="40" t="inlineStr">
        <is>
          <t>川邊主任</t>
        </is>
      </c>
      <c r="E93" s="39" t="n">
        <v>435.39</v>
      </c>
      <c r="F93" s="39" t="n">
        <v>534.1900000000001</v>
      </c>
      <c r="G93" s="39" t="n">
        <v>1385.69</v>
      </c>
      <c r="H93" s="39" t="n">
        <v>2617.59</v>
      </c>
      <c r="I93" s="39" t="n">
        <v>248.8</v>
      </c>
      <c r="J93" s="39" t="n">
        <v>182.29</v>
      </c>
      <c r="K93" s="79">
        <f>SUM(E93:J93)</f>
        <v/>
      </c>
      <c r="L93" s="53" t="n">
        <v>100.958</v>
      </c>
      <c r="M93" s="39" t="n">
        <v>151.095</v>
      </c>
      <c r="N93" s="39" t="n">
        <v>255.975</v>
      </c>
      <c r="O93" s="39" t="n">
        <v>345.805</v>
      </c>
      <c r="P93" s="39" t="n">
        <v>59.55</v>
      </c>
      <c r="Q93" s="39" t="n">
        <v>83.8</v>
      </c>
      <c r="R93" s="73">
        <f>SUM(L93:Q93)</f>
        <v/>
      </c>
      <c r="S93" s="135">
        <f>IF(E93=0,"***",L93/E93)</f>
        <v/>
      </c>
      <c r="T93" s="124">
        <f>IF(F93=0,"***",M93/F93)</f>
        <v/>
      </c>
      <c r="U93" s="124">
        <f>IF(G93=0,"***",N93/G93)</f>
        <v/>
      </c>
      <c r="V93" s="124">
        <f>IF(H93=0,"***",O93/H93)</f>
        <v/>
      </c>
      <c r="W93" s="124">
        <f>IF(I93=0,"***",P93/I93)</f>
        <v/>
      </c>
      <c r="X93" s="124">
        <f>IF(J93=0,"***",Q93/J93)</f>
        <v/>
      </c>
      <c r="Y93" s="125">
        <f>IF(K93=0,"***",R93/K93)</f>
        <v/>
      </c>
    </row>
    <row r="94">
      <c r="C94" s="71" t="inlineStr">
        <is>
          <t>0914 集計</t>
        </is>
      </c>
      <c r="D94" s="40" t="inlineStr">
        <is>
          <t>白根主任</t>
        </is>
      </c>
      <c r="E94" s="39" t="n">
        <v>19431.76</v>
      </c>
      <c r="F94" s="39" t="n">
        <v>503.53</v>
      </c>
      <c r="G94" s="39" t="n">
        <v>260.09</v>
      </c>
      <c r="H94" s="39" t="n">
        <v>219.45</v>
      </c>
      <c r="I94" s="39" t="n">
        <v>783.25</v>
      </c>
      <c r="J94" s="39" t="n">
        <v>2104.76</v>
      </c>
      <c r="K94" s="79">
        <f>SUM(E94:J94)</f>
        <v/>
      </c>
      <c r="L94" s="53" t="n">
        <v>2446.647</v>
      </c>
      <c r="M94" s="39" t="n">
        <v>250.198</v>
      </c>
      <c r="N94" s="39" t="n">
        <v>142.992</v>
      </c>
      <c r="O94" s="39" t="n">
        <v>68.92</v>
      </c>
      <c r="P94" s="39" t="n">
        <v>242.149</v>
      </c>
      <c r="Q94" s="39" t="n">
        <v>516.139</v>
      </c>
      <c r="R94" s="73">
        <f>SUM(L94:Q94)</f>
        <v/>
      </c>
      <c r="S94" s="135">
        <f>IF(E94=0,"***",L94/E94)</f>
        <v/>
      </c>
      <c r="T94" s="124">
        <f>IF(F94=0,"***",M94/F94)</f>
        <v/>
      </c>
      <c r="U94" s="124">
        <f>IF(G94=0,"***",N94/G94)</f>
        <v/>
      </c>
      <c r="V94" s="124">
        <f>IF(H94=0,"***",O94/H94)</f>
        <v/>
      </c>
      <c r="W94" s="124">
        <f>IF(I94=0,"***",P94/I94)</f>
        <v/>
      </c>
      <c r="X94" s="124">
        <f>IF(J94=0,"***",Q94/J94)</f>
        <v/>
      </c>
      <c r="Y94" s="125">
        <f>IF(K94=0,"***",R94/K94)</f>
        <v/>
      </c>
    </row>
    <row r="95">
      <c r="C95" s="71" t="inlineStr">
        <is>
          <t>0918 集計</t>
        </is>
      </c>
      <c r="D95" s="40" t="inlineStr">
        <is>
          <t>海外</t>
        </is>
      </c>
      <c r="E95" s="39" t="n">
        <v>706.9</v>
      </c>
      <c r="F95" s="39" t="n">
        <v>53.05</v>
      </c>
      <c r="G95" s="39" t="n">
        <v>1833.65</v>
      </c>
      <c r="H95" s="39" t="n">
        <v>6.36</v>
      </c>
      <c r="I95" s="39" t="n">
        <v>314.45</v>
      </c>
      <c r="J95" s="39" t="n">
        <v>0</v>
      </c>
      <c r="K95" s="79">
        <f>SUM(E95:J95)</f>
        <v/>
      </c>
      <c r="L95" s="53" t="n">
        <v>171.7</v>
      </c>
      <c r="M95" s="39" t="n">
        <v>10.7</v>
      </c>
      <c r="N95" s="39" t="n">
        <v>536.9</v>
      </c>
      <c r="O95" s="39" t="n">
        <v>0.5600000000000001</v>
      </c>
      <c r="P95" s="39" t="n">
        <v>59.63</v>
      </c>
      <c r="Q95" s="39" t="n">
        <v>0</v>
      </c>
      <c r="R95" s="73">
        <f>SUM(L95:Q95)</f>
        <v/>
      </c>
      <c r="S95" s="135">
        <f>IF(E95=0,"***",L95/E95)</f>
        <v/>
      </c>
      <c r="T95" s="124">
        <f>IF(F95=0,"***",M95/F95)</f>
        <v/>
      </c>
      <c r="U95" s="124">
        <f>IF(G95=0,"***",N95/G95)</f>
        <v/>
      </c>
      <c r="V95" s="124">
        <f>IF(H95=0,"***",O95/H95)</f>
        <v/>
      </c>
      <c r="W95" s="124">
        <f>IF(I95=0,"***",P95/I95)</f>
        <v/>
      </c>
      <c r="X95" s="124">
        <f>IF(J95=0,"***",Q95/J95)</f>
        <v/>
      </c>
      <c r="Y95" s="125">
        <f>IF(K95=0,"***",R95/K95)</f>
        <v/>
      </c>
    </row>
    <row r="96">
      <c r="C96" s="71" t="inlineStr">
        <is>
          <t>0919 集計</t>
        </is>
      </c>
      <c r="D96" s="40" t="inlineStr">
        <is>
          <t>その他</t>
        </is>
      </c>
      <c r="E96" s="39" t="n"/>
      <c r="F96" s="39" t="n"/>
      <c r="G96" s="39" t="n"/>
      <c r="H96" s="39" t="n"/>
      <c r="I96" s="39" t="n">
        <v>0</v>
      </c>
      <c r="J96" s="39" t="n">
        <v>0</v>
      </c>
      <c r="K96" s="79">
        <f>SUM(E96:J96)</f>
        <v/>
      </c>
      <c r="L96" s="53" t="n"/>
      <c r="M96" s="39" t="n"/>
      <c r="N96" s="39" t="n"/>
      <c r="O96" s="39" t="n"/>
      <c r="P96" s="39" t="n">
        <v>0</v>
      </c>
      <c r="Q96" s="39" t="n">
        <v>0</v>
      </c>
      <c r="R96" s="73">
        <f>SUM(L96:Q96)</f>
        <v/>
      </c>
      <c r="S96" s="135">
        <f>IF(E96=0,"***",L96/E96)</f>
        <v/>
      </c>
      <c r="T96" s="124">
        <f>IF(F96=0,"***",M96/F96)</f>
        <v/>
      </c>
      <c r="U96" s="124">
        <f>IF(G96=0,"***",N96/G96)</f>
        <v/>
      </c>
      <c r="V96" s="124">
        <f>IF(H96=0,"***",O96/H96)</f>
        <v/>
      </c>
      <c r="W96" s="124">
        <f>IF(I96=0,"***",P96/I96)</f>
        <v/>
      </c>
      <c r="X96" s="124">
        <f>IF(J96=0,"***",Q96/J96)</f>
        <v/>
      </c>
      <c r="Y96" s="125">
        <f>IF(K96=0,"***",R96/K96)</f>
        <v/>
      </c>
    </row>
    <row r="97">
      <c r="C97" s="71" t="inlineStr">
        <is>
          <t>0930 集計</t>
        </is>
      </c>
      <c r="D97" s="40" t="inlineStr">
        <is>
          <t>自治体</t>
        </is>
      </c>
      <c r="E97" s="39" t="n"/>
      <c r="F97" s="39" t="n"/>
      <c r="G97" s="39" t="n"/>
      <c r="H97" s="39" t="n"/>
      <c r="I97" s="39" t="n">
        <v>0</v>
      </c>
      <c r="J97" s="39" t="n">
        <v>0</v>
      </c>
      <c r="K97" s="79">
        <f>SUM(E97:J97)</f>
        <v/>
      </c>
      <c r="L97" s="53" t="n"/>
      <c r="M97" s="39" t="n"/>
      <c r="N97" s="39" t="n"/>
      <c r="O97" s="39" t="n"/>
      <c r="P97" s="39" t="n">
        <v>0</v>
      </c>
      <c r="Q97" s="39" t="n">
        <v>0</v>
      </c>
      <c r="R97" s="73">
        <f>SUM(L97:Q97)</f>
        <v/>
      </c>
      <c r="S97" s="135">
        <f>IF(E97=0,"***",L97/E97)</f>
        <v/>
      </c>
      <c r="T97" s="124">
        <f>IF(F97=0,"***",M97/F97)</f>
        <v/>
      </c>
      <c r="U97" s="124">
        <f>IF(G97=0,"***",N97/G97)</f>
        <v/>
      </c>
      <c r="V97" s="124">
        <f>IF(H97=0,"***",O97/H97)</f>
        <v/>
      </c>
      <c r="W97" s="124">
        <f>IF(I97=0,"***",P97/I97)</f>
        <v/>
      </c>
      <c r="X97" s="124">
        <f>IF(J97=0,"***",Q97/J97)</f>
        <v/>
      </c>
      <c r="Y97" s="125">
        <f>IF(K97=0,"***",R97/K97)</f>
        <v/>
      </c>
    </row>
    <row r="98">
      <c r="C98" s="3" t="inlineStr">
        <is>
          <t>合計</t>
        </is>
      </c>
      <c r="D98" s="70" t="n"/>
      <c r="E98" s="74">
        <f>SUM(E89:E97)</f>
        <v/>
      </c>
      <c r="F98" s="63">
        <f>SUM(F89:F97)</f>
        <v/>
      </c>
      <c r="G98" s="63">
        <f>SUM(G89:G97)</f>
        <v/>
      </c>
      <c r="H98" s="63">
        <f>SUM(H89:H97)</f>
        <v/>
      </c>
      <c r="I98" s="63">
        <f>SUM(I89:I97)</f>
        <v/>
      </c>
      <c r="J98" s="63">
        <f>SUM(J89:J97)</f>
        <v/>
      </c>
      <c r="K98" s="75">
        <f>SUM(K89:K97)</f>
        <v/>
      </c>
      <c r="L98" s="74">
        <f>SUM(L89:L97)</f>
        <v/>
      </c>
      <c r="M98" s="63">
        <f>SUM(M89:M97)</f>
        <v/>
      </c>
      <c r="N98" s="63">
        <f>SUM(N89:N97)</f>
        <v/>
      </c>
      <c r="O98" s="63">
        <f>SUM(O89:O97)</f>
        <v/>
      </c>
      <c r="P98" s="63">
        <f>SUM(P89:P97)</f>
        <v/>
      </c>
      <c r="Q98" s="63">
        <f>SUM(Q89:Q97)</f>
        <v/>
      </c>
      <c r="R98" s="75">
        <f>SUM(R89:R97)</f>
        <v/>
      </c>
      <c r="S98" s="137">
        <f>IF(E98=0,"***",L98/E98)</f>
        <v/>
      </c>
      <c r="T98" s="127">
        <f>IF(F98=0,"***",M98/F98)</f>
        <v/>
      </c>
      <c r="U98" s="127">
        <f>IF(G98=0,"***",N98/G98)</f>
        <v/>
      </c>
      <c r="V98" s="127">
        <f>IF(H98=0,"***",O98/H98)</f>
        <v/>
      </c>
      <c r="W98" s="127">
        <f>IF(I98=0,"***",P98/I98)</f>
        <v/>
      </c>
      <c r="X98" s="127">
        <f>IF(J98=0,"***",Q98/J98)</f>
        <v/>
      </c>
      <c r="Y98" s="128">
        <f>IF(K98=0,"***",R98/K98)</f>
        <v/>
      </c>
    </row>
    <row r="99">
      <c r="C99" s="6" t="n"/>
      <c r="E99" s="5" t="n"/>
      <c r="F99" s="5" t="n"/>
      <c r="G99" s="5" t="n"/>
      <c r="H99" s="5" t="n"/>
      <c r="I99" s="5" t="n"/>
      <c r="J99" s="5" t="n"/>
      <c r="K99" s="6" t="n"/>
      <c r="L99" s="5" t="n"/>
      <c r="M99" s="5" t="n"/>
      <c r="N99" s="5" t="n"/>
      <c r="O99" s="5" t="n"/>
      <c r="P99" s="5" t="n"/>
      <c r="Q99" s="5" t="n"/>
      <c r="R99" s="6" t="n"/>
      <c r="S99" s="129" t="n"/>
      <c r="T99" s="129" t="n"/>
      <c r="U99" s="129" t="n"/>
      <c r="V99" s="129" t="n"/>
      <c r="W99" s="129" t="n"/>
      <c r="X99" s="129" t="n"/>
      <c r="Y99" s="129" t="n"/>
    </row>
    <row r="100">
      <c r="C100" s="6" t="inlineStr">
        <is>
          <t>8．計画比</t>
        </is>
      </c>
    </row>
    <row r="101">
      <c r="C101" s="104" t="n"/>
      <c r="D101" s="106" t="n"/>
      <c r="E101" s="104" t="inlineStr">
        <is>
          <t>売上</t>
        </is>
      </c>
      <c r="F101" s="105" t="n"/>
      <c r="G101" s="105" t="n"/>
      <c r="H101" s="105" t="n"/>
      <c r="I101" s="105" t="n"/>
      <c r="J101" s="105" t="n"/>
      <c r="K101" s="106" t="n"/>
      <c r="L101" s="108" t="inlineStr">
        <is>
          <t>粗利益</t>
        </is>
      </c>
      <c r="M101" s="105" t="n"/>
      <c r="N101" s="105" t="n"/>
      <c r="O101" s="105" t="n"/>
      <c r="P101" s="105" t="n"/>
      <c r="Q101" s="105" t="n"/>
      <c r="R101" s="106" t="n"/>
      <c r="S101" s="108" t="inlineStr">
        <is>
          <t>粗利益率</t>
        </is>
      </c>
      <c r="T101" s="105" t="n"/>
      <c r="U101" s="105" t="n"/>
      <c r="V101" s="105" t="n"/>
      <c r="W101" s="105" t="n"/>
      <c r="X101" s="105" t="n"/>
      <c r="Y101" s="106" t="n"/>
    </row>
    <row r="102">
      <c r="C102" s="61" t="n"/>
      <c r="D102" s="68" t="n"/>
      <c r="E102" s="72" t="n">
        <v>46113</v>
      </c>
      <c r="F102" s="62" t="n">
        <v>46143</v>
      </c>
      <c r="G102" s="62" t="n">
        <v>46174</v>
      </c>
      <c r="H102" s="62" t="n">
        <v>46204</v>
      </c>
      <c r="I102" s="62" t="n">
        <v>46235</v>
      </c>
      <c r="J102" s="62" t="n">
        <v>46266</v>
      </c>
      <c r="K102" s="64" t="inlineStr">
        <is>
          <t>合計</t>
        </is>
      </c>
      <c r="L102" s="88" t="n">
        <v>46113</v>
      </c>
      <c r="M102" s="62" t="n">
        <v>46143</v>
      </c>
      <c r="N102" s="62" t="n">
        <v>46174</v>
      </c>
      <c r="O102" s="62" t="n">
        <v>46204</v>
      </c>
      <c r="P102" s="62" t="n">
        <v>46235</v>
      </c>
      <c r="Q102" s="62" t="n">
        <v>46266</v>
      </c>
      <c r="R102" s="64" t="inlineStr">
        <is>
          <t>合計</t>
        </is>
      </c>
      <c r="S102" s="88" t="n">
        <v>46113</v>
      </c>
      <c r="T102" s="62" t="n">
        <v>46143</v>
      </c>
      <c r="U102" s="62" t="n">
        <v>46174</v>
      </c>
      <c r="V102" s="62" t="n">
        <v>46204</v>
      </c>
      <c r="W102" s="62" t="n">
        <v>46235</v>
      </c>
      <c r="X102" s="62" t="n">
        <v>46266</v>
      </c>
      <c r="Y102" s="64" t="inlineStr">
        <is>
          <t>合計</t>
        </is>
      </c>
    </row>
    <row r="103">
      <c r="C103" s="71" t="inlineStr">
        <is>
          <t>0903 集計</t>
        </is>
      </c>
      <c r="D103" s="40" t="inlineStr">
        <is>
          <t>西岡</t>
        </is>
      </c>
      <c r="E103" s="39">
        <f>E89-E47</f>
        <v/>
      </c>
      <c r="F103" s="39">
        <f>F89-F47</f>
        <v/>
      </c>
      <c r="G103" s="39">
        <f>G89-G47</f>
        <v/>
      </c>
      <c r="H103" s="39">
        <f>H89-H47</f>
        <v/>
      </c>
      <c r="I103" s="39">
        <f>I89-I47</f>
        <v/>
      </c>
      <c r="J103" s="39">
        <f>J89-J47</f>
        <v/>
      </c>
      <c r="K103" s="79">
        <f>SUM(E103:J103)</f>
        <v/>
      </c>
      <c r="L103" s="53">
        <f>L89-L47</f>
        <v/>
      </c>
      <c r="M103" s="39">
        <f>M89-M47</f>
        <v/>
      </c>
      <c r="N103" s="39">
        <f>N89-N47</f>
        <v/>
      </c>
      <c r="O103" s="39">
        <f>O89-O47</f>
        <v/>
      </c>
      <c r="P103" s="39">
        <f>P89-P47</f>
        <v/>
      </c>
      <c r="Q103" s="39">
        <f>Q89-Q47</f>
        <v/>
      </c>
      <c r="R103" s="73">
        <f>SUM(L103:Q103)</f>
        <v/>
      </c>
      <c r="S103" s="135">
        <f>S89-S47</f>
        <v/>
      </c>
      <c r="T103" s="124">
        <f>T89-T47</f>
        <v/>
      </c>
      <c r="U103" s="124">
        <f>U89-U47</f>
        <v/>
      </c>
      <c r="V103" s="124">
        <f>V89-V47</f>
        <v/>
      </c>
      <c r="W103" s="124">
        <f>W89-W47</f>
        <v/>
      </c>
      <c r="X103" s="124">
        <f>X89-X47</f>
        <v/>
      </c>
      <c r="Y103" s="125">
        <f>Y89-Y47</f>
        <v/>
      </c>
    </row>
    <row r="104">
      <c r="C104" s="71" t="inlineStr">
        <is>
          <t>0904 集計</t>
        </is>
      </c>
      <c r="D104" s="40" t="inlineStr">
        <is>
          <t>足立次長</t>
        </is>
      </c>
      <c r="E104" s="39">
        <f>E90-E48</f>
        <v/>
      </c>
      <c r="F104" s="39">
        <f>F90-F48</f>
        <v/>
      </c>
      <c r="G104" s="39">
        <f>G90-G48</f>
        <v/>
      </c>
      <c r="H104" s="39">
        <f>H90-H48</f>
        <v/>
      </c>
      <c r="I104" s="39">
        <f>I90-I48</f>
        <v/>
      </c>
      <c r="J104" s="39">
        <f>J90-J48</f>
        <v/>
      </c>
      <c r="K104" s="79">
        <f>SUM(E104:J104)</f>
        <v/>
      </c>
      <c r="L104" s="53">
        <f>L90-L48</f>
        <v/>
      </c>
      <c r="M104" s="39">
        <f>M90-M48</f>
        <v/>
      </c>
      <c r="N104" s="39">
        <f>N90-N48</f>
        <v/>
      </c>
      <c r="O104" s="39">
        <f>O90-O48</f>
        <v/>
      </c>
      <c r="P104" s="39">
        <f>P90-P48</f>
        <v/>
      </c>
      <c r="Q104" s="39">
        <f>Q90-Q48</f>
        <v/>
      </c>
      <c r="R104" s="73">
        <f>SUM(L104:Q104)</f>
        <v/>
      </c>
      <c r="S104" s="135">
        <f>S90-S48</f>
        <v/>
      </c>
      <c r="T104" s="124">
        <f>T90-T48</f>
        <v/>
      </c>
      <c r="U104" s="124">
        <f>U90-U48</f>
        <v/>
      </c>
      <c r="V104" s="124">
        <f>V90-V48</f>
        <v/>
      </c>
      <c r="W104" s="124">
        <f>W90-W48</f>
        <v/>
      </c>
      <c r="X104" s="124">
        <f>X90-X48</f>
        <v/>
      </c>
      <c r="Y104" s="125">
        <f>Y90-Y48</f>
        <v/>
      </c>
    </row>
    <row r="105">
      <c r="C105" s="71" t="inlineStr">
        <is>
          <t>0909 集計</t>
        </is>
      </c>
      <c r="D105" s="40" t="inlineStr">
        <is>
          <t>藤波課長</t>
        </is>
      </c>
      <c r="E105" s="39">
        <f>E91-E49</f>
        <v/>
      </c>
      <c r="F105" s="39">
        <f>F91-F49</f>
        <v/>
      </c>
      <c r="G105" s="39">
        <f>G91-G49</f>
        <v/>
      </c>
      <c r="H105" s="39">
        <f>H91-H49</f>
        <v/>
      </c>
      <c r="I105" s="39">
        <f>I91-I49</f>
        <v/>
      </c>
      <c r="J105" s="39">
        <f>J91-J49</f>
        <v/>
      </c>
      <c r="K105" s="79">
        <f>SUM(E105:J105)</f>
        <v/>
      </c>
      <c r="L105" s="53">
        <f>L91-L49</f>
        <v/>
      </c>
      <c r="M105" s="39">
        <f>M91-M49</f>
        <v/>
      </c>
      <c r="N105" s="39">
        <f>N91-N49</f>
        <v/>
      </c>
      <c r="O105" s="39">
        <f>O91-O49</f>
        <v/>
      </c>
      <c r="P105" s="39">
        <f>P91-P49</f>
        <v/>
      </c>
      <c r="Q105" s="39">
        <f>Q91-Q49</f>
        <v/>
      </c>
      <c r="R105" s="73">
        <f>SUM(L105:Q105)</f>
        <v/>
      </c>
      <c r="S105" s="135">
        <f>S91-S49</f>
        <v/>
      </c>
      <c r="T105" s="124">
        <f>T91-T49</f>
        <v/>
      </c>
      <c r="U105" s="124">
        <f>U91-U49</f>
        <v/>
      </c>
      <c r="V105" s="124">
        <f>V91-V49</f>
        <v/>
      </c>
      <c r="W105" s="124">
        <f>W91-W49</f>
        <v/>
      </c>
      <c r="X105" s="124">
        <f>X91-X49</f>
        <v/>
      </c>
      <c r="Y105" s="125">
        <f>Y91-Y49</f>
        <v/>
      </c>
    </row>
    <row r="106">
      <c r="C106" s="71" t="inlineStr">
        <is>
          <t>0910 集計</t>
        </is>
      </c>
      <c r="D106" s="40" t="inlineStr">
        <is>
          <t>足立課長</t>
        </is>
      </c>
      <c r="E106" s="39">
        <f>E92-E50</f>
        <v/>
      </c>
      <c r="F106" s="39">
        <f>F92-F50</f>
        <v/>
      </c>
      <c r="G106" s="39">
        <f>G92-G50</f>
        <v/>
      </c>
      <c r="H106" s="39">
        <f>H92-H50</f>
        <v/>
      </c>
      <c r="I106" s="39">
        <f>I92-I50</f>
        <v/>
      </c>
      <c r="J106" s="39">
        <f>J92-J50</f>
        <v/>
      </c>
      <c r="K106" s="79">
        <f>SUM(E106:J106)</f>
        <v/>
      </c>
      <c r="L106" s="53">
        <f>L92-L50</f>
        <v/>
      </c>
      <c r="M106" s="39">
        <f>M92-M50</f>
        <v/>
      </c>
      <c r="N106" s="39">
        <f>N92-N50</f>
        <v/>
      </c>
      <c r="O106" s="39">
        <f>O92-O50</f>
        <v/>
      </c>
      <c r="P106" s="39">
        <f>P92-P50</f>
        <v/>
      </c>
      <c r="Q106" s="39">
        <f>Q92-Q50</f>
        <v/>
      </c>
      <c r="R106" s="73">
        <f>SUM(L106:Q106)</f>
        <v/>
      </c>
      <c r="S106" s="135">
        <f>S92-S50</f>
        <v/>
      </c>
      <c r="T106" s="124">
        <f>T92-T50</f>
        <v/>
      </c>
      <c r="U106" s="124">
        <f>U92-U50</f>
        <v/>
      </c>
      <c r="V106" s="124">
        <f>V92-V50</f>
        <v/>
      </c>
      <c r="W106" s="124">
        <f>W92-W50</f>
        <v/>
      </c>
      <c r="X106" s="124">
        <f>X92-X50</f>
        <v/>
      </c>
      <c r="Y106" s="125">
        <f>Y92-Y50</f>
        <v/>
      </c>
    </row>
    <row r="107">
      <c r="C107" s="71" t="inlineStr">
        <is>
          <t>0911 集計</t>
        </is>
      </c>
      <c r="D107" s="40" t="inlineStr">
        <is>
          <t>川邊主任</t>
        </is>
      </c>
      <c r="E107" s="39">
        <f>E93-E51</f>
        <v/>
      </c>
      <c r="F107" s="39">
        <f>F93-F51</f>
        <v/>
      </c>
      <c r="G107" s="39">
        <f>G93-G51</f>
        <v/>
      </c>
      <c r="H107" s="39">
        <f>H93-H51</f>
        <v/>
      </c>
      <c r="I107" s="39">
        <f>I93-I51</f>
        <v/>
      </c>
      <c r="J107" s="39">
        <f>J93-J51</f>
        <v/>
      </c>
      <c r="K107" s="79">
        <f>SUM(E107:J107)</f>
        <v/>
      </c>
      <c r="L107" s="53">
        <f>L93-L51</f>
        <v/>
      </c>
      <c r="M107" s="39">
        <f>M93-M51</f>
        <v/>
      </c>
      <c r="N107" s="39">
        <f>N93-N51</f>
        <v/>
      </c>
      <c r="O107" s="39">
        <f>O93-O51</f>
        <v/>
      </c>
      <c r="P107" s="39">
        <f>P93-P51</f>
        <v/>
      </c>
      <c r="Q107" s="39">
        <f>Q93-Q51</f>
        <v/>
      </c>
      <c r="R107" s="73">
        <f>SUM(L107:Q107)</f>
        <v/>
      </c>
      <c r="S107" s="135">
        <f>S93-S51</f>
        <v/>
      </c>
      <c r="T107" s="124">
        <f>T93-T51</f>
        <v/>
      </c>
      <c r="U107" s="124">
        <f>U93-U51</f>
        <v/>
      </c>
      <c r="V107" s="124">
        <f>V93-V51</f>
        <v/>
      </c>
      <c r="W107" s="124">
        <f>W93-W51</f>
        <v/>
      </c>
      <c r="X107" s="124">
        <f>X93-X51</f>
        <v/>
      </c>
      <c r="Y107" s="125">
        <f>Y93-Y51</f>
        <v/>
      </c>
    </row>
    <row r="108">
      <c r="C108" s="71" t="inlineStr">
        <is>
          <t>0914 集計</t>
        </is>
      </c>
      <c r="D108" s="40" t="inlineStr">
        <is>
          <t>白根主任</t>
        </is>
      </c>
      <c r="E108" s="39">
        <f>E94-E52</f>
        <v/>
      </c>
      <c r="F108" s="39">
        <f>F94-F52</f>
        <v/>
      </c>
      <c r="G108" s="39">
        <f>G94-G52</f>
        <v/>
      </c>
      <c r="H108" s="39">
        <f>H94-H52</f>
        <v/>
      </c>
      <c r="I108" s="39">
        <f>I94-I52</f>
        <v/>
      </c>
      <c r="J108" s="39">
        <f>J94-J52</f>
        <v/>
      </c>
      <c r="K108" s="79">
        <f>SUM(E108:J108)</f>
        <v/>
      </c>
      <c r="L108" s="53">
        <f>L94-L52</f>
        <v/>
      </c>
      <c r="M108" s="39">
        <f>M94-M52</f>
        <v/>
      </c>
      <c r="N108" s="39">
        <f>N94-N52</f>
        <v/>
      </c>
      <c r="O108" s="39">
        <f>O94-O52</f>
        <v/>
      </c>
      <c r="P108" s="39">
        <f>P94-P52</f>
        <v/>
      </c>
      <c r="Q108" s="39">
        <f>Q94-Q52</f>
        <v/>
      </c>
      <c r="R108" s="73">
        <f>SUM(L108:Q108)</f>
        <v/>
      </c>
      <c r="S108" s="135">
        <f>S94-S52</f>
        <v/>
      </c>
      <c r="T108" s="124">
        <f>T94-T52</f>
        <v/>
      </c>
      <c r="U108" s="124">
        <f>U94-U52</f>
        <v/>
      </c>
      <c r="V108" s="124">
        <f>V94-V52</f>
        <v/>
      </c>
      <c r="W108" s="124">
        <f>W94-W52</f>
        <v/>
      </c>
      <c r="X108" s="124">
        <f>X94-X52</f>
        <v/>
      </c>
      <c r="Y108" s="125">
        <f>Y94-Y52</f>
        <v/>
      </c>
    </row>
    <row r="109">
      <c r="C109" s="71" t="inlineStr">
        <is>
          <t>0918 集計</t>
        </is>
      </c>
      <c r="D109" s="40" t="inlineStr">
        <is>
          <t>海外</t>
        </is>
      </c>
      <c r="E109" s="39">
        <f>E95-E53</f>
        <v/>
      </c>
      <c r="F109" s="39">
        <f>F95-F53</f>
        <v/>
      </c>
      <c r="G109" s="39">
        <f>G95-G53</f>
        <v/>
      </c>
      <c r="H109" s="39">
        <f>H95-H53</f>
        <v/>
      </c>
      <c r="I109" s="39">
        <f>I95-I53</f>
        <v/>
      </c>
      <c r="J109" s="39">
        <f>J95-J53</f>
        <v/>
      </c>
      <c r="K109" s="79">
        <f>SUM(E109:J109)</f>
        <v/>
      </c>
      <c r="L109" s="53">
        <f>L95-L53</f>
        <v/>
      </c>
      <c r="M109" s="39">
        <f>M95-M53</f>
        <v/>
      </c>
      <c r="N109" s="39">
        <f>N95-N53</f>
        <v/>
      </c>
      <c r="O109" s="39">
        <f>O95-O53</f>
        <v/>
      </c>
      <c r="P109" s="39">
        <f>P95-P53</f>
        <v/>
      </c>
      <c r="Q109" s="39">
        <f>Q95-Q53</f>
        <v/>
      </c>
      <c r="R109" s="73">
        <f>SUM(L109:Q109)</f>
        <v/>
      </c>
      <c r="S109" s="135">
        <f>S95-S53</f>
        <v/>
      </c>
      <c r="T109" s="124">
        <f>T95-T53</f>
        <v/>
      </c>
      <c r="U109" s="124">
        <f>U95-U53</f>
        <v/>
      </c>
      <c r="V109" s="124">
        <f>V95-V53</f>
        <v/>
      </c>
      <c r="W109" s="124">
        <f>W95-W53</f>
        <v/>
      </c>
      <c r="X109" s="124">
        <f>X95-X53</f>
        <v/>
      </c>
      <c r="Y109" s="125">
        <f>Y95-Y53</f>
        <v/>
      </c>
    </row>
    <row r="110">
      <c r="C110" s="71" t="inlineStr">
        <is>
          <t>0919 集計</t>
        </is>
      </c>
      <c r="D110" s="40" t="inlineStr">
        <is>
          <t>その他</t>
        </is>
      </c>
      <c r="E110" s="39">
        <f>E96-E54</f>
        <v/>
      </c>
      <c r="F110" s="39">
        <f>F96-F54</f>
        <v/>
      </c>
      <c r="G110" s="39">
        <f>G96-G54</f>
        <v/>
      </c>
      <c r="H110" s="39">
        <f>H96-H54</f>
        <v/>
      </c>
      <c r="I110" s="39">
        <f>I96-I54</f>
        <v/>
      </c>
      <c r="J110" s="39">
        <f>J96-J54</f>
        <v/>
      </c>
      <c r="K110" s="79">
        <f>SUM(E110:J110)</f>
        <v/>
      </c>
      <c r="L110" s="53">
        <f>L96-L54</f>
        <v/>
      </c>
      <c r="M110" s="39">
        <f>M96-M54</f>
        <v/>
      </c>
      <c r="N110" s="39">
        <f>N96-N54</f>
        <v/>
      </c>
      <c r="O110" s="39">
        <f>O96-O54</f>
        <v/>
      </c>
      <c r="P110" s="39">
        <f>P96-P54</f>
        <v/>
      </c>
      <c r="Q110" s="39">
        <f>Q96-Q54</f>
        <v/>
      </c>
      <c r="R110" s="73">
        <f>SUM(L110:Q110)</f>
        <v/>
      </c>
      <c r="S110" s="135">
        <f>S96-S54</f>
        <v/>
      </c>
      <c r="T110" s="124">
        <f>T96-T54</f>
        <v/>
      </c>
      <c r="U110" s="124">
        <f>U96-U54</f>
        <v/>
      </c>
      <c r="V110" s="124">
        <f>V96-V54</f>
        <v/>
      </c>
      <c r="W110" s="124">
        <f>W96-W54</f>
        <v/>
      </c>
      <c r="X110" s="124">
        <f>X96-X54</f>
        <v/>
      </c>
      <c r="Y110" s="125">
        <f>Y96-Y54</f>
        <v/>
      </c>
    </row>
    <row r="111">
      <c r="C111" s="71" t="inlineStr">
        <is>
          <t>0930 集計</t>
        </is>
      </c>
      <c r="D111" s="40" t="inlineStr">
        <is>
          <t>自治体</t>
        </is>
      </c>
      <c r="E111" s="39">
        <f>E97-E55</f>
        <v/>
      </c>
      <c r="F111" s="39">
        <f>F97-F55</f>
        <v/>
      </c>
      <c r="G111" s="39">
        <f>G97-G55</f>
        <v/>
      </c>
      <c r="H111" s="39">
        <f>H97-H55</f>
        <v/>
      </c>
      <c r="I111" s="39">
        <f>I97-I55</f>
        <v/>
      </c>
      <c r="J111" s="39">
        <f>J97-J55</f>
        <v/>
      </c>
      <c r="K111" s="79">
        <f>SUM(E111:J111)</f>
        <v/>
      </c>
      <c r="L111" s="53">
        <f>L97-L55</f>
        <v/>
      </c>
      <c r="M111" s="39">
        <f>M97-M55</f>
        <v/>
      </c>
      <c r="N111" s="39">
        <f>N97-N55</f>
        <v/>
      </c>
      <c r="O111" s="39">
        <f>O97-O55</f>
        <v/>
      </c>
      <c r="P111" s="39">
        <f>P97-P55</f>
        <v/>
      </c>
      <c r="Q111" s="39">
        <f>Q97-Q55</f>
        <v/>
      </c>
      <c r="R111" s="73">
        <f>SUM(L111:Q111)</f>
        <v/>
      </c>
      <c r="S111" s="135">
        <f>S97-S55</f>
        <v/>
      </c>
      <c r="T111" s="124">
        <f>T97-T55</f>
        <v/>
      </c>
      <c r="U111" s="124">
        <f>U97-U55</f>
        <v/>
      </c>
      <c r="V111" s="124">
        <f>V97-V55</f>
        <v/>
      </c>
      <c r="W111" s="124">
        <f>W97-W55</f>
        <v/>
      </c>
      <c r="X111" s="124">
        <f>X97-X55</f>
        <v/>
      </c>
      <c r="Y111" s="125">
        <f>Y97-Y55</f>
        <v/>
      </c>
    </row>
    <row r="112">
      <c r="C112" s="3" t="inlineStr">
        <is>
          <t>合計</t>
        </is>
      </c>
      <c r="D112" s="70" t="n"/>
      <c r="E112" s="74">
        <f>SUM(E103:E111)</f>
        <v/>
      </c>
      <c r="F112" s="63">
        <f>SUM(F103:F111)</f>
        <v/>
      </c>
      <c r="G112" s="63">
        <f>SUM(G103:G111)</f>
        <v/>
      </c>
      <c r="H112" s="63">
        <f>SUM(H103:H111)</f>
        <v/>
      </c>
      <c r="I112" s="63">
        <f>SUM(I103:I111)</f>
        <v/>
      </c>
      <c r="J112" s="63">
        <f>SUM(J103:J111)</f>
        <v/>
      </c>
      <c r="K112" s="75">
        <f>SUM(K103:K111)</f>
        <v/>
      </c>
      <c r="L112" s="74">
        <f>SUM(L103:L111)</f>
        <v/>
      </c>
      <c r="M112" s="63">
        <f>SUM(M103:M111)</f>
        <v/>
      </c>
      <c r="N112" s="63">
        <f>SUM(N103:N111)</f>
        <v/>
      </c>
      <c r="O112" s="63">
        <f>SUM(O103:O111)</f>
        <v/>
      </c>
      <c r="P112" s="63">
        <f>SUM(P103:P111)</f>
        <v/>
      </c>
      <c r="Q112" s="63">
        <f>SUM(Q103:Q111)</f>
        <v/>
      </c>
      <c r="R112" s="75">
        <f>SUM(R103:R111)</f>
        <v/>
      </c>
      <c r="S112" s="137">
        <f>S98-S56</f>
        <v/>
      </c>
      <c r="T112" s="127">
        <f>T98-T56</f>
        <v/>
      </c>
      <c r="U112" s="127">
        <f>U98-U56</f>
        <v/>
      </c>
      <c r="V112" s="127">
        <f>V98-V56</f>
        <v/>
      </c>
      <c r="W112" s="127">
        <f>W98-W56</f>
        <v/>
      </c>
      <c r="X112" s="127">
        <f>X98-X56</f>
        <v/>
      </c>
      <c r="Y112" s="128">
        <f>Y98-Y56</f>
        <v/>
      </c>
    </row>
    <row r="113">
      <c r="C113" s="6" t="n"/>
      <c r="E113" s="5" t="n"/>
      <c r="F113" s="5" t="n"/>
      <c r="G113" s="5" t="n"/>
      <c r="H113" s="5" t="n"/>
      <c r="I113" s="5" t="n"/>
      <c r="J113" s="5" t="n"/>
      <c r="K113" s="6" t="n"/>
      <c r="L113" s="5" t="n"/>
      <c r="M113" s="5" t="n"/>
      <c r="N113" s="5" t="n"/>
      <c r="O113" s="5" t="n"/>
      <c r="P113" s="5" t="n"/>
      <c r="Q113" s="5" t="n"/>
      <c r="R113" s="6" t="n"/>
      <c r="S113" s="129" t="n"/>
      <c r="T113" s="129" t="n"/>
      <c r="U113" s="129" t="n"/>
      <c r="V113" s="129" t="n"/>
      <c r="W113" s="129" t="n"/>
      <c r="X113" s="129" t="n"/>
      <c r="Y113" s="129" t="n"/>
    </row>
    <row r="114">
      <c r="C114" s="6" t="inlineStr">
        <is>
          <t>9．前期比</t>
        </is>
      </c>
    </row>
    <row r="115">
      <c r="C115" s="104" t="n"/>
      <c r="D115" s="106" t="n"/>
      <c r="E115" s="104" t="inlineStr">
        <is>
          <t>売上</t>
        </is>
      </c>
      <c r="F115" s="105" t="n"/>
      <c r="G115" s="105" t="n"/>
      <c r="H115" s="105" t="n"/>
      <c r="I115" s="105" t="n"/>
      <c r="J115" s="105" t="n"/>
      <c r="K115" s="106" t="n"/>
      <c r="L115" s="108" t="inlineStr">
        <is>
          <t>粗利益</t>
        </is>
      </c>
      <c r="M115" s="105" t="n"/>
      <c r="N115" s="105" t="n"/>
      <c r="O115" s="105" t="n"/>
      <c r="P115" s="105" t="n"/>
      <c r="Q115" s="105" t="n"/>
      <c r="R115" s="106" t="n"/>
      <c r="S115" s="108" t="inlineStr">
        <is>
          <t>粗利益率</t>
        </is>
      </c>
      <c r="T115" s="105" t="n"/>
      <c r="U115" s="105" t="n"/>
      <c r="V115" s="105" t="n"/>
      <c r="W115" s="105" t="n"/>
      <c r="X115" s="105" t="n"/>
      <c r="Y115" s="106" t="n"/>
    </row>
    <row r="116">
      <c r="C116" s="61" t="n"/>
      <c r="D116" s="68" t="n"/>
      <c r="E116" s="72" t="n">
        <v>46113</v>
      </c>
      <c r="F116" s="62" t="n">
        <v>46143</v>
      </c>
      <c r="G116" s="62" t="n">
        <v>46174</v>
      </c>
      <c r="H116" s="62" t="n">
        <v>46204</v>
      </c>
      <c r="I116" s="62" t="n">
        <v>46235</v>
      </c>
      <c r="J116" s="62" t="n">
        <v>46266</v>
      </c>
      <c r="K116" s="64" t="inlineStr">
        <is>
          <t>合計</t>
        </is>
      </c>
      <c r="L116" s="88" t="n">
        <v>46113</v>
      </c>
      <c r="M116" s="62" t="n">
        <v>46143</v>
      </c>
      <c r="N116" s="62" t="n">
        <v>46174</v>
      </c>
      <c r="O116" s="62" t="n">
        <v>46204</v>
      </c>
      <c r="P116" s="62" t="n">
        <v>46235</v>
      </c>
      <c r="Q116" s="62" t="n">
        <v>46266</v>
      </c>
      <c r="R116" s="64" t="inlineStr">
        <is>
          <t>合計</t>
        </is>
      </c>
      <c r="S116" s="88" t="n">
        <v>46113</v>
      </c>
      <c r="T116" s="62" t="n">
        <v>46143</v>
      </c>
      <c r="U116" s="62" t="n">
        <v>46174</v>
      </c>
      <c r="V116" s="62" t="n">
        <v>46204</v>
      </c>
      <c r="W116" s="62" t="n">
        <v>46235</v>
      </c>
      <c r="X116" s="62" t="n">
        <v>46266</v>
      </c>
      <c r="Y116" s="64" t="inlineStr">
        <is>
          <t>合計</t>
        </is>
      </c>
    </row>
    <row r="117">
      <c r="C117" s="71" t="inlineStr">
        <is>
          <t>0903 集計</t>
        </is>
      </c>
      <c r="D117" s="40" t="inlineStr">
        <is>
          <t>西岡</t>
        </is>
      </c>
      <c r="E117" s="57">
        <f>E89-E19</f>
        <v/>
      </c>
      <c r="F117" s="41">
        <f>F89-F19</f>
        <v/>
      </c>
      <c r="G117" s="41">
        <f>G89-G19</f>
        <v/>
      </c>
      <c r="H117" s="103">
        <f>H89-H19</f>
        <v/>
      </c>
      <c r="I117" s="103">
        <f>I89-I19</f>
        <v/>
      </c>
      <c r="J117" s="103">
        <f>J89-J19</f>
        <v/>
      </c>
      <c r="K117" s="73">
        <f>SUM(E117:J117)</f>
        <v/>
      </c>
      <c r="L117" s="41">
        <f>L89-L19</f>
        <v/>
      </c>
      <c r="M117" s="41">
        <f>M89-M19</f>
        <v/>
      </c>
      <c r="N117" s="41">
        <f>N89-N19</f>
        <v/>
      </c>
      <c r="O117" s="103">
        <f>O89-O19</f>
        <v/>
      </c>
      <c r="P117" s="103">
        <f>P89-P19</f>
        <v/>
      </c>
      <c r="Q117" s="103">
        <f>Q89-Q19</f>
        <v/>
      </c>
      <c r="R117" s="73">
        <f>SUM(L117:Q117)</f>
        <v/>
      </c>
      <c r="S117" s="135">
        <f>S89-S19</f>
        <v/>
      </c>
      <c r="T117" s="124">
        <f>T89-T19</f>
        <v/>
      </c>
      <c r="U117" s="124">
        <f>U89-U19</f>
        <v/>
      </c>
      <c r="V117" s="124">
        <f>V89-V19</f>
        <v/>
      </c>
      <c r="W117" s="124">
        <f>W89-W19</f>
        <v/>
      </c>
      <c r="X117" s="124">
        <f>X89-X19</f>
        <v/>
      </c>
      <c r="Y117" s="125">
        <f>Y89-Y19</f>
        <v/>
      </c>
    </row>
    <row r="118">
      <c r="C118" s="71" t="inlineStr">
        <is>
          <t>0904 集計</t>
        </is>
      </c>
      <c r="D118" s="40" t="inlineStr">
        <is>
          <t>足立次長</t>
        </is>
      </c>
      <c r="E118" s="57">
        <f>E90-E20</f>
        <v/>
      </c>
      <c r="F118" s="41">
        <f>F90-F20</f>
        <v/>
      </c>
      <c r="G118" s="41">
        <f>G90-G20</f>
        <v/>
      </c>
      <c r="H118" s="41">
        <f>H90-H20</f>
        <v/>
      </c>
      <c r="I118" s="41">
        <f>I90-I20</f>
        <v/>
      </c>
      <c r="J118" s="41">
        <f>J90-J20</f>
        <v/>
      </c>
      <c r="K118" s="73">
        <f>SUM(E118:J118)</f>
        <v/>
      </c>
      <c r="L118" s="41">
        <f>L90-L20</f>
        <v/>
      </c>
      <c r="M118" s="41">
        <f>M90-M20</f>
        <v/>
      </c>
      <c r="N118" s="41">
        <f>N90-N20</f>
        <v/>
      </c>
      <c r="O118" s="41">
        <f>O90-O20</f>
        <v/>
      </c>
      <c r="P118" s="41">
        <f>P90-P20</f>
        <v/>
      </c>
      <c r="Q118" s="41">
        <f>Q90-Q20</f>
        <v/>
      </c>
      <c r="R118" s="73">
        <f>SUM(L118:Q118)</f>
        <v/>
      </c>
      <c r="S118" s="135">
        <f>S90-S20</f>
        <v/>
      </c>
      <c r="T118" s="124">
        <f>T90-T20</f>
        <v/>
      </c>
      <c r="U118" s="124">
        <f>U90-U20</f>
        <v/>
      </c>
      <c r="V118" s="124">
        <f>V90-V20</f>
        <v/>
      </c>
      <c r="W118" s="124">
        <f>W90-W20</f>
        <v/>
      </c>
      <c r="X118" s="124">
        <f>X90-X20</f>
        <v/>
      </c>
      <c r="Y118" s="125">
        <f>Y90-Y20</f>
        <v/>
      </c>
    </row>
    <row r="119">
      <c r="C119" s="71" t="inlineStr">
        <is>
          <t>0909 集計</t>
        </is>
      </c>
      <c r="D119" s="40" t="inlineStr">
        <is>
          <t>藤波課長</t>
        </is>
      </c>
      <c r="E119" s="57">
        <f>E91-E21</f>
        <v/>
      </c>
      <c r="F119" s="41">
        <f>F91-F21</f>
        <v/>
      </c>
      <c r="G119" s="41">
        <f>G91-G21</f>
        <v/>
      </c>
      <c r="H119" s="41">
        <f>H91-H21</f>
        <v/>
      </c>
      <c r="I119" s="41">
        <f>I91-I21</f>
        <v/>
      </c>
      <c r="J119" s="41">
        <f>J91-J21</f>
        <v/>
      </c>
      <c r="K119" s="73">
        <f>SUM(E119:J119)</f>
        <v/>
      </c>
      <c r="L119" s="41">
        <f>L91-L21</f>
        <v/>
      </c>
      <c r="M119" s="41">
        <f>M91-M21</f>
        <v/>
      </c>
      <c r="N119" s="41">
        <f>N91-N21</f>
        <v/>
      </c>
      <c r="O119" s="41">
        <f>O91-O21</f>
        <v/>
      </c>
      <c r="P119" s="41">
        <f>P91-P21</f>
        <v/>
      </c>
      <c r="Q119" s="41">
        <f>Q91-Q21</f>
        <v/>
      </c>
      <c r="R119" s="73">
        <f>SUM(L119:Q119)</f>
        <v/>
      </c>
      <c r="S119" s="135">
        <f>S91-S21</f>
        <v/>
      </c>
      <c r="T119" s="124">
        <f>T91-T21</f>
        <v/>
      </c>
      <c r="U119" s="124">
        <f>U91-U21</f>
        <v/>
      </c>
      <c r="V119" s="124">
        <f>V91-V21</f>
        <v/>
      </c>
      <c r="W119" s="124">
        <f>W91-W21</f>
        <v/>
      </c>
      <c r="X119" s="124">
        <f>X91-X21</f>
        <v/>
      </c>
      <c r="Y119" s="125">
        <f>Y91-Y21</f>
        <v/>
      </c>
    </row>
    <row r="120">
      <c r="C120" s="71" t="inlineStr">
        <is>
          <t>0910 集計</t>
        </is>
      </c>
      <c r="D120" s="40" t="inlineStr">
        <is>
          <t>足立課長</t>
        </is>
      </c>
      <c r="E120" s="57">
        <f>E92-E22</f>
        <v/>
      </c>
      <c r="F120" s="41">
        <f>F92-F22</f>
        <v/>
      </c>
      <c r="G120" s="41">
        <f>G92-G22</f>
        <v/>
      </c>
      <c r="H120" s="41">
        <f>H92-H22</f>
        <v/>
      </c>
      <c r="I120" s="41">
        <f>I92-I22</f>
        <v/>
      </c>
      <c r="J120" s="41">
        <f>J92-J22</f>
        <v/>
      </c>
      <c r="K120" s="73">
        <f>SUM(E120:J120)</f>
        <v/>
      </c>
      <c r="L120" s="41">
        <f>L92-L22</f>
        <v/>
      </c>
      <c r="M120" s="41">
        <f>M92-M22</f>
        <v/>
      </c>
      <c r="N120" s="41">
        <f>N92-N22</f>
        <v/>
      </c>
      <c r="O120" s="41">
        <f>O92-O22</f>
        <v/>
      </c>
      <c r="P120" s="41">
        <f>P92-P22</f>
        <v/>
      </c>
      <c r="Q120" s="41">
        <f>Q92-Q22</f>
        <v/>
      </c>
      <c r="R120" s="73">
        <f>SUM(L120:Q120)</f>
        <v/>
      </c>
      <c r="S120" s="135">
        <f>S92-S22</f>
        <v/>
      </c>
      <c r="T120" s="124">
        <f>T92-T22</f>
        <v/>
      </c>
      <c r="U120" s="124">
        <f>U92-U22</f>
        <v/>
      </c>
      <c r="V120" s="124">
        <f>V92-V22</f>
        <v/>
      </c>
      <c r="W120" s="124">
        <f>W92-W22</f>
        <v/>
      </c>
      <c r="X120" s="124">
        <f>X92-X22</f>
        <v/>
      </c>
      <c r="Y120" s="125">
        <f>Y92-Y22</f>
        <v/>
      </c>
    </row>
    <row r="121">
      <c r="C121" s="71" t="inlineStr">
        <is>
          <t>0911 集計</t>
        </is>
      </c>
      <c r="D121" s="40" t="inlineStr">
        <is>
          <t>川邊主任</t>
        </is>
      </c>
      <c r="E121" s="57">
        <f>E93-E23</f>
        <v/>
      </c>
      <c r="F121" s="41">
        <f>F93-F23</f>
        <v/>
      </c>
      <c r="G121" s="41">
        <f>G93-G23</f>
        <v/>
      </c>
      <c r="H121" s="41">
        <f>H93-H23</f>
        <v/>
      </c>
      <c r="I121" s="41">
        <f>I93-I23</f>
        <v/>
      </c>
      <c r="J121" s="41">
        <f>J93-J23</f>
        <v/>
      </c>
      <c r="K121" s="73">
        <f>SUM(E121:J121)</f>
        <v/>
      </c>
      <c r="L121" s="41">
        <f>L93-L23</f>
        <v/>
      </c>
      <c r="M121" s="41">
        <f>M93-M23</f>
        <v/>
      </c>
      <c r="N121" s="41">
        <f>N93-N23</f>
        <v/>
      </c>
      <c r="O121" s="41">
        <f>O93-O23</f>
        <v/>
      </c>
      <c r="P121" s="41">
        <f>P93-P23</f>
        <v/>
      </c>
      <c r="Q121" s="41">
        <f>Q93-Q23</f>
        <v/>
      </c>
      <c r="R121" s="73">
        <f>SUM(L121:Q121)</f>
        <v/>
      </c>
      <c r="S121" s="135">
        <f>S93-S23</f>
        <v/>
      </c>
      <c r="T121" s="124">
        <f>T93-T23</f>
        <v/>
      </c>
      <c r="U121" s="124">
        <f>U93-U23</f>
        <v/>
      </c>
      <c r="V121" s="124">
        <f>V93-V23</f>
        <v/>
      </c>
      <c r="W121" s="124">
        <f>W93-W23</f>
        <v/>
      </c>
      <c r="X121" s="124">
        <f>X93-X23</f>
        <v/>
      </c>
      <c r="Y121" s="125">
        <f>Y93-Y23</f>
        <v/>
      </c>
    </row>
    <row r="122">
      <c r="C122" s="71" t="inlineStr">
        <is>
          <t>0914 集計</t>
        </is>
      </c>
      <c r="D122" s="40" t="inlineStr">
        <is>
          <t>白根主任</t>
        </is>
      </c>
      <c r="E122" s="57">
        <f>E94-E24</f>
        <v/>
      </c>
      <c r="F122" s="41">
        <f>F94-F24</f>
        <v/>
      </c>
      <c r="G122" s="41">
        <f>G94-G24</f>
        <v/>
      </c>
      <c r="H122" s="41">
        <f>H94-H24</f>
        <v/>
      </c>
      <c r="I122" s="41">
        <f>I94-I24</f>
        <v/>
      </c>
      <c r="J122" s="41">
        <f>J94-J24</f>
        <v/>
      </c>
      <c r="K122" s="73">
        <f>SUM(E122:J122)</f>
        <v/>
      </c>
      <c r="L122" s="41">
        <f>L94-L24</f>
        <v/>
      </c>
      <c r="M122" s="41">
        <f>M94-M24</f>
        <v/>
      </c>
      <c r="N122" s="41">
        <f>N94-N24</f>
        <v/>
      </c>
      <c r="O122" s="41">
        <f>O94-O24</f>
        <v/>
      </c>
      <c r="P122" s="41">
        <f>P94-P24</f>
        <v/>
      </c>
      <c r="Q122" s="41">
        <f>Q94-Q24</f>
        <v/>
      </c>
      <c r="R122" s="73">
        <f>SUM(L122:Q122)</f>
        <v/>
      </c>
      <c r="S122" s="135">
        <f>S94-S24</f>
        <v/>
      </c>
      <c r="T122" s="124">
        <f>T94-T24</f>
        <v/>
      </c>
      <c r="U122" s="124">
        <f>U94-U24</f>
        <v/>
      </c>
      <c r="V122" s="124">
        <f>V94-V24</f>
        <v/>
      </c>
      <c r="W122" s="124">
        <f>W94-W24</f>
        <v/>
      </c>
      <c r="X122" s="124">
        <f>X94-X24</f>
        <v/>
      </c>
      <c r="Y122" s="125">
        <f>Y94-Y24</f>
        <v/>
      </c>
    </row>
    <row r="123">
      <c r="C123" s="71" t="inlineStr">
        <is>
          <t>0918 集計</t>
        </is>
      </c>
      <c r="D123" s="40" t="inlineStr">
        <is>
          <t>海外</t>
        </is>
      </c>
      <c r="E123" s="57">
        <f>E95-E25</f>
        <v/>
      </c>
      <c r="F123" s="41">
        <f>F95-F25</f>
        <v/>
      </c>
      <c r="G123" s="41">
        <f>G95-G25</f>
        <v/>
      </c>
      <c r="H123" s="41">
        <f>H95-H25</f>
        <v/>
      </c>
      <c r="I123" s="41">
        <f>I95-I25</f>
        <v/>
      </c>
      <c r="J123" s="41">
        <f>J95-J25</f>
        <v/>
      </c>
      <c r="K123" s="73">
        <f>SUM(E123:J123)</f>
        <v/>
      </c>
      <c r="L123" s="41">
        <f>L95-L25</f>
        <v/>
      </c>
      <c r="M123" s="41">
        <f>M95-M25</f>
        <v/>
      </c>
      <c r="N123" s="41">
        <f>N95-N25</f>
        <v/>
      </c>
      <c r="O123" s="41">
        <f>O95-O25</f>
        <v/>
      </c>
      <c r="P123" s="41">
        <f>P95-P25</f>
        <v/>
      </c>
      <c r="Q123" s="41">
        <f>Q95-Q25</f>
        <v/>
      </c>
      <c r="R123" s="73">
        <f>SUM(L123:Q123)</f>
        <v/>
      </c>
      <c r="S123" s="135">
        <f>S95-S25</f>
        <v/>
      </c>
      <c r="T123" s="124">
        <f>T95-T25</f>
        <v/>
      </c>
      <c r="U123" s="124">
        <f>U95-U25</f>
        <v/>
      </c>
      <c r="V123" s="124">
        <f>V95-V25</f>
        <v/>
      </c>
      <c r="W123" s="124">
        <f>W95-W25</f>
        <v/>
      </c>
      <c r="X123" s="124">
        <f>X95-X25</f>
        <v/>
      </c>
      <c r="Y123" s="125">
        <f>Y95-Y25</f>
        <v/>
      </c>
    </row>
    <row r="124">
      <c r="C124" s="71" t="inlineStr">
        <is>
          <t>0919 集計</t>
        </is>
      </c>
      <c r="D124" s="40" t="inlineStr">
        <is>
          <t>その他</t>
        </is>
      </c>
      <c r="E124" s="57">
        <f>E96-E26</f>
        <v/>
      </c>
      <c r="F124" s="41">
        <f>F96-F26</f>
        <v/>
      </c>
      <c r="G124" s="41">
        <f>G96-G26</f>
        <v/>
      </c>
      <c r="H124" s="41">
        <f>H96-H26</f>
        <v/>
      </c>
      <c r="I124" s="41">
        <f>I96-I26</f>
        <v/>
      </c>
      <c r="J124" s="41">
        <f>J96-J26</f>
        <v/>
      </c>
      <c r="K124" s="73">
        <f>SUM(E124:J124)</f>
        <v/>
      </c>
      <c r="L124" s="41">
        <f>L96-L26</f>
        <v/>
      </c>
      <c r="M124" s="41">
        <f>M96-M26</f>
        <v/>
      </c>
      <c r="N124" s="41">
        <f>N96-N26</f>
        <v/>
      </c>
      <c r="O124" s="41">
        <f>O96-O26</f>
        <v/>
      </c>
      <c r="P124" s="41">
        <f>P96-P26</f>
        <v/>
      </c>
      <c r="Q124" s="41">
        <f>Q96-Q26</f>
        <v/>
      </c>
      <c r="R124" s="73">
        <f>SUM(L124:Q124)</f>
        <v/>
      </c>
      <c r="S124" s="135">
        <f>S96-S26</f>
        <v/>
      </c>
      <c r="T124" s="124">
        <f>T96-T26</f>
        <v/>
      </c>
      <c r="U124" s="124">
        <f>U96-U26</f>
        <v/>
      </c>
      <c r="V124" s="124">
        <f>V96-V26</f>
        <v/>
      </c>
      <c r="W124" s="124">
        <f>W96-W26</f>
        <v/>
      </c>
      <c r="X124" s="124">
        <f>X96-X26</f>
        <v/>
      </c>
      <c r="Y124" s="125">
        <f>Y96-Y26</f>
        <v/>
      </c>
    </row>
    <row r="125">
      <c r="C125" s="71" t="inlineStr">
        <is>
          <t>0930 集計</t>
        </is>
      </c>
      <c r="D125" s="40" t="inlineStr">
        <is>
          <t>自治体</t>
        </is>
      </c>
      <c r="E125" s="57">
        <f>E97-E27</f>
        <v/>
      </c>
      <c r="F125" s="41">
        <f>F97-F27</f>
        <v/>
      </c>
      <c r="G125" s="41">
        <f>G97-G27</f>
        <v/>
      </c>
      <c r="H125" s="41">
        <f>H97-H27</f>
        <v/>
      </c>
      <c r="I125" s="41">
        <f>I97-I27</f>
        <v/>
      </c>
      <c r="J125" s="41">
        <f>J97-J27</f>
        <v/>
      </c>
      <c r="K125" s="73">
        <f>SUM(E125:J125)</f>
        <v/>
      </c>
      <c r="L125" s="41">
        <f>L97-L27</f>
        <v/>
      </c>
      <c r="M125" s="41">
        <f>M97-M27</f>
        <v/>
      </c>
      <c r="N125" s="41">
        <f>N97-N27</f>
        <v/>
      </c>
      <c r="O125" s="41">
        <f>O97-O27</f>
        <v/>
      </c>
      <c r="P125" s="41">
        <f>P97-P27</f>
        <v/>
      </c>
      <c r="Q125" s="41">
        <f>Q97-Q27</f>
        <v/>
      </c>
      <c r="R125" s="73">
        <f>SUM(L125:Q125)</f>
        <v/>
      </c>
      <c r="S125" s="135">
        <f>S97-S27</f>
        <v/>
      </c>
      <c r="T125" s="124">
        <f>T97-T27</f>
        <v/>
      </c>
      <c r="U125" s="124">
        <f>U97-U27</f>
        <v/>
      </c>
      <c r="V125" s="124">
        <f>V97-V27</f>
        <v/>
      </c>
      <c r="W125" s="124">
        <f>W97-W27</f>
        <v/>
      </c>
      <c r="X125" s="124">
        <f>X97-X27</f>
        <v/>
      </c>
      <c r="Y125" s="125">
        <f>Y97-Y27</f>
        <v/>
      </c>
    </row>
    <row r="126">
      <c r="C126" s="3" t="inlineStr">
        <is>
          <t>合計</t>
        </is>
      </c>
      <c r="D126" s="70" t="n"/>
      <c r="E126" s="74">
        <f>SUM(E117:E125)</f>
        <v/>
      </c>
      <c r="F126" s="63">
        <f>SUM(F117:F125)</f>
        <v/>
      </c>
      <c r="G126" s="63">
        <f>SUM(G117:G125)</f>
        <v/>
      </c>
      <c r="H126" s="63">
        <f>SUM(H117:H125)</f>
        <v/>
      </c>
      <c r="I126" s="63">
        <f>SUM(I117:I125)</f>
        <v/>
      </c>
      <c r="J126" s="63">
        <f>SUM(J117:J125)</f>
        <v/>
      </c>
      <c r="K126" s="75">
        <f>SUM(K117:K125)</f>
        <v/>
      </c>
      <c r="L126" s="74">
        <f>SUM(L117:L125)</f>
        <v/>
      </c>
      <c r="M126" s="63">
        <f>SUM(M117:M125)</f>
        <v/>
      </c>
      <c r="N126" s="63">
        <f>SUM(N117:N125)</f>
        <v/>
      </c>
      <c r="O126" s="63">
        <f>SUM(O117:O125)</f>
        <v/>
      </c>
      <c r="P126" s="63">
        <f>SUM(P117:P125)</f>
        <v/>
      </c>
      <c r="Q126" s="63">
        <f>SUM(Q117:Q125)</f>
        <v/>
      </c>
      <c r="R126" s="75">
        <f>SUM(R117:R125)</f>
        <v/>
      </c>
      <c r="S126" s="137">
        <f>S98-S28</f>
        <v/>
      </c>
      <c r="T126" s="127">
        <f>T98-T28</f>
        <v/>
      </c>
      <c r="U126" s="127">
        <f>U98-U28</f>
        <v/>
      </c>
      <c r="V126" s="127">
        <f>V112-V70</f>
        <v/>
      </c>
      <c r="W126" s="127">
        <f>W112-W70</f>
        <v/>
      </c>
      <c r="X126" s="127">
        <f>X112-X70</f>
        <v/>
      </c>
      <c r="Y126" s="128">
        <f>Y98-Y28</f>
        <v/>
      </c>
    </row>
  </sheetData>
  <mergeCells count="36">
    <mergeCell ref="E45:K45"/>
    <mergeCell ref="C101:D101"/>
    <mergeCell ref="E101:K101"/>
    <mergeCell ref="L31:R31"/>
    <mergeCell ref="S45:Y45"/>
    <mergeCell ref="C45:D45"/>
    <mergeCell ref="L59:R59"/>
    <mergeCell ref="L115:R115"/>
    <mergeCell ref="C73:D73"/>
    <mergeCell ref="E115:K115"/>
    <mergeCell ref="E3:K3"/>
    <mergeCell ref="S31:Y31"/>
    <mergeCell ref="L17:R17"/>
    <mergeCell ref="S59:Y59"/>
    <mergeCell ref="C31:D31"/>
    <mergeCell ref="L101:R101"/>
    <mergeCell ref="C59:D59"/>
    <mergeCell ref="S115:Y115"/>
    <mergeCell ref="C115:D115"/>
    <mergeCell ref="E17:K17"/>
    <mergeCell ref="S3:Y3"/>
    <mergeCell ref="L87:R87"/>
    <mergeCell ref="L3:R3"/>
    <mergeCell ref="E73:K73"/>
    <mergeCell ref="E87:K87"/>
    <mergeCell ref="S17:Y17"/>
    <mergeCell ref="S73:Y73"/>
    <mergeCell ref="C17:D17"/>
    <mergeCell ref="S101:Y101"/>
    <mergeCell ref="E31:K31"/>
    <mergeCell ref="L45:R45"/>
    <mergeCell ref="S87:Y87"/>
    <mergeCell ref="E59:K59"/>
    <mergeCell ref="L73:R73"/>
    <mergeCell ref="C3:D3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44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Y126"/>
  <sheetViews>
    <sheetView tabSelected="1" topLeftCell="A28" workbookViewId="0">
      <pane xSplit="4" topLeftCell="E1" activePane="topRight" state="frozen"/>
      <selection activeCell="D117" sqref="D117"/>
      <selection pane="topRight" activeCell="H41" sqref="H41"/>
    </sheetView>
  </sheetViews>
  <sheetFormatPr baseColWidth="8" defaultRowHeight="18.75"/>
  <cols>
    <col hidden="1" width="13" customWidth="1" style="113" min="1" max="2"/>
    <col width="9.75" bestFit="1" customWidth="1" style="113" min="3" max="3"/>
    <col width="10.125" customWidth="1" style="113" min="5" max="25"/>
  </cols>
  <sheetData>
    <row r="1" ht="24" customHeight="1" s="113">
      <c r="C1" s="8" t="inlineStr">
        <is>
          <t>境港営業所全体</t>
        </is>
      </c>
    </row>
    <row r="2">
      <c r="C2" s="114" t="inlineStr">
        <is>
          <t>1．2024年</t>
        </is>
      </c>
    </row>
    <row r="3">
      <c r="C3" s="104" t="n"/>
      <c r="D3" s="106" t="n"/>
      <c r="E3" s="104" t="inlineStr">
        <is>
          <t>売上</t>
        </is>
      </c>
      <c r="F3" s="105" t="n"/>
      <c r="G3" s="105" t="n"/>
      <c r="H3" s="105" t="n"/>
      <c r="I3" s="105" t="n"/>
      <c r="J3" s="105" t="n"/>
      <c r="K3" s="106" t="n"/>
      <c r="L3" s="107" t="inlineStr">
        <is>
          <t>粗利益</t>
        </is>
      </c>
      <c r="M3" s="105" t="n"/>
      <c r="N3" s="105" t="n"/>
      <c r="O3" s="105" t="n"/>
      <c r="P3" s="105" t="n"/>
      <c r="Q3" s="105" t="n"/>
      <c r="R3" s="106" t="n"/>
      <c r="S3" s="107" t="inlineStr">
        <is>
          <t>粗利益率</t>
        </is>
      </c>
      <c r="T3" s="105" t="n"/>
      <c r="U3" s="105" t="n"/>
      <c r="V3" s="105" t="n"/>
      <c r="W3" s="105" t="n"/>
      <c r="X3" s="105" t="n"/>
      <c r="Y3" s="106" t="n"/>
    </row>
    <row r="4">
      <c r="C4" s="61" t="n"/>
      <c r="D4" s="68" t="n"/>
      <c r="E4" s="62" t="n">
        <v>45383</v>
      </c>
      <c r="F4" s="62" t="n">
        <v>45413</v>
      </c>
      <c r="G4" s="62" t="n">
        <v>45444</v>
      </c>
      <c r="H4" s="62" t="n">
        <v>45474</v>
      </c>
      <c r="I4" s="62" t="n">
        <v>45505</v>
      </c>
      <c r="J4" s="62" t="n">
        <v>45536</v>
      </c>
      <c r="K4" s="78" t="inlineStr">
        <is>
          <t>合計</t>
        </is>
      </c>
      <c r="L4" s="72" t="n">
        <v>45383</v>
      </c>
      <c r="M4" s="62" t="n">
        <v>45413</v>
      </c>
      <c r="N4" s="62" t="n">
        <v>45444</v>
      </c>
      <c r="O4" s="62" t="n">
        <v>45474</v>
      </c>
      <c r="P4" s="62" t="n">
        <v>45505</v>
      </c>
      <c r="Q4" s="62" t="n">
        <v>45536</v>
      </c>
      <c r="R4" s="64" t="inlineStr">
        <is>
          <t>合計</t>
        </is>
      </c>
      <c r="S4" s="72" t="n">
        <v>45383</v>
      </c>
      <c r="T4" s="62" t="n">
        <v>45413</v>
      </c>
      <c r="U4" s="62" t="n">
        <v>45444</v>
      </c>
      <c r="V4" s="62" t="n">
        <v>45474</v>
      </c>
      <c r="W4" s="62" t="n">
        <v>45505</v>
      </c>
      <c r="X4" s="62" t="n">
        <v>45536</v>
      </c>
      <c r="Y4" s="64" t="inlineStr">
        <is>
          <t>合計</t>
        </is>
      </c>
    </row>
    <row r="5">
      <c r="C5" s="71" t="inlineStr">
        <is>
          <t>0903 集計</t>
        </is>
      </c>
      <c r="D5" s="69" t="inlineStr">
        <is>
          <t>西岡</t>
        </is>
      </c>
      <c r="E5" s="1" t="n">
        <v>2992.321</v>
      </c>
      <c r="F5" s="2" t="n">
        <v>1870.416</v>
      </c>
      <c r="G5" s="2" t="n">
        <v>2624.670000000001</v>
      </c>
      <c r="H5" s="2" t="n">
        <v>2506.235000000001</v>
      </c>
      <c r="I5" s="2" t="n">
        <v>2707.683</v>
      </c>
      <c r="J5" s="2" t="n">
        <v>4067.607000000001</v>
      </c>
      <c r="K5" s="73">
        <f>SUM(E5:J5)</f>
        <v/>
      </c>
      <c r="L5" s="1" t="n">
        <v>548.984</v>
      </c>
      <c r="M5" s="2" t="n">
        <v>363.353</v>
      </c>
      <c r="N5" s="2" t="n">
        <v>510.6379999999999</v>
      </c>
      <c r="O5" s="2" t="n">
        <v>513.4579999999999</v>
      </c>
      <c r="P5" s="2" t="n">
        <v>563.2789999999999</v>
      </c>
      <c r="Q5" s="2" t="n">
        <v>811.5543999999999</v>
      </c>
      <c r="R5" s="73">
        <f>SUM(L5:Q5)</f>
        <v/>
      </c>
      <c r="S5" s="123">
        <f>IF(E5=0,"***",L5/E5)</f>
        <v/>
      </c>
      <c r="T5" s="124">
        <f>IF(F5=0,"***",M5/F5)</f>
        <v/>
      </c>
      <c r="U5" s="124">
        <f>IF(G5=0,"***",N5/G5)</f>
        <v/>
      </c>
      <c r="V5" s="124">
        <f>IF(H5=0,"***",O5/H5)</f>
        <v/>
      </c>
      <c r="W5" s="124">
        <f>IF(I5=0,"***",P5/I5)</f>
        <v/>
      </c>
      <c r="X5" s="124">
        <f>IF(J5=0,"***",Q5/J5)</f>
        <v/>
      </c>
      <c r="Y5" s="125">
        <f>IF(K5=0,"***",R5/K5)</f>
        <v/>
      </c>
    </row>
    <row r="6">
      <c r="C6" s="71" t="inlineStr">
        <is>
          <t>0904 集計</t>
        </is>
      </c>
      <c r="D6" s="69" t="inlineStr">
        <is>
          <t>足立次長</t>
        </is>
      </c>
      <c r="E6" s="1" t="n">
        <v>9457.609</v>
      </c>
      <c r="F6" s="2" t="n">
        <v>33342.444</v>
      </c>
      <c r="G6" s="2" t="n">
        <v>9536.075000000001</v>
      </c>
      <c r="H6" s="2" t="n">
        <v>12322.971</v>
      </c>
      <c r="I6" s="2" t="n">
        <v>8433.195</v>
      </c>
      <c r="J6" s="2" t="n">
        <v>12377.608</v>
      </c>
      <c r="K6" s="73">
        <f>SUM(E6:J6)</f>
        <v/>
      </c>
      <c r="L6" s="1" t="n">
        <v>2013.302</v>
      </c>
      <c r="M6" s="2" t="n">
        <v>6923.813999999999</v>
      </c>
      <c r="N6" s="2" t="n">
        <v>1850.747</v>
      </c>
      <c r="O6" s="2" t="n">
        <v>2403.043</v>
      </c>
      <c r="P6" s="2" t="n">
        <v>1946.27</v>
      </c>
      <c r="Q6" s="2" t="n">
        <v>2430.328</v>
      </c>
      <c r="R6" s="73">
        <f>SUM(L6:Q6)</f>
        <v/>
      </c>
      <c r="S6" s="123">
        <f>IF(E6=0,"***",L6/E6)</f>
        <v/>
      </c>
      <c r="T6" s="124">
        <f>IF(F6=0,"***",M6/F6)</f>
        <v/>
      </c>
      <c r="U6" s="124">
        <f>IF(G6=0,"***",N6/G6)</f>
        <v/>
      </c>
      <c r="V6" s="124">
        <f>IF(H6=0,"***",O6/H6)</f>
        <v/>
      </c>
      <c r="W6" s="124">
        <f>IF(I6=0,"***",P6/I6)</f>
        <v/>
      </c>
      <c r="X6" s="124">
        <f>IF(J6=0,"***",Q6/J6)</f>
        <v/>
      </c>
      <c r="Y6" s="125">
        <f>IF(K6=0,"***",R6/K6)</f>
        <v/>
      </c>
    </row>
    <row r="7">
      <c r="C7" s="71" t="inlineStr">
        <is>
          <t>0909 集計</t>
        </is>
      </c>
      <c r="D7" s="69" t="inlineStr">
        <is>
          <t>藤波課長</t>
        </is>
      </c>
      <c r="E7" s="1" t="n">
        <v>7831.518000000001</v>
      </c>
      <c r="F7" s="2" t="n">
        <v>7149.748000000001</v>
      </c>
      <c r="G7" s="2" t="n">
        <v>5762.822999999999</v>
      </c>
      <c r="H7" s="2" t="n">
        <v>8011.724000000001</v>
      </c>
      <c r="I7" s="2" t="n">
        <v>6436.907999999999</v>
      </c>
      <c r="J7" s="2" t="n">
        <v>8821.121000000001</v>
      </c>
      <c r="K7" s="73">
        <f>SUM(E7:J7)</f>
        <v/>
      </c>
      <c r="L7" s="1" t="n">
        <v>1249.792</v>
      </c>
      <c r="M7" s="2" t="n">
        <v>1193.97</v>
      </c>
      <c r="N7" s="2" t="n">
        <v>1008.843</v>
      </c>
      <c r="O7" s="2" t="n">
        <v>1465.948</v>
      </c>
      <c r="P7" s="2" t="n">
        <v>1134.483</v>
      </c>
      <c r="Q7" s="2" t="n">
        <v>1613.746</v>
      </c>
      <c r="R7" s="73">
        <f>SUM(L7:Q7)</f>
        <v/>
      </c>
      <c r="S7" s="123">
        <f>IF(E7=0,"***",L7/E7)</f>
        <v/>
      </c>
      <c r="T7" s="124">
        <f>IF(F7=0,"***",M7/F7)</f>
        <v/>
      </c>
      <c r="U7" s="124">
        <f>IF(G7=0,"***",N7/G7)</f>
        <v/>
      </c>
      <c r="V7" s="124">
        <f>IF(H7=0,"***",O7/H7)</f>
        <v/>
      </c>
      <c r="W7" s="124">
        <f>IF(I7=0,"***",P7/I7)</f>
        <v/>
      </c>
      <c r="X7" s="124">
        <f>IF(J7=0,"***",Q7/J7)</f>
        <v/>
      </c>
      <c r="Y7" s="125">
        <f>IF(K7=0,"***",R7/K7)</f>
        <v/>
      </c>
    </row>
    <row r="8">
      <c r="C8" s="71" t="inlineStr">
        <is>
          <t>0910 集計</t>
        </is>
      </c>
      <c r="D8" s="69" t="inlineStr">
        <is>
          <t>足立課長</t>
        </is>
      </c>
      <c r="E8" s="1" t="n">
        <v>8439.824000000001</v>
      </c>
      <c r="F8" s="2" t="n">
        <v>1787.369</v>
      </c>
      <c r="G8" s="2" t="n">
        <v>1386.514</v>
      </c>
      <c r="H8" s="2" t="n"/>
      <c r="I8" s="2" t="n"/>
      <c r="J8" s="2" t="n"/>
      <c r="K8" s="73">
        <f>SUM(E8:J8)</f>
        <v/>
      </c>
      <c r="L8" s="1" t="n">
        <v>1598.596</v>
      </c>
      <c r="M8" s="2" t="n">
        <v>276.611</v>
      </c>
      <c r="N8" s="2" t="n">
        <v>246.1679999999999</v>
      </c>
      <c r="O8" s="2" t="n"/>
      <c r="P8" s="2" t="n"/>
      <c r="Q8" s="2" t="n"/>
      <c r="R8" s="73">
        <f>SUM(L8:Q8)</f>
        <v/>
      </c>
      <c r="S8" s="123">
        <f>IF(E8=0,"***",L8/E8)</f>
        <v/>
      </c>
      <c r="T8" s="124">
        <f>IF(F8=0,"***",M8/F8)</f>
        <v/>
      </c>
      <c r="U8" s="124">
        <f>IF(G8=0,"***",N8/G8)</f>
        <v/>
      </c>
      <c r="V8" s="124">
        <f>IF(H8=0,"***",O8/H8)</f>
        <v/>
      </c>
      <c r="W8" s="124">
        <f>IF(I8=0,"***",P8/I8)</f>
        <v/>
      </c>
      <c r="X8" s="124">
        <f>IF(J8=0,"***",Q8/J8)</f>
        <v/>
      </c>
      <c r="Y8" s="125">
        <f>IF(K8=0,"***",R8/K8)</f>
        <v/>
      </c>
    </row>
    <row r="9">
      <c r="C9" s="71" t="inlineStr">
        <is>
          <t>0911 集計</t>
        </is>
      </c>
      <c r="D9" s="69" t="inlineStr">
        <is>
          <t>川邊主任</t>
        </is>
      </c>
      <c r="E9" s="1" t="n">
        <v>9628.221000000001</v>
      </c>
      <c r="F9" s="2" t="n">
        <v>8898.137000000001</v>
      </c>
      <c r="G9" s="2" t="n">
        <v>8938.893000000002</v>
      </c>
      <c r="H9" s="2" t="n">
        <v>8453.325999999999</v>
      </c>
      <c r="I9" s="2" t="n">
        <v>8467.791000000001</v>
      </c>
      <c r="J9" s="2" t="n">
        <v>9049.480000000001</v>
      </c>
      <c r="K9" s="73">
        <f>SUM(E9:J9)</f>
        <v/>
      </c>
      <c r="L9" s="1" t="n">
        <v>1562.079</v>
      </c>
      <c r="M9" s="2" t="n">
        <v>1570.745</v>
      </c>
      <c r="N9" s="2" t="n">
        <v>1489.311</v>
      </c>
      <c r="O9" s="2" t="n">
        <v>1463.971</v>
      </c>
      <c r="P9" s="2" t="n">
        <v>1504.084</v>
      </c>
      <c r="Q9" s="2" t="n">
        <v>1448.511</v>
      </c>
      <c r="R9" s="73">
        <f>SUM(L9:Q9)</f>
        <v/>
      </c>
      <c r="S9" s="123">
        <f>IF(E9=0,"***",L9/E9)</f>
        <v/>
      </c>
      <c r="T9" s="124">
        <f>IF(F9=0,"***",M9/F9)</f>
        <v/>
      </c>
      <c r="U9" s="124">
        <f>IF(G9=0,"***",N9/G9)</f>
        <v/>
      </c>
      <c r="V9" s="124">
        <f>IF(H9=0,"***",O9/H9)</f>
        <v/>
      </c>
      <c r="W9" s="124">
        <f>IF(I9=0,"***",P9/I9)</f>
        <v/>
      </c>
      <c r="X9" s="124">
        <f>IF(J9=0,"***",Q9/J9)</f>
        <v/>
      </c>
      <c r="Y9" s="125">
        <f>IF(K9=0,"***",R9/K9)</f>
        <v/>
      </c>
    </row>
    <row r="10">
      <c r="C10" s="71" t="inlineStr">
        <is>
          <t>0914 集計</t>
        </is>
      </c>
      <c r="D10" s="40" t="inlineStr">
        <is>
          <t>白根主任</t>
        </is>
      </c>
      <c r="E10" s="1" t="n">
        <v>8795.502999999999</v>
      </c>
      <c r="F10" s="2" t="n">
        <v>11637.292</v>
      </c>
      <c r="G10" s="2" t="n">
        <v>9494.163999999999</v>
      </c>
      <c r="H10" s="2" t="n">
        <v>10083.54</v>
      </c>
      <c r="I10" s="2" t="n">
        <v>18835.421</v>
      </c>
      <c r="J10" s="2" t="n">
        <v>25101.073</v>
      </c>
      <c r="K10" s="73">
        <f>SUM(E10:J10)</f>
        <v/>
      </c>
      <c r="L10" s="1" t="n">
        <v>1505.568</v>
      </c>
      <c r="M10" s="2" t="n">
        <v>1605.192</v>
      </c>
      <c r="N10" s="2" t="n">
        <v>1706.263</v>
      </c>
      <c r="O10" s="2" t="n">
        <v>1787.849</v>
      </c>
      <c r="P10" s="2" t="n">
        <v>4384.139999999999</v>
      </c>
      <c r="Q10" s="2" t="n">
        <v>5731.302</v>
      </c>
      <c r="R10" s="73">
        <f>SUM(L10:Q10)</f>
        <v/>
      </c>
      <c r="S10" s="123">
        <f>IF(E10=0,"***",L10/E10)</f>
        <v/>
      </c>
      <c r="T10" s="124">
        <f>IF(F10=0,"***",M10/F10)</f>
        <v/>
      </c>
      <c r="U10" s="124">
        <f>IF(G10=0,"***",N10/G10)</f>
        <v/>
      </c>
      <c r="V10" s="124">
        <f>IF(H10=0,"***",O10/H10)</f>
        <v/>
      </c>
      <c r="W10" s="124">
        <f>IF(I10=0,"***",P10/I10)</f>
        <v/>
      </c>
      <c r="X10" s="124">
        <f>IF(J10=0,"***",Q10/J10)</f>
        <v/>
      </c>
      <c r="Y10" s="125">
        <f>IF(K10=0,"***",R10/K10)</f>
        <v/>
      </c>
    </row>
    <row r="11">
      <c r="C11" s="71" t="inlineStr">
        <is>
          <t>0918 集計</t>
        </is>
      </c>
      <c r="D11" s="69" t="inlineStr">
        <is>
          <t>海外</t>
        </is>
      </c>
      <c r="E11" s="1" t="n">
        <v>462.725</v>
      </c>
      <c r="F11" s="2" t="n">
        <v>2599.656</v>
      </c>
      <c r="G11" s="2" t="n">
        <v>378.6</v>
      </c>
      <c r="H11" s="2" t="n">
        <v>1452.4</v>
      </c>
      <c r="I11" s="2" t="n">
        <v>232.15</v>
      </c>
      <c r="J11" s="2" t="n">
        <v>3240.614</v>
      </c>
      <c r="K11" s="73">
        <f>SUM(E11:J11)</f>
        <v/>
      </c>
      <c r="L11" s="1" t="n">
        <v>127.104</v>
      </c>
      <c r="M11" s="2" t="n">
        <v>474.93</v>
      </c>
      <c r="N11" s="2" t="n">
        <v>89.88</v>
      </c>
      <c r="O11" s="2" t="n">
        <v>218.502</v>
      </c>
      <c r="P11" s="2" t="n">
        <v>73.45</v>
      </c>
      <c r="Q11" s="2" t="n">
        <v>653.405</v>
      </c>
      <c r="R11" s="73">
        <f>SUM(L11:Q11)</f>
        <v/>
      </c>
      <c r="S11" s="123">
        <f>IF(E11=0,"***",L11/E11)</f>
        <v/>
      </c>
      <c r="T11" s="124">
        <f>IF(F11=0,"***",M11/F11)</f>
        <v/>
      </c>
      <c r="U11" s="124">
        <f>IF(G11=0,"***",N11/G11)</f>
        <v/>
      </c>
      <c r="V11" s="124">
        <f>IF(H11=0,"***",O11/H11)</f>
        <v/>
      </c>
      <c r="W11" s="124">
        <f>IF(I11=0,"***",P11/I11)</f>
        <v/>
      </c>
      <c r="X11" s="124">
        <f>IF(J11=0,"***",Q11/J11)</f>
        <v/>
      </c>
      <c r="Y11" s="125">
        <f>IF(K11=0,"***",R11/K11)</f>
        <v/>
      </c>
    </row>
    <row r="12">
      <c r="C12" s="71" t="inlineStr">
        <is>
          <t>0919 集計</t>
        </is>
      </c>
      <c r="D12" s="69" t="inlineStr">
        <is>
          <t>その他</t>
        </is>
      </c>
      <c r="E12" s="1" t="n">
        <v>25.21</v>
      </c>
      <c r="F12" s="2" t="n">
        <v>37.986</v>
      </c>
      <c r="G12" s="2" t="n">
        <v>27.305</v>
      </c>
      <c r="H12" s="2" t="n">
        <v>17.22</v>
      </c>
      <c r="I12" s="2" t="n">
        <v>39.02500000000001</v>
      </c>
      <c r="J12" s="2" t="n">
        <v>44.16499999999999</v>
      </c>
      <c r="K12" s="73">
        <f>SUM(E12:J12)</f>
        <v/>
      </c>
      <c r="L12" s="1" t="n">
        <v>5.949</v>
      </c>
      <c r="M12" s="2" t="n">
        <v>8.269</v>
      </c>
      <c r="N12" s="2" t="n">
        <v>6.925000000000001</v>
      </c>
      <c r="O12" s="2" t="n">
        <v>2.97</v>
      </c>
      <c r="P12" s="2" t="n">
        <v>6.324999999999999</v>
      </c>
      <c r="Q12" s="2" t="n">
        <v>12.399</v>
      </c>
      <c r="R12" s="73">
        <f>SUM(L12:Q12)</f>
        <v/>
      </c>
      <c r="S12" s="123">
        <f>IF(E12=0,"***",L12/E12)</f>
        <v/>
      </c>
      <c r="T12" s="124">
        <f>IF(F12=0,"***",M12/F12)</f>
        <v/>
      </c>
      <c r="U12" s="124">
        <f>IF(G12=0,"***",N12/G12)</f>
        <v/>
      </c>
      <c r="V12" s="124">
        <f>IF(H12=0,"***",O12/H12)</f>
        <v/>
      </c>
      <c r="W12" s="124">
        <f>IF(I12=0,"***",P12/I12)</f>
        <v/>
      </c>
      <c r="X12" s="124">
        <f>IF(J12=0,"***",Q12/J12)</f>
        <v/>
      </c>
      <c r="Y12" s="125">
        <f>IF(K12=0,"***",R12/K12)</f>
        <v/>
      </c>
    </row>
    <row r="13">
      <c r="C13" s="71" t="inlineStr">
        <is>
          <t>0930 集計</t>
        </is>
      </c>
      <c r="D13" s="69" t="inlineStr">
        <is>
          <t>自治体</t>
        </is>
      </c>
      <c r="E13" s="83" t="n">
        <v>0</v>
      </c>
      <c r="F13" s="86" t="n">
        <v>0</v>
      </c>
      <c r="G13" s="86" t="n">
        <v>56.54</v>
      </c>
      <c r="H13" s="86" t="n">
        <v>0</v>
      </c>
      <c r="I13" s="86" t="n">
        <v>0</v>
      </c>
      <c r="J13" s="86" t="n">
        <v>0</v>
      </c>
      <c r="K13" s="73">
        <f>SUM(E13:J13)</f>
        <v/>
      </c>
      <c r="L13" s="83" t="n">
        <v>0</v>
      </c>
      <c r="M13" s="86" t="n">
        <v>0</v>
      </c>
      <c r="N13" s="86" t="n">
        <v>1.751</v>
      </c>
      <c r="O13" s="86" t="n">
        <v>0</v>
      </c>
      <c r="P13" s="86" t="n">
        <v>0</v>
      </c>
      <c r="Q13" s="86" t="n">
        <v>0</v>
      </c>
      <c r="R13" s="73">
        <f>SUM(L13:Q13)</f>
        <v/>
      </c>
      <c r="S13" s="123">
        <f>IF(E13=0,"***",L13/E13)</f>
        <v/>
      </c>
      <c r="T13" s="124">
        <f>IF(F13=0,"***",M13/F13)</f>
        <v/>
      </c>
      <c r="U13" s="124">
        <f>IF(G13=0,"***",N13/G13)</f>
        <v/>
      </c>
      <c r="V13" s="124">
        <f>IF(H13=0,"***",O13/H13)</f>
        <v/>
      </c>
      <c r="W13" s="124">
        <f>IF(I13=0,"***",P13/I13)</f>
        <v/>
      </c>
      <c r="X13" s="124">
        <f>IF(J13=0,"***",Q13/J13)</f>
        <v/>
      </c>
      <c r="Y13" s="125">
        <f>IF(K13=0,"***",R13/K13)</f>
        <v/>
      </c>
    </row>
    <row r="14">
      <c r="C14" s="3" t="inlineStr">
        <is>
          <t>合計</t>
        </is>
      </c>
      <c r="D14" s="70" t="n"/>
      <c r="E14" s="74">
        <f>SUM(E5:E13)</f>
        <v/>
      </c>
      <c r="F14" s="63">
        <f>SUM(F5:F13)</f>
        <v/>
      </c>
      <c r="G14" s="63">
        <f>SUM(G5:G13)</f>
        <v/>
      </c>
      <c r="H14" s="63">
        <f>SUM(H5:H13)</f>
        <v/>
      </c>
      <c r="I14" s="63">
        <f>SUM(I5:I13)</f>
        <v/>
      </c>
      <c r="J14" s="63">
        <f>SUM(J5:J13)</f>
        <v/>
      </c>
      <c r="K14" s="75">
        <f>SUM(K5:K13)</f>
        <v/>
      </c>
      <c r="L14" s="74">
        <f>SUM(L5:L13)</f>
        <v/>
      </c>
      <c r="M14" s="63">
        <f>SUM(M5:M13)</f>
        <v/>
      </c>
      <c r="N14" s="63">
        <f>SUM(N5:N13)</f>
        <v/>
      </c>
      <c r="O14" s="63">
        <f>SUM(O5:O13)</f>
        <v/>
      </c>
      <c r="P14" s="63">
        <f>SUM(P5:P13)</f>
        <v/>
      </c>
      <c r="Q14" s="63">
        <f>SUM(Q5:Q13)</f>
        <v/>
      </c>
      <c r="R14" s="75">
        <f>SUM(R5:R13)</f>
        <v/>
      </c>
      <c r="S14" s="126">
        <f>IF(E14=0,"***",L14/E14)</f>
        <v/>
      </c>
      <c r="T14" s="127">
        <f>IF(F14=0,"***",M14/F14)</f>
        <v/>
      </c>
      <c r="U14" s="127">
        <f>IF(G14=0,"***",N14/G14)</f>
        <v/>
      </c>
      <c r="V14" s="127">
        <f>IF(H14=0,"***",O14/H14)</f>
        <v/>
      </c>
      <c r="W14" s="127">
        <f>IF(I14=0,"***",P14/I14)</f>
        <v/>
      </c>
      <c r="X14" s="127">
        <f>IF(J14=0,"***",Q14/J14)</f>
        <v/>
      </c>
      <c r="Y14" s="128">
        <f>IF(K14=0,"***",R14/K14)</f>
        <v/>
      </c>
    </row>
    <row r="15">
      <c r="C15" s="6" t="n"/>
      <c r="E15" s="5" t="n"/>
      <c r="F15" s="5" t="n"/>
      <c r="G15" s="5" t="n"/>
      <c r="H15" s="5" t="n"/>
      <c r="I15" s="5" t="n"/>
      <c r="J15" s="5" t="n"/>
      <c r="K15" s="6" t="n"/>
      <c r="L15" s="5" t="n"/>
      <c r="M15" s="5" t="n"/>
      <c r="N15" s="5" t="n"/>
      <c r="O15" s="5" t="n"/>
      <c r="P15" s="5" t="n"/>
      <c r="Q15" s="5" t="n"/>
      <c r="R15" s="6" t="n"/>
      <c r="S15" s="129" t="n"/>
      <c r="T15" s="129" t="n"/>
      <c r="U15" s="129" t="n"/>
      <c r="V15" s="129" t="n"/>
      <c r="W15" s="129" t="n"/>
      <c r="X15" s="129" t="n"/>
      <c r="Y15" s="129" t="n"/>
    </row>
    <row r="16">
      <c r="C16" s="6" t="inlineStr">
        <is>
          <t>2．2025年</t>
        </is>
      </c>
    </row>
    <row r="17">
      <c r="C17" s="104" t="n"/>
      <c r="D17" s="106" t="n"/>
      <c r="E17" s="104" t="inlineStr">
        <is>
          <t>売上</t>
        </is>
      </c>
      <c r="F17" s="105" t="n"/>
      <c r="G17" s="105" t="n"/>
      <c r="H17" s="105" t="n"/>
      <c r="I17" s="105" t="n"/>
      <c r="J17" s="105" t="n"/>
      <c r="K17" s="106" t="n"/>
      <c r="L17" s="107" t="inlineStr">
        <is>
          <t>粗利益</t>
        </is>
      </c>
      <c r="M17" s="105" t="n"/>
      <c r="N17" s="105" t="n"/>
      <c r="O17" s="105" t="n"/>
      <c r="P17" s="105" t="n"/>
      <c r="Q17" s="105" t="n"/>
      <c r="R17" s="106" t="n"/>
      <c r="S17" s="107" t="inlineStr">
        <is>
          <t>粗利益率</t>
        </is>
      </c>
      <c r="T17" s="105" t="n"/>
      <c r="U17" s="105" t="n"/>
      <c r="V17" s="105" t="n"/>
      <c r="W17" s="105" t="n"/>
      <c r="X17" s="105" t="n"/>
      <c r="Y17" s="106" t="n"/>
    </row>
    <row r="18">
      <c r="C18" s="61" t="n"/>
      <c r="D18" s="68" t="n"/>
      <c r="E18" s="72" t="n">
        <v>45748</v>
      </c>
      <c r="F18" s="62" t="n">
        <v>45778</v>
      </c>
      <c r="G18" s="62" t="n">
        <v>45809</v>
      </c>
      <c r="H18" s="62" t="n">
        <v>45839</v>
      </c>
      <c r="I18" s="62" t="n">
        <v>45870</v>
      </c>
      <c r="J18" s="62" t="n">
        <v>45901</v>
      </c>
      <c r="K18" s="64" t="inlineStr">
        <is>
          <t>合計</t>
        </is>
      </c>
      <c r="L18" s="72" t="n">
        <v>45748</v>
      </c>
      <c r="M18" s="62" t="n">
        <v>45778</v>
      </c>
      <c r="N18" s="62" t="n">
        <v>45809</v>
      </c>
      <c r="O18" s="62" t="n">
        <v>45839</v>
      </c>
      <c r="P18" s="62" t="n">
        <v>45870</v>
      </c>
      <c r="Q18" s="62" t="n">
        <v>45901</v>
      </c>
      <c r="R18" s="64" t="inlineStr">
        <is>
          <t>合計</t>
        </is>
      </c>
      <c r="S18" s="72" t="n">
        <v>45748</v>
      </c>
      <c r="T18" s="62" t="n">
        <v>45778</v>
      </c>
      <c r="U18" s="62" t="n">
        <v>45809</v>
      </c>
      <c r="V18" s="62" t="n">
        <v>45839</v>
      </c>
      <c r="W18" s="62" t="n">
        <v>45870</v>
      </c>
      <c r="X18" s="62" t="n">
        <v>45901</v>
      </c>
      <c r="Y18" s="64" t="inlineStr">
        <is>
          <t>合計</t>
        </is>
      </c>
    </row>
    <row r="19">
      <c r="C19" s="71" t="inlineStr">
        <is>
          <t>0903 集計</t>
        </is>
      </c>
      <c r="D19" s="69" t="inlineStr">
        <is>
          <t>西岡</t>
        </is>
      </c>
      <c r="E19" s="2" t="n">
        <v>2842.845</v>
      </c>
      <c r="F19" s="2" t="n">
        <v>1782.782</v>
      </c>
      <c r="G19" s="2" t="n">
        <v>2650.612</v>
      </c>
      <c r="H19" s="2" t="n">
        <v>2128.284</v>
      </c>
      <c r="I19" s="2" t="n">
        <v>1678.593</v>
      </c>
      <c r="J19" s="2" t="n">
        <v>3222.317</v>
      </c>
      <c r="K19" s="79">
        <f>SUM(E19:J19)</f>
        <v/>
      </c>
      <c r="L19" s="1" t="n">
        <v>549.261</v>
      </c>
      <c r="M19" s="2" t="n">
        <v>400.415</v>
      </c>
      <c r="N19" s="2" t="n">
        <v>592.779</v>
      </c>
      <c r="O19" s="2" t="n">
        <v>470.908</v>
      </c>
      <c r="P19" s="2" t="n">
        <v>329.8500000000001</v>
      </c>
      <c r="Q19" s="2" t="n">
        <v>643.1289999999999</v>
      </c>
      <c r="R19" s="73">
        <f>SUM(L19:Q19)</f>
        <v/>
      </c>
      <c r="S19" s="123">
        <f>IF(E19=0,"***",L19/E19)</f>
        <v/>
      </c>
      <c r="T19" s="124">
        <f>IF(F19=0,"***",M19/F19)</f>
        <v/>
      </c>
      <c r="U19" s="124">
        <f>IF(G19=0,"***",N19/G19)</f>
        <v/>
      </c>
      <c r="V19" s="124">
        <f>IF(H19=0,"***",O19/H19)</f>
        <v/>
      </c>
      <c r="W19" s="124">
        <f>IF(I19=0,"***",P19/I19)</f>
        <v/>
      </c>
      <c r="X19" s="124">
        <f>IF(J19=0,"***",Q19/J19)</f>
        <v/>
      </c>
      <c r="Y19" s="125">
        <f>IF(K19=0,"***",R19/K19)</f>
        <v/>
      </c>
    </row>
    <row r="20">
      <c r="C20" s="71" t="inlineStr">
        <is>
          <t>0904 集計</t>
        </is>
      </c>
      <c r="D20" s="69" t="inlineStr">
        <is>
          <t>足立次長</t>
        </is>
      </c>
      <c r="E20" s="2" t="n">
        <v>11862.965</v>
      </c>
      <c r="F20" s="2" t="n">
        <v>11689.497</v>
      </c>
      <c r="G20" s="2" t="n">
        <v>7550.568000000001</v>
      </c>
      <c r="H20" s="2" t="n">
        <v>13687.464</v>
      </c>
      <c r="I20" s="2" t="n">
        <v>94774.13499999999</v>
      </c>
      <c r="J20" s="2" t="n">
        <v>40900.17400000001</v>
      </c>
      <c r="K20" s="79">
        <f>SUM(E20:J20)</f>
        <v/>
      </c>
      <c r="L20" s="1" t="n">
        <v>2574.856</v>
      </c>
      <c r="M20" s="2" t="n">
        <v>2531.644000000001</v>
      </c>
      <c r="N20" s="2" t="n">
        <v>1747.441</v>
      </c>
      <c r="O20" s="2" t="n">
        <v>2580.203</v>
      </c>
      <c r="P20" s="2" t="n">
        <v>16143.789</v>
      </c>
      <c r="Q20" s="2" t="n">
        <v>9365.839999999998</v>
      </c>
      <c r="R20" s="73">
        <f>SUM(L20:Q20)</f>
        <v/>
      </c>
      <c r="S20" s="123">
        <f>IF(E20=0,"***",L20/E20)</f>
        <v/>
      </c>
      <c r="T20" s="124">
        <f>IF(F20=0,"***",M20/F20)</f>
        <v/>
      </c>
      <c r="U20" s="124">
        <f>IF(G20=0,"***",N20/G20)</f>
        <v/>
      </c>
      <c r="V20" s="124">
        <f>IF(H20=0,"***",O20/H20)</f>
        <v/>
      </c>
      <c r="W20" s="124">
        <f>IF(I20=0,"***",P20/I20)</f>
        <v/>
      </c>
      <c r="X20" s="124">
        <f>IF(J20=0,"***",Q20/J20)</f>
        <v/>
      </c>
      <c r="Y20" s="125">
        <f>IF(K20=0,"***",R20/K20)</f>
        <v/>
      </c>
    </row>
    <row r="21">
      <c r="C21" s="71" t="inlineStr">
        <is>
          <t>0909 集計</t>
        </is>
      </c>
      <c r="D21" s="69" t="inlineStr">
        <is>
          <t>藤波課長</t>
        </is>
      </c>
      <c r="E21" s="2" t="n">
        <v>7842.768000000001</v>
      </c>
      <c r="F21" s="2" t="n">
        <v>5683.808000000001</v>
      </c>
      <c r="G21" s="2" t="n">
        <v>6360.448</v>
      </c>
      <c r="H21" s="2" t="n">
        <v>12802.674</v>
      </c>
      <c r="I21" s="2" t="n">
        <v>10570.955</v>
      </c>
      <c r="J21" s="2" t="n">
        <v>12015.35</v>
      </c>
      <c r="K21" s="79">
        <f>SUM(E21:J21)</f>
        <v/>
      </c>
      <c r="L21" s="1" t="n">
        <v>1363.778</v>
      </c>
      <c r="M21" s="2" t="n">
        <v>1061.963</v>
      </c>
      <c r="N21" s="2" t="n">
        <v>1284.442</v>
      </c>
      <c r="O21" s="2" t="n">
        <v>2847.084</v>
      </c>
      <c r="P21" s="2" t="n">
        <v>2207.566000000001</v>
      </c>
      <c r="Q21" s="2" t="n">
        <v>2274.845000000001</v>
      </c>
      <c r="R21" s="73">
        <f>SUM(L21:Q21)</f>
        <v/>
      </c>
      <c r="S21" s="123">
        <f>IF(E21=0,"***",L21/E21)</f>
        <v/>
      </c>
      <c r="T21" s="124">
        <f>IF(F21=0,"***",M21/F21)</f>
        <v/>
      </c>
      <c r="U21" s="124">
        <f>IF(G21=0,"***",N21/G21)</f>
        <v/>
      </c>
      <c r="V21" s="124">
        <f>IF(H21=0,"***",O21/H21)</f>
        <v/>
      </c>
      <c r="W21" s="124">
        <f>IF(I21=0,"***",P21/I21)</f>
        <v/>
      </c>
      <c r="X21" s="124">
        <f>IF(J21=0,"***",Q21/J21)</f>
        <v/>
      </c>
      <c r="Y21" s="125">
        <f>IF(K21=0,"***",R21/K21)</f>
        <v/>
      </c>
    </row>
    <row r="22">
      <c r="C22" s="71" t="inlineStr">
        <is>
          <t>0910 集計</t>
        </is>
      </c>
      <c r="D22" s="69" t="inlineStr">
        <is>
          <t>足立課長</t>
        </is>
      </c>
      <c r="E22" s="2" t="n">
        <v>2264.573</v>
      </c>
      <c r="F22" s="2" t="n">
        <v>1770.147</v>
      </c>
      <c r="G22" s="2" t="n">
        <v>1664.316</v>
      </c>
      <c r="H22" s="2" t="n"/>
      <c r="I22" s="2" t="n"/>
      <c r="J22" s="2" t="n"/>
      <c r="K22" s="79">
        <f>SUM(E22:J22)</f>
        <v/>
      </c>
      <c r="L22" s="1" t="n">
        <v>450.801</v>
      </c>
      <c r="M22" s="2" t="n">
        <v>345.224</v>
      </c>
      <c r="N22" s="2" t="n">
        <v>314.771</v>
      </c>
      <c r="O22" s="2" t="n"/>
      <c r="P22" s="2" t="n"/>
      <c r="Q22" s="2" t="n"/>
      <c r="R22" s="73">
        <f>SUM(L22:Q22)</f>
        <v/>
      </c>
      <c r="S22" s="123">
        <f>IF(E22=0,"***",L22/E22)</f>
        <v/>
      </c>
      <c r="T22" s="124">
        <f>IF(F22=0,"***",M22/F22)</f>
        <v/>
      </c>
      <c r="U22" s="124">
        <f>IF(G22=0,"***",N22/G22)</f>
        <v/>
      </c>
      <c r="V22" s="124">
        <f>IF(H22=0,"***",O22/H22)</f>
        <v/>
      </c>
      <c r="W22" s="124">
        <f>IF(I22=0,"***",P22/I22)</f>
        <v/>
      </c>
      <c r="X22" s="124">
        <f>IF(J22=0,"***",Q22/J22)</f>
        <v/>
      </c>
      <c r="Y22" s="125">
        <f>IF(K22=0,"***",R22/K22)</f>
        <v/>
      </c>
    </row>
    <row r="23">
      <c r="C23" s="71" t="inlineStr">
        <is>
          <t>0911 集計</t>
        </is>
      </c>
      <c r="D23" s="69" t="inlineStr">
        <is>
          <t>川邊主任</t>
        </is>
      </c>
      <c r="E23" s="2" t="n">
        <v>10963.509</v>
      </c>
      <c r="F23" s="2" t="n">
        <v>10807.006</v>
      </c>
      <c r="G23" s="2" t="n">
        <v>7331.919000000001</v>
      </c>
      <c r="H23" s="2" t="n">
        <v>10739.124</v>
      </c>
      <c r="I23" s="2" t="n">
        <v>6927.711000000001</v>
      </c>
      <c r="J23" s="2" t="n">
        <v>9685.745000000001</v>
      </c>
      <c r="K23" s="79">
        <f>SUM(E23:J23)</f>
        <v/>
      </c>
      <c r="L23" s="1" t="n">
        <v>1855.471</v>
      </c>
      <c r="M23" s="2" t="n">
        <v>1855.43</v>
      </c>
      <c r="N23" s="2" t="n">
        <v>1341.294</v>
      </c>
      <c r="O23" s="2" t="n">
        <v>1734.601</v>
      </c>
      <c r="P23" s="2" t="n">
        <v>1138.342</v>
      </c>
      <c r="Q23" s="2" t="n">
        <v>1483.015</v>
      </c>
      <c r="R23" s="73">
        <f>SUM(L23:Q23)</f>
        <v/>
      </c>
      <c r="S23" s="123">
        <f>IF(E23=0,"***",L23/E23)</f>
        <v/>
      </c>
      <c r="T23" s="124">
        <f>IF(F23=0,"***",M23/F23)</f>
        <v/>
      </c>
      <c r="U23" s="124">
        <f>IF(G23=0,"***",N23/G23)</f>
        <v/>
      </c>
      <c r="V23" s="124">
        <f>IF(H23=0,"***",O23/H23)</f>
        <v/>
      </c>
      <c r="W23" s="124">
        <f>IF(I23=0,"***",P23/I23)</f>
        <v/>
      </c>
      <c r="X23" s="124">
        <f>IF(J23=0,"***",Q23/J23)</f>
        <v/>
      </c>
      <c r="Y23" s="125">
        <f>IF(K23=0,"***",R23/K23)</f>
        <v/>
      </c>
    </row>
    <row r="24">
      <c r="C24" s="71" t="inlineStr">
        <is>
          <t>0914 集計</t>
        </is>
      </c>
      <c r="D24" s="40" t="inlineStr">
        <is>
          <t>白根主任</t>
        </is>
      </c>
      <c r="E24" s="2" t="n">
        <v>8829.619000000002</v>
      </c>
      <c r="F24" s="2" t="n">
        <v>8702.497000000001</v>
      </c>
      <c r="G24" s="2" t="n">
        <v>13277.306</v>
      </c>
      <c r="H24" s="2" t="n">
        <v>11551.865</v>
      </c>
      <c r="I24" s="2" t="n">
        <v>8043.705</v>
      </c>
      <c r="J24" s="2" t="n">
        <v>22830.64799999999</v>
      </c>
      <c r="K24" s="79">
        <f>SUM(E24:J24)</f>
        <v/>
      </c>
      <c r="L24" s="1" t="n">
        <v>1721.514</v>
      </c>
      <c r="M24" s="2" t="n">
        <v>1717.424</v>
      </c>
      <c r="N24" s="2" t="n">
        <v>2915.928</v>
      </c>
      <c r="O24" s="2" t="n">
        <v>2832.065</v>
      </c>
      <c r="P24" s="2" t="n">
        <v>1698.655</v>
      </c>
      <c r="Q24" s="2" t="n">
        <v>5392.990999999999</v>
      </c>
      <c r="R24" s="73">
        <f>SUM(L24:Q24)</f>
        <v/>
      </c>
      <c r="S24" s="123">
        <f>IF(E24=0,"***",L24/E24)</f>
        <v/>
      </c>
      <c r="T24" s="124">
        <f>IF(F24=0,"***",M24/F24)</f>
        <v/>
      </c>
      <c r="U24" s="124">
        <f>IF(G24=0,"***",N24/G24)</f>
        <v/>
      </c>
      <c r="V24" s="124">
        <f>IF(H24=0,"***",O24/H24)</f>
        <v/>
      </c>
      <c r="W24" s="124">
        <f>IF(I24=0,"***",P24/I24)</f>
        <v/>
      </c>
      <c r="X24" s="124">
        <f>IF(J24=0,"***",Q24/J24)</f>
        <v/>
      </c>
      <c r="Y24" s="125">
        <f>IF(K24=0,"***",R24/K24)</f>
        <v/>
      </c>
    </row>
    <row r="25">
      <c r="C25" s="71" t="inlineStr">
        <is>
          <t>0918 集計</t>
        </is>
      </c>
      <c r="D25" s="69" t="inlineStr">
        <is>
          <t>海外</t>
        </is>
      </c>
      <c r="E25" s="2" t="n">
        <v>1833.894</v>
      </c>
      <c r="F25" s="2" t="n">
        <v>2423.2</v>
      </c>
      <c r="G25" s="2" t="n">
        <v>1376.87</v>
      </c>
      <c r="H25" s="2" t="n">
        <v>604.22</v>
      </c>
      <c r="I25" s="2" t="n">
        <v>21.15</v>
      </c>
      <c r="J25" s="2" t="n">
        <v>693.45</v>
      </c>
      <c r="K25" s="79">
        <f>SUM(E25:J25)</f>
        <v/>
      </c>
      <c r="L25" s="1" t="n">
        <v>326.979</v>
      </c>
      <c r="M25" s="2" t="n">
        <v>339.583</v>
      </c>
      <c r="N25" s="2" t="n">
        <v>289.41</v>
      </c>
      <c r="O25" s="2" t="n">
        <v>117.704</v>
      </c>
      <c r="P25" s="2" t="n">
        <v>5.8</v>
      </c>
      <c r="Q25" s="2" t="n">
        <v>204.995</v>
      </c>
      <c r="R25" s="73">
        <f>SUM(L25:Q25)</f>
        <v/>
      </c>
      <c r="S25" s="123">
        <f>IF(E25=0,"***",L25/E25)</f>
        <v/>
      </c>
      <c r="T25" s="124">
        <f>IF(F25=0,"***",M25/F25)</f>
        <v/>
      </c>
      <c r="U25" s="124">
        <f>IF(G25=0,"***",N25/G25)</f>
        <v/>
      </c>
      <c r="V25" s="124">
        <f>IF(H25=0,"***",O25/H25)</f>
        <v/>
      </c>
      <c r="W25" s="124">
        <f>IF(I25=0,"***",P25/I25)</f>
        <v/>
      </c>
      <c r="X25" s="124">
        <f>IF(J25=0,"***",Q25/J25)</f>
        <v/>
      </c>
      <c r="Y25" s="125">
        <f>IF(K25=0,"***",R25/K25)</f>
        <v/>
      </c>
    </row>
    <row r="26">
      <c r="C26" s="71" t="inlineStr">
        <is>
          <t>0919 集計</t>
        </is>
      </c>
      <c r="D26" s="69" t="inlineStr">
        <is>
          <t>その他</t>
        </is>
      </c>
      <c r="E26" s="2" t="n">
        <v>33.365</v>
      </c>
      <c r="F26" s="2" t="n">
        <v>30.73</v>
      </c>
      <c r="G26" s="2" t="n">
        <v>37.726</v>
      </c>
      <c r="H26" s="2" t="n">
        <v>17.86</v>
      </c>
      <c r="I26" s="2" t="n">
        <v>32.296</v>
      </c>
      <c r="J26" s="2" t="n">
        <v>30.7</v>
      </c>
      <c r="K26" s="79">
        <f>SUM(E26:J26)</f>
        <v/>
      </c>
      <c r="L26" s="1" t="n">
        <v>6.939</v>
      </c>
      <c r="M26" s="2" t="n">
        <v>6.67</v>
      </c>
      <c r="N26" s="2" t="n">
        <v>7.436</v>
      </c>
      <c r="O26" s="2" t="n">
        <v>3</v>
      </c>
      <c r="P26" s="2" t="n">
        <v>8.956</v>
      </c>
      <c r="Q26" s="2" t="n">
        <v>6.119999999999999</v>
      </c>
      <c r="R26" s="73">
        <f>SUM(L26:Q26)</f>
        <v/>
      </c>
      <c r="S26" s="123">
        <f>IF(E26=0,"***",L26/E26)</f>
        <v/>
      </c>
      <c r="T26" s="124">
        <f>IF(F26=0,"***",M26/F26)</f>
        <v/>
      </c>
      <c r="U26" s="124">
        <f>IF(G26=0,"***",N26/G26)</f>
        <v/>
      </c>
      <c r="V26" s="124">
        <f>IF(H26=0,"***",O26/H26)</f>
        <v/>
      </c>
      <c r="W26" s="124">
        <f>IF(I26=0,"***",P26/I26)</f>
        <v/>
      </c>
      <c r="X26" s="124">
        <f>IF(J26=0,"***",Q26/J26)</f>
        <v/>
      </c>
      <c r="Y26" s="125">
        <f>IF(K26=0,"***",R26/K26)</f>
        <v/>
      </c>
    </row>
    <row r="27">
      <c r="C27" s="71" t="inlineStr">
        <is>
          <t>0930 集計</t>
        </is>
      </c>
      <c r="D27" s="69" t="inlineStr">
        <is>
          <t>自治体</t>
        </is>
      </c>
      <c r="E27" s="86" t="n">
        <v>0</v>
      </c>
      <c r="F27" s="86" t="n">
        <v>87.14</v>
      </c>
      <c r="G27" s="86" t="n">
        <v>0</v>
      </c>
      <c r="H27" s="86" t="n">
        <v>0</v>
      </c>
      <c r="I27" s="86" t="n">
        <v>0</v>
      </c>
      <c r="J27" s="86" t="n">
        <v>0</v>
      </c>
      <c r="K27" s="79">
        <f>SUM(E27:J27)</f>
        <v/>
      </c>
      <c r="L27" s="83" t="n">
        <v>0</v>
      </c>
      <c r="M27" s="86" t="n">
        <v>4.893</v>
      </c>
      <c r="N27" s="86" t="n">
        <v>0</v>
      </c>
      <c r="O27" s="86" t="n">
        <v>0</v>
      </c>
      <c r="P27" s="86" t="n">
        <v>0</v>
      </c>
      <c r="Q27" s="86" t="n">
        <v>0</v>
      </c>
      <c r="R27" s="73">
        <f>SUM(L27:Q27)</f>
        <v/>
      </c>
      <c r="S27" s="123">
        <f>IF(E27=0,"***",L27/E27)</f>
        <v/>
      </c>
      <c r="T27" s="124">
        <f>IF(F27=0,"***",M27/F27)</f>
        <v/>
      </c>
      <c r="U27" s="124">
        <f>IF(G27=0,"***",N27/G27)</f>
        <v/>
      </c>
      <c r="V27" s="124">
        <f>IF(H27=0,"***",O27/H27)</f>
        <v/>
      </c>
      <c r="W27" s="124">
        <f>IF(I27=0,"***",P27/I27)</f>
        <v/>
      </c>
      <c r="X27" s="124">
        <f>IF(J27=0,"***",Q27/J27)</f>
        <v/>
      </c>
      <c r="Y27" s="125">
        <f>IF(K27=0,"***",R27/K27)</f>
        <v/>
      </c>
    </row>
    <row r="28">
      <c r="C28" s="3" t="inlineStr">
        <is>
          <t>合計</t>
        </is>
      </c>
      <c r="D28" s="70" t="n"/>
      <c r="E28" s="74">
        <f>SUM(E19:E27)</f>
        <v/>
      </c>
      <c r="F28" s="63">
        <f>SUM(F19:F27)</f>
        <v/>
      </c>
      <c r="G28" s="63">
        <f>SUM(G19:G27)</f>
        <v/>
      </c>
      <c r="H28" s="63">
        <f>SUM(H19:H27)</f>
        <v/>
      </c>
      <c r="I28" s="63">
        <f>SUM(I19:I27)</f>
        <v/>
      </c>
      <c r="J28" s="63">
        <f>SUM(J19:J27)</f>
        <v/>
      </c>
      <c r="K28" s="75">
        <f>SUM(K19:K27)</f>
        <v/>
      </c>
      <c r="L28" s="74">
        <f>SUM(L19:L27)</f>
        <v/>
      </c>
      <c r="M28" s="63">
        <f>SUM(M19:M27)</f>
        <v/>
      </c>
      <c r="N28" s="63">
        <f>SUM(N19:N27)</f>
        <v/>
      </c>
      <c r="O28" s="63">
        <f>SUM(O19:O27)</f>
        <v/>
      </c>
      <c r="P28" s="63">
        <f>SUM(P19:P27)</f>
        <v/>
      </c>
      <c r="Q28" s="63">
        <f>SUM(Q19:Q27)</f>
        <v/>
      </c>
      <c r="R28" s="75">
        <f>SUM(R19:R27)</f>
        <v/>
      </c>
      <c r="S28" s="126">
        <f>IF(E28=0,"***",L28/E28)</f>
        <v/>
      </c>
      <c r="T28" s="127">
        <f>IF(F28=0,"***",M28/F28)</f>
        <v/>
      </c>
      <c r="U28" s="127">
        <f>IF(G28=0,"***",N28/G28)</f>
        <v/>
      </c>
      <c r="V28" s="127">
        <f>IF(H28=0,"***",O28/H28)</f>
        <v/>
      </c>
      <c r="W28" s="127">
        <f>IF(I28=0,"***",P28/I28)</f>
        <v/>
      </c>
      <c r="X28" s="127">
        <f>IF(J28=0,"***",Q28/J28)</f>
        <v/>
      </c>
      <c r="Y28" s="128">
        <f>IF(K28=0,"***",R28/K28)</f>
        <v/>
      </c>
    </row>
    <row r="29">
      <c r="C29" s="6" t="n"/>
      <c r="E29" s="5" t="n"/>
      <c r="F29" s="5" t="n"/>
      <c r="G29" s="5" t="n"/>
      <c r="H29" s="5" t="n"/>
      <c r="I29" s="5" t="n"/>
      <c r="J29" s="5" t="n"/>
      <c r="K29" s="6" t="n"/>
      <c r="L29" s="5" t="n"/>
      <c r="M29" s="5" t="n"/>
      <c r="N29" s="5" t="n"/>
      <c r="O29" s="5" t="n"/>
      <c r="P29" s="5" t="n"/>
      <c r="Q29" s="5" t="n"/>
      <c r="R29" s="6" t="n"/>
      <c r="S29" s="129" t="n"/>
      <c r="T29" s="129" t="n"/>
      <c r="U29" s="129" t="n"/>
      <c r="V29" s="129" t="n"/>
      <c r="W29" s="129" t="n"/>
      <c r="X29" s="129" t="n"/>
      <c r="Y29" s="129" t="n"/>
    </row>
    <row r="30">
      <c r="C30" s="6" t="inlineStr">
        <is>
          <t>3．過年度平均</t>
        </is>
      </c>
    </row>
    <row r="31" ht="18.75" customHeight="1" s="113">
      <c r="C31" s="104" t="n"/>
      <c r="D31" s="106" t="n"/>
      <c r="E31" s="104" t="inlineStr">
        <is>
          <t>売上</t>
        </is>
      </c>
      <c r="F31" s="105" t="n"/>
      <c r="G31" s="105" t="n"/>
      <c r="H31" s="105" t="n"/>
      <c r="I31" s="105" t="n"/>
      <c r="J31" s="105" t="n"/>
      <c r="K31" s="106" t="n"/>
      <c r="L31" s="107" t="inlineStr">
        <is>
          <t>粗利益</t>
        </is>
      </c>
      <c r="M31" s="105" t="n"/>
      <c r="N31" s="105" t="n"/>
      <c r="O31" s="105" t="n"/>
      <c r="P31" s="105" t="n"/>
      <c r="Q31" s="105" t="n"/>
      <c r="R31" s="106" t="n"/>
      <c r="S31" s="107" t="inlineStr">
        <is>
          <t>粗利益率</t>
        </is>
      </c>
      <c r="T31" s="105" t="n"/>
      <c r="U31" s="105" t="n"/>
      <c r="V31" s="105" t="n"/>
      <c r="W31" s="105" t="n"/>
      <c r="X31" s="105" t="n"/>
      <c r="Y31" s="106" t="n"/>
    </row>
    <row r="32" ht="18.75" customHeight="1" s="113">
      <c r="C32" s="61" t="n"/>
      <c r="D32" s="68" t="n"/>
      <c r="E32" s="72" t="n">
        <v>45748</v>
      </c>
      <c r="F32" s="62" t="n">
        <v>45778</v>
      </c>
      <c r="G32" s="62" t="n">
        <v>45809</v>
      </c>
      <c r="H32" s="62" t="n">
        <v>45839</v>
      </c>
      <c r="I32" s="62" t="n">
        <v>45870</v>
      </c>
      <c r="J32" s="62" t="n">
        <v>45901</v>
      </c>
      <c r="K32" s="64" t="inlineStr">
        <is>
          <t>合計</t>
        </is>
      </c>
      <c r="L32" s="72" t="n">
        <v>45748</v>
      </c>
      <c r="M32" s="62" t="n">
        <v>45778</v>
      </c>
      <c r="N32" s="62" t="n">
        <v>45809</v>
      </c>
      <c r="O32" s="62" t="n">
        <v>45839</v>
      </c>
      <c r="P32" s="62" t="n">
        <v>45870</v>
      </c>
      <c r="Q32" s="62" t="n">
        <v>45901</v>
      </c>
      <c r="R32" s="64" t="inlineStr">
        <is>
          <t>合計</t>
        </is>
      </c>
      <c r="S32" s="72" t="n">
        <v>45748</v>
      </c>
      <c r="T32" s="62" t="n">
        <v>45778</v>
      </c>
      <c r="U32" s="62" t="n">
        <v>45809</v>
      </c>
      <c r="V32" s="62" t="n">
        <v>45839</v>
      </c>
      <c r="W32" s="62" t="n">
        <v>45870</v>
      </c>
      <c r="X32" s="62" t="n">
        <v>45901</v>
      </c>
      <c r="Y32" s="64" t="inlineStr">
        <is>
          <t>合計</t>
        </is>
      </c>
    </row>
    <row r="33">
      <c r="C33" s="71" t="inlineStr">
        <is>
          <t>0903 集計</t>
        </is>
      </c>
      <c r="D33" s="69" t="inlineStr">
        <is>
          <t>西岡</t>
        </is>
      </c>
      <c r="E33" s="2">
        <f>(E19+E5)/2</f>
        <v/>
      </c>
      <c r="F33" s="2">
        <f>(F19+F5)/2</f>
        <v/>
      </c>
      <c r="G33" s="2">
        <f>(G19+G5)/2</f>
        <v/>
      </c>
      <c r="H33" s="2">
        <f>(H19+H5)/2</f>
        <v/>
      </c>
      <c r="I33" s="2">
        <f>(I19+I5)/2</f>
        <v/>
      </c>
      <c r="J33" s="2">
        <f>(J19+J5)/2</f>
        <v/>
      </c>
      <c r="K33" s="79">
        <f>SUM(E33:J33)</f>
        <v/>
      </c>
      <c r="L33" s="1">
        <f>(L19+L5)/2</f>
        <v/>
      </c>
      <c r="M33" s="2">
        <f>(M19+M5)/2</f>
        <v/>
      </c>
      <c r="N33" s="2">
        <f>(N19+N5)/2</f>
        <v/>
      </c>
      <c r="O33" s="2">
        <f>(O19+O5)/2</f>
        <v/>
      </c>
      <c r="P33" s="2">
        <f>(P19+P5)/2</f>
        <v/>
      </c>
      <c r="Q33" s="2">
        <f>(Q19+Q5)/2</f>
        <v/>
      </c>
      <c r="R33" s="73">
        <f>SUM(L33:Q33)</f>
        <v/>
      </c>
      <c r="S33" s="123">
        <f>IF(E33=0,"***",L33/E33)</f>
        <v/>
      </c>
      <c r="T33" s="124">
        <f>IF(F33=0,"***",M33/F33)</f>
        <v/>
      </c>
      <c r="U33" s="124">
        <f>IF(G33=0,"***",N33/G33)</f>
        <v/>
      </c>
      <c r="V33" s="124">
        <f>IF(H33=0,"***",O33/H33)</f>
        <v/>
      </c>
      <c r="W33" s="124">
        <f>IF(I33=0,"***",P33/I33)</f>
        <v/>
      </c>
      <c r="X33" s="124">
        <f>IF(J33=0,"***",Q33/J33)</f>
        <v/>
      </c>
      <c r="Y33" s="125">
        <f>IF(K33=0,"***",R33/K33)</f>
        <v/>
      </c>
    </row>
    <row r="34">
      <c r="C34" s="71" t="inlineStr">
        <is>
          <t>0904 集計</t>
        </is>
      </c>
      <c r="D34" s="69" t="inlineStr">
        <is>
          <t>足立次長</t>
        </is>
      </c>
      <c r="E34" s="2">
        <f>(E20+E6)/2</f>
        <v/>
      </c>
      <c r="F34" s="2">
        <f>(F20+F6)/2</f>
        <v/>
      </c>
      <c r="G34" s="2">
        <f>(G20+G6)/2</f>
        <v/>
      </c>
      <c r="H34" s="2">
        <f>(H20+H6)/2</f>
        <v/>
      </c>
      <c r="I34" s="2">
        <f>(I20+I6)/2</f>
        <v/>
      </c>
      <c r="J34" s="2">
        <f>(J20+J6)/2</f>
        <v/>
      </c>
      <c r="K34" s="79">
        <f>SUM(E34:J34)</f>
        <v/>
      </c>
      <c r="L34" s="1">
        <f>(L20+L6)/2</f>
        <v/>
      </c>
      <c r="M34" s="2">
        <f>(M20+M6)/2</f>
        <v/>
      </c>
      <c r="N34" s="2">
        <f>(N20+N6)/2</f>
        <v/>
      </c>
      <c r="O34" s="2">
        <f>(O20+O6)/2</f>
        <v/>
      </c>
      <c r="P34" s="2">
        <f>(P20+P6)/2</f>
        <v/>
      </c>
      <c r="Q34" s="2">
        <f>(Q20+Q6)/2</f>
        <v/>
      </c>
      <c r="R34" s="73">
        <f>SUM(L34:Q34)</f>
        <v/>
      </c>
      <c r="S34" s="123">
        <f>IF(E34=0,"***",L34/E34)</f>
        <v/>
      </c>
      <c r="T34" s="124">
        <f>IF(F34=0,"***",M34/F34)</f>
        <v/>
      </c>
      <c r="U34" s="124">
        <f>IF(G34=0,"***",N34/G34)</f>
        <v/>
      </c>
      <c r="V34" s="124">
        <f>IF(H34=0,"***",O34/H34)</f>
        <v/>
      </c>
      <c r="W34" s="124">
        <f>IF(I34=0,"***",P34/I34)</f>
        <v/>
      </c>
      <c r="X34" s="124">
        <f>IF(J34=0,"***",Q34/J34)</f>
        <v/>
      </c>
      <c r="Y34" s="125">
        <f>IF(K34=0,"***",R34/K34)</f>
        <v/>
      </c>
    </row>
    <row r="35">
      <c r="C35" s="71" t="inlineStr">
        <is>
          <t>0909 集計</t>
        </is>
      </c>
      <c r="D35" s="69" t="inlineStr">
        <is>
          <t>藤波課長</t>
        </is>
      </c>
      <c r="E35" s="2">
        <f>(E21+E7)/2</f>
        <v/>
      </c>
      <c r="F35" s="2">
        <f>(F21+F7)/2</f>
        <v/>
      </c>
      <c r="G35" s="2">
        <f>(G21+G7)/2</f>
        <v/>
      </c>
      <c r="H35" s="2">
        <f>(H21+H7)/2</f>
        <v/>
      </c>
      <c r="I35" s="2">
        <f>(I21+I7)/2</f>
        <v/>
      </c>
      <c r="J35" s="2">
        <f>(J21+J7)/2</f>
        <v/>
      </c>
      <c r="K35" s="79">
        <f>SUM(E35:J35)</f>
        <v/>
      </c>
      <c r="L35" s="1">
        <f>(L21+L7)/2</f>
        <v/>
      </c>
      <c r="M35" s="2">
        <f>(M21+M7)/2</f>
        <v/>
      </c>
      <c r="N35" s="2">
        <f>(N21+N7)/2</f>
        <v/>
      </c>
      <c r="O35" s="2">
        <f>(O21+O7)/2</f>
        <v/>
      </c>
      <c r="P35" s="2">
        <f>(P21+P7)/2</f>
        <v/>
      </c>
      <c r="Q35" s="2">
        <f>(Q21+Q7)/2</f>
        <v/>
      </c>
      <c r="R35" s="73">
        <f>SUM(L35:Q35)</f>
        <v/>
      </c>
      <c r="S35" s="123">
        <f>IF(E35=0,"***",L35/E35)</f>
        <v/>
      </c>
      <c r="T35" s="124">
        <f>IF(F35=0,"***",M35/F35)</f>
        <v/>
      </c>
      <c r="U35" s="124">
        <f>IF(G35=0,"***",N35/G35)</f>
        <v/>
      </c>
      <c r="V35" s="124">
        <f>IF(H35=0,"***",O35/H35)</f>
        <v/>
      </c>
      <c r="W35" s="124">
        <f>IF(I35=0,"***",P35/I35)</f>
        <v/>
      </c>
      <c r="X35" s="124">
        <f>IF(J35=0,"***",Q35/J35)</f>
        <v/>
      </c>
      <c r="Y35" s="125">
        <f>IF(K35=0,"***",R35/K35)</f>
        <v/>
      </c>
    </row>
    <row r="36">
      <c r="C36" s="71" t="inlineStr">
        <is>
          <t>0910 集計</t>
        </is>
      </c>
      <c r="D36" s="69" t="inlineStr">
        <is>
          <t>足立課長</t>
        </is>
      </c>
      <c r="E36" s="2">
        <f>(E22+E8)/2</f>
        <v/>
      </c>
      <c r="F36" s="2">
        <f>(F22+F8)/2</f>
        <v/>
      </c>
      <c r="G36" s="2">
        <f>(G22+G8)/2</f>
        <v/>
      </c>
      <c r="H36" s="2">
        <f>(H22+H8)/2</f>
        <v/>
      </c>
      <c r="I36" s="2">
        <f>(I22+I8)/2</f>
        <v/>
      </c>
      <c r="J36" s="2">
        <f>(J22+J8)/2</f>
        <v/>
      </c>
      <c r="K36" s="79">
        <f>SUM(E36:J36)</f>
        <v/>
      </c>
      <c r="L36" s="1">
        <f>(L22+L8)/2</f>
        <v/>
      </c>
      <c r="M36" s="2">
        <f>(M22+M8)/2</f>
        <v/>
      </c>
      <c r="N36" s="2">
        <f>(N22+N8)/2</f>
        <v/>
      </c>
      <c r="O36" s="2">
        <f>(O22+O8)/2</f>
        <v/>
      </c>
      <c r="P36" s="2">
        <f>(P22+P8)/2</f>
        <v/>
      </c>
      <c r="Q36" s="2">
        <f>(Q22+Q8)/2</f>
        <v/>
      </c>
      <c r="R36" s="73">
        <f>SUM(L36:Q36)</f>
        <v/>
      </c>
      <c r="S36" s="123">
        <f>IF(E36=0,"***",L36/E36)</f>
        <v/>
      </c>
      <c r="T36" s="124">
        <f>IF(F36=0,"***",M36/F36)</f>
        <v/>
      </c>
      <c r="U36" s="124">
        <f>IF(G36=0,"***",N36/G36)</f>
        <v/>
      </c>
      <c r="V36" s="124">
        <f>IF(H36=0,"***",O36/H36)</f>
        <v/>
      </c>
      <c r="W36" s="124">
        <f>IF(I36=0,"***",P36/I36)</f>
        <v/>
      </c>
      <c r="X36" s="124">
        <f>IF(J36=0,"***",Q36/J36)</f>
        <v/>
      </c>
      <c r="Y36" s="125">
        <f>IF(K36=0,"***",R36/K36)</f>
        <v/>
      </c>
    </row>
    <row r="37">
      <c r="C37" s="71" t="inlineStr">
        <is>
          <t>0911 集計</t>
        </is>
      </c>
      <c r="D37" s="69" t="inlineStr">
        <is>
          <t>川邊主任</t>
        </is>
      </c>
      <c r="E37" s="2">
        <f>(E23+E9)/2</f>
        <v/>
      </c>
      <c r="F37" s="2">
        <f>(F23+F9)/2</f>
        <v/>
      </c>
      <c r="G37" s="2">
        <f>(G23+G9)/2</f>
        <v/>
      </c>
      <c r="H37" s="2">
        <f>(H23+H9)/2</f>
        <v/>
      </c>
      <c r="I37" s="2">
        <f>(I23+I9)/2</f>
        <v/>
      </c>
      <c r="J37" s="2">
        <f>(J23+J9)/2</f>
        <v/>
      </c>
      <c r="K37" s="79">
        <f>SUM(E37:J37)</f>
        <v/>
      </c>
      <c r="L37" s="1">
        <f>(L23+L9)/2</f>
        <v/>
      </c>
      <c r="M37" s="2">
        <f>(M23+M9)/2</f>
        <v/>
      </c>
      <c r="N37" s="2">
        <f>(N23+N9)/2</f>
        <v/>
      </c>
      <c r="O37" s="2">
        <f>(O23+O9)/2</f>
        <v/>
      </c>
      <c r="P37" s="2">
        <f>(P23+P9)/2</f>
        <v/>
      </c>
      <c r="Q37" s="2">
        <f>(Q23+Q9)/2</f>
        <v/>
      </c>
      <c r="R37" s="73">
        <f>SUM(L37:Q37)</f>
        <v/>
      </c>
      <c r="S37" s="123">
        <f>IF(E37=0,"***",L37/E37)</f>
        <v/>
      </c>
      <c r="T37" s="124">
        <f>IF(F37=0,"***",M37/F37)</f>
        <v/>
      </c>
      <c r="U37" s="124">
        <f>IF(G37=0,"***",N37/G37)</f>
        <v/>
      </c>
      <c r="V37" s="124">
        <f>IF(H37=0,"***",O37/H37)</f>
        <v/>
      </c>
      <c r="W37" s="124">
        <f>IF(I37=0,"***",P37/I37)</f>
        <v/>
      </c>
      <c r="X37" s="124">
        <f>IF(J37=0,"***",Q37/J37)</f>
        <v/>
      </c>
      <c r="Y37" s="125">
        <f>IF(K37=0,"***",R37/K37)</f>
        <v/>
      </c>
    </row>
    <row r="38">
      <c r="C38" s="71" t="inlineStr">
        <is>
          <t>0914 集計</t>
        </is>
      </c>
      <c r="D38" s="40" t="inlineStr">
        <is>
          <t>白根主任</t>
        </is>
      </c>
      <c r="E38" s="2">
        <f>(E24+E10)/2</f>
        <v/>
      </c>
      <c r="F38" s="2">
        <f>(F24+F10)/2</f>
        <v/>
      </c>
      <c r="G38" s="2">
        <f>(G24+G10)/2</f>
        <v/>
      </c>
      <c r="H38" s="2">
        <f>(H24+H10)/2</f>
        <v/>
      </c>
      <c r="I38" s="2">
        <f>(I24+I10)/2</f>
        <v/>
      </c>
      <c r="J38" s="2">
        <f>(J24+J10)/2</f>
        <v/>
      </c>
      <c r="K38" s="79">
        <f>SUM(E38:J38)</f>
        <v/>
      </c>
      <c r="L38" s="1">
        <f>(L24+L10)/2</f>
        <v/>
      </c>
      <c r="M38" s="2">
        <f>(M24+M10)/2</f>
        <v/>
      </c>
      <c r="N38" s="2">
        <f>(N24+N10)/2</f>
        <v/>
      </c>
      <c r="O38" s="2">
        <f>(O24+O10)/2</f>
        <v/>
      </c>
      <c r="P38" s="2">
        <f>(P24+P10)/2</f>
        <v/>
      </c>
      <c r="Q38" s="2">
        <f>(Q24+Q10)/2</f>
        <v/>
      </c>
      <c r="R38" s="73">
        <f>SUM(L38:Q38)</f>
        <v/>
      </c>
      <c r="S38" s="123">
        <f>IF(E38=0,"***",L38/E38)</f>
        <v/>
      </c>
      <c r="T38" s="124">
        <f>IF(F38=0,"***",M38/F38)</f>
        <v/>
      </c>
      <c r="U38" s="124">
        <f>IF(G38=0,"***",N38/G38)</f>
        <v/>
      </c>
      <c r="V38" s="124">
        <f>IF(H38=0,"***",O38/H38)</f>
        <v/>
      </c>
      <c r="W38" s="124">
        <f>IF(I38=0,"***",P38/I38)</f>
        <v/>
      </c>
      <c r="X38" s="124">
        <f>IF(J38=0,"***",Q38/J38)</f>
        <v/>
      </c>
      <c r="Y38" s="125">
        <f>IF(K38=0,"***",R38/K38)</f>
        <v/>
      </c>
    </row>
    <row r="39">
      <c r="C39" s="71" t="inlineStr">
        <is>
          <t>0918 集計</t>
        </is>
      </c>
      <c r="D39" s="69" t="inlineStr">
        <is>
          <t>海外</t>
        </is>
      </c>
      <c r="E39" s="2">
        <f>(E25+E11)/2</f>
        <v/>
      </c>
      <c r="F39" s="2">
        <f>(F25+F11)/2</f>
        <v/>
      </c>
      <c r="G39" s="2">
        <f>(G25+G11)/2</f>
        <v/>
      </c>
      <c r="H39" s="2">
        <f>(H25+H11)/2</f>
        <v/>
      </c>
      <c r="I39" s="2">
        <f>(I25+I11)/2</f>
        <v/>
      </c>
      <c r="J39" s="2">
        <f>(J25+J11)/2</f>
        <v/>
      </c>
      <c r="K39" s="79">
        <f>SUM(E39:J39)</f>
        <v/>
      </c>
      <c r="L39" s="1">
        <f>(L25+L11)/2</f>
        <v/>
      </c>
      <c r="M39" s="2">
        <f>(M25+M11)/2</f>
        <v/>
      </c>
      <c r="N39" s="2">
        <f>(N25+N11)/2</f>
        <v/>
      </c>
      <c r="O39" s="2">
        <f>(O25+O11)/2</f>
        <v/>
      </c>
      <c r="P39" s="2">
        <f>(P25+P11)/2</f>
        <v/>
      </c>
      <c r="Q39" s="2">
        <f>(Q25+Q11)/2</f>
        <v/>
      </c>
      <c r="R39" s="73">
        <f>SUM(L39:Q39)</f>
        <v/>
      </c>
      <c r="S39" s="123">
        <f>IF(E39=0,"***",L39/E39)</f>
        <v/>
      </c>
      <c r="T39" s="124">
        <f>IF(F39=0,"***",M39/F39)</f>
        <v/>
      </c>
      <c r="U39" s="124">
        <f>IF(G39=0,"***",N39/G39)</f>
        <v/>
      </c>
      <c r="V39" s="124">
        <f>IF(H39=0,"***",O39/H39)</f>
        <v/>
      </c>
      <c r="W39" s="124">
        <f>IF(I39=0,"***",P39/I39)</f>
        <v/>
      </c>
      <c r="X39" s="124">
        <f>IF(J39=0,"***",Q39/J39)</f>
        <v/>
      </c>
      <c r="Y39" s="125">
        <f>IF(K39=0,"***",R39/K39)</f>
        <v/>
      </c>
    </row>
    <row r="40">
      <c r="C40" s="71" t="inlineStr">
        <is>
          <t>0919 集計</t>
        </is>
      </c>
      <c r="D40" s="69" t="inlineStr">
        <is>
          <t>その他</t>
        </is>
      </c>
      <c r="E40" s="2">
        <f>(E26+E12)/2</f>
        <v/>
      </c>
      <c r="F40" s="2">
        <f>(F26+F12)/2</f>
        <v/>
      </c>
      <c r="G40" s="2">
        <f>(G26+G12)/2</f>
        <v/>
      </c>
      <c r="H40" s="2">
        <f>(H26+H12)/2</f>
        <v/>
      </c>
      <c r="I40" s="2">
        <f>(I26+I12)/2</f>
        <v/>
      </c>
      <c r="J40" s="2">
        <f>(J26+J12)/2</f>
        <v/>
      </c>
      <c r="K40" s="79">
        <f>SUM(E40:J40)</f>
        <v/>
      </c>
      <c r="L40" s="1">
        <f>(L26+L12)/2</f>
        <v/>
      </c>
      <c r="M40" s="2">
        <f>(M26+M12)/2</f>
        <v/>
      </c>
      <c r="N40" s="2">
        <f>(N26+N12)/2</f>
        <v/>
      </c>
      <c r="O40" s="2">
        <f>(O26+O12)/2</f>
        <v/>
      </c>
      <c r="P40" s="2">
        <f>(P26+P12)/2</f>
        <v/>
      </c>
      <c r="Q40" s="2">
        <f>(Q26+Q12)/2</f>
        <v/>
      </c>
      <c r="R40" s="73">
        <f>SUM(L40:Q40)</f>
        <v/>
      </c>
      <c r="S40" s="123">
        <f>IF(E40=0,"***",L40/E40)</f>
        <v/>
      </c>
      <c r="T40" s="124">
        <f>IF(F40=0,"***",M40/F40)</f>
        <v/>
      </c>
      <c r="U40" s="124">
        <f>IF(G40=0,"***",N40/G40)</f>
        <v/>
      </c>
      <c r="V40" s="124">
        <f>IF(H40=0,"***",O40/H40)</f>
        <v/>
      </c>
      <c r="W40" s="124">
        <f>IF(I40=0,"***",P40/I40)</f>
        <v/>
      </c>
      <c r="X40" s="124">
        <f>IF(J40=0,"***",Q40/J40)</f>
        <v/>
      </c>
      <c r="Y40" s="125">
        <f>IF(K40=0,"***",R40/K40)</f>
        <v/>
      </c>
    </row>
    <row r="41">
      <c r="C41" s="71" t="inlineStr">
        <is>
          <t>0930 集計</t>
        </is>
      </c>
      <c r="D41" s="69" t="inlineStr">
        <is>
          <t>自治体</t>
        </is>
      </c>
      <c r="E41" s="2">
        <f>(E27+E13)/2</f>
        <v/>
      </c>
      <c r="F41" s="2">
        <f>(F27+F13)/2</f>
        <v/>
      </c>
      <c r="G41" s="2">
        <f>(G27+G13)/2</f>
        <v/>
      </c>
      <c r="H41" s="2">
        <f>(H27+H13)/2</f>
        <v/>
      </c>
      <c r="I41" s="2">
        <f>(I27+I13)/2</f>
        <v/>
      </c>
      <c r="J41" s="2">
        <f>(J27+J13)/2</f>
        <v/>
      </c>
      <c r="K41" s="79">
        <f>SUM(E41:J41)</f>
        <v/>
      </c>
      <c r="L41" s="1">
        <f>(L27+L13)/2</f>
        <v/>
      </c>
      <c r="M41" s="2">
        <f>(M27+M13)/2</f>
        <v/>
      </c>
      <c r="N41" s="2">
        <f>(N27+N13)/2</f>
        <v/>
      </c>
      <c r="O41" s="2">
        <f>(O27+O13)/2</f>
        <v/>
      </c>
      <c r="P41" s="2">
        <f>(P27+P13)/2</f>
        <v/>
      </c>
      <c r="Q41" s="2">
        <f>(Q27+Q13)/2</f>
        <v/>
      </c>
      <c r="R41" s="73">
        <f>SUM(L41:Q41)</f>
        <v/>
      </c>
      <c r="S41" s="123">
        <f>IF(E41=0,"***",L41/E41)</f>
        <v/>
      </c>
      <c r="T41" s="124">
        <f>IF(F41=0,"***",M41/F41)</f>
        <v/>
      </c>
      <c r="U41" s="124">
        <f>IF(G41=0,"***",N41/G41)</f>
        <v/>
      </c>
      <c r="V41" s="124">
        <f>IF(H41=0,"***",O41/H41)</f>
        <v/>
      </c>
      <c r="W41" s="124">
        <f>IF(I41=0,"***",P41/I41)</f>
        <v/>
      </c>
      <c r="X41" s="124">
        <f>IF(J41=0,"***",Q41/J41)</f>
        <v/>
      </c>
      <c r="Y41" s="125">
        <f>IF(K41=0,"***",R41/K41)</f>
        <v/>
      </c>
    </row>
    <row r="42">
      <c r="C42" s="3" t="inlineStr">
        <is>
          <t>合計</t>
        </is>
      </c>
      <c r="D42" s="70" t="n"/>
      <c r="E42" s="74">
        <f>SUM(E33:E41)</f>
        <v/>
      </c>
      <c r="F42" s="63">
        <f>SUM(F33:F41)</f>
        <v/>
      </c>
      <c r="G42" s="63">
        <f>SUM(G33:G41)</f>
        <v/>
      </c>
      <c r="H42" s="63">
        <f>SUM(H33:H41)</f>
        <v/>
      </c>
      <c r="I42" s="63">
        <f>SUM(I33:I41)</f>
        <v/>
      </c>
      <c r="J42" s="63">
        <f>SUM(J33:J41)</f>
        <v/>
      </c>
      <c r="K42" s="75">
        <f>SUM(K33:K41)</f>
        <v/>
      </c>
      <c r="L42" s="74">
        <f>SUM(L33:L41)</f>
        <v/>
      </c>
      <c r="M42" s="63">
        <f>SUM(M33:M41)</f>
        <v/>
      </c>
      <c r="N42" s="63">
        <f>SUM(N33:N41)</f>
        <v/>
      </c>
      <c r="O42" s="63">
        <f>SUM(O33:O41)</f>
        <v/>
      </c>
      <c r="P42" s="63">
        <f>SUM(P33:P41)</f>
        <v/>
      </c>
      <c r="Q42" s="63">
        <f>SUM(Q33:Q41)</f>
        <v/>
      </c>
      <c r="R42" s="75">
        <f>SUM(R33:R41)</f>
        <v/>
      </c>
      <c r="S42" s="126">
        <f>IF(E42=0,"***",L42/E42)</f>
        <v/>
      </c>
      <c r="T42" s="127">
        <f>IF(F42=0,"***",M42/F42)</f>
        <v/>
      </c>
      <c r="U42" s="127">
        <f>IF(G42=0,"***",N42/G42)</f>
        <v/>
      </c>
      <c r="V42" s="127">
        <f>IF(H42=0,"***",O42/H42)</f>
        <v/>
      </c>
      <c r="W42" s="127">
        <f>IF(I42=0,"***",P42/I42)</f>
        <v/>
      </c>
      <c r="X42" s="127">
        <f>IF(J42=0,"***",Q42/J42)</f>
        <v/>
      </c>
      <c r="Y42" s="128">
        <f>IF(K42=0,"***",R42/K42)</f>
        <v/>
      </c>
    </row>
    <row r="43">
      <c r="C43" s="6" t="n"/>
      <c r="E43" s="5" t="n"/>
      <c r="F43" s="5" t="n"/>
      <c r="G43" s="5" t="n"/>
      <c r="H43" s="5" t="n"/>
      <c r="I43" s="5" t="n"/>
      <c r="J43" s="5" t="n"/>
      <c r="K43" s="6" t="n"/>
      <c r="L43" s="5" t="n"/>
      <c r="M43" s="5" t="n"/>
      <c r="N43" s="5" t="n"/>
      <c r="O43" s="5" t="n"/>
      <c r="P43" s="5" t="n"/>
      <c r="Q43" s="5" t="n"/>
      <c r="R43" s="6" t="n"/>
      <c r="S43" s="129" t="n"/>
      <c r="T43" s="129" t="n"/>
      <c r="U43" s="129" t="n"/>
      <c r="V43" s="129" t="n"/>
      <c r="W43" s="129" t="n"/>
      <c r="X43" s="129" t="n"/>
      <c r="Y43" s="129" t="n"/>
    </row>
    <row r="44">
      <c r="C44" s="6" t="inlineStr">
        <is>
          <t>4．計画</t>
        </is>
      </c>
    </row>
    <row r="45">
      <c r="C45" s="104" t="n"/>
      <c r="D45" s="106" t="n"/>
      <c r="E45" s="104" t="inlineStr">
        <is>
          <t>売上</t>
        </is>
      </c>
      <c r="F45" s="105" t="n"/>
      <c r="G45" s="105" t="n"/>
      <c r="H45" s="105" t="n"/>
      <c r="I45" s="105" t="n"/>
      <c r="J45" s="105" t="n"/>
      <c r="K45" s="106" t="n"/>
      <c r="L45" s="108" t="inlineStr">
        <is>
          <t>粗利益</t>
        </is>
      </c>
      <c r="M45" s="105" t="n"/>
      <c r="N45" s="105" t="n"/>
      <c r="O45" s="105" t="n"/>
      <c r="P45" s="105" t="n"/>
      <c r="Q45" s="105" t="n"/>
      <c r="R45" s="106" t="n"/>
      <c r="S45" s="108" t="inlineStr">
        <is>
          <t>粗利益率</t>
        </is>
      </c>
      <c r="T45" s="105" t="n"/>
      <c r="U45" s="105" t="n"/>
      <c r="V45" s="105" t="n"/>
      <c r="W45" s="105" t="n"/>
      <c r="X45" s="105" t="n"/>
      <c r="Y45" s="106" t="n"/>
    </row>
    <row r="46">
      <c r="C46" s="61" t="n"/>
      <c r="D46" s="68" t="n"/>
      <c r="E46" s="72" t="n">
        <v>46113</v>
      </c>
      <c r="F46" s="62" t="n">
        <v>46143</v>
      </c>
      <c r="G46" s="62" t="n">
        <v>46174</v>
      </c>
      <c r="H46" s="62" t="n">
        <v>46204</v>
      </c>
      <c r="I46" s="62" t="n">
        <v>46235</v>
      </c>
      <c r="J46" s="62" t="n">
        <v>46266</v>
      </c>
      <c r="K46" s="64" t="inlineStr">
        <is>
          <t>合計</t>
        </is>
      </c>
      <c r="L46" s="88" t="n">
        <v>46113</v>
      </c>
      <c r="M46" s="62" t="n">
        <v>46143</v>
      </c>
      <c r="N46" s="62" t="n">
        <v>46174</v>
      </c>
      <c r="O46" s="62" t="n">
        <v>46204</v>
      </c>
      <c r="P46" s="62" t="n">
        <v>46235</v>
      </c>
      <c r="Q46" s="62" t="n">
        <v>46266</v>
      </c>
      <c r="R46" s="64" t="inlineStr">
        <is>
          <t>合計</t>
        </is>
      </c>
      <c r="S46" s="88" t="n">
        <v>46113</v>
      </c>
      <c r="T46" s="62" t="n">
        <v>46143</v>
      </c>
      <c r="U46" s="62" t="n">
        <v>46174</v>
      </c>
      <c r="V46" s="62" t="n">
        <v>46204</v>
      </c>
      <c r="W46" s="62" t="n">
        <v>46235</v>
      </c>
      <c r="X46" s="62" t="n">
        <v>46266</v>
      </c>
      <c r="Y46" s="64" t="inlineStr">
        <is>
          <t>合計</t>
        </is>
      </c>
    </row>
    <row r="47" customFormat="1" s="43">
      <c r="C47" s="71" t="inlineStr">
        <is>
          <t>0903 集計</t>
        </is>
      </c>
      <c r="D47" s="69" t="inlineStr">
        <is>
          <t>西岡</t>
        </is>
      </c>
      <c r="E47" s="41">
        <f>包装資材!E47+機械!E47</f>
        <v/>
      </c>
      <c r="F47" s="41">
        <f>包装資材!F47+機械!F47</f>
        <v/>
      </c>
      <c r="G47" s="41">
        <f>包装資材!G47+機械!G47</f>
        <v/>
      </c>
      <c r="H47" s="41">
        <f>包装資材!H47+機械!H47</f>
        <v/>
      </c>
      <c r="I47" s="41">
        <f>包装資材!I47+機械!I47</f>
        <v/>
      </c>
      <c r="J47" s="41">
        <f>包装資材!J47+機械!J47</f>
        <v/>
      </c>
      <c r="K47" s="50">
        <f>SUM(E47:J47)</f>
        <v/>
      </c>
      <c r="L47" s="57">
        <f>包装資材!L47+機械!L47</f>
        <v/>
      </c>
      <c r="M47" s="41">
        <f>包装資材!M47+機械!M47</f>
        <v/>
      </c>
      <c r="N47" s="41">
        <f>包装資材!N47+機械!N47</f>
        <v/>
      </c>
      <c r="O47" s="41">
        <f>包装資材!O47+機械!O47</f>
        <v/>
      </c>
      <c r="P47" s="41">
        <f>包装資材!P47+機械!P47</f>
        <v/>
      </c>
      <c r="Q47" s="41">
        <f>包装資材!Q47+機械!Q47</f>
        <v/>
      </c>
      <c r="R47" s="52">
        <f>SUM(L47:Q47)</f>
        <v/>
      </c>
      <c r="S47" s="138">
        <f>IF(E47=0,"***",L47/E47)</f>
        <v/>
      </c>
      <c r="T47" s="139">
        <f>IF(F47=0,"***",M47/F47)</f>
        <v/>
      </c>
      <c r="U47" s="139">
        <f>IF(G47=0,"***",N47/G47)</f>
        <v/>
      </c>
      <c r="V47" s="139">
        <f>IF(H47=0,"***",O47/H47)</f>
        <v/>
      </c>
      <c r="W47" s="139">
        <f>IF(I47=0,"***",P47/I47)</f>
        <v/>
      </c>
      <c r="X47" s="139">
        <f>IF(J47=0,"***",Q47/J47)</f>
        <v/>
      </c>
      <c r="Y47" s="140">
        <f>IF(K47=0,"***",R47/K47)</f>
        <v/>
      </c>
    </row>
    <row r="48" customFormat="1" s="43">
      <c r="C48" s="71" t="inlineStr">
        <is>
          <t>0904 集計</t>
        </is>
      </c>
      <c r="D48" s="69" t="inlineStr">
        <is>
          <t>足立次長</t>
        </is>
      </c>
      <c r="E48" s="41">
        <f>包装資材!E48+機械!E48</f>
        <v/>
      </c>
      <c r="F48" s="41">
        <f>包装資材!F48+機械!F48</f>
        <v/>
      </c>
      <c r="G48" s="41">
        <f>包装資材!G48+機械!G48</f>
        <v/>
      </c>
      <c r="H48" s="41">
        <f>包装資材!H48+機械!H48</f>
        <v/>
      </c>
      <c r="I48" s="41">
        <f>包装資材!I48+機械!I48</f>
        <v/>
      </c>
      <c r="J48" s="41">
        <f>包装資材!J48+機械!J48</f>
        <v/>
      </c>
      <c r="K48" s="50">
        <f>SUM(E48:J48)</f>
        <v/>
      </c>
      <c r="L48" s="57">
        <f>包装資材!L48+機械!L48</f>
        <v/>
      </c>
      <c r="M48" s="41">
        <f>包装資材!M48+機械!M48</f>
        <v/>
      </c>
      <c r="N48" s="41">
        <f>包装資材!N48+機械!N48</f>
        <v/>
      </c>
      <c r="O48" s="41">
        <f>包装資材!O48+機械!O48</f>
        <v/>
      </c>
      <c r="P48" s="41">
        <f>包装資材!P48+機械!P48</f>
        <v/>
      </c>
      <c r="Q48" s="41">
        <f>包装資材!Q48+機械!Q48</f>
        <v/>
      </c>
      <c r="R48" s="52">
        <f>SUM(L48:Q48)</f>
        <v/>
      </c>
      <c r="S48" s="138">
        <f>IF(E48=0,"***",L48/E48)</f>
        <v/>
      </c>
      <c r="T48" s="139">
        <f>IF(F48=0,"***",M48/F48)</f>
        <v/>
      </c>
      <c r="U48" s="139">
        <f>IF(G48=0,"***",N48/G48)</f>
        <v/>
      </c>
      <c r="V48" s="139">
        <f>IF(H48=0,"***",O48/H48)</f>
        <v/>
      </c>
      <c r="W48" s="139">
        <f>IF(I48=0,"***",P48/I48)</f>
        <v/>
      </c>
      <c r="X48" s="139">
        <f>IF(J48=0,"***",Q48/J48)</f>
        <v/>
      </c>
      <c r="Y48" s="140">
        <f>IF(K48=0,"***",R48/K48)</f>
        <v/>
      </c>
    </row>
    <row r="49" customFormat="1" s="43">
      <c r="C49" s="71" t="inlineStr">
        <is>
          <t>0909 集計</t>
        </is>
      </c>
      <c r="D49" s="69" t="inlineStr">
        <is>
          <t>藤波課長</t>
        </is>
      </c>
      <c r="E49" s="41">
        <f>包装資材!E49+機械!E49</f>
        <v/>
      </c>
      <c r="F49" s="41">
        <f>包装資材!F49+機械!F49</f>
        <v/>
      </c>
      <c r="G49" s="41">
        <f>包装資材!G49+機械!G49</f>
        <v/>
      </c>
      <c r="H49" s="41">
        <f>包装資材!H49+機械!H49</f>
        <v/>
      </c>
      <c r="I49" s="41">
        <f>包装資材!I49+機械!I49</f>
        <v/>
      </c>
      <c r="J49" s="41">
        <f>包装資材!J49+機械!J49</f>
        <v/>
      </c>
      <c r="K49" s="50">
        <f>SUM(E49:J49)</f>
        <v/>
      </c>
      <c r="L49" s="57">
        <f>包装資材!L49+機械!L49</f>
        <v/>
      </c>
      <c r="M49" s="41">
        <f>包装資材!M49+機械!M49</f>
        <v/>
      </c>
      <c r="N49" s="41">
        <f>包装資材!N49+機械!N49</f>
        <v/>
      </c>
      <c r="O49" s="41">
        <f>包装資材!O49+機械!O49</f>
        <v/>
      </c>
      <c r="P49" s="41">
        <f>包装資材!P49+機械!P49</f>
        <v/>
      </c>
      <c r="Q49" s="41">
        <f>包装資材!Q49+機械!Q49</f>
        <v/>
      </c>
      <c r="R49" s="52">
        <f>SUM(L49:Q49)</f>
        <v/>
      </c>
      <c r="S49" s="138">
        <f>IF(E49=0,"***",L49/E49)</f>
        <v/>
      </c>
      <c r="T49" s="139">
        <f>IF(F49=0,"***",M49/F49)</f>
        <v/>
      </c>
      <c r="U49" s="139">
        <f>IF(G49=0,"***",N49/G49)</f>
        <v/>
      </c>
      <c r="V49" s="139">
        <f>IF(H49=0,"***",O49/H49)</f>
        <v/>
      </c>
      <c r="W49" s="139">
        <f>IF(I49=0,"***",P49/I49)</f>
        <v/>
      </c>
      <c r="X49" s="139">
        <f>IF(J49=0,"***",Q49/J49)</f>
        <v/>
      </c>
      <c r="Y49" s="140">
        <f>IF(K49=0,"***",R49/K49)</f>
        <v/>
      </c>
    </row>
    <row r="50" customFormat="1" s="43">
      <c r="C50" s="71" t="inlineStr">
        <is>
          <t>0910 集計</t>
        </is>
      </c>
      <c r="D50" s="69" t="inlineStr">
        <is>
          <t>足立課長</t>
        </is>
      </c>
      <c r="E50" s="41">
        <f>包装資材!E50+機械!E50</f>
        <v/>
      </c>
      <c r="F50" s="41">
        <f>包装資材!F50+機械!F50</f>
        <v/>
      </c>
      <c r="G50" s="41">
        <f>包装資材!G50+機械!G50</f>
        <v/>
      </c>
      <c r="H50" s="41">
        <f>包装資材!H50+機械!H50</f>
        <v/>
      </c>
      <c r="I50" s="41">
        <f>包装資材!I50+機械!I50</f>
        <v/>
      </c>
      <c r="J50" s="41">
        <f>包装資材!J50+機械!J50</f>
        <v/>
      </c>
      <c r="K50" s="50">
        <f>SUM(E50:J50)</f>
        <v/>
      </c>
      <c r="L50" s="57">
        <f>包装資材!L50+機械!L50</f>
        <v/>
      </c>
      <c r="M50" s="41">
        <f>包装資材!M50+機械!M50</f>
        <v/>
      </c>
      <c r="N50" s="41">
        <f>包装資材!N50+機械!N50</f>
        <v/>
      </c>
      <c r="O50" s="41">
        <f>包装資材!O50+機械!O50</f>
        <v/>
      </c>
      <c r="P50" s="41">
        <f>包装資材!P50+機械!P50</f>
        <v/>
      </c>
      <c r="Q50" s="41">
        <f>包装資材!Q50+機械!Q50</f>
        <v/>
      </c>
      <c r="R50" s="52">
        <f>SUM(L50:Q50)</f>
        <v/>
      </c>
      <c r="S50" s="138">
        <f>IF(E50=0,"***",L50/E50)</f>
        <v/>
      </c>
      <c r="T50" s="139">
        <f>IF(F50=0,"***",M50/F50)</f>
        <v/>
      </c>
      <c r="U50" s="139">
        <f>IF(G50=0,"***",N50/G50)</f>
        <v/>
      </c>
      <c r="V50" s="139">
        <f>IF(H50=0,"***",O50/H50)</f>
        <v/>
      </c>
      <c r="W50" s="139">
        <f>IF(I50=0,"***",P50/I50)</f>
        <v/>
      </c>
      <c r="X50" s="139">
        <f>IF(J50=0,"***",Q50/J50)</f>
        <v/>
      </c>
      <c r="Y50" s="140">
        <f>IF(K50=0,"***",R50/K50)</f>
        <v/>
      </c>
    </row>
    <row r="51" customFormat="1" s="43">
      <c r="C51" s="71" t="inlineStr">
        <is>
          <t>0911 集計</t>
        </is>
      </c>
      <c r="D51" s="69" t="inlineStr">
        <is>
          <t>川邊主任</t>
        </is>
      </c>
      <c r="E51" s="41">
        <f>包装資材!E51+機械!E51</f>
        <v/>
      </c>
      <c r="F51" s="41">
        <f>包装資材!F51+機械!F51</f>
        <v/>
      </c>
      <c r="G51" s="41">
        <f>包装資材!G51+機械!G51</f>
        <v/>
      </c>
      <c r="H51" s="41">
        <f>包装資材!H51+機械!H51</f>
        <v/>
      </c>
      <c r="I51" s="41">
        <f>包装資材!I51+機械!I51</f>
        <v/>
      </c>
      <c r="J51" s="41">
        <f>包装資材!J51+機械!J51</f>
        <v/>
      </c>
      <c r="K51" s="50">
        <f>SUM(E51:J51)</f>
        <v/>
      </c>
      <c r="L51" s="57">
        <f>包装資材!L51+機械!L51</f>
        <v/>
      </c>
      <c r="M51" s="41">
        <f>包装資材!M51+機械!M51</f>
        <v/>
      </c>
      <c r="N51" s="41">
        <f>包装資材!N51+機械!N51</f>
        <v/>
      </c>
      <c r="O51" s="41">
        <f>包装資材!O51+機械!O51</f>
        <v/>
      </c>
      <c r="P51" s="41">
        <f>包装資材!P51+機械!P51</f>
        <v/>
      </c>
      <c r="Q51" s="41">
        <f>包装資材!Q51+機械!Q51</f>
        <v/>
      </c>
      <c r="R51" s="52">
        <f>SUM(L51:Q51)</f>
        <v/>
      </c>
      <c r="S51" s="138">
        <f>IF(E51=0,"***",L51/E51)</f>
        <v/>
      </c>
      <c r="T51" s="139">
        <f>IF(F51=0,"***",M51/F51)</f>
        <v/>
      </c>
      <c r="U51" s="139">
        <f>IF(G51=0,"***",N51/G51)</f>
        <v/>
      </c>
      <c r="V51" s="139">
        <f>IF(H51=0,"***",O51/H51)</f>
        <v/>
      </c>
      <c r="W51" s="139">
        <f>IF(I51=0,"***",P51/I51)</f>
        <v/>
      </c>
      <c r="X51" s="139">
        <f>IF(J51=0,"***",Q51/J51)</f>
        <v/>
      </c>
      <c r="Y51" s="140">
        <f>IF(K51=0,"***",R51/K51)</f>
        <v/>
      </c>
    </row>
    <row r="52" customFormat="1" s="43">
      <c r="C52" s="71" t="inlineStr">
        <is>
          <t>0914 集計</t>
        </is>
      </c>
      <c r="D52" s="40" t="inlineStr">
        <is>
          <t>白根主任</t>
        </is>
      </c>
      <c r="E52" s="41">
        <f>包装資材!E52+機械!E52</f>
        <v/>
      </c>
      <c r="F52" s="41">
        <f>包装資材!F52+機械!F52</f>
        <v/>
      </c>
      <c r="G52" s="41">
        <f>包装資材!G52+機械!G52</f>
        <v/>
      </c>
      <c r="H52" s="41">
        <f>包装資材!H52+機械!H52</f>
        <v/>
      </c>
      <c r="I52" s="41">
        <f>包装資材!I52+機械!I52</f>
        <v/>
      </c>
      <c r="J52" s="41">
        <f>包装資材!J52+機械!J52</f>
        <v/>
      </c>
      <c r="K52" s="50">
        <f>SUM(E52:J52)</f>
        <v/>
      </c>
      <c r="L52" s="57">
        <f>包装資材!L52+機械!L52</f>
        <v/>
      </c>
      <c r="M52" s="41">
        <f>包装資材!M52+機械!M52</f>
        <v/>
      </c>
      <c r="N52" s="41">
        <f>包装資材!N52+機械!N52</f>
        <v/>
      </c>
      <c r="O52" s="41">
        <f>包装資材!O52+機械!O52</f>
        <v/>
      </c>
      <c r="P52" s="41">
        <f>包装資材!P52+機械!P52</f>
        <v/>
      </c>
      <c r="Q52" s="41">
        <f>包装資材!Q52+機械!Q52</f>
        <v/>
      </c>
      <c r="R52" s="52">
        <f>SUM(L52:Q52)</f>
        <v/>
      </c>
      <c r="S52" s="138">
        <f>IF(E52=0,"***",L52/E52)</f>
        <v/>
      </c>
      <c r="T52" s="139">
        <f>IF(F52=0,"***",M52/F52)</f>
        <v/>
      </c>
      <c r="U52" s="139">
        <f>IF(G52=0,"***",N52/G52)</f>
        <v/>
      </c>
      <c r="V52" s="139">
        <f>IF(H52=0,"***",O52/H52)</f>
        <v/>
      </c>
      <c r="W52" s="139">
        <f>IF(I52=0,"***",P52/I52)</f>
        <v/>
      </c>
      <c r="X52" s="139">
        <f>IF(J52=0,"***",Q52/J52)</f>
        <v/>
      </c>
      <c r="Y52" s="140">
        <f>IF(K52=0,"***",R52/K52)</f>
        <v/>
      </c>
    </row>
    <row r="53" customFormat="1" s="43">
      <c r="C53" s="71" t="inlineStr">
        <is>
          <t>0918 集計</t>
        </is>
      </c>
      <c r="D53" s="69" t="inlineStr">
        <is>
          <t>海外</t>
        </is>
      </c>
      <c r="E53" s="41">
        <f>包装資材!E53+機械!E53</f>
        <v/>
      </c>
      <c r="F53" s="41">
        <f>包装資材!F53+機械!F53</f>
        <v/>
      </c>
      <c r="G53" s="41">
        <f>包装資材!G53+機械!G53</f>
        <v/>
      </c>
      <c r="H53" s="41">
        <f>包装資材!H53+機械!H53</f>
        <v/>
      </c>
      <c r="I53" s="41">
        <f>包装資材!I53+機械!I53</f>
        <v/>
      </c>
      <c r="J53" s="41">
        <f>包装資材!J53+機械!J53</f>
        <v/>
      </c>
      <c r="K53" s="50">
        <f>SUM(E53:J53)</f>
        <v/>
      </c>
      <c r="L53" s="57">
        <f>包装資材!L53+機械!L53</f>
        <v/>
      </c>
      <c r="M53" s="41">
        <f>包装資材!M53+機械!M53</f>
        <v/>
      </c>
      <c r="N53" s="41">
        <f>包装資材!N53+機械!N53</f>
        <v/>
      </c>
      <c r="O53" s="41">
        <f>包装資材!O53+機械!O53</f>
        <v/>
      </c>
      <c r="P53" s="41">
        <f>包装資材!P53+機械!P53</f>
        <v/>
      </c>
      <c r="Q53" s="41">
        <f>包装資材!Q53+機械!Q53</f>
        <v/>
      </c>
      <c r="R53" s="52">
        <f>SUM(L53:Q53)</f>
        <v/>
      </c>
      <c r="S53" s="138">
        <f>IF(E53=0,"***",L53/E53)</f>
        <v/>
      </c>
      <c r="T53" s="139">
        <f>IF(F53=0,"***",M53/F53)</f>
        <v/>
      </c>
      <c r="U53" s="139">
        <f>IF(G53=0,"***",N53/G53)</f>
        <v/>
      </c>
      <c r="V53" s="139">
        <f>IF(H53=0,"***",O53/H53)</f>
        <v/>
      </c>
      <c r="W53" s="139">
        <f>IF(I53=0,"***",P53/I53)</f>
        <v/>
      </c>
      <c r="X53" s="139">
        <f>IF(J53=0,"***",Q53/J53)</f>
        <v/>
      </c>
      <c r="Y53" s="140">
        <f>IF(K53=0,"***",R53/K53)</f>
        <v/>
      </c>
    </row>
    <row r="54" customFormat="1" s="43">
      <c r="C54" s="71" t="inlineStr">
        <is>
          <t>0919 集計</t>
        </is>
      </c>
      <c r="D54" s="69" t="inlineStr">
        <is>
          <t>その他</t>
        </is>
      </c>
      <c r="E54" s="41">
        <f>包装資材!E54+機械!E54</f>
        <v/>
      </c>
      <c r="F54" s="41">
        <f>包装資材!F54+機械!F54</f>
        <v/>
      </c>
      <c r="G54" s="41">
        <f>包装資材!G54+機械!G54</f>
        <v/>
      </c>
      <c r="H54" s="41">
        <f>包装資材!H54+機械!H54</f>
        <v/>
      </c>
      <c r="I54" s="41">
        <f>包装資材!I54+機械!I54</f>
        <v/>
      </c>
      <c r="J54" s="41">
        <f>包装資材!J54+機械!J54</f>
        <v/>
      </c>
      <c r="K54" s="50">
        <f>SUM(E54:J54)</f>
        <v/>
      </c>
      <c r="L54" s="57">
        <f>包装資材!L54+機械!L54</f>
        <v/>
      </c>
      <c r="M54" s="41">
        <f>包装資材!M54+機械!M54</f>
        <v/>
      </c>
      <c r="N54" s="41">
        <f>包装資材!N54+機械!N54</f>
        <v/>
      </c>
      <c r="O54" s="41">
        <f>包装資材!O54+機械!O54</f>
        <v/>
      </c>
      <c r="P54" s="41">
        <f>包装資材!P54+機械!P54</f>
        <v/>
      </c>
      <c r="Q54" s="41">
        <f>包装資材!Q54+機械!Q54</f>
        <v/>
      </c>
      <c r="R54" s="52">
        <f>SUM(L54:Q54)</f>
        <v/>
      </c>
      <c r="S54" s="138">
        <f>IF(E54=0,"***",L54/E54)</f>
        <v/>
      </c>
      <c r="T54" s="139">
        <f>IF(F54=0,"***",M54/F54)</f>
        <v/>
      </c>
      <c r="U54" s="139">
        <f>IF(G54=0,"***",N54/G54)</f>
        <v/>
      </c>
      <c r="V54" s="139">
        <f>IF(H54=0,"***",O54/H54)</f>
        <v/>
      </c>
      <c r="W54" s="139">
        <f>IF(I54=0,"***",P54/I54)</f>
        <v/>
      </c>
      <c r="X54" s="139">
        <f>IF(J54=0,"***",Q54/J54)</f>
        <v/>
      </c>
      <c r="Y54" s="140">
        <f>IF(K54=0,"***",R54/K54)</f>
        <v/>
      </c>
    </row>
    <row r="55" customFormat="1" s="43">
      <c r="C55" s="71" t="inlineStr">
        <is>
          <t>0930 集計</t>
        </is>
      </c>
      <c r="D55" s="69" t="inlineStr">
        <is>
          <t>自治体</t>
        </is>
      </c>
      <c r="E55" s="41">
        <f>包装資材!E55+機械!E55</f>
        <v/>
      </c>
      <c r="F55" s="41">
        <f>包装資材!F55+機械!F55</f>
        <v/>
      </c>
      <c r="G55" s="41">
        <f>包装資材!G55+機械!G55</f>
        <v/>
      </c>
      <c r="H55" s="41">
        <f>包装資材!H55+機械!H55</f>
        <v/>
      </c>
      <c r="I55" s="41">
        <f>包装資材!I55+機械!I55</f>
        <v/>
      </c>
      <c r="J55" s="41">
        <f>包装資材!J55+機械!J55</f>
        <v/>
      </c>
      <c r="K55" s="50">
        <f>SUM(E55:J55)</f>
        <v/>
      </c>
      <c r="L55" s="57">
        <f>包装資材!L55+機械!L55</f>
        <v/>
      </c>
      <c r="M55" s="41">
        <f>包装資材!M55+機械!M55</f>
        <v/>
      </c>
      <c r="N55" s="41">
        <f>包装資材!N55+機械!N55</f>
        <v/>
      </c>
      <c r="O55" s="41">
        <f>包装資材!O55+機械!O55</f>
        <v/>
      </c>
      <c r="P55" s="41">
        <f>包装資材!P55+機械!P55</f>
        <v/>
      </c>
      <c r="Q55" s="41">
        <f>包装資材!Q55+機械!Q55</f>
        <v/>
      </c>
      <c r="R55" s="52">
        <f>SUM(L55:Q55)</f>
        <v/>
      </c>
      <c r="S55" s="141" t="n"/>
      <c r="T55" s="142" t="n"/>
      <c r="U55" s="142" t="n"/>
      <c r="V55" s="142" t="n"/>
      <c r="W55" s="142" t="n"/>
      <c r="X55" s="142" t="n"/>
      <c r="Y55" s="143" t="n"/>
    </row>
    <row r="56">
      <c r="C56" s="3" t="inlineStr">
        <is>
          <t>合計</t>
        </is>
      </c>
      <c r="D56" s="70" t="n"/>
      <c r="E56" s="74">
        <f>SUM(E47:E55)</f>
        <v/>
      </c>
      <c r="F56" s="63">
        <f>SUM(F47:F55)</f>
        <v/>
      </c>
      <c r="G56" s="63">
        <f>SUM(G47:G55)</f>
        <v/>
      </c>
      <c r="H56" s="63">
        <f>SUM(H47:H55)</f>
        <v/>
      </c>
      <c r="I56" s="63">
        <f>SUM(I47:I55)</f>
        <v/>
      </c>
      <c r="J56" s="63">
        <f>SUM(J47:J55)</f>
        <v/>
      </c>
      <c r="K56" s="75">
        <f>SUM(K47:K55)</f>
        <v/>
      </c>
      <c r="L56" s="74">
        <f>SUM(L47:L55)</f>
        <v/>
      </c>
      <c r="M56" s="63">
        <f>SUM(M47:M55)</f>
        <v/>
      </c>
      <c r="N56" s="63">
        <f>SUM(N47:N55)</f>
        <v/>
      </c>
      <c r="O56" s="63">
        <f>SUM(O47:O55)</f>
        <v/>
      </c>
      <c r="P56" s="63">
        <f>SUM(P47:P55)</f>
        <v/>
      </c>
      <c r="Q56" s="63">
        <f>SUM(Q47:Q55)</f>
        <v/>
      </c>
      <c r="R56" s="75">
        <f>SUM(R47:R55)</f>
        <v/>
      </c>
      <c r="S56" s="126">
        <f>IF(E56=0,"***",L56/E56)</f>
        <v/>
      </c>
      <c r="T56" s="127">
        <f>IF(F56=0,"***",M56/F56)</f>
        <v/>
      </c>
      <c r="U56" s="127">
        <f>IF(G56=0,"***",N56/G56)</f>
        <v/>
      </c>
      <c r="V56" s="127">
        <f>IF(H56=0,"***",O56/H56)</f>
        <v/>
      </c>
      <c r="W56" s="127">
        <f>IF(I56=0,"***",P56/I56)</f>
        <v/>
      </c>
      <c r="X56" s="127">
        <f>IF(J56=0,"***",Q56/J56)</f>
        <v/>
      </c>
      <c r="Y56" s="128">
        <f>IF(K56=0,"***",R56/K56)</f>
        <v/>
      </c>
    </row>
    <row r="57" hidden="1" s="113">
      <c r="C57" s="6" t="n"/>
      <c r="E57" s="5" t="n"/>
      <c r="F57" s="5" t="n"/>
      <c r="G57" s="5" t="n"/>
      <c r="H57" s="5" t="n"/>
      <c r="I57" s="5" t="n"/>
      <c r="J57" s="5" t="n"/>
      <c r="K57" s="6" t="n"/>
      <c r="L57" s="5" t="n"/>
      <c r="M57" s="5" t="n"/>
      <c r="N57" s="5" t="n"/>
      <c r="O57" s="5" t="n"/>
      <c r="P57" s="5" t="n"/>
      <c r="Q57" s="5" t="n"/>
      <c r="R57" s="6" t="n"/>
      <c r="S57" s="129" t="n"/>
      <c r="T57" s="129" t="n"/>
      <c r="U57" s="129" t="n"/>
      <c r="V57" s="129" t="n"/>
      <c r="W57" s="129" t="n"/>
      <c r="X57" s="129" t="n"/>
      <c r="Y57" s="129" t="n"/>
    </row>
    <row r="58" hidden="1" s="113">
      <c r="C58" s="6" t="inlineStr">
        <is>
          <t>５．前期比</t>
        </is>
      </c>
    </row>
    <row r="59" hidden="1" s="113">
      <c r="C59" s="104" t="n"/>
      <c r="D59" s="106" t="n"/>
      <c r="E59" s="104" t="inlineStr">
        <is>
          <t>売上</t>
        </is>
      </c>
      <c r="F59" s="105" t="n"/>
      <c r="G59" s="105" t="n"/>
      <c r="H59" s="105" t="n"/>
      <c r="I59" s="105" t="n"/>
      <c r="J59" s="105" t="n"/>
      <c r="K59" s="106" t="n"/>
      <c r="L59" s="108" t="inlineStr">
        <is>
          <t>粗利益</t>
        </is>
      </c>
      <c r="M59" s="105" t="n"/>
      <c r="N59" s="105" t="n"/>
      <c r="O59" s="105" t="n"/>
      <c r="P59" s="105" t="n"/>
      <c r="Q59" s="105" t="n"/>
      <c r="R59" s="106" t="n"/>
      <c r="S59" s="108" t="inlineStr">
        <is>
          <t>粗利益率</t>
        </is>
      </c>
      <c r="T59" s="105" t="n"/>
      <c r="U59" s="105" t="n"/>
      <c r="V59" s="105" t="n"/>
      <c r="W59" s="105" t="n"/>
      <c r="X59" s="105" t="n"/>
      <c r="Y59" s="106" t="n"/>
    </row>
    <row r="60" hidden="1" s="113">
      <c r="C60" s="61" t="n"/>
      <c r="D60" s="68" t="n"/>
      <c r="E60" s="72" t="n">
        <v>46113</v>
      </c>
      <c r="F60" s="62" t="n">
        <v>46143</v>
      </c>
      <c r="G60" s="62" t="n">
        <v>46174</v>
      </c>
      <c r="H60" s="62" t="n">
        <v>46204</v>
      </c>
      <c r="I60" s="62" t="n">
        <v>46235</v>
      </c>
      <c r="J60" s="62" t="n">
        <v>46266</v>
      </c>
      <c r="K60" s="64" t="inlineStr">
        <is>
          <t>合計</t>
        </is>
      </c>
      <c r="L60" s="88" t="n">
        <v>46113</v>
      </c>
      <c r="M60" s="62" t="n">
        <v>46143</v>
      </c>
      <c r="N60" s="62" t="n">
        <v>46174</v>
      </c>
      <c r="O60" s="62" t="n">
        <v>46204</v>
      </c>
      <c r="P60" s="62" t="n">
        <v>46235</v>
      </c>
      <c r="Q60" s="62" t="n">
        <v>46266</v>
      </c>
      <c r="R60" s="64" t="inlineStr">
        <is>
          <t>合計</t>
        </is>
      </c>
      <c r="S60" s="88" t="n">
        <v>46113</v>
      </c>
      <c r="T60" s="62" t="n">
        <v>46143</v>
      </c>
      <c r="U60" s="62" t="n">
        <v>46174</v>
      </c>
      <c r="V60" s="62" t="n">
        <v>46204</v>
      </c>
      <c r="W60" s="62" t="n">
        <v>46235</v>
      </c>
      <c r="X60" s="62" t="n">
        <v>46266</v>
      </c>
      <c r="Y60" s="64" t="inlineStr">
        <is>
          <t>合計</t>
        </is>
      </c>
    </row>
    <row r="61" hidden="1" s="113">
      <c r="C61" s="71" t="inlineStr">
        <is>
          <t>0903 集計</t>
        </is>
      </c>
      <c r="D61" s="69" t="inlineStr">
        <is>
          <t>西岡</t>
        </is>
      </c>
      <c r="E61" s="2">
        <f>E47-E19</f>
        <v/>
      </c>
      <c r="F61" s="2">
        <f>F47-F19</f>
        <v/>
      </c>
      <c r="G61" s="2">
        <f>G47-G19</f>
        <v/>
      </c>
      <c r="H61" s="2">
        <f>H47-H19</f>
        <v/>
      </c>
      <c r="I61" s="2">
        <f>I47-I19</f>
        <v/>
      </c>
      <c r="J61" s="2">
        <f>J47-J19</f>
        <v/>
      </c>
      <c r="K61" s="79">
        <f>SUM(E61:J61)</f>
        <v/>
      </c>
      <c r="L61" s="1">
        <f>L47-L19</f>
        <v/>
      </c>
      <c r="M61" s="2">
        <f>M47-M19</f>
        <v/>
      </c>
      <c r="N61" s="2">
        <f>N47-N19</f>
        <v/>
      </c>
      <c r="O61" s="2">
        <f>O47-O19</f>
        <v/>
      </c>
      <c r="P61" s="2">
        <f>P47-P19</f>
        <v/>
      </c>
      <c r="Q61" s="2">
        <f>Q47-Q19</f>
        <v/>
      </c>
      <c r="R61" s="73">
        <f>SUM(L61:Q61)</f>
        <v/>
      </c>
      <c r="S61" s="123">
        <f>S47-S19</f>
        <v/>
      </c>
      <c r="T61" s="124">
        <f>T47-T19</f>
        <v/>
      </c>
      <c r="U61" s="124">
        <f>U47-U19</f>
        <v/>
      </c>
      <c r="V61" s="124">
        <f>V47-V19</f>
        <v/>
      </c>
      <c r="W61" s="124">
        <f>W47-W19</f>
        <v/>
      </c>
      <c r="X61" s="124">
        <f>X47-X19</f>
        <v/>
      </c>
      <c r="Y61" s="125">
        <f>Y47-Y19</f>
        <v/>
      </c>
    </row>
    <row r="62" hidden="1" s="113">
      <c r="C62" s="71" t="inlineStr">
        <is>
          <t>0904 集計</t>
        </is>
      </c>
      <c r="D62" s="69" t="inlineStr">
        <is>
          <t>足立次長</t>
        </is>
      </c>
      <c r="E62" s="2">
        <f>E48-E20</f>
        <v/>
      </c>
      <c r="F62" s="2">
        <f>F48-F20</f>
        <v/>
      </c>
      <c r="G62" s="2">
        <f>G48-G20</f>
        <v/>
      </c>
      <c r="H62" s="2">
        <f>H48-H20</f>
        <v/>
      </c>
      <c r="I62" s="2">
        <f>I48-I20</f>
        <v/>
      </c>
      <c r="J62" s="2">
        <f>J48-J20</f>
        <v/>
      </c>
      <c r="K62" s="79">
        <f>SUM(E62:J62)</f>
        <v/>
      </c>
      <c r="L62" s="1">
        <f>L48-L20</f>
        <v/>
      </c>
      <c r="M62" s="2">
        <f>M48-M20</f>
        <v/>
      </c>
      <c r="N62" s="2">
        <f>N48-N20</f>
        <v/>
      </c>
      <c r="O62" s="2">
        <f>O48-O20</f>
        <v/>
      </c>
      <c r="P62" s="2">
        <f>P48-P20</f>
        <v/>
      </c>
      <c r="Q62" s="2">
        <f>Q48-Q20</f>
        <v/>
      </c>
      <c r="R62" s="73">
        <f>SUM(L62:Q62)</f>
        <v/>
      </c>
      <c r="S62" s="123">
        <f>S48-S20</f>
        <v/>
      </c>
      <c r="T62" s="124">
        <f>T48-T20</f>
        <v/>
      </c>
      <c r="U62" s="124">
        <f>U48-U20</f>
        <v/>
      </c>
      <c r="V62" s="124">
        <f>V48-V20</f>
        <v/>
      </c>
      <c r="W62" s="124">
        <f>W48-W20</f>
        <v/>
      </c>
      <c r="X62" s="124">
        <f>X48-X20</f>
        <v/>
      </c>
      <c r="Y62" s="125">
        <f>Y48-Y20</f>
        <v/>
      </c>
    </row>
    <row r="63" hidden="1" s="113">
      <c r="C63" s="71" t="inlineStr">
        <is>
          <t>0909 集計</t>
        </is>
      </c>
      <c r="D63" s="69" t="inlineStr">
        <is>
          <t>藤波課長</t>
        </is>
      </c>
      <c r="E63" s="2">
        <f>E49-E21</f>
        <v/>
      </c>
      <c r="F63" s="2">
        <f>F49-F21</f>
        <v/>
      </c>
      <c r="G63" s="2">
        <f>G49-G21</f>
        <v/>
      </c>
      <c r="H63" s="2">
        <f>H49-H21</f>
        <v/>
      </c>
      <c r="I63" s="2">
        <f>I49-I21</f>
        <v/>
      </c>
      <c r="J63" s="2">
        <f>J49-J21</f>
        <v/>
      </c>
      <c r="K63" s="79">
        <f>SUM(E63:J63)</f>
        <v/>
      </c>
      <c r="L63" s="1">
        <f>L49-L21</f>
        <v/>
      </c>
      <c r="M63" s="2">
        <f>M49-M21</f>
        <v/>
      </c>
      <c r="N63" s="2">
        <f>N49-N21</f>
        <v/>
      </c>
      <c r="O63" s="2">
        <f>O49-O21</f>
        <v/>
      </c>
      <c r="P63" s="2">
        <f>P49-P21</f>
        <v/>
      </c>
      <c r="Q63" s="2">
        <f>Q49-Q21</f>
        <v/>
      </c>
      <c r="R63" s="73">
        <f>SUM(L63:Q63)</f>
        <v/>
      </c>
      <c r="S63" s="123">
        <f>S49-S21</f>
        <v/>
      </c>
      <c r="T63" s="124">
        <f>T49-T21</f>
        <v/>
      </c>
      <c r="U63" s="124">
        <f>U49-U21</f>
        <v/>
      </c>
      <c r="V63" s="124">
        <f>V49-V21</f>
        <v/>
      </c>
      <c r="W63" s="124">
        <f>W49-W21</f>
        <v/>
      </c>
      <c r="X63" s="124">
        <f>X49-X21</f>
        <v/>
      </c>
      <c r="Y63" s="125">
        <f>Y49-Y21</f>
        <v/>
      </c>
    </row>
    <row r="64" hidden="1" s="113">
      <c r="C64" s="71" t="inlineStr">
        <is>
          <t>0910 集計</t>
        </is>
      </c>
      <c r="D64" s="69" t="inlineStr">
        <is>
          <t>足立課長</t>
        </is>
      </c>
      <c r="E64" s="2">
        <f>E50-E22</f>
        <v/>
      </c>
      <c r="F64" s="2">
        <f>F50-F22</f>
        <v/>
      </c>
      <c r="G64" s="2">
        <f>G50-G22</f>
        <v/>
      </c>
      <c r="H64" s="2">
        <f>H50-H22</f>
        <v/>
      </c>
      <c r="I64" s="2">
        <f>I50-I22</f>
        <v/>
      </c>
      <c r="J64" s="2">
        <f>J50-J22</f>
        <v/>
      </c>
      <c r="K64" s="79">
        <f>SUM(E64:J64)</f>
        <v/>
      </c>
      <c r="L64" s="1">
        <f>L50-L22</f>
        <v/>
      </c>
      <c r="M64" s="2">
        <f>M50-M22</f>
        <v/>
      </c>
      <c r="N64" s="2">
        <f>N50-N22</f>
        <v/>
      </c>
      <c r="O64" s="2">
        <f>O50-O22</f>
        <v/>
      </c>
      <c r="P64" s="2">
        <f>P50-P22</f>
        <v/>
      </c>
      <c r="Q64" s="2">
        <f>Q50-Q22</f>
        <v/>
      </c>
      <c r="R64" s="73">
        <f>SUM(L64:Q64)</f>
        <v/>
      </c>
      <c r="S64" s="123">
        <f>S50-S22</f>
        <v/>
      </c>
      <c r="T64" s="124">
        <f>T50-T22</f>
        <v/>
      </c>
      <c r="U64" s="124">
        <f>U50-U22</f>
        <v/>
      </c>
      <c r="V64" s="124">
        <f>V50-V22</f>
        <v/>
      </c>
      <c r="W64" s="124">
        <f>W50-W22</f>
        <v/>
      </c>
      <c r="X64" s="124">
        <f>X50-X22</f>
        <v/>
      </c>
      <c r="Y64" s="125">
        <f>Y50-Y22</f>
        <v/>
      </c>
    </row>
    <row r="65" hidden="1" s="113">
      <c r="C65" s="71" t="inlineStr">
        <is>
          <t>0911 集計</t>
        </is>
      </c>
      <c r="D65" s="69" t="inlineStr">
        <is>
          <t>川邊主任</t>
        </is>
      </c>
      <c r="E65" s="2">
        <f>E51-E23</f>
        <v/>
      </c>
      <c r="F65" s="2">
        <f>F51-F23</f>
        <v/>
      </c>
      <c r="G65" s="2">
        <f>G51-G23</f>
        <v/>
      </c>
      <c r="H65" s="2">
        <f>H51-H23</f>
        <v/>
      </c>
      <c r="I65" s="2">
        <f>I51-I23</f>
        <v/>
      </c>
      <c r="J65" s="2">
        <f>J51-J23</f>
        <v/>
      </c>
      <c r="K65" s="79">
        <f>SUM(E65:J65)</f>
        <v/>
      </c>
      <c r="L65" s="1">
        <f>L51-L23</f>
        <v/>
      </c>
      <c r="M65" s="2">
        <f>M51-M23</f>
        <v/>
      </c>
      <c r="N65" s="2">
        <f>N51-N23</f>
        <v/>
      </c>
      <c r="O65" s="2">
        <f>O51-O23</f>
        <v/>
      </c>
      <c r="P65" s="2">
        <f>P51-P23</f>
        <v/>
      </c>
      <c r="Q65" s="2">
        <f>Q51-Q23</f>
        <v/>
      </c>
      <c r="R65" s="73">
        <f>SUM(L65:Q65)</f>
        <v/>
      </c>
      <c r="S65" s="123">
        <f>S51-S23</f>
        <v/>
      </c>
      <c r="T65" s="124">
        <f>T51-T23</f>
        <v/>
      </c>
      <c r="U65" s="124">
        <f>U51-U23</f>
        <v/>
      </c>
      <c r="V65" s="124">
        <f>V51-V23</f>
        <v/>
      </c>
      <c r="W65" s="124">
        <f>W51-W23</f>
        <v/>
      </c>
      <c r="X65" s="124">
        <f>X51-X23</f>
        <v/>
      </c>
      <c r="Y65" s="125">
        <f>Y51-Y23</f>
        <v/>
      </c>
    </row>
    <row r="66" hidden="1" s="113">
      <c r="C66" s="71" t="inlineStr">
        <is>
          <t>0914 集計</t>
        </is>
      </c>
      <c r="D66" s="40" t="inlineStr">
        <is>
          <t>白根主任</t>
        </is>
      </c>
      <c r="E66" s="2">
        <f>E52-E24</f>
        <v/>
      </c>
      <c r="F66" s="2">
        <f>F52-F24</f>
        <v/>
      </c>
      <c r="G66" s="2">
        <f>G52-G24</f>
        <v/>
      </c>
      <c r="H66" s="2">
        <f>H52-H24</f>
        <v/>
      </c>
      <c r="I66" s="2">
        <f>I52-I24</f>
        <v/>
      </c>
      <c r="J66" s="2">
        <f>J52-J24</f>
        <v/>
      </c>
      <c r="K66" s="79">
        <f>SUM(E66:J66)</f>
        <v/>
      </c>
      <c r="L66" s="1">
        <f>L52-L24</f>
        <v/>
      </c>
      <c r="M66" s="2">
        <f>M52-M24</f>
        <v/>
      </c>
      <c r="N66" s="2">
        <f>N52-N24</f>
        <v/>
      </c>
      <c r="O66" s="2">
        <f>O52-O24</f>
        <v/>
      </c>
      <c r="P66" s="2">
        <f>P52-P24</f>
        <v/>
      </c>
      <c r="Q66" s="2">
        <f>Q52-Q24</f>
        <v/>
      </c>
      <c r="R66" s="73">
        <f>SUM(L66:Q66)</f>
        <v/>
      </c>
      <c r="S66" s="123">
        <f>S52-S24</f>
        <v/>
      </c>
      <c r="T66" s="124">
        <f>T52-T24</f>
        <v/>
      </c>
      <c r="U66" s="124">
        <f>U52-U24</f>
        <v/>
      </c>
      <c r="V66" s="124">
        <f>V52-V24</f>
        <v/>
      </c>
      <c r="W66" s="124">
        <f>W52-W24</f>
        <v/>
      </c>
      <c r="X66" s="124">
        <f>X52-X24</f>
        <v/>
      </c>
      <c r="Y66" s="125">
        <f>Y52-Y24</f>
        <v/>
      </c>
    </row>
    <row r="67" hidden="1" s="113">
      <c r="C67" s="71" t="inlineStr">
        <is>
          <t>0918 集計</t>
        </is>
      </c>
      <c r="D67" s="69" t="inlineStr">
        <is>
          <t>海外</t>
        </is>
      </c>
      <c r="E67" s="2">
        <f>E53-E25</f>
        <v/>
      </c>
      <c r="F67" s="2">
        <f>F53-F25</f>
        <v/>
      </c>
      <c r="G67" s="2">
        <f>G53-G25</f>
        <v/>
      </c>
      <c r="H67" s="2">
        <f>H53-H25</f>
        <v/>
      </c>
      <c r="I67" s="2">
        <f>I53-I25</f>
        <v/>
      </c>
      <c r="J67" s="2">
        <f>J53-J25</f>
        <v/>
      </c>
      <c r="K67" s="79">
        <f>SUM(E67:J67)</f>
        <v/>
      </c>
      <c r="L67" s="1">
        <f>L53-L25</f>
        <v/>
      </c>
      <c r="M67" s="2">
        <f>M53-M25</f>
        <v/>
      </c>
      <c r="N67" s="2">
        <f>N53-N25</f>
        <v/>
      </c>
      <c r="O67" s="2">
        <f>O53-O25</f>
        <v/>
      </c>
      <c r="P67" s="2">
        <f>P53-P25</f>
        <v/>
      </c>
      <c r="Q67" s="2">
        <f>Q53-Q25</f>
        <v/>
      </c>
      <c r="R67" s="73">
        <f>SUM(L67:Q67)</f>
        <v/>
      </c>
      <c r="S67" s="123">
        <f>S53-S25</f>
        <v/>
      </c>
      <c r="T67" s="124">
        <f>T53-T25</f>
        <v/>
      </c>
      <c r="U67" s="124">
        <f>U53-U25</f>
        <v/>
      </c>
      <c r="V67" s="124">
        <f>V53-V25</f>
        <v/>
      </c>
      <c r="W67" s="124">
        <f>W53-W25</f>
        <v/>
      </c>
      <c r="X67" s="124">
        <f>X53-X25</f>
        <v/>
      </c>
      <c r="Y67" s="125">
        <f>Y53-Y25</f>
        <v/>
      </c>
    </row>
    <row r="68" hidden="1" s="113">
      <c r="C68" s="71" t="inlineStr">
        <is>
          <t>0919 集計</t>
        </is>
      </c>
      <c r="D68" s="69" t="inlineStr">
        <is>
          <t>その他</t>
        </is>
      </c>
      <c r="E68" s="2">
        <f>E54-E26</f>
        <v/>
      </c>
      <c r="F68" s="2">
        <f>F54-F26</f>
        <v/>
      </c>
      <c r="G68" s="2">
        <f>G54-G26</f>
        <v/>
      </c>
      <c r="H68" s="2">
        <f>H54-H26</f>
        <v/>
      </c>
      <c r="I68" s="2">
        <f>I54-I26</f>
        <v/>
      </c>
      <c r="J68" s="2">
        <f>J54-J26</f>
        <v/>
      </c>
      <c r="K68" s="79">
        <f>SUM(E68:J68)</f>
        <v/>
      </c>
      <c r="L68" s="1">
        <f>L54-L26</f>
        <v/>
      </c>
      <c r="M68" s="2">
        <f>M54-M26</f>
        <v/>
      </c>
      <c r="N68" s="2">
        <f>N54-N26</f>
        <v/>
      </c>
      <c r="O68" s="2">
        <f>O54-O26</f>
        <v/>
      </c>
      <c r="P68" s="2">
        <f>P54-P26</f>
        <v/>
      </c>
      <c r="Q68" s="2">
        <f>Q54-Q26</f>
        <v/>
      </c>
      <c r="R68" s="73">
        <f>SUM(L68:Q68)</f>
        <v/>
      </c>
      <c r="S68" s="123">
        <f>S54-S26</f>
        <v/>
      </c>
      <c r="T68" s="124">
        <f>T54-T26</f>
        <v/>
      </c>
      <c r="U68" s="124">
        <f>U54-U26</f>
        <v/>
      </c>
      <c r="V68" s="124">
        <f>V54-V26</f>
        <v/>
      </c>
      <c r="W68" s="124">
        <f>W54-W26</f>
        <v/>
      </c>
      <c r="X68" s="124">
        <f>X54-X26</f>
        <v/>
      </c>
      <c r="Y68" s="125">
        <f>Y54-Y26</f>
        <v/>
      </c>
    </row>
    <row r="69" hidden="1" s="113">
      <c r="C69" s="71" t="inlineStr">
        <is>
          <t>0930 集計</t>
        </is>
      </c>
      <c r="D69" s="69" t="inlineStr">
        <is>
          <t>自治体</t>
        </is>
      </c>
      <c r="E69" s="2">
        <f>E55-E27</f>
        <v/>
      </c>
      <c r="F69" s="2">
        <f>F55-F27</f>
        <v/>
      </c>
      <c r="G69" s="2">
        <f>G55-G27</f>
        <v/>
      </c>
      <c r="H69" s="2">
        <f>H55-H27</f>
        <v/>
      </c>
      <c r="I69" s="2">
        <f>I55-I27</f>
        <v/>
      </c>
      <c r="J69" s="2">
        <f>J55-J27</f>
        <v/>
      </c>
      <c r="K69" s="79">
        <f>SUM(E69:J69)</f>
        <v/>
      </c>
      <c r="L69" s="1">
        <f>L55-L27</f>
        <v/>
      </c>
      <c r="M69" s="2">
        <f>M55-M27</f>
        <v/>
      </c>
      <c r="N69" s="2">
        <f>N55-N27</f>
        <v/>
      </c>
      <c r="O69" s="2">
        <f>O55-O27</f>
        <v/>
      </c>
      <c r="P69" s="2">
        <f>P55-P27</f>
        <v/>
      </c>
      <c r="Q69" s="2">
        <f>Q55-Q27</f>
        <v/>
      </c>
      <c r="R69" s="73">
        <f>SUM(L69:Q69)</f>
        <v/>
      </c>
      <c r="S69" s="123">
        <f>S55-S27</f>
        <v/>
      </c>
      <c r="T69" s="124">
        <f>T55-T27</f>
        <v/>
      </c>
      <c r="U69" s="124">
        <f>U55-U27</f>
        <v/>
      </c>
      <c r="V69" s="124">
        <f>V55-V27</f>
        <v/>
      </c>
      <c r="W69" s="124">
        <f>W55-W27</f>
        <v/>
      </c>
      <c r="X69" s="124">
        <f>X55-X27</f>
        <v/>
      </c>
      <c r="Y69" s="125">
        <f>Y55-Y27</f>
        <v/>
      </c>
    </row>
    <row r="70" hidden="1" s="113">
      <c r="C70" s="3" t="inlineStr">
        <is>
          <t>合計</t>
        </is>
      </c>
      <c r="D70" s="70" t="n"/>
      <c r="E70" s="74">
        <f>SUM(E61:E69)</f>
        <v/>
      </c>
      <c r="F70" s="63">
        <f>SUM(F61:F69)</f>
        <v/>
      </c>
      <c r="G70" s="63">
        <f>SUM(G61:G69)</f>
        <v/>
      </c>
      <c r="H70" s="63">
        <f>SUM(H61:H69)</f>
        <v/>
      </c>
      <c r="I70" s="63">
        <f>SUM(I61:I69)</f>
        <v/>
      </c>
      <c r="J70" s="63">
        <f>SUM(J61:J69)</f>
        <v/>
      </c>
      <c r="K70" s="75">
        <f>SUM(K61:K69)</f>
        <v/>
      </c>
      <c r="L70" s="74">
        <f>SUM(L61:L69)</f>
        <v/>
      </c>
      <c r="M70" s="63">
        <f>SUM(M61:M69)</f>
        <v/>
      </c>
      <c r="N70" s="63">
        <f>SUM(N61:N69)</f>
        <v/>
      </c>
      <c r="O70" s="63">
        <f>SUM(O61:O69)</f>
        <v/>
      </c>
      <c r="P70" s="63">
        <f>SUM(P61:P69)</f>
        <v/>
      </c>
      <c r="Q70" s="63">
        <f>SUM(Q61:Q69)</f>
        <v/>
      </c>
      <c r="R70" s="75">
        <f>SUM(R61:R69)</f>
        <v/>
      </c>
      <c r="S70" s="126">
        <f>S56-S28</f>
        <v/>
      </c>
      <c r="T70" s="127">
        <f>T56-T28</f>
        <v/>
      </c>
      <c r="U70" s="127">
        <f>U56-U28</f>
        <v/>
      </c>
      <c r="V70" s="127">
        <f>V56-V28</f>
        <v/>
      </c>
      <c r="W70" s="127">
        <f>W56-W28</f>
        <v/>
      </c>
      <c r="X70" s="127">
        <f>X56-X28</f>
        <v/>
      </c>
      <c r="Y70" s="128">
        <f>Y56-Y28</f>
        <v/>
      </c>
    </row>
    <row r="71" hidden="1" s="113"/>
    <row r="72" hidden="1" s="113">
      <c r="C72" s="6" t="inlineStr">
        <is>
          <t>6．過年度平均比</t>
        </is>
      </c>
    </row>
    <row r="73" hidden="1" s="113">
      <c r="C73" s="104" t="n"/>
      <c r="D73" s="106" t="n"/>
      <c r="E73" s="104" t="inlineStr">
        <is>
          <t>売上</t>
        </is>
      </c>
      <c r="F73" s="105" t="n"/>
      <c r="G73" s="105" t="n"/>
      <c r="H73" s="105" t="n"/>
      <c r="I73" s="105" t="n"/>
      <c r="J73" s="105" t="n"/>
      <c r="K73" s="106" t="n"/>
      <c r="L73" s="108" t="inlineStr">
        <is>
          <t>粗利益</t>
        </is>
      </c>
      <c r="M73" s="105" t="n"/>
      <c r="N73" s="105" t="n"/>
      <c r="O73" s="105" t="n"/>
      <c r="P73" s="105" t="n"/>
      <c r="Q73" s="105" t="n"/>
      <c r="R73" s="106" t="n"/>
      <c r="S73" s="108" t="inlineStr">
        <is>
          <t>粗利益率</t>
        </is>
      </c>
      <c r="T73" s="105" t="n"/>
      <c r="U73" s="105" t="n"/>
      <c r="V73" s="105" t="n"/>
      <c r="W73" s="105" t="n"/>
      <c r="X73" s="105" t="n"/>
      <c r="Y73" s="106" t="n"/>
    </row>
    <row r="74" hidden="1" s="113">
      <c r="C74" s="61" t="n"/>
      <c r="D74" s="68" t="n"/>
      <c r="E74" s="72" t="n">
        <v>46113</v>
      </c>
      <c r="F74" s="62" t="n">
        <v>46143</v>
      </c>
      <c r="G74" s="62" t="n">
        <v>46174</v>
      </c>
      <c r="H74" s="62" t="n">
        <v>46204</v>
      </c>
      <c r="I74" s="62" t="n">
        <v>46235</v>
      </c>
      <c r="J74" s="62" t="n">
        <v>46266</v>
      </c>
      <c r="K74" s="64" t="inlineStr">
        <is>
          <t>合計</t>
        </is>
      </c>
      <c r="L74" s="88" t="n">
        <v>46113</v>
      </c>
      <c r="M74" s="62" t="n">
        <v>46143</v>
      </c>
      <c r="N74" s="62" t="n">
        <v>46174</v>
      </c>
      <c r="O74" s="62" t="n">
        <v>46204</v>
      </c>
      <c r="P74" s="62" t="n">
        <v>46235</v>
      </c>
      <c r="Q74" s="62" t="n">
        <v>46266</v>
      </c>
      <c r="R74" s="64" t="inlineStr">
        <is>
          <t>合計</t>
        </is>
      </c>
      <c r="S74" s="88" t="n">
        <v>46113</v>
      </c>
      <c r="T74" s="62" t="n">
        <v>46143</v>
      </c>
      <c r="U74" s="62" t="n">
        <v>46174</v>
      </c>
      <c r="V74" s="62" t="n">
        <v>46204</v>
      </c>
      <c r="W74" s="62" t="n">
        <v>46235</v>
      </c>
      <c r="X74" s="62" t="n">
        <v>46266</v>
      </c>
      <c r="Y74" s="64" t="inlineStr">
        <is>
          <t>合計</t>
        </is>
      </c>
    </row>
    <row r="75" hidden="1" s="113">
      <c r="C75" s="71" t="inlineStr">
        <is>
          <t>0903 集計</t>
        </is>
      </c>
      <c r="D75" s="69" t="inlineStr">
        <is>
          <t>西岡</t>
        </is>
      </c>
      <c r="E75" s="2">
        <f>E47-E33</f>
        <v/>
      </c>
      <c r="F75" s="2">
        <f>F47-F33</f>
        <v/>
      </c>
      <c r="G75" s="2">
        <f>G47-G33</f>
        <v/>
      </c>
      <c r="H75" s="2">
        <f>H47-H33</f>
        <v/>
      </c>
      <c r="I75" s="2">
        <f>I47-I33</f>
        <v/>
      </c>
      <c r="J75" s="2">
        <f>J47-J33</f>
        <v/>
      </c>
      <c r="K75" s="79">
        <f>SUM(E75:J75)</f>
        <v/>
      </c>
      <c r="L75" s="1">
        <f>L47-L33</f>
        <v/>
      </c>
      <c r="M75" s="2">
        <f>M47-M33</f>
        <v/>
      </c>
      <c r="N75" s="2">
        <f>N47-N33</f>
        <v/>
      </c>
      <c r="O75" s="2">
        <f>O47-O33</f>
        <v/>
      </c>
      <c r="P75" s="2">
        <f>P47-P33</f>
        <v/>
      </c>
      <c r="Q75" s="2">
        <f>Q47-Q33</f>
        <v/>
      </c>
      <c r="R75" s="73">
        <f>SUM(L75:Q75)</f>
        <v/>
      </c>
      <c r="S75" s="123">
        <f>IF(E75=0,"***",L75/E75)</f>
        <v/>
      </c>
      <c r="T75" s="124">
        <f>IF(F75=0,"***",M75/F75)</f>
        <v/>
      </c>
      <c r="U75" s="124">
        <f>IF(G75=0,"***",N75/G75)</f>
        <v/>
      </c>
      <c r="V75" s="124">
        <f>IF(H75=0,"***",O75/H75)</f>
        <v/>
      </c>
      <c r="W75" s="124">
        <f>IF(I75=0,"***",P75/I75)</f>
        <v/>
      </c>
      <c r="X75" s="124">
        <f>IF(J75=0,"***",Q75/J75)</f>
        <v/>
      </c>
      <c r="Y75" s="125">
        <f>IF(K75=0,"***",R75/K75)</f>
        <v/>
      </c>
    </row>
    <row r="76" hidden="1" s="113">
      <c r="C76" s="71" t="inlineStr">
        <is>
          <t>0904 集計</t>
        </is>
      </c>
      <c r="D76" s="69" t="inlineStr">
        <is>
          <t>足立次長</t>
        </is>
      </c>
      <c r="E76" s="2">
        <f>E48-E34</f>
        <v/>
      </c>
      <c r="F76" s="2">
        <f>F48-F34</f>
        <v/>
      </c>
      <c r="G76" s="2">
        <f>G48-G34</f>
        <v/>
      </c>
      <c r="H76" s="2">
        <f>H48-H34</f>
        <v/>
      </c>
      <c r="I76" s="2">
        <f>I48-I34</f>
        <v/>
      </c>
      <c r="J76" s="2">
        <f>J48-J34</f>
        <v/>
      </c>
      <c r="K76" s="79">
        <f>SUM(E76:J76)</f>
        <v/>
      </c>
      <c r="L76" s="1">
        <f>L48-L34</f>
        <v/>
      </c>
      <c r="M76" s="2">
        <f>M48-M34</f>
        <v/>
      </c>
      <c r="N76" s="2">
        <f>N48-N34</f>
        <v/>
      </c>
      <c r="O76" s="2">
        <f>O48-O34</f>
        <v/>
      </c>
      <c r="P76" s="2">
        <f>P48-P34</f>
        <v/>
      </c>
      <c r="Q76" s="2">
        <f>Q48-Q34</f>
        <v/>
      </c>
      <c r="R76" s="73">
        <f>SUM(L76:Q76)</f>
        <v/>
      </c>
      <c r="S76" s="123">
        <f>IF(E76=0,"***",L76/E76)</f>
        <v/>
      </c>
      <c r="T76" s="124">
        <f>IF(F76=0,"***",M76/F76)</f>
        <v/>
      </c>
      <c r="U76" s="124">
        <f>IF(G76=0,"***",N76/G76)</f>
        <v/>
      </c>
      <c r="V76" s="124">
        <f>IF(H76=0,"***",O76/H76)</f>
        <v/>
      </c>
      <c r="W76" s="124">
        <f>IF(I76=0,"***",P76/I76)</f>
        <v/>
      </c>
      <c r="X76" s="124">
        <f>IF(J76=0,"***",Q76/J76)</f>
        <v/>
      </c>
      <c r="Y76" s="125">
        <f>IF(K76=0,"***",R76/K76)</f>
        <v/>
      </c>
    </row>
    <row r="77" hidden="1" s="113">
      <c r="C77" s="71" t="inlineStr">
        <is>
          <t>0909 集計</t>
        </is>
      </c>
      <c r="D77" s="69" t="inlineStr">
        <is>
          <t>藤波課長</t>
        </is>
      </c>
      <c r="E77" s="2">
        <f>E49-E35</f>
        <v/>
      </c>
      <c r="F77" s="2">
        <f>F49-F35</f>
        <v/>
      </c>
      <c r="G77" s="2">
        <f>G49-G35</f>
        <v/>
      </c>
      <c r="H77" s="2">
        <f>H49-H35</f>
        <v/>
      </c>
      <c r="I77" s="2">
        <f>I49-I35</f>
        <v/>
      </c>
      <c r="J77" s="2">
        <f>J49-J35</f>
        <v/>
      </c>
      <c r="K77" s="79">
        <f>SUM(E77:J77)</f>
        <v/>
      </c>
      <c r="L77" s="1">
        <f>L49-L35</f>
        <v/>
      </c>
      <c r="M77" s="2">
        <f>M49-M35</f>
        <v/>
      </c>
      <c r="N77" s="2">
        <f>N49-N35</f>
        <v/>
      </c>
      <c r="O77" s="2">
        <f>O49-O35</f>
        <v/>
      </c>
      <c r="P77" s="2">
        <f>P49-P35</f>
        <v/>
      </c>
      <c r="Q77" s="2">
        <f>Q49-Q35</f>
        <v/>
      </c>
      <c r="R77" s="73">
        <f>SUM(L77:Q77)</f>
        <v/>
      </c>
      <c r="S77" s="123">
        <f>IF(E77=0,"***",L77/E77)</f>
        <v/>
      </c>
      <c r="T77" s="124">
        <f>IF(F77=0,"***",M77/F77)</f>
        <v/>
      </c>
      <c r="U77" s="124">
        <f>IF(G77=0,"***",N77/G77)</f>
        <v/>
      </c>
      <c r="V77" s="124">
        <f>IF(H77=0,"***",O77/H77)</f>
        <v/>
      </c>
      <c r="W77" s="124">
        <f>IF(I77=0,"***",P77/I77)</f>
        <v/>
      </c>
      <c r="X77" s="124">
        <f>IF(J77=0,"***",Q77/J77)</f>
        <v/>
      </c>
      <c r="Y77" s="125">
        <f>IF(K77=0,"***",R77/K77)</f>
        <v/>
      </c>
    </row>
    <row r="78" hidden="1" s="113">
      <c r="C78" s="71" t="inlineStr">
        <is>
          <t>0910 集計</t>
        </is>
      </c>
      <c r="D78" s="69" t="inlineStr">
        <is>
          <t>足立課長</t>
        </is>
      </c>
      <c r="E78" s="2">
        <f>E50-E36</f>
        <v/>
      </c>
      <c r="F78" s="2">
        <f>F50-F36</f>
        <v/>
      </c>
      <c r="G78" s="2">
        <f>G50-G36</f>
        <v/>
      </c>
      <c r="H78" s="2">
        <f>H50-H36</f>
        <v/>
      </c>
      <c r="I78" s="2">
        <f>I50-I36</f>
        <v/>
      </c>
      <c r="J78" s="2">
        <f>J50-J36</f>
        <v/>
      </c>
      <c r="K78" s="79">
        <f>SUM(E78:J78)</f>
        <v/>
      </c>
      <c r="L78" s="1">
        <f>L50-L36</f>
        <v/>
      </c>
      <c r="M78" s="2">
        <f>M50-M36</f>
        <v/>
      </c>
      <c r="N78" s="2">
        <f>N50-N36</f>
        <v/>
      </c>
      <c r="O78" s="2">
        <f>O50-O36</f>
        <v/>
      </c>
      <c r="P78" s="2">
        <f>P50-P36</f>
        <v/>
      </c>
      <c r="Q78" s="2">
        <f>Q50-Q36</f>
        <v/>
      </c>
      <c r="R78" s="73">
        <f>SUM(L78:Q78)</f>
        <v/>
      </c>
      <c r="S78" s="123">
        <f>IF(E78=0,"***",L78/E78)</f>
        <v/>
      </c>
      <c r="T78" s="124">
        <f>IF(F78=0,"***",M78/F78)</f>
        <v/>
      </c>
      <c r="U78" s="124">
        <f>IF(G78=0,"***",N78/G78)</f>
        <v/>
      </c>
      <c r="V78" s="124">
        <f>IF(H78=0,"***",O78/H78)</f>
        <v/>
      </c>
      <c r="W78" s="124">
        <f>IF(I78=0,"***",P78/I78)</f>
        <v/>
      </c>
      <c r="X78" s="124">
        <f>IF(J78=0,"***",Q78/J78)</f>
        <v/>
      </c>
      <c r="Y78" s="125">
        <f>IF(K78=0,"***",R78/K78)</f>
        <v/>
      </c>
    </row>
    <row r="79" hidden="1" s="113">
      <c r="C79" s="71" t="inlineStr">
        <is>
          <t>0911 集計</t>
        </is>
      </c>
      <c r="D79" s="69" t="inlineStr">
        <is>
          <t>川邊主任</t>
        </is>
      </c>
      <c r="E79" s="2">
        <f>E51-E37</f>
        <v/>
      </c>
      <c r="F79" s="2">
        <f>F51-F37</f>
        <v/>
      </c>
      <c r="G79" s="2">
        <f>G51-G37</f>
        <v/>
      </c>
      <c r="H79" s="2">
        <f>H51-H37</f>
        <v/>
      </c>
      <c r="I79" s="2">
        <f>I51-I37</f>
        <v/>
      </c>
      <c r="J79" s="2">
        <f>J51-J37</f>
        <v/>
      </c>
      <c r="K79" s="79">
        <f>SUM(E79:J79)</f>
        <v/>
      </c>
      <c r="L79" s="1">
        <f>L51-L37</f>
        <v/>
      </c>
      <c r="M79" s="2">
        <f>M51-M37</f>
        <v/>
      </c>
      <c r="N79" s="2">
        <f>N51-N37</f>
        <v/>
      </c>
      <c r="O79" s="2">
        <f>O51-O37</f>
        <v/>
      </c>
      <c r="P79" s="2">
        <f>P51-P37</f>
        <v/>
      </c>
      <c r="Q79" s="2">
        <f>Q51-Q37</f>
        <v/>
      </c>
      <c r="R79" s="73">
        <f>SUM(L79:Q79)</f>
        <v/>
      </c>
      <c r="S79" s="123">
        <f>IF(E79=0,"***",L79/E79)</f>
        <v/>
      </c>
      <c r="T79" s="124">
        <f>IF(F79=0,"***",M79/F79)</f>
        <v/>
      </c>
      <c r="U79" s="124">
        <f>IF(G79=0,"***",N79/G79)</f>
        <v/>
      </c>
      <c r="V79" s="124">
        <f>IF(H79=0,"***",O79/H79)</f>
        <v/>
      </c>
      <c r="W79" s="124">
        <f>IF(I79=0,"***",P79/I79)</f>
        <v/>
      </c>
      <c r="X79" s="124">
        <f>IF(J79=0,"***",Q79/J79)</f>
        <v/>
      </c>
      <c r="Y79" s="125">
        <f>IF(K79=0,"***",R79/K79)</f>
        <v/>
      </c>
    </row>
    <row r="80" hidden="1" s="113">
      <c r="C80" s="71" t="inlineStr">
        <is>
          <t>0914 集計</t>
        </is>
      </c>
      <c r="D80" s="40" t="inlineStr">
        <is>
          <t>白根主任</t>
        </is>
      </c>
      <c r="E80" s="2">
        <f>E52-E38</f>
        <v/>
      </c>
      <c r="F80" s="2">
        <f>F52-F38</f>
        <v/>
      </c>
      <c r="G80" s="2">
        <f>G52-G38</f>
        <v/>
      </c>
      <c r="H80" s="2">
        <f>H52-H38</f>
        <v/>
      </c>
      <c r="I80" s="2">
        <f>I52-I38</f>
        <v/>
      </c>
      <c r="J80" s="2">
        <f>J52-J38</f>
        <v/>
      </c>
      <c r="K80" s="79">
        <f>SUM(E80:J80)</f>
        <v/>
      </c>
      <c r="L80" s="1">
        <f>L52-L38</f>
        <v/>
      </c>
      <c r="M80" s="2">
        <f>M52-M38</f>
        <v/>
      </c>
      <c r="N80" s="2">
        <f>N52-N38</f>
        <v/>
      </c>
      <c r="O80" s="2">
        <f>O52-O38</f>
        <v/>
      </c>
      <c r="P80" s="2">
        <f>P52-P38</f>
        <v/>
      </c>
      <c r="Q80" s="2">
        <f>Q52-Q38</f>
        <v/>
      </c>
      <c r="R80" s="73">
        <f>SUM(L80:Q80)</f>
        <v/>
      </c>
      <c r="S80" s="123">
        <f>IF(E80=0,"***",L80/E80)</f>
        <v/>
      </c>
      <c r="T80" s="124">
        <f>IF(F80=0,"***",M80/F80)</f>
        <v/>
      </c>
      <c r="U80" s="124">
        <f>IF(G80=0,"***",N80/G80)</f>
        <v/>
      </c>
      <c r="V80" s="124">
        <f>IF(H80=0,"***",O80/H80)</f>
        <v/>
      </c>
      <c r="W80" s="124">
        <f>IF(I80=0,"***",P80/I80)</f>
        <v/>
      </c>
      <c r="X80" s="124">
        <f>IF(J80=0,"***",Q80/J80)</f>
        <v/>
      </c>
      <c r="Y80" s="125">
        <f>IF(K80=0,"***",R80/K80)</f>
        <v/>
      </c>
    </row>
    <row r="81" hidden="1" s="113">
      <c r="C81" s="71" t="inlineStr">
        <is>
          <t>0918 集計</t>
        </is>
      </c>
      <c r="D81" s="69" t="inlineStr">
        <is>
          <t>海外</t>
        </is>
      </c>
      <c r="E81" s="2">
        <f>E53-E39</f>
        <v/>
      </c>
      <c r="F81" s="2">
        <f>F53-F39</f>
        <v/>
      </c>
      <c r="G81" s="2">
        <f>G53-G39</f>
        <v/>
      </c>
      <c r="H81" s="2">
        <f>H53-H39</f>
        <v/>
      </c>
      <c r="I81" s="2">
        <f>I53-I39</f>
        <v/>
      </c>
      <c r="J81" s="2">
        <f>J53-J39</f>
        <v/>
      </c>
      <c r="K81" s="79">
        <f>SUM(E81:J81)</f>
        <v/>
      </c>
      <c r="L81" s="1">
        <f>L53-L39</f>
        <v/>
      </c>
      <c r="M81" s="2">
        <f>M53-M39</f>
        <v/>
      </c>
      <c r="N81" s="2">
        <f>N53-N39</f>
        <v/>
      </c>
      <c r="O81" s="2">
        <f>O53-O39</f>
        <v/>
      </c>
      <c r="P81" s="2">
        <f>P53-P39</f>
        <v/>
      </c>
      <c r="Q81" s="2">
        <f>Q53-Q39</f>
        <v/>
      </c>
      <c r="R81" s="73">
        <f>SUM(L81:Q81)</f>
        <v/>
      </c>
      <c r="S81" s="123">
        <f>IF(E81=0,"***",L81/E81)</f>
        <v/>
      </c>
      <c r="T81" s="124">
        <f>IF(F81=0,"***",M81/F81)</f>
        <v/>
      </c>
      <c r="U81" s="124">
        <f>IF(G81=0,"***",N81/G81)</f>
        <v/>
      </c>
      <c r="V81" s="124">
        <f>IF(H81=0,"***",O81/H81)</f>
        <v/>
      </c>
      <c r="W81" s="124">
        <f>IF(I81=0,"***",P81/I81)</f>
        <v/>
      </c>
      <c r="X81" s="124">
        <f>IF(J81=0,"***",Q81/J81)</f>
        <v/>
      </c>
      <c r="Y81" s="125">
        <f>IF(K81=0,"***",R81/K81)</f>
        <v/>
      </c>
    </row>
    <row r="82" hidden="1" s="113">
      <c r="C82" s="71" t="inlineStr">
        <is>
          <t>0919 集計</t>
        </is>
      </c>
      <c r="D82" s="69" t="inlineStr">
        <is>
          <t>その他</t>
        </is>
      </c>
      <c r="E82" s="2">
        <f>E54-E40</f>
        <v/>
      </c>
      <c r="F82" s="2">
        <f>F54-F40</f>
        <v/>
      </c>
      <c r="G82" s="2">
        <f>G54-G40</f>
        <v/>
      </c>
      <c r="H82" s="2">
        <f>H54-H40</f>
        <v/>
      </c>
      <c r="I82" s="2">
        <f>I54-I40</f>
        <v/>
      </c>
      <c r="J82" s="2">
        <f>J54-J40</f>
        <v/>
      </c>
      <c r="K82" s="79">
        <f>SUM(E82:J82)</f>
        <v/>
      </c>
      <c r="L82" s="1">
        <f>L54-L40</f>
        <v/>
      </c>
      <c r="M82" s="2">
        <f>M54-M40</f>
        <v/>
      </c>
      <c r="N82" s="2">
        <f>N54-N40</f>
        <v/>
      </c>
      <c r="O82" s="2">
        <f>O54-O40</f>
        <v/>
      </c>
      <c r="P82" s="2">
        <f>P54-P40</f>
        <v/>
      </c>
      <c r="Q82" s="2">
        <f>Q54-Q40</f>
        <v/>
      </c>
      <c r="R82" s="73">
        <f>SUM(L82:Q82)</f>
        <v/>
      </c>
      <c r="S82" s="123">
        <f>IF(E82=0,"***",L82/E82)</f>
        <v/>
      </c>
      <c r="T82" s="124">
        <f>IF(F82=0,"***",M82/F82)</f>
        <v/>
      </c>
      <c r="U82" s="124">
        <f>IF(G82=0,"***",N82/G82)</f>
        <v/>
      </c>
      <c r="V82" s="124">
        <f>IF(H82=0,"***",O82/H82)</f>
        <v/>
      </c>
      <c r="W82" s="124">
        <f>IF(I82=0,"***",P82/I82)</f>
        <v/>
      </c>
      <c r="X82" s="124">
        <f>IF(J82=0,"***",Q82/J82)</f>
        <v/>
      </c>
      <c r="Y82" s="125">
        <f>IF(K82=0,"***",R82/K82)</f>
        <v/>
      </c>
    </row>
    <row r="83" hidden="1" s="113">
      <c r="C83" s="71" t="inlineStr">
        <is>
          <t>0930 集計</t>
        </is>
      </c>
      <c r="D83" s="69" t="inlineStr">
        <is>
          <t>自治体</t>
        </is>
      </c>
      <c r="E83" s="86" t="n"/>
      <c r="F83" s="2">
        <f>F55-F41</f>
        <v/>
      </c>
      <c r="G83" s="2">
        <f>G55-G41</f>
        <v/>
      </c>
      <c r="H83" s="2">
        <f>H55-H41</f>
        <v/>
      </c>
      <c r="I83" s="2">
        <f>I55-I41</f>
        <v/>
      </c>
      <c r="J83" s="2">
        <f>J55-J41</f>
        <v/>
      </c>
      <c r="K83" s="79">
        <f>SUM(E83:J83)</f>
        <v/>
      </c>
      <c r="L83" s="1">
        <f>L55-L41</f>
        <v/>
      </c>
      <c r="M83" s="2">
        <f>M55-M41</f>
        <v/>
      </c>
      <c r="N83" s="2">
        <f>N55-N41</f>
        <v/>
      </c>
      <c r="O83" s="2">
        <f>O55-O41</f>
        <v/>
      </c>
      <c r="P83" s="2">
        <f>P55-P41</f>
        <v/>
      </c>
      <c r="Q83" s="2">
        <f>Q55-Q41</f>
        <v/>
      </c>
      <c r="R83" s="73">
        <f>SUM(L83:Q83)</f>
        <v/>
      </c>
      <c r="S83" s="123">
        <f>IF(E83=0,"***",L83/E83)</f>
        <v/>
      </c>
      <c r="T83" s="124">
        <f>IF(F83=0,"***",M83/F83)</f>
        <v/>
      </c>
      <c r="U83" s="124">
        <f>IF(G83=0,"***",N83/G83)</f>
        <v/>
      </c>
      <c r="V83" s="124">
        <f>IF(H83=0,"***",O83/H83)</f>
        <v/>
      </c>
      <c r="W83" s="124">
        <f>IF(I83=0,"***",P83/I83)</f>
        <v/>
      </c>
      <c r="X83" s="124">
        <f>IF(J83=0,"***",Q83/J83)</f>
        <v/>
      </c>
      <c r="Y83" s="125">
        <f>IF(K83=0,"***",R83/K83)</f>
        <v/>
      </c>
    </row>
    <row r="84" hidden="1" s="113">
      <c r="C84" s="3" t="inlineStr">
        <is>
          <t>合計</t>
        </is>
      </c>
      <c r="D84" s="70" t="n"/>
      <c r="E84" s="74">
        <f>SUM(E75:E83)</f>
        <v/>
      </c>
      <c r="F84" s="63">
        <f>SUM(F75:F83)</f>
        <v/>
      </c>
      <c r="G84" s="63">
        <f>SUM(G75:G83)</f>
        <v/>
      </c>
      <c r="H84" s="63">
        <f>SUM(H75:H83)</f>
        <v/>
      </c>
      <c r="I84" s="63">
        <f>SUM(I75:I83)</f>
        <v/>
      </c>
      <c r="J84" s="63">
        <f>SUM(J75:J83)</f>
        <v/>
      </c>
      <c r="K84" s="75">
        <f>SUM(K75:K83)</f>
        <v/>
      </c>
      <c r="L84" s="74">
        <f>SUM(L75:L83)</f>
        <v/>
      </c>
      <c r="M84" s="63">
        <f>SUM(M75:M83)</f>
        <v/>
      </c>
      <c r="N84" s="63">
        <f>SUM(N75:N83)</f>
        <v/>
      </c>
      <c r="O84" s="63">
        <f>SUM(O75:O83)</f>
        <v/>
      </c>
      <c r="P84" s="63">
        <f>SUM(P75:P83)</f>
        <v/>
      </c>
      <c r="Q84" s="63">
        <f>SUM(Q75:Q83)</f>
        <v/>
      </c>
      <c r="R84" s="75">
        <f>SUM(R75:R83)</f>
        <v/>
      </c>
      <c r="S84" s="126">
        <f>IF(E84=0,"***",L84/E84)</f>
        <v/>
      </c>
      <c r="T84" s="127">
        <f>IF(F84=0,"***",M84/F84)</f>
        <v/>
      </c>
      <c r="U84" s="127">
        <f>IF(G84=0,"***",N84/G84)</f>
        <v/>
      </c>
      <c r="V84" s="127">
        <f>IF(H84=0,"***",O84/H84)</f>
        <v/>
      </c>
      <c r="W84" s="127">
        <f>IF(I84=0,"***",P84/I84)</f>
        <v/>
      </c>
      <c r="X84" s="127">
        <f>IF(J84=0,"***",Q84/J84)</f>
        <v/>
      </c>
      <c r="Y84" s="128">
        <f>IF(K84=0,"***",R84/K84)</f>
        <v/>
      </c>
    </row>
    <row r="85">
      <c r="C85" s="6" t="n"/>
      <c r="E85" s="5" t="n"/>
      <c r="F85" s="5" t="n"/>
      <c r="G85" s="5" t="n"/>
      <c r="H85" s="5" t="n"/>
      <c r="I85" s="5" t="n"/>
      <c r="J85" s="5" t="n"/>
      <c r="K85" s="6" t="n"/>
      <c r="L85" s="5" t="n"/>
      <c r="M85" s="5" t="n"/>
      <c r="N85" s="5" t="n"/>
      <c r="O85" s="5" t="n"/>
      <c r="P85" s="5" t="n"/>
      <c r="Q85" s="5" t="n"/>
      <c r="R85" s="6" t="n"/>
      <c r="S85" s="129" t="n"/>
      <c r="T85" s="129" t="n"/>
      <c r="U85" s="129" t="n"/>
      <c r="V85" s="129" t="n"/>
      <c r="W85" s="129" t="n"/>
      <c r="X85" s="129" t="n"/>
      <c r="Y85" s="129" t="n"/>
    </row>
    <row r="86">
      <c r="C86" s="6" t="inlineStr">
        <is>
          <t>7．実績</t>
        </is>
      </c>
    </row>
    <row r="87">
      <c r="C87" s="104" t="n"/>
      <c r="D87" s="106" t="n"/>
      <c r="E87" s="104" t="inlineStr">
        <is>
          <t>売上</t>
        </is>
      </c>
      <c r="F87" s="105" t="n"/>
      <c r="G87" s="105" t="n"/>
      <c r="H87" s="105" t="n"/>
      <c r="I87" s="105" t="n"/>
      <c r="J87" s="105" t="n"/>
      <c r="K87" s="106" t="n"/>
      <c r="L87" s="108" t="inlineStr">
        <is>
          <t>粗利益</t>
        </is>
      </c>
      <c r="M87" s="105" t="n"/>
      <c r="N87" s="105" t="n"/>
      <c r="O87" s="105" t="n"/>
      <c r="P87" s="105" t="n"/>
      <c r="Q87" s="105" t="n"/>
      <c r="R87" s="106" t="n"/>
      <c r="S87" s="108" t="inlineStr">
        <is>
          <t>粗利益率</t>
        </is>
      </c>
      <c r="T87" s="105" t="n"/>
      <c r="U87" s="105" t="n"/>
      <c r="V87" s="105" t="n"/>
      <c r="W87" s="105" t="n"/>
      <c r="X87" s="105" t="n"/>
      <c r="Y87" s="106" t="n"/>
    </row>
    <row r="88">
      <c r="C88" s="61" t="n"/>
      <c r="D88" s="68" t="n"/>
      <c r="E88" s="72" t="n">
        <v>46113</v>
      </c>
      <c r="F88" s="62" t="n">
        <v>46143</v>
      </c>
      <c r="G88" s="62" t="n">
        <v>46174</v>
      </c>
      <c r="H88" s="62" t="n">
        <v>46204</v>
      </c>
      <c r="I88" s="62" t="n">
        <v>46235</v>
      </c>
      <c r="J88" s="62" t="n">
        <v>46266</v>
      </c>
      <c r="K88" s="64" t="inlineStr">
        <is>
          <t>合計</t>
        </is>
      </c>
      <c r="L88" s="88" t="n">
        <v>46113</v>
      </c>
      <c r="M88" s="62" t="n">
        <v>46143</v>
      </c>
      <c r="N88" s="62" t="n">
        <v>46174</v>
      </c>
      <c r="O88" s="62" t="n">
        <v>46204</v>
      </c>
      <c r="P88" s="62" t="n">
        <v>46235</v>
      </c>
      <c r="Q88" s="62" t="n">
        <v>46266</v>
      </c>
      <c r="R88" s="64" t="inlineStr">
        <is>
          <t>合計</t>
        </is>
      </c>
      <c r="S88" s="88" t="n">
        <v>46113</v>
      </c>
      <c r="T88" s="62" t="n">
        <v>46143</v>
      </c>
      <c r="U88" s="62" t="n">
        <v>46174</v>
      </c>
      <c r="V88" s="62" t="n">
        <v>46204</v>
      </c>
      <c r="W88" s="62" t="n">
        <v>46235</v>
      </c>
      <c r="X88" s="62" t="n">
        <v>46266</v>
      </c>
      <c r="Y88" s="64" t="inlineStr">
        <is>
          <t>合計</t>
        </is>
      </c>
    </row>
    <row r="89" customFormat="1" s="43">
      <c r="C89" s="71" t="inlineStr">
        <is>
          <t>0903 集計</t>
        </is>
      </c>
      <c r="D89" s="69" t="inlineStr">
        <is>
          <t>西岡</t>
        </is>
      </c>
      <c r="E89" s="41" t="n">
        <v>2546.443</v>
      </c>
      <c r="F89" s="41" t="n">
        <v>3731.251</v>
      </c>
      <c r="G89" s="41" t="n">
        <v>2209.745</v>
      </c>
      <c r="H89" s="80" t="n">
        <v>4001.158</v>
      </c>
      <c r="I89" s="80" t="n">
        <v>1726.807</v>
      </c>
      <c r="J89" s="41" t="n">
        <v>3718.586</v>
      </c>
      <c r="K89" s="50">
        <f>SUM(E89:J89)</f>
        <v/>
      </c>
      <c r="L89" s="57" t="n">
        <v>520.126</v>
      </c>
      <c r="M89" s="41" t="n">
        <v>686.299</v>
      </c>
      <c r="N89" s="41" t="n">
        <v>427.57</v>
      </c>
      <c r="O89" s="80" t="n">
        <v>843.943</v>
      </c>
      <c r="P89" s="80" t="n">
        <v>465.365</v>
      </c>
      <c r="Q89" s="41" t="n">
        <v>883.3496</v>
      </c>
      <c r="R89" s="52">
        <f>SUM(L89:Q89)</f>
        <v/>
      </c>
      <c r="S89" s="138">
        <f>IF(E89=0,"***",L89/E89)</f>
        <v/>
      </c>
      <c r="T89" s="139">
        <f>IF(F89=0,"***",M89/F89)</f>
        <v/>
      </c>
      <c r="U89" s="139">
        <f>IF(G89=0,"***",N89/G89)</f>
        <v/>
      </c>
      <c r="V89" s="139">
        <f>IF(H89=0,"***",O89/H89)</f>
        <v/>
      </c>
      <c r="W89" s="139">
        <f>IF(I89=0,"***",P89/I89)</f>
        <v/>
      </c>
      <c r="X89" s="139">
        <f>IF(J89=0,"***",Q89/J89)</f>
        <v/>
      </c>
      <c r="Y89" s="140">
        <f>IF(K89=0,"***",R89/K89)</f>
        <v/>
      </c>
    </row>
    <row r="90" customFormat="1" s="43">
      <c r="C90" s="71" t="inlineStr">
        <is>
          <t>0904 集計</t>
        </is>
      </c>
      <c r="D90" s="69" t="inlineStr">
        <is>
          <t>足立次長</t>
        </is>
      </c>
      <c r="E90" s="41" t="n">
        <v>11819.231</v>
      </c>
      <c r="F90" s="41" t="n">
        <v>11379.324</v>
      </c>
      <c r="G90" s="41" t="n">
        <v>11256.487</v>
      </c>
      <c r="H90" s="80" t="n">
        <v>16574.086</v>
      </c>
      <c r="I90" s="80" t="n">
        <v>13005.837</v>
      </c>
      <c r="J90" s="41" t="n">
        <v>11997.104</v>
      </c>
      <c r="K90" s="50">
        <f>SUM(E90:J90)</f>
        <v/>
      </c>
      <c r="L90" s="57" t="n">
        <v>2340.125</v>
      </c>
      <c r="M90" s="41" t="n">
        <v>2453.784</v>
      </c>
      <c r="N90" s="41" t="n">
        <v>2520.689</v>
      </c>
      <c r="O90" s="80" t="n">
        <v>3142.911</v>
      </c>
      <c r="P90" s="80" t="n">
        <v>2594.545</v>
      </c>
      <c r="Q90" s="41" t="n">
        <v>2485.751</v>
      </c>
      <c r="R90" s="52">
        <f>SUM(L90:Q90)</f>
        <v/>
      </c>
      <c r="S90" s="138">
        <f>IF(E90=0,"***",L90/E90)</f>
        <v/>
      </c>
      <c r="T90" s="139">
        <f>IF(F90=0,"***",M90/F90)</f>
        <v/>
      </c>
      <c r="U90" s="139">
        <f>IF(G90=0,"***",N90/G90)</f>
        <v/>
      </c>
      <c r="V90" s="139">
        <f>IF(H90=0,"***",O90/H90)</f>
        <v/>
      </c>
      <c r="W90" s="139">
        <f>IF(I90=0,"***",P90/I90)</f>
        <v/>
      </c>
      <c r="X90" s="139">
        <f>IF(J90=0,"***",Q90/J90)</f>
        <v/>
      </c>
      <c r="Y90" s="140">
        <f>IF(K90=0,"***",R90/K90)</f>
        <v/>
      </c>
    </row>
    <row r="91" customFormat="1" s="43">
      <c r="C91" s="71" t="inlineStr">
        <is>
          <t>0909 集計</t>
        </is>
      </c>
      <c r="D91" s="69" t="inlineStr">
        <is>
          <t>藤波課長</t>
        </is>
      </c>
      <c r="E91" s="41" t="n">
        <v>6431.527</v>
      </c>
      <c r="F91" s="41" t="n">
        <v>11141</v>
      </c>
      <c r="G91" s="41" t="n">
        <v>28205.688</v>
      </c>
      <c r="H91" s="80" t="n">
        <v>9716.294</v>
      </c>
      <c r="I91" s="80" t="n">
        <v>8694.421</v>
      </c>
      <c r="J91" s="41" t="n">
        <v>14951.556</v>
      </c>
      <c r="K91" s="50">
        <f>SUM(E91:J91)</f>
        <v/>
      </c>
      <c r="L91" s="57" t="n">
        <v>1088.606</v>
      </c>
      <c r="M91" s="41" t="n">
        <v>2462</v>
      </c>
      <c r="N91" s="41" t="n">
        <v>6703.305</v>
      </c>
      <c r="O91" s="80" t="n">
        <v>1815.052</v>
      </c>
      <c r="P91" s="80" t="n">
        <v>1564.721</v>
      </c>
      <c r="Q91" s="41" t="n">
        <v>2864.973</v>
      </c>
      <c r="R91" s="52">
        <f>SUM(L91:Q91)</f>
        <v/>
      </c>
      <c r="S91" s="138">
        <f>IF(E91=0,"***",L91/E91)</f>
        <v/>
      </c>
      <c r="T91" s="139">
        <f>IF(F91=0,"***",M91/F91)</f>
        <v/>
      </c>
      <c r="U91" s="139">
        <f>IF(G91=0,"***",N91/G91)</f>
        <v/>
      </c>
      <c r="V91" s="139">
        <f>IF(H91=0,"***",O91/H91)</f>
        <v/>
      </c>
      <c r="W91" s="139">
        <f>IF(I91=0,"***",P91/I91)</f>
        <v/>
      </c>
      <c r="X91" s="139">
        <f>IF(J91=0,"***",Q91/J91)</f>
        <v/>
      </c>
      <c r="Y91" s="140">
        <f>IF(K91=0,"***",R91/K91)</f>
        <v/>
      </c>
    </row>
    <row r="92" customFormat="1" s="43">
      <c r="C92" s="71" t="inlineStr">
        <is>
          <t>0910 集計</t>
        </is>
      </c>
      <c r="D92" s="69" t="inlineStr">
        <is>
          <t>足立課長</t>
        </is>
      </c>
      <c r="E92" s="41" t="n">
        <v>4172.414</v>
      </c>
      <c r="F92" s="41" t="n">
        <v>2185.112</v>
      </c>
      <c r="G92" s="41" t="n">
        <v>2680.001</v>
      </c>
      <c r="H92" s="80" t="n">
        <v>0</v>
      </c>
      <c r="I92" s="80" t="n">
        <v>0</v>
      </c>
      <c r="J92" s="41" t="n">
        <v>0</v>
      </c>
      <c r="K92" s="50">
        <f>SUM(E92:J92)</f>
        <v/>
      </c>
      <c r="L92" s="57" t="n">
        <v>817.802</v>
      </c>
      <c r="M92" s="41" t="n">
        <v>516.576</v>
      </c>
      <c r="N92" s="41" t="n">
        <v>508.359</v>
      </c>
      <c r="O92" s="80" t="n">
        <v>0</v>
      </c>
      <c r="P92" s="80" t="n">
        <v>0</v>
      </c>
      <c r="Q92" s="41" t="n">
        <v>0</v>
      </c>
      <c r="R92" s="52">
        <f>SUM(L92:Q92)</f>
        <v/>
      </c>
      <c r="S92" s="138">
        <f>IF(E92=0,"***",L92/E92)</f>
        <v/>
      </c>
      <c r="T92" s="139">
        <f>IF(F92=0,"***",M92/F92)</f>
        <v/>
      </c>
      <c r="U92" s="139">
        <f>IF(G92=0,"***",N92/G92)</f>
        <v/>
      </c>
      <c r="V92" s="139">
        <f>IF(H92=0,"***",O92/H92)</f>
        <v/>
      </c>
      <c r="W92" s="139">
        <f>IF(I92=0,"***",P92/I92)</f>
        <v/>
      </c>
      <c r="X92" s="139">
        <f>IF(J92=0,"***",Q92/J92)</f>
        <v/>
      </c>
      <c r="Y92" s="140">
        <f>IF(K92=0,"***",R92/K92)</f>
        <v/>
      </c>
    </row>
    <row r="93" customFormat="1" s="43">
      <c r="C93" s="71" t="inlineStr">
        <is>
          <t>0911 集計</t>
        </is>
      </c>
      <c r="D93" s="69" t="inlineStr">
        <is>
          <t>川邊主任</t>
        </is>
      </c>
      <c r="E93" s="41" t="n">
        <v>12178.474</v>
      </c>
      <c r="F93" s="41" t="n">
        <v>10681.174</v>
      </c>
      <c r="G93" s="41" t="n">
        <v>11717.856</v>
      </c>
      <c r="H93" s="80" t="n">
        <v>14845.393</v>
      </c>
      <c r="I93" s="80" t="n">
        <v>9474.611999999999</v>
      </c>
      <c r="J93" s="41" t="n">
        <v>12056.125</v>
      </c>
      <c r="K93" s="50">
        <f>SUM(E93:J93)</f>
        <v/>
      </c>
      <c r="L93" s="57" t="n">
        <v>1958.402</v>
      </c>
      <c r="M93" s="41" t="n">
        <v>1759.2</v>
      </c>
      <c r="N93" s="41" t="n">
        <v>1889.211</v>
      </c>
      <c r="O93" s="80" t="n">
        <v>2334.2</v>
      </c>
      <c r="P93" s="80" t="n">
        <v>1573.26</v>
      </c>
      <c r="Q93" s="41" t="n">
        <v>1928.239</v>
      </c>
      <c r="R93" s="52">
        <f>SUM(L93:Q93)</f>
        <v/>
      </c>
      <c r="S93" s="138">
        <f>IF(E93=0,"***",L93/E93)</f>
        <v/>
      </c>
      <c r="T93" s="139">
        <f>IF(F93=0,"***",M93/F93)</f>
        <v/>
      </c>
      <c r="U93" s="139">
        <f>IF(G93=0,"***",N93/G93)</f>
        <v/>
      </c>
      <c r="V93" s="139">
        <f>IF(H93=0,"***",O93/H93)</f>
        <v/>
      </c>
      <c r="W93" s="139">
        <f>IF(I93=0,"***",P93/I93)</f>
        <v/>
      </c>
      <c r="X93" s="139">
        <f>IF(J93=0,"***",Q93/J93)</f>
        <v/>
      </c>
      <c r="Y93" s="140">
        <f>IF(K93=0,"***",R93/K93)</f>
        <v/>
      </c>
    </row>
    <row r="94" customFormat="1" s="43">
      <c r="C94" s="71" t="inlineStr">
        <is>
          <t>0914 集計</t>
        </is>
      </c>
      <c r="D94" s="40" t="inlineStr">
        <is>
          <t>白根主任</t>
        </is>
      </c>
      <c r="E94" s="41" t="n">
        <v>27251.289</v>
      </c>
      <c r="F94" s="41" t="n">
        <v>10272.05</v>
      </c>
      <c r="G94" s="41" t="n">
        <v>9860.912</v>
      </c>
      <c r="H94" s="80" t="n">
        <v>12006.348</v>
      </c>
      <c r="I94" s="80" t="n">
        <v>8513.204</v>
      </c>
      <c r="J94" s="41" t="n">
        <v>19692.826</v>
      </c>
      <c r="K94" s="50">
        <f>SUM(E94:J94)</f>
        <v/>
      </c>
      <c r="L94" s="57" t="n">
        <v>3929.53</v>
      </c>
      <c r="M94" s="41" t="n">
        <v>2665.577</v>
      </c>
      <c r="N94" s="41" t="n">
        <v>2196.369</v>
      </c>
      <c r="O94" s="80" t="n">
        <v>2961.116</v>
      </c>
      <c r="P94" s="80" t="n">
        <v>2123.723</v>
      </c>
      <c r="Q94" s="41" t="n">
        <v>5098.518</v>
      </c>
      <c r="R94" s="52">
        <f>SUM(L94:Q94)</f>
        <v/>
      </c>
      <c r="S94" s="138">
        <f>IF(E94=0,"***",L94/E94)</f>
        <v/>
      </c>
      <c r="T94" s="139">
        <f>IF(F94=0,"***",M94/F94)</f>
        <v/>
      </c>
      <c r="U94" s="139">
        <f>IF(G94=0,"***",N94/G94)</f>
        <v/>
      </c>
      <c r="V94" s="139">
        <f>IF(H94=0,"***",O94/H94)</f>
        <v/>
      </c>
      <c r="W94" s="139">
        <f>IF(I94=0,"***",P94/I94)</f>
        <v/>
      </c>
      <c r="X94" s="139">
        <f>IF(J94=0,"***",Q94/J94)</f>
        <v/>
      </c>
      <c r="Y94" s="140">
        <f>IF(K94=0,"***",R94/K94)</f>
        <v/>
      </c>
    </row>
    <row r="95" customFormat="1" s="43">
      <c r="C95" s="71" t="inlineStr">
        <is>
          <t>0918 集計</t>
        </is>
      </c>
      <c r="D95" s="69" t="inlineStr">
        <is>
          <t>海外</t>
        </is>
      </c>
      <c r="E95" s="41" t="n">
        <v>2165.5</v>
      </c>
      <c r="F95" s="41" t="n">
        <v>5289.97</v>
      </c>
      <c r="G95" s="41" t="n">
        <v>2659.97</v>
      </c>
      <c r="H95" s="80" t="n">
        <v>130.06</v>
      </c>
      <c r="I95" s="80" t="n">
        <v>314.45</v>
      </c>
      <c r="J95" s="41" t="n">
        <v>0</v>
      </c>
      <c r="K95" s="50">
        <f>SUM(E95:J95)</f>
        <v/>
      </c>
      <c r="L95" s="57" t="n">
        <v>413.203</v>
      </c>
      <c r="M95" s="41" t="n">
        <v>806.5359999999999</v>
      </c>
      <c r="N95" s="41" t="n">
        <v>713.36</v>
      </c>
      <c r="O95" s="80" t="n">
        <v>29.11</v>
      </c>
      <c r="P95" s="80" t="n">
        <v>59.63</v>
      </c>
      <c r="Q95" s="41" t="n">
        <v>0</v>
      </c>
      <c r="R95" s="52">
        <f>SUM(L95:Q95)</f>
        <v/>
      </c>
      <c r="S95" s="138">
        <f>IF(E95=0,"***",L95/E95)</f>
        <v/>
      </c>
      <c r="T95" s="139">
        <f>IF(F95=0,"***",M95/F95)</f>
        <v/>
      </c>
      <c r="U95" s="139">
        <f>IF(G95=0,"***",N95/G95)</f>
        <v/>
      </c>
      <c r="V95" s="139">
        <f>IF(H95=0,"***",O95/H95)</f>
        <v/>
      </c>
      <c r="W95" s="139">
        <f>IF(I95=0,"***",P95/I95)</f>
        <v/>
      </c>
      <c r="X95" s="139">
        <f>IF(J95=0,"***",Q95/J95)</f>
        <v/>
      </c>
      <c r="Y95" s="140">
        <f>IF(K95=0,"***",R95/K95)</f>
        <v/>
      </c>
    </row>
    <row r="96" customFormat="1" s="43">
      <c r="C96" s="71" t="inlineStr">
        <is>
          <t>0919 集計</t>
        </is>
      </c>
      <c r="D96" s="69" t="inlineStr">
        <is>
          <t>その他</t>
        </is>
      </c>
      <c r="E96" s="41" t="n">
        <v>74.8</v>
      </c>
      <c r="F96" s="41" t="n">
        <v>30</v>
      </c>
      <c r="G96" s="41" t="n">
        <v>37.578</v>
      </c>
      <c r="H96" s="80" t="n">
        <v>14.91</v>
      </c>
      <c r="I96" s="80" t="n">
        <v>0</v>
      </c>
      <c r="J96" s="41" t="n">
        <v>461.2</v>
      </c>
      <c r="K96" s="50">
        <f>SUM(E96:J96)</f>
        <v/>
      </c>
      <c r="L96" s="57" t="n">
        <v>13.625</v>
      </c>
      <c r="M96" s="41" t="n">
        <v>6</v>
      </c>
      <c r="N96" s="41" t="n">
        <v>12.358</v>
      </c>
      <c r="O96" s="80" t="n">
        <v>3.7</v>
      </c>
      <c r="P96" s="80" t="n">
        <v>0</v>
      </c>
      <c r="Q96" s="41" t="n">
        <v>21.04</v>
      </c>
      <c r="R96" s="52">
        <f>SUM(L96:Q96)</f>
        <v/>
      </c>
      <c r="S96" s="138">
        <f>IF(E96=0,"***",L96/E96)</f>
        <v/>
      </c>
      <c r="T96" s="139">
        <f>IF(F96=0,"***",M96/F96)</f>
        <v/>
      </c>
      <c r="U96" s="139">
        <f>IF(G96=0,"***",N96/G96)</f>
        <v/>
      </c>
      <c r="V96" s="139">
        <f>IF(H96=0,"***",O96/H96)</f>
        <v/>
      </c>
      <c r="W96" s="139">
        <f>IF(I96=0,"***",P96/I96)</f>
        <v/>
      </c>
      <c r="X96" s="139">
        <f>IF(J96=0,"***",Q96/J96)</f>
        <v/>
      </c>
      <c r="Y96" s="140">
        <f>IF(K96=0,"***",R96/K96)</f>
        <v/>
      </c>
    </row>
    <row r="97" customFormat="1" s="43">
      <c r="C97" s="71" t="inlineStr">
        <is>
          <t>0930 集計</t>
        </is>
      </c>
      <c r="D97" s="69" t="inlineStr">
        <is>
          <t>自治体</t>
        </is>
      </c>
      <c r="E97" s="41" t="n"/>
      <c r="F97" s="41" t="n"/>
      <c r="G97" s="41" t="n">
        <v>82.104</v>
      </c>
      <c r="H97" s="80" t="n">
        <v>0</v>
      </c>
      <c r="I97" s="80" t="n">
        <v>156</v>
      </c>
      <c r="J97" s="41" t="n">
        <v>0</v>
      </c>
      <c r="K97" s="50">
        <f>SUM(E97:J97)</f>
        <v/>
      </c>
      <c r="L97" s="57" t="n"/>
      <c r="M97" s="41" t="n"/>
      <c r="N97" s="41" t="n">
        <v>2.476</v>
      </c>
      <c r="O97" s="80" t="n">
        <v>0</v>
      </c>
      <c r="P97" s="80" t="n">
        <v>4.8</v>
      </c>
      <c r="Q97" s="41" t="n">
        <v>0</v>
      </c>
      <c r="R97" s="52">
        <f>SUM(L97:Q97)</f>
        <v/>
      </c>
      <c r="S97" s="138">
        <f>IF(E97=0,"***",L97/E97)</f>
        <v/>
      </c>
      <c r="T97" s="139">
        <f>IF(F97=0,"***",M97/F97)</f>
        <v/>
      </c>
      <c r="U97" s="139">
        <f>IF(G97=0,"***",N97/G97)</f>
        <v/>
      </c>
      <c r="V97" s="139">
        <f>IF(H97=0,"***",O97/H97)</f>
        <v/>
      </c>
      <c r="W97" s="139">
        <f>IF(I97=0,"***",P97/I97)</f>
        <v/>
      </c>
      <c r="X97" s="139">
        <f>IF(J97=0,"***",Q97/J97)</f>
        <v/>
      </c>
      <c r="Y97" s="140">
        <f>IF(K97=0,"***",R97/K97)</f>
        <v/>
      </c>
    </row>
    <row r="98">
      <c r="C98" s="3" t="inlineStr">
        <is>
          <t>合計</t>
        </is>
      </c>
      <c r="D98" s="70" t="n"/>
      <c r="E98" s="74">
        <f>SUM(E89:E97)</f>
        <v/>
      </c>
      <c r="F98" s="63">
        <f>SUM(F89:F97)</f>
        <v/>
      </c>
      <c r="G98" s="63">
        <f>SUM(G89:G97)</f>
        <v/>
      </c>
      <c r="H98" s="63">
        <f>SUM(H89:H97)</f>
        <v/>
      </c>
      <c r="I98" s="63">
        <f>SUM(I89:I97)</f>
        <v/>
      </c>
      <c r="J98" s="63">
        <f>SUM(J89:J97)</f>
        <v/>
      </c>
      <c r="K98" s="75">
        <f>SUM(K89:K97)</f>
        <v/>
      </c>
      <c r="L98" s="74">
        <f>SUM(L89:L97)</f>
        <v/>
      </c>
      <c r="M98" s="63">
        <f>SUM(M89:M97)</f>
        <v/>
      </c>
      <c r="N98" s="63">
        <f>SUM(N89:N97)</f>
        <v/>
      </c>
      <c r="O98" s="63">
        <f>SUM(O89:O97)</f>
        <v/>
      </c>
      <c r="P98" s="63">
        <f>SUM(P89:P97)</f>
        <v/>
      </c>
      <c r="Q98" s="63">
        <f>SUM(Q89:Q97)</f>
        <v/>
      </c>
      <c r="R98" s="75">
        <f>SUM(R89:R97)</f>
        <v/>
      </c>
      <c r="S98" s="126">
        <f>IF(E98=0,"***",L98/E98)</f>
        <v/>
      </c>
      <c r="T98" s="127">
        <f>IF(F98=0,"***",M98/F98)</f>
        <v/>
      </c>
      <c r="U98" s="127">
        <f>IF(G98=0,"***",N98/G98)</f>
        <v/>
      </c>
      <c r="V98" s="127">
        <f>IF(H98=0,"***",O98/H98)</f>
        <v/>
      </c>
      <c r="W98" s="127">
        <f>IF(I98=0,"***",P98/I98)</f>
        <v/>
      </c>
      <c r="X98" s="127">
        <f>IF(J98=0,"***",Q98/J98)</f>
        <v/>
      </c>
      <c r="Y98" s="128">
        <f>IF(K98=0,"***",R98/K98)</f>
        <v/>
      </c>
    </row>
    <row r="99">
      <c r="C99" s="6" t="n"/>
      <c r="E99" s="5" t="n"/>
      <c r="F99" s="5" t="n"/>
      <c r="G99" s="5" t="n"/>
      <c r="H99" s="5" t="n"/>
      <c r="I99" s="5" t="n"/>
      <c r="J99" s="5" t="n"/>
      <c r="K99" s="6" t="n"/>
      <c r="L99" s="5" t="n"/>
      <c r="M99" s="5" t="n"/>
      <c r="N99" s="5" t="n"/>
      <c r="O99" s="5" t="n"/>
      <c r="P99" s="5" t="n"/>
      <c r="Q99" s="5" t="n"/>
      <c r="R99" s="6" t="n"/>
      <c r="S99" s="129" t="n"/>
      <c r="T99" s="129" t="n"/>
      <c r="U99" s="129" t="n"/>
      <c r="V99" s="129" t="n"/>
      <c r="W99" s="129" t="n"/>
      <c r="X99" s="129" t="n"/>
      <c r="Y99" s="129" t="n"/>
    </row>
    <row r="100">
      <c r="C100" s="6" t="inlineStr">
        <is>
          <t>8．計画比</t>
        </is>
      </c>
    </row>
    <row r="101">
      <c r="C101" s="104" t="n"/>
      <c r="D101" s="106" t="n"/>
      <c r="E101" s="104" t="inlineStr">
        <is>
          <t>売上</t>
        </is>
      </c>
      <c r="F101" s="105" t="n"/>
      <c r="G101" s="105" t="n"/>
      <c r="H101" s="105" t="n"/>
      <c r="I101" s="105" t="n"/>
      <c r="J101" s="105" t="n"/>
      <c r="K101" s="106" t="n"/>
      <c r="L101" s="108" t="inlineStr">
        <is>
          <t>粗利益</t>
        </is>
      </c>
      <c r="M101" s="105" t="n"/>
      <c r="N101" s="105" t="n"/>
      <c r="O101" s="105" t="n"/>
      <c r="P101" s="105" t="n"/>
      <c r="Q101" s="105" t="n"/>
      <c r="R101" s="106" t="n"/>
      <c r="S101" s="108" t="inlineStr">
        <is>
          <t>粗利益率</t>
        </is>
      </c>
      <c r="T101" s="105" t="n"/>
      <c r="U101" s="105" t="n"/>
      <c r="V101" s="105" t="n"/>
      <c r="W101" s="105" t="n"/>
      <c r="X101" s="105" t="n"/>
      <c r="Y101" s="106" t="n"/>
    </row>
    <row r="102">
      <c r="C102" s="61" t="n"/>
      <c r="D102" s="68" t="n"/>
      <c r="E102" s="72" t="n">
        <v>46113</v>
      </c>
      <c r="F102" s="62" t="n">
        <v>46143</v>
      </c>
      <c r="G102" s="62" t="n">
        <v>46174</v>
      </c>
      <c r="H102" s="62" t="n">
        <v>46204</v>
      </c>
      <c r="I102" s="62" t="n">
        <v>46235</v>
      </c>
      <c r="J102" s="62" t="n">
        <v>46266</v>
      </c>
      <c r="K102" s="64" t="inlineStr">
        <is>
          <t>合計</t>
        </is>
      </c>
      <c r="L102" s="88" t="n">
        <v>46113</v>
      </c>
      <c r="M102" s="62" t="n">
        <v>46143</v>
      </c>
      <c r="N102" s="62" t="n">
        <v>46174</v>
      </c>
      <c r="O102" s="62" t="n">
        <v>46204</v>
      </c>
      <c r="P102" s="62" t="n">
        <v>46235</v>
      </c>
      <c r="Q102" s="62" t="n">
        <v>46266</v>
      </c>
      <c r="R102" s="64" t="inlineStr">
        <is>
          <t>合計</t>
        </is>
      </c>
      <c r="S102" s="88" t="n">
        <v>46113</v>
      </c>
      <c r="T102" s="62" t="n">
        <v>46143</v>
      </c>
      <c r="U102" s="62" t="n">
        <v>46174</v>
      </c>
      <c r="V102" s="62" t="n">
        <v>46204</v>
      </c>
      <c r="W102" s="62" t="n">
        <v>46235</v>
      </c>
      <c r="X102" s="62" t="n">
        <v>46266</v>
      </c>
      <c r="Y102" s="64" t="inlineStr">
        <is>
          <t>合計</t>
        </is>
      </c>
    </row>
    <row r="103" customFormat="1" s="43">
      <c r="C103" s="71" t="inlineStr">
        <is>
          <t>0903 集計</t>
        </is>
      </c>
      <c r="D103" s="69" t="inlineStr">
        <is>
          <t>西岡</t>
        </is>
      </c>
      <c r="E103" s="41">
        <f>E89-E47</f>
        <v/>
      </c>
      <c r="F103" s="41">
        <f>F89-F47</f>
        <v/>
      </c>
      <c r="G103" s="41">
        <f>G89-G47</f>
        <v/>
      </c>
      <c r="H103" s="41">
        <f>H89-H47</f>
        <v/>
      </c>
      <c r="I103" s="41">
        <f>I89-I47</f>
        <v/>
      </c>
      <c r="J103" s="41">
        <f>J89-J47</f>
        <v/>
      </c>
      <c r="K103" s="50">
        <f>SUM(E103:J103)</f>
        <v/>
      </c>
      <c r="L103" s="57">
        <f>L89-L47</f>
        <v/>
      </c>
      <c r="M103" s="41">
        <f>M89-M47</f>
        <v/>
      </c>
      <c r="N103" s="41">
        <f>N89-N47</f>
        <v/>
      </c>
      <c r="O103" s="41">
        <f>O89-O47</f>
        <v/>
      </c>
      <c r="P103" s="41">
        <f>P89-P47</f>
        <v/>
      </c>
      <c r="Q103" s="41">
        <f>Q89-Q47</f>
        <v/>
      </c>
      <c r="R103" s="52">
        <f>SUM(L103:Q103)</f>
        <v/>
      </c>
      <c r="S103" s="138">
        <f>S89-S47</f>
        <v/>
      </c>
      <c r="T103" s="139">
        <f>T89-T47</f>
        <v/>
      </c>
      <c r="U103" s="139">
        <f>U89-U47</f>
        <v/>
      </c>
      <c r="V103" s="139">
        <f>V89-V47</f>
        <v/>
      </c>
      <c r="W103" s="139">
        <f>W89-W47</f>
        <v/>
      </c>
      <c r="X103" s="139">
        <f>X89-X47</f>
        <v/>
      </c>
      <c r="Y103" s="140">
        <f>Y89-Y47</f>
        <v/>
      </c>
    </row>
    <row r="104" customFormat="1" s="43">
      <c r="C104" s="71" t="inlineStr">
        <is>
          <t>0904 集計</t>
        </is>
      </c>
      <c r="D104" s="69" t="inlineStr">
        <is>
          <t>足立次長</t>
        </is>
      </c>
      <c r="E104" s="41">
        <f>E90-E48</f>
        <v/>
      </c>
      <c r="F104" s="41">
        <f>F90-F48</f>
        <v/>
      </c>
      <c r="G104" s="41">
        <f>G90-G48</f>
        <v/>
      </c>
      <c r="H104" s="41">
        <f>H90-H48</f>
        <v/>
      </c>
      <c r="I104" s="41">
        <f>I90-I48</f>
        <v/>
      </c>
      <c r="J104" s="41">
        <f>J90-J48</f>
        <v/>
      </c>
      <c r="K104" s="50">
        <f>SUM(E104:J104)</f>
        <v/>
      </c>
      <c r="L104" s="57">
        <f>L90-L48</f>
        <v/>
      </c>
      <c r="M104" s="41">
        <f>M90-M48</f>
        <v/>
      </c>
      <c r="N104" s="41">
        <f>N90-N48</f>
        <v/>
      </c>
      <c r="O104" s="41">
        <f>O90-O48</f>
        <v/>
      </c>
      <c r="P104" s="41">
        <f>P90-P48</f>
        <v/>
      </c>
      <c r="Q104" s="41">
        <f>Q90-Q48</f>
        <v/>
      </c>
      <c r="R104" s="52">
        <f>SUM(L104:Q104)</f>
        <v/>
      </c>
      <c r="S104" s="138">
        <f>S90-S48</f>
        <v/>
      </c>
      <c r="T104" s="139">
        <f>T90-T48</f>
        <v/>
      </c>
      <c r="U104" s="139">
        <f>U90-U48</f>
        <v/>
      </c>
      <c r="V104" s="139">
        <f>V90-V48</f>
        <v/>
      </c>
      <c r="W104" s="139">
        <f>W90-W48</f>
        <v/>
      </c>
      <c r="X104" s="139">
        <f>X90-X48</f>
        <v/>
      </c>
      <c r="Y104" s="140">
        <f>Y90-Y48</f>
        <v/>
      </c>
    </row>
    <row r="105" customFormat="1" s="43">
      <c r="C105" s="71" t="inlineStr">
        <is>
          <t>0909 集計</t>
        </is>
      </c>
      <c r="D105" s="69" t="inlineStr">
        <is>
          <t>藤波課長</t>
        </is>
      </c>
      <c r="E105" s="41">
        <f>E91-E49</f>
        <v/>
      </c>
      <c r="F105" s="41">
        <f>F91-F49</f>
        <v/>
      </c>
      <c r="G105" s="41">
        <f>G91-G49</f>
        <v/>
      </c>
      <c r="H105" s="41">
        <f>H91-H49</f>
        <v/>
      </c>
      <c r="I105" s="41">
        <f>I91-I49</f>
        <v/>
      </c>
      <c r="J105" s="41">
        <f>J91-J49</f>
        <v/>
      </c>
      <c r="K105" s="50">
        <f>SUM(E105:J105)</f>
        <v/>
      </c>
      <c r="L105" s="57">
        <f>L91-L49</f>
        <v/>
      </c>
      <c r="M105" s="41">
        <f>M91-M49</f>
        <v/>
      </c>
      <c r="N105" s="41">
        <f>N91-N49</f>
        <v/>
      </c>
      <c r="O105" s="41">
        <f>O91-O49</f>
        <v/>
      </c>
      <c r="P105" s="41">
        <f>P91-P49</f>
        <v/>
      </c>
      <c r="Q105" s="41">
        <f>Q91-Q49</f>
        <v/>
      </c>
      <c r="R105" s="52">
        <f>SUM(L105:Q105)</f>
        <v/>
      </c>
      <c r="S105" s="138">
        <f>S91-S49</f>
        <v/>
      </c>
      <c r="T105" s="139">
        <f>T91-T49</f>
        <v/>
      </c>
      <c r="U105" s="139">
        <f>U91-U49</f>
        <v/>
      </c>
      <c r="V105" s="139">
        <f>V91-V49</f>
        <v/>
      </c>
      <c r="W105" s="139">
        <f>W91-W49</f>
        <v/>
      </c>
      <c r="X105" s="139">
        <f>X91-X49</f>
        <v/>
      </c>
      <c r="Y105" s="140">
        <f>Y91-Y49</f>
        <v/>
      </c>
    </row>
    <row r="106" customFormat="1" s="43">
      <c r="C106" s="71" t="inlineStr">
        <is>
          <t>0910 集計</t>
        </is>
      </c>
      <c r="D106" s="69" t="inlineStr">
        <is>
          <t>足立課長</t>
        </is>
      </c>
      <c r="E106" s="41">
        <f>E92-E50</f>
        <v/>
      </c>
      <c r="F106" s="41">
        <f>F92-F50</f>
        <v/>
      </c>
      <c r="G106" s="41">
        <f>G92-G50</f>
        <v/>
      </c>
      <c r="H106" s="41">
        <f>H92-H50</f>
        <v/>
      </c>
      <c r="I106" s="41">
        <f>I92-I50</f>
        <v/>
      </c>
      <c r="J106" s="41">
        <f>J92-J50</f>
        <v/>
      </c>
      <c r="K106" s="50">
        <f>SUM(E106:J106)</f>
        <v/>
      </c>
      <c r="L106" s="57">
        <f>L92-L50</f>
        <v/>
      </c>
      <c r="M106" s="41">
        <f>M92-M50</f>
        <v/>
      </c>
      <c r="N106" s="41">
        <f>N92-N50</f>
        <v/>
      </c>
      <c r="O106" s="41">
        <f>O92-O50</f>
        <v/>
      </c>
      <c r="P106" s="41">
        <f>P92-P50</f>
        <v/>
      </c>
      <c r="Q106" s="41">
        <f>Q92-Q50</f>
        <v/>
      </c>
      <c r="R106" s="52">
        <f>SUM(L106:Q106)</f>
        <v/>
      </c>
      <c r="S106" s="138">
        <f>S92-S50</f>
        <v/>
      </c>
      <c r="T106" s="139">
        <f>T92-T50</f>
        <v/>
      </c>
      <c r="U106" s="139">
        <f>U92-U50</f>
        <v/>
      </c>
      <c r="V106" s="139">
        <f>V92-V50</f>
        <v/>
      </c>
      <c r="W106" s="139">
        <f>W92-W50</f>
        <v/>
      </c>
      <c r="X106" s="139">
        <f>X92-X50</f>
        <v/>
      </c>
      <c r="Y106" s="140">
        <f>Y92-Y50</f>
        <v/>
      </c>
    </row>
    <row r="107" customFormat="1" s="43">
      <c r="C107" s="71" t="inlineStr">
        <is>
          <t>0911 集計</t>
        </is>
      </c>
      <c r="D107" s="69" t="inlineStr">
        <is>
          <t>川邊主任</t>
        </is>
      </c>
      <c r="E107" s="41">
        <f>E93-E51</f>
        <v/>
      </c>
      <c r="F107" s="41">
        <f>F93-F51</f>
        <v/>
      </c>
      <c r="G107" s="41">
        <f>G93-G51</f>
        <v/>
      </c>
      <c r="H107" s="41">
        <f>H93-H51</f>
        <v/>
      </c>
      <c r="I107" s="41">
        <f>I93-I51</f>
        <v/>
      </c>
      <c r="J107" s="41">
        <f>J93-J51</f>
        <v/>
      </c>
      <c r="K107" s="50">
        <f>SUM(E107:J107)</f>
        <v/>
      </c>
      <c r="L107" s="57">
        <f>L93-L51</f>
        <v/>
      </c>
      <c r="M107" s="41">
        <f>M93-M51</f>
        <v/>
      </c>
      <c r="N107" s="41">
        <f>N93-N51</f>
        <v/>
      </c>
      <c r="O107" s="41">
        <f>O93-O51</f>
        <v/>
      </c>
      <c r="P107" s="41">
        <f>P93-P51</f>
        <v/>
      </c>
      <c r="Q107" s="41">
        <f>Q93-Q51</f>
        <v/>
      </c>
      <c r="R107" s="52">
        <f>SUM(L107:Q107)</f>
        <v/>
      </c>
      <c r="S107" s="138">
        <f>S93-S51</f>
        <v/>
      </c>
      <c r="T107" s="139">
        <f>T93-T51</f>
        <v/>
      </c>
      <c r="U107" s="139">
        <f>U93-U51</f>
        <v/>
      </c>
      <c r="V107" s="139">
        <f>V93-V51</f>
        <v/>
      </c>
      <c r="W107" s="139">
        <f>W93-W51</f>
        <v/>
      </c>
      <c r="X107" s="139">
        <f>X93-X51</f>
        <v/>
      </c>
      <c r="Y107" s="140">
        <f>Y93-Y51</f>
        <v/>
      </c>
    </row>
    <row r="108" customFormat="1" s="43">
      <c r="C108" s="71" t="inlineStr">
        <is>
          <t>0914 集計</t>
        </is>
      </c>
      <c r="D108" s="40" t="inlineStr">
        <is>
          <t>白根主任</t>
        </is>
      </c>
      <c r="E108" s="41">
        <f>E94-E52</f>
        <v/>
      </c>
      <c r="F108" s="41">
        <f>F94-F52</f>
        <v/>
      </c>
      <c r="G108" s="41">
        <f>G94-G52</f>
        <v/>
      </c>
      <c r="H108" s="41">
        <f>H94-H52</f>
        <v/>
      </c>
      <c r="I108" s="41">
        <f>I94-I52</f>
        <v/>
      </c>
      <c r="J108" s="41">
        <f>J94-J52</f>
        <v/>
      </c>
      <c r="K108" s="50">
        <f>SUM(E108:J108)</f>
        <v/>
      </c>
      <c r="L108" s="57">
        <f>L94-L52</f>
        <v/>
      </c>
      <c r="M108" s="41">
        <f>M94-M52</f>
        <v/>
      </c>
      <c r="N108" s="41">
        <f>N94-N52</f>
        <v/>
      </c>
      <c r="O108" s="41">
        <f>O94-O52</f>
        <v/>
      </c>
      <c r="P108" s="41">
        <f>P94-P52</f>
        <v/>
      </c>
      <c r="Q108" s="41">
        <f>Q94-Q52</f>
        <v/>
      </c>
      <c r="R108" s="52">
        <f>SUM(L108:Q108)</f>
        <v/>
      </c>
      <c r="S108" s="138">
        <f>S94-S52</f>
        <v/>
      </c>
      <c r="T108" s="139">
        <f>T94-T52</f>
        <v/>
      </c>
      <c r="U108" s="139">
        <f>U94-U52</f>
        <v/>
      </c>
      <c r="V108" s="139">
        <f>V94-V52</f>
        <v/>
      </c>
      <c r="W108" s="139">
        <f>W94-W52</f>
        <v/>
      </c>
      <c r="X108" s="139">
        <f>X94-X52</f>
        <v/>
      </c>
      <c r="Y108" s="140">
        <f>Y94-Y52</f>
        <v/>
      </c>
    </row>
    <row r="109" customFormat="1" s="43">
      <c r="C109" s="71" t="inlineStr">
        <is>
          <t>0918 集計</t>
        </is>
      </c>
      <c r="D109" s="69" t="inlineStr">
        <is>
          <t>海外</t>
        </is>
      </c>
      <c r="E109" s="41">
        <f>E95-E53</f>
        <v/>
      </c>
      <c r="F109" s="41">
        <f>F95-F53</f>
        <v/>
      </c>
      <c r="G109" s="41">
        <f>G95-G53</f>
        <v/>
      </c>
      <c r="H109" s="41">
        <f>H95-H53</f>
        <v/>
      </c>
      <c r="I109" s="41">
        <f>I95-I53</f>
        <v/>
      </c>
      <c r="J109" s="41">
        <f>J95-J53</f>
        <v/>
      </c>
      <c r="K109" s="50">
        <f>SUM(E109:J109)</f>
        <v/>
      </c>
      <c r="L109" s="57">
        <f>L95-L53</f>
        <v/>
      </c>
      <c r="M109" s="41">
        <f>M95-M53</f>
        <v/>
      </c>
      <c r="N109" s="41">
        <f>N95-N53</f>
        <v/>
      </c>
      <c r="O109" s="41">
        <f>O95-O53</f>
        <v/>
      </c>
      <c r="P109" s="41">
        <f>P95-P53</f>
        <v/>
      </c>
      <c r="Q109" s="41">
        <f>Q95-Q53</f>
        <v/>
      </c>
      <c r="R109" s="52">
        <f>SUM(L109:Q109)</f>
        <v/>
      </c>
      <c r="S109" s="138">
        <f>S95-S53</f>
        <v/>
      </c>
      <c r="T109" s="139">
        <f>T95-T53</f>
        <v/>
      </c>
      <c r="U109" s="139">
        <f>U95-U53</f>
        <v/>
      </c>
      <c r="V109" s="139">
        <f>V95-V53</f>
        <v/>
      </c>
      <c r="W109" s="139">
        <f>W95-W53</f>
        <v/>
      </c>
      <c r="X109" s="139">
        <f>X95-X53</f>
        <v/>
      </c>
      <c r="Y109" s="140">
        <f>Y95-Y53</f>
        <v/>
      </c>
    </row>
    <row r="110" customFormat="1" s="43">
      <c r="C110" s="71" t="inlineStr">
        <is>
          <t>0919 集計</t>
        </is>
      </c>
      <c r="D110" s="69" t="inlineStr">
        <is>
          <t>その他</t>
        </is>
      </c>
      <c r="E110" s="41">
        <f>E96-E54</f>
        <v/>
      </c>
      <c r="F110" s="41">
        <f>F96-F54</f>
        <v/>
      </c>
      <c r="G110" s="41">
        <f>G96-G54</f>
        <v/>
      </c>
      <c r="H110" s="41">
        <f>H96-H54</f>
        <v/>
      </c>
      <c r="I110" s="41">
        <f>I96-I54</f>
        <v/>
      </c>
      <c r="J110" s="41">
        <f>J96-J54</f>
        <v/>
      </c>
      <c r="K110" s="50">
        <f>SUM(E110:J110)</f>
        <v/>
      </c>
      <c r="L110" s="57">
        <f>L96-L54</f>
        <v/>
      </c>
      <c r="M110" s="41">
        <f>M96-M54</f>
        <v/>
      </c>
      <c r="N110" s="41">
        <f>N96-N54</f>
        <v/>
      </c>
      <c r="O110" s="41">
        <f>O96-O54</f>
        <v/>
      </c>
      <c r="P110" s="41">
        <f>P96-P54</f>
        <v/>
      </c>
      <c r="Q110" s="41">
        <f>Q96-Q54</f>
        <v/>
      </c>
      <c r="R110" s="52">
        <f>SUM(L110:Q110)</f>
        <v/>
      </c>
      <c r="S110" s="138">
        <f>S96-S54</f>
        <v/>
      </c>
      <c r="T110" s="139">
        <f>T96-T54</f>
        <v/>
      </c>
      <c r="U110" s="139">
        <f>U96-U54</f>
        <v/>
      </c>
      <c r="V110" s="139">
        <f>V96-V54</f>
        <v/>
      </c>
      <c r="W110" s="139">
        <f>W96-W54</f>
        <v/>
      </c>
      <c r="X110" s="139">
        <f>X96-X54</f>
        <v/>
      </c>
      <c r="Y110" s="140">
        <f>Y96-Y54</f>
        <v/>
      </c>
    </row>
    <row r="111" customFormat="1" s="43">
      <c r="C111" s="71" t="inlineStr">
        <is>
          <t>0930 集計</t>
        </is>
      </c>
      <c r="D111" s="69" t="inlineStr">
        <is>
          <t>自治体</t>
        </is>
      </c>
      <c r="E111" s="41">
        <f>E97-E55</f>
        <v/>
      </c>
      <c r="F111" s="41">
        <f>F97-F55</f>
        <v/>
      </c>
      <c r="G111" s="41">
        <f>G97-G55</f>
        <v/>
      </c>
      <c r="H111" s="41">
        <f>H97-H55</f>
        <v/>
      </c>
      <c r="I111" s="41">
        <f>I97-I55</f>
        <v/>
      </c>
      <c r="J111" s="41">
        <f>J97-J55</f>
        <v/>
      </c>
      <c r="K111" s="50">
        <f>SUM(E111:J111)</f>
        <v/>
      </c>
      <c r="L111" s="57">
        <f>L97-L55</f>
        <v/>
      </c>
      <c r="M111" s="41">
        <f>M97-M55</f>
        <v/>
      </c>
      <c r="N111" s="41">
        <f>N97-N55</f>
        <v/>
      </c>
      <c r="O111" s="41">
        <f>O97-O55</f>
        <v/>
      </c>
      <c r="P111" s="41">
        <f>P97-P55</f>
        <v/>
      </c>
      <c r="Q111" s="41">
        <f>Q97-Q55</f>
        <v/>
      </c>
      <c r="R111" s="52">
        <f>SUM(L111:Q111)</f>
        <v/>
      </c>
      <c r="S111" s="138">
        <f>S97-S55</f>
        <v/>
      </c>
      <c r="T111" s="139">
        <f>T97-T55</f>
        <v/>
      </c>
      <c r="U111" s="139">
        <f>U97-U55</f>
        <v/>
      </c>
      <c r="V111" s="139">
        <f>V97-V55</f>
        <v/>
      </c>
      <c r="W111" s="139">
        <f>W97-W55</f>
        <v/>
      </c>
      <c r="X111" s="139">
        <f>X97-X55</f>
        <v/>
      </c>
      <c r="Y111" s="140">
        <f>Y97-Y55</f>
        <v/>
      </c>
    </row>
    <row r="112">
      <c r="C112" s="3" t="inlineStr">
        <is>
          <t>合計</t>
        </is>
      </c>
      <c r="D112" s="70" t="n"/>
      <c r="E112" s="74">
        <f>SUM(E103:E111)</f>
        <v/>
      </c>
      <c r="F112" s="63">
        <f>SUM(F103:F111)</f>
        <v/>
      </c>
      <c r="G112" s="63">
        <f>SUM(G103:G111)</f>
        <v/>
      </c>
      <c r="H112" s="63">
        <f>SUM(H103:H111)</f>
        <v/>
      </c>
      <c r="I112" s="63">
        <f>SUM(I103:I111)</f>
        <v/>
      </c>
      <c r="J112" s="63">
        <f>SUM(J103:J111)</f>
        <v/>
      </c>
      <c r="K112" s="75">
        <f>SUM(K103:K111)</f>
        <v/>
      </c>
      <c r="L112" s="74">
        <f>SUM(L103:L111)</f>
        <v/>
      </c>
      <c r="M112" s="63">
        <f>SUM(M103:M111)</f>
        <v/>
      </c>
      <c r="N112" s="63">
        <f>SUM(N103:N111)</f>
        <v/>
      </c>
      <c r="O112" s="63">
        <f>SUM(O103:O111)</f>
        <v/>
      </c>
      <c r="P112" s="63">
        <f>SUM(P103:P111)</f>
        <v/>
      </c>
      <c r="Q112" s="63">
        <f>SUM(Q103:Q111)</f>
        <v/>
      </c>
      <c r="R112" s="75">
        <f>SUM(R103:R111)</f>
        <v/>
      </c>
      <c r="S112" s="126">
        <f>S98-S56</f>
        <v/>
      </c>
      <c r="T112" s="127">
        <f>SUM(T103:T110)</f>
        <v/>
      </c>
      <c r="U112" s="127">
        <f>SUM(U103:U110)</f>
        <v/>
      </c>
      <c r="V112" s="127">
        <f>SUM(V103:V110)</f>
        <v/>
      </c>
      <c r="W112" s="127">
        <f>SUM(W103:W110)</f>
        <v/>
      </c>
      <c r="X112" s="127">
        <f>X98-X56</f>
        <v/>
      </c>
      <c r="Y112" s="128">
        <f>Y98-Y56</f>
        <v/>
      </c>
    </row>
    <row r="113">
      <c r="C113" s="6" t="n"/>
      <c r="E113" s="5" t="n"/>
      <c r="F113" s="5" t="n"/>
      <c r="G113" s="5" t="n"/>
      <c r="H113" s="5" t="n"/>
      <c r="I113" s="5" t="n"/>
      <c r="J113" s="5" t="n"/>
      <c r="K113" s="6" t="n"/>
      <c r="L113" s="5" t="n"/>
      <c r="M113" s="5" t="n"/>
      <c r="N113" s="5" t="n"/>
      <c r="O113" s="5" t="n"/>
      <c r="P113" s="5" t="n"/>
      <c r="Q113" s="5" t="n"/>
      <c r="R113" s="6" t="n"/>
      <c r="S113" s="129" t="n"/>
      <c r="T113" s="129" t="n"/>
      <c r="U113" s="129" t="n"/>
      <c r="V113" s="129" t="n"/>
      <c r="W113" s="129" t="n"/>
      <c r="X113" s="129" t="n"/>
      <c r="Y113" s="129" t="n"/>
    </row>
    <row r="114">
      <c r="C114" s="6" t="inlineStr">
        <is>
          <t>9．前期比</t>
        </is>
      </c>
    </row>
    <row r="115">
      <c r="C115" s="104" t="n"/>
      <c r="D115" s="106" t="n"/>
      <c r="E115" s="104" t="inlineStr">
        <is>
          <t>売上</t>
        </is>
      </c>
      <c r="F115" s="105" t="n"/>
      <c r="G115" s="105" t="n"/>
      <c r="H115" s="105" t="n"/>
      <c r="I115" s="105" t="n"/>
      <c r="J115" s="105" t="n"/>
      <c r="K115" s="106" t="n"/>
      <c r="L115" s="108" t="inlineStr">
        <is>
          <t>粗利益</t>
        </is>
      </c>
      <c r="M115" s="105" t="n"/>
      <c r="N115" s="105" t="n"/>
      <c r="O115" s="105" t="n"/>
      <c r="P115" s="105" t="n"/>
      <c r="Q115" s="105" t="n"/>
      <c r="R115" s="106" t="n"/>
      <c r="S115" s="108" t="inlineStr">
        <is>
          <t>粗利益率</t>
        </is>
      </c>
      <c r="T115" s="105" t="n"/>
      <c r="U115" s="105" t="n"/>
      <c r="V115" s="105" t="n"/>
      <c r="W115" s="105" t="n"/>
      <c r="X115" s="105" t="n"/>
      <c r="Y115" s="106" t="n"/>
    </row>
    <row r="116">
      <c r="C116" s="61" t="n"/>
      <c r="D116" s="68" t="n"/>
      <c r="E116" s="72" t="n">
        <v>46113</v>
      </c>
      <c r="F116" s="62" t="n">
        <v>46143</v>
      </c>
      <c r="G116" s="62" t="n">
        <v>46174</v>
      </c>
      <c r="H116" s="62" t="n">
        <v>46204</v>
      </c>
      <c r="I116" s="62" t="n">
        <v>46235</v>
      </c>
      <c r="J116" s="62" t="n">
        <v>46266</v>
      </c>
      <c r="K116" s="64" t="inlineStr">
        <is>
          <t>合計</t>
        </is>
      </c>
      <c r="L116" s="88" t="n">
        <v>46113</v>
      </c>
      <c r="M116" s="62" t="n">
        <v>46143</v>
      </c>
      <c r="N116" s="62" t="n">
        <v>46174</v>
      </c>
      <c r="O116" s="62" t="n">
        <v>46204</v>
      </c>
      <c r="P116" s="62" t="n">
        <v>46235</v>
      </c>
      <c r="Q116" s="62" t="n">
        <v>46266</v>
      </c>
      <c r="R116" s="64" t="inlineStr">
        <is>
          <t>合計</t>
        </is>
      </c>
      <c r="S116" s="88" t="n">
        <v>46113</v>
      </c>
      <c r="T116" s="62" t="n">
        <v>46143</v>
      </c>
      <c r="U116" s="62" t="n">
        <v>46174</v>
      </c>
      <c r="V116" s="62" t="n">
        <v>46204</v>
      </c>
      <c r="W116" s="62" t="n">
        <v>46235</v>
      </c>
      <c r="X116" s="62" t="n">
        <v>46266</v>
      </c>
      <c r="Y116" s="64" t="inlineStr">
        <is>
          <t>合計</t>
        </is>
      </c>
    </row>
    <row r="117" customFormat="1" s="43">
      <c r="C117" s="71" t="inlineStr">
        <is>
          <t>0903 集計</t>
        </is>
      </c>
      <c r="D117" s="69" t="inlineStr">
        <is>
          <t>西岡</t>
        </is>
      </c>
      <c r="E117" s="41">
        <f>E89-E19</f>
        <v/>
      </c>
      <c r="F117" s="41">
        <f>F89-F19</f>
        <v/>
      </c>
      <c r="G117" s="41">
        <f>G89-G19</f>
        <v/>
      </c>
      <c r="H117" s="103">
        <f>H89-H19</f>
        <v/>
      </c>
      <c r="I117" s="103">
        <f>I89-I19</f>
        <v/>
      </c>
      <c r="J117" s="103">
        <f>J89-J19</f>
        <v/>
      </c>
      <c r="K117" s="50">
        <f>SUM(E117:J117)</f>
        <v/>
      </c>
      <c r="L117" s="57">
        <f>L89-L19</f>
        <v/>
      </c>
      <c r="M117" s="41">
        <f>M89-M19</f>
        <v/>
      </c>
      <c r="N117" s="41">
        <f>N89-N19</f>
        <v/>
      </c>
      <c r="O117" s="41">
        <f>O89-O19</f>
        <v/>
      </c>
      <c r="P117" s="41">
        <f>P89-P19</f>
        <v/>
      </c>
      <c r="Q117" s="41">
        <f>Q89-Q19</f>
        <v/>
      </c>
      <c r="R117" s="52">
        <f>SUM(L117:Q117)</f>
        <v/>
      </c>
      <c r="S117" s="138">
        <f>S89-S19</f>
        <v/>
      </c>
      <c r="T117" s="139">
        <f>T89-T19</f>
        <v/>
      </c>
      <c r="U117" s="139">
        <f>U89-U19</f>
        <v/>
      </c>
      <c r="V117" s="139">
        <f>V89-V19</f>
        <v/>
      </c>
      <c r="W117" s="139">
        <f>W89-W19</f>
        <v/>
      </c>
      <c r="X117" s="139">
        <f>X89-X19</f>
        <v/>
      </c>
      <c r="Y117" s="140">
        <f>Y89-Y19</f>
        <v/>
      </c>
    </row>
    <row r="118" customFormat="1" s="43">
      <c r="C118" s="71" t="inlineStr">
        <is>
          <t>0904 集計</t>
        </is>
      </c>
      <c r="D118" s="69" t="inlineStr">
        <is>
          <t>足立次長</t>
        </is>
      </c>
      <c r="E118" s="41">
        <f>E90-E20</f>
        <v/>
      </c>
      <c r="F118" s="41">
        <f>F90-F20</f>
        <v/>
      </c>
      <c r="G118" s="41">
        <f>G90-G20</f>
        <v/>
      </c>
      <c r="H118" s="41">
        <f>H90-H20</f>
        <v/>
      </c>
      <c r="I118" s="41">
        <f>I90-I20</f>
        <v/>
      </c>
      <c r="J118" s="41">
        <f>J90-J20</f>
        <v/>
      </c>
      <c r="K118" s="50">
        <f>SUM(E118:J118)</f>
        <v/>
      </c>
      <c r="L118" s="57">
        <f>L90-L20</f>
        <v/>
      </c>
      <c r="M118" s="41">
        <f>M90-M20</f>
        <v/>
      </c>
      <c r="N118" s="41">
        <f>N90-N20</f>
        <v/>
      </c>
      <c r="O118" s="41">
        <f>O90-O20</f>
        <v/>
      </c>
      <c r="P118" s="41">
        <f>P90-P20</f>
        <v/>
      </c>
      <c r="Q118" s="41">
        <f>Q90-Q20</f>
        <v/>
      </c>
      <c r="R118" s="52">
        <f>SUM(L118:Q118)</f>
        <v/>
      </c>
      <c r="S118" s="138">
        <f>S90-S20</f>
        <v/>
      </c>
      <c r="T118" s="139">
        <f>T90-T20</f>
        <v/>
      </c>
      <c r="U118" s="139">
        <f>U90-U20</f>
        <v/>
      </c>
      <c r="V118" s="139">
        <f>V90-V20</f>
        <v/>
      </c>
      <c r="W118" s="139">
        <f>W90-W20</f>
        <v/>
      </c>
      <c r="X118" s="139">
        <f>X90-X20</f>
        <v/>
      </c>
      <c r="Y118" s="140">
        <f>Y90-Y20</f>
        <v/>
      </c>
    </row>
    <row r="119" customFormat="1" s="43">
      <c r="C119" s="71" t="inlineStr">
        <is>
          <t>0909 集計</t>
        </is>
      </c>
      <c r="D119" s="69" t="inlineStr">
        <is>
          <t>藤波課長</t>
        </is>
      </c>
      <c r="E119" s="41">
        <f>E91-E21</f>
        <v/>
      </c>
      <c r="F119" s="41">
        <f>F91-F21</f>
        <v/>
      </c>
      <c r="G119" s="41">
        <f>G91-G21</f>
        <v/>
      </c>
      <c r="H119" s="41">
        <f>H91-H21</f>
        <v/>
      </c>
      <c r="I119" s="41">
        <f>I91-I21</f>
        <v/>
      </c>
      <c r="J119" s="41">
        <f>J91-J21</f>
        <v/>
      </c>
      <c r="K119" s="50">
        <f>SUM(E119:J119)</f>
        <v/>
      </c>
      <c r="L119" s="57">
        <f>L91-L21</f>
        <v/>
      </c>
      <c r="M119" s="41">
        <f>M91-M21</f>
        <v/>
      </c>
      <c r="N119" s="41">
        <f>N91-N21</f>
        <v/>
      </c>
      <c r="O119" s="41">
        <f>O91-O21</f>
        <v/>
      </c>
      <c r="P119" s="41">
        <f>P91-P21</f>
        <v/>
      </c>
      <c r="Q119" s="41">
        <f>Q91-Q21</f>
        <v/>
      </c>
      <c r="R119" s="52">
        <f>SUM(L119:Q119)</f>
        <v/>
      </c>
      <c r="S119" s="138">
        <f>S91-S21</f>
        <v/>
      </c>
      <c r="T119" s="139">
        <f>T91-T21</f>
        <v/>
      </c>
      <c r="U119" s="139">
        <f>U91-U21</f>
        <v/>
      </c>
      <c r="V119" s="139">
        <f>V91-V21</f>
        <v/>
      </c>
      <c r="W119" s="139">
        <f>W91-W21</f>
        <v/>
      </c>
      <c r="X119" s="139">
        <f>X91-X21</f>
        <v/>
      </c>
      <c r="Y119" s="140">
        <f>Y91-Y21</f>
        <v/>
      </c>
    </row>
    <row r="120" customFormat="1" s="43">
      <c r="C120" s="71" t="inlineStr">
        <is>
          <t>0910 集計</t>
        </is>
      </c>
      <c r="D120" s="69" t="inlineStr">
        <is>
          <t>足立課長</t>
        </is>
      </c>
      <c r="E120" s="41">
        <f>E92-E22</f>
        <v/>
      </c>
      <c r="F120" s="41">
        <f>F92-F22</f>
        <v/>
      </c>
      <c r="G120" s="41">
        <f>G92-G22</f>
        <v/>
      </c>
      <c r="H120" s="41">
        <f>H92-H22</f>
        <v/>
      </c>
      <c r="I120" s="41">
        <f>I92-I22</f>
        <v/>
      </c>
      <c r="J120" s="41">
        <f>J92-J22</f>
        <v/>
      </c>
      <c r="K120" s="50">
        <f>SUM(E120:J120)</f>
        <v/>
      </c>
      <c r="L120" s="57">
        <f>L92-L22</f>
        <v/>
      </c>
      <c r="M120" s="41">
        <f>M92-M22</f>
        <v/>
      </c>
      <c r="N120" s="41">
        <f>N92-N22</f>
        <v/>
      </c>
      <c r="O120" s="41">
        <f>O92-O22</f>
        <v/>
      </c>
      <c r="P120" s="41">
        <f>P92-P22</f>
        <v/>
      </c>
      <c r="Q120" s="41">
        <f>Q92-Q22</f>
        <v/>
      </c>
      <c r="R120" s="52">
        <f>SUM(L120:Q120)</f>
        <v/>
      </c>
      <c r="S120" s="138">
        <f>S92-S22</f>
        <v/>
      </c>
      <c r="T120" s="139">
        <f>T92-T22</f>
        <v/>
      </c>
      <c r="U120" s="139">
        <f>U92-U22</f>
        <v/>
      </c>
      <c r="V120" s="139">
        <f>V92-V22</f>
        <v/>
      </c>
      <c r="W120" s="139">
        <f>W92-W22</f>
        <v/>
      </c>
      <c r="X120" s="139">
        <f>X92-X22</f>
        <v/>
      </c>
      <c r="Y120" s="140">
        <f>Y92-Y22</f>
        <v/>
      </c>
    </row>
    <row r="121" customFormat="1" s="43">
      <c r="C121" s="71" t="inlineStr">
        <is>
          <t>0911 集計</t>
        </is>
      </c>
      <c r="D121" s="69" t="inlineStr">
        <is>
          <t>川邊主任</t>
        </is>
      </c>
      <c r="E121" s="41">
        <f>E93-E23</f>
        <v/>
      </c>
      <c r="F121" s="41">
        <f>F93-F23</f>
        <v/>
      </c>
      <c r="G121" s="41">
        <f>G93-G23</f>
        <v/>
      </c>
      <c r="H121" s="41">
        <f>H93-H23</f>
        <v/>
      </c>
      <c r="I121" s="41">
        <f>I93-I23</f>
        <v/>
      </c>
      <c r="J121" s="41">
        <f>J93-J23</f>
        <v/>
      </c>
      <c r="K121" s="50">
        <f>SUM(E121:J121)</f>
        <v/>
      </c>
      <c r="L121" s="57">
        <f>L93-L23</f>
        <v/>
      </c>
      <c r="M121" s="41">
        <f>M93-M23</f>
        <v/>
      </c>
      <c r="N121" s="41">
        <f>N93-N23</f>
        <v/>
      </c>
      <c r="O121" s="41">
        <f>O93-O23</f>
        <v/>
      </c>
      <c r="P121" s="41">
        <f>P93-P23</f>
        <v/>
      </c>
      <c r="Q121" s="41">
        <f>Q93-Q23</f>
        <v/>
      </c>
      <c r="R121" s="52">
        <f>SUM(L121:Q121)</f>
        <v/>
      </c>
      <c r="S121" s="138">
        <f>S93-S23</f>
        <v/>
      </c>
      <c r="T121" s="139">
        <f>T93-T23</f>
        <v/>
      </c>
      <c r="U121" s="139">
        <f>U93-U23</f>
        <v/>
      </c>
      <c r="V121" s="139">
        <f>V93-V23</f>
        <v/>
      </c>
      <c r="W121" s="139">
        <f>W93-W23</f>
        <v/>
      </c>
      <c r="X121" s="139">
        <f>X93-X23</f>
        <v/>
      </c>
      <c r="Y121" s="140">
        <f>Y93-Y23</f>
        <v/>
      </c>
    </row>
    <row r="122" customFormat="1" s="43">
      <c r="C122" s="71" t="inlineStr">
        <is>
          <t>0914 集計</t>
        </is>
      </c>
      <c r="D122" s="40" t="inlineStr">
        <is>
          <t>白根主任</t>
        </is>
      </c>
      <c r="E122" s="41">
        <f>E94-E24</f>
        <v/>
      </c>
      <c r="F122" s="41">
        <f>F94-F24</f>
        <v/>
      </c>
      <c r="G122" s="41">
        <f>G94-G24</f>
        <v/>
      </c>
      <c r="H122" s="41">
        <f>H94-H24</f>
        <v/>
      </c>
      <c r="I122" s="41">
        <f>I94-I24</f>
        <v/>
      </c>
      <c r="J122" s="41">
        <f>J94-J24</f>
        <v/>
      </c>
      <c r="K122" s="50">
        <f>SUM(E122:J122)</f>
        <v/>
      </c>
      <c r="L122" s="57">
        <f>L94-L24</f>
        <v/>
      </c>
      <c r="M122" s="41">
        <f>M94-M24</f>
        <v/>
      </c>
      <c r="N122" s="41">
        <f>N94-N24</f>
        <v/>
      </c>
      <c r="O122" s="41">
        <f>O94-O24</f>
        <v/>
      </c>
      <c r="P122" s="41">
        <f>P94-P24</f>
        <v/>
      </c>
      <c r="Q122" s="41">
        <f>Q94-Q24</f>
        <v/>
      </c>
      <c r="R122" s="52">
        <f>SUM(L122:Q122)</f>
        <v/>
      </c>
      <c r="S122" s="138">
        <f>S94-S24</f>
        <v/>
      </c>
      <c r="T122" s="139">
        <f>T94-T24</f>
        <v/>
      </c>
      <c r="U122" s="139">
        <f>U94-U24</f>
        <v/>
      </c>
      <c r="V122" s="139">
        <f>V94-V24</f>
        <v/>
      </c>
      <c r="W122" s="139">
        <f>W94-W24</f>
        <v/>
      </c>
      <c r="X122" s="139">
        <f>X94-X24</f>
        <v/>
      </c>
      <c r="Y122" s="140">
        <f>Y94-Y24</f>
        <v/>
      </c>
    </row>
    <row r="123" customFormat="1" s="43">
      <c r="C123" s="71" t="inlineStr">
        <is>
          <t>0918 集計</t>
        </is>
      </c>
      <c r="D123" s="69" t="inlineStr">
        <is>
          <t>海外</t>
        </is>
      </c>
      <c r="E123" s="41">
        <f>E95-E25</f>
        <v/>
      </c>
      <c r="F123" s="41">
        <f>F95-F25</f>
        <v/>
      </c>
      <c r="G123" s="41">
        <f>G95-G25</f>
        <v/>
      </c>
      <c r="H123" s="41">
        <f>H95-H25</f>
        <v/>
      </c>
      <c r="I123" s="41">
        <f>I95-I25</f>
        <v/>
      </c>
      <c r="J123" s="41">
        <f>J95-J25</f>
        <v/>
      </c>
      <c r="K123" s="50">
        <f>SUM(E123:J123)</f>
        <v/>
      </c>
      <c r="L123" s="57">
        <f>L95-L25</f>
        <v/>
      </c>
      <c r="M123" s="41">
        <f>M95-M25</f>
        <v/>
      </c>
      <c r="N123" s="41">
        <f>N95-N25</f>
        <v/>
      </c>
      <c r="O123" s="41">
        <f>O95-O25</f>
        <v/>
      </c>
      <c r="P123" s="41">
        <f>P95-P25</f>
        <v/>
      </c>
      <c r="Q123" s="41">
        <f>Q95-Q25</f>
        <v/>
      </c>
      <c r="R123" s="52">
        <f>SUM(L123:Q123)</f>
        <v/>
      </c>
      <c r="S123" s="138">
        <f>S95-S25</f>
        <v/>
      </c>
      <c r="T123" s="139">
        <f>T95-T25</f>
        <v/>
      </c>
      <c r="U123" s="139">
        <f>U95-U25</f>
        <v/>
      </c>
      <c r="V123" s="139">
        <f>V95-V25</f>
        <v/>
      </c>
      <c r="W123" s="139">
        <f>W95-W25</f>
        <v/>
      </c>
      <c r="X123" s="139">
        <f>X95-X25</f>
        <v/>
      </c>
      <c r="Y123" s="140">
        <f>Y95-Y25</f>
        <v/>
      </c>
    </row>
    <row r="124" customFormat="1" s="43">
      <c r="C124" s="71" t="inlineStr">
        <is>
          <t>0919 集計</t>
        </is>
      </c>
      <c r="D124" s="69" t="inlineStr">
        <is>
          <t>その他</t>
        </is>
      </c>
      <c r="E124" s="41">
        <f>E96-E26</f>
        <v/>
      </c>
      <c r="F124" s="41">
        <f>F96-F26</f>
        <v/>
      </c>
      <c r="G124" s="41">
        <f>G96-G26</f>
        <v/>
      </c>
      <c r="H124" s="41">
        <f>H96-H26</f>
        <v/>
      </c>
      <c r="I124" s="41">
        <f>I96-I26</f>
        <v/>
      </c>
      <c r="J124" s="41">
        <f>J96-J26</f>
        <v/>
      </c>
      <c r="K124" s="50">
        <f>SUM(E124:J124)</f>
        <v/>
      </c>
      <c r="L124" s="57">
        <f>L96-L26</f>
        <v/>
      </c>
      <c r="M124" s="41">
        <f>M96-M26</f>
        <v/>
      </c>
      <c r="N124" s="41">
        <f>N96-N26</f>
        <v/>
      </c>
      <c r="O124" s="41">
        <f>O96-O26</f>
        <v/>
      </c>
      <c r="P124" s="41">
        <f>P96-P26</f>
        <v/>
      </c>
      <c r="Q124" s="41">
        <f>Q96-Q26</f>
        <v/>
      </c>
      <c r="R124" s="52">
        <f>SUM(L124:Q124)</f>
        <v/>
      </c>
      <c r="S124" s="138">
        <f>S96-S26</f>
        <v/>
      </c>
      <c r="T124" s="139">
        <f>T96-T26</f>
        <v/>
      </c>
      <c r="U124" s="139">
        <f>U96-U26</f>
        <v/>
      </c>
      <c r="V124" s="139">
        <f>V96-V26</f>
        <v/>
      </c>
      <c r="W124" s="139">
        <f>W96-W26</f>
        <v/>
      </c>
      <c r="X124" s="139">
        <f>X96-X26</f>
        <v/>
      </c>
      <c r="Y124" s="140">
        <f>Y96-Y26</f>
        <v/>
      </c>
    </row>
    <row r="125" customFormat="1" s="43">
      <c r="C125" s="71" t="inlineStr">
        <is>
          <t>0930 集計</t>
        </is>
      </c>
      <c r="D125" s="69" t="inlineStr">
        <is>
          <t>自治体</t>
        </is>
      </c>
      <c r="E125" s="41">
        <f>E97-E27</f>
        <v/>
      </c>
      <c r="F125" s="41">
        <f>F97-F27</f>
        <v/>
      </c>
      <c r="G125" s="41">
        <f>G97-G27</f>
        <v/>
      </c>
      <c r="H125" s="41">
        <f>H97-H27</f>
        <v/>
      </c>
      <c r="I125" s="41">
        <f>I97-I27</f>
        <v/>
      </c>
      <c r="J125" s="41">
        <f>J97-J27</f>
        <v/>
      </c>
      <c r="K125" s="50">
        <f>SUM(E125:J125)</f>
        <v/>
      </c>
      <c r="L125" s="57">
        <f>L97-L27</f>
        <v/>
      </c>
      <c r="M125" s="41">
        <f>M97-M27</f>
        <v/>
      </c>
      <c r="N125" s="41">
        <f>N97-N27</f>
        <v/>
      </c>
      <c r="O125" s="41">
        <f>O97-O27</f>
        <v/>
      </c>
      <c r="P125" s="41">
        <f>P97-P27</f>
        <v/>
      </c>
      <c r="Q125" s="41">
        <f>Q97-Q27</f>
        <v/>
      </c>
      <c r="R125" s="52">
        <f>SUM(L125:Q125)</f>
        <v/>
      </c>
      <c r="S125" s="138">
        <f>S97-S27</f>
        <v/>
      </c>
      <c r="T125" s="139">
        <f>T97-T27</f>
        <v/>
      </c>
      <c r="U125" s="139">
        <f>U97-U27</f>
        <v/>
      </c>
      <c r="V125" s="139">
        <f>V97-V27</f>
        <v/>
      </c>
      <c r="W125" s="139">
        <f>W97-W27</f>
        <v/>
      </c>
      <c r="X125" s="139">
        <f>X97-X27</f>
        <v/>
      </c>
      <c r="Y125" s="140">
        <f>Y97-Y27</f>
        <v/>
      </c>
    </row>
    <row r="126">
      <c r="C126" s="3" t="inlineStr">
        <is>
          <t>合計</t>
        </is>
      </c>
      <c r="D126" s="70" t="n"/>
      <c r="E126" s="74">
        <f>SUM(E117:E125)</f>
        <v/>
      </c>
      <c r="F126" s="63">
        <f>SUM(F117:F125)</f>
        <v/>
      </c>
      <c r="G126" s="63">
        <f>SUM(G117:G125)</f>
        <v/>
      </c>
      <c r="H126" s="63">
        <f>SUM(H117:H125)</f>
        <v/>
      </c>
      <c r="I126" s="63">
        <f>SUM(I117:I125)</f>
        <v/>
      </c>
      <c r="J126" s="63">
        <f>SUM(J117:J125)</f>
        <v/>
      </c>
      <c r="K126" s="75">
        <f>SUM(K117:K125)</f>
        <v/>
      </c>
      <c r="L126" s="74">
        <f>SUM(L117:L125)</f>
        <v/>
      </c>
      <c r="M126" s="63">
        <f>SUM(M117:M125)</f>
        <v/>
      </c>
      <c r="N126" s="63">
        <f>SUM(N117:N125)</f>
        <v/>
      </c>
      <c r="O126" s="63">
        <f>SUM(O117:O125)</f>
        <v/>
      </c>
      <c r="P126" s="63">
        <f>SUM(P117:P125)</f>
        <v/>
      </c>
      <c r="Q126" s="63">
        <f>SUM(Q117:Q125)</f>
        <v/>
      </c>
      <c r="R126" s="75">
        <f>SUM(R117:R125)</f>
        <v/>
      </c>
      <c r="S126" s="126">
        <f>S98-S28</f>
        <v/>
      </c>
      <c r="T126" s="126">
        <f>T98-T28</f>
        <v/>
      </c>
      <c r="U126" s="127">
        <f>SUM(U117:U124)</f>
        <v/>
      </c>
      <c r="V126" s="127">
        <f>SUM(V117:V124)</f>
        <v/>
      </c>
      <c r="W126" s="127">
        <f>SUM(W117:W124)</f>
        <v/>
      </c>
      <c r="X126" s="127">
        <f>X98-X28</f>
        <v/>
      </c>
      <c r="Y126" s="128">
        <f>Y98-Y28</f>
        <v/>
      </c>
    </row>
  </sheetData>
  <mergeCells count="36">
    <mergeCell ref="E45:K45"/>
    <mergeCell ref="C101:D101"/>
    <mergeCell ref="E101:K101"/>
    <mergeCell ref="L31:R31"/>
    <mergeCell ref="S45:Y45"/>
    <mergeCell ref="C45:D45"/>
    <mergeCell ref="L59:R59"/>
    <mergeCell ref="L115:R115"/>
    <mergeCell ref="C73:D73"/>
    <mergeCell ref="E115:K115"/>
    <mergeCell ref="S31:Y31"/>
    <mergeCell ref="E3:K3"/>
    <mergeCell ref="L17:R17"/>
    <mergeCell ref="S59:Y59"/>
    <mergeCell ref="C31:D31"/>
    <mergeCell ref="L101:R101"/>
    <mergeCell ref="C59:D59"/>
    <mergeCell ref="S115:Y115"/>
    <mergeCell ref="C115:D115"/>
    <mergeCell ref="E17:K17"/>
    <mergeCell ref="S3:Y3"/>
    <mergeCell ref="L87:R87"/>
    <mergeCell ref="L3:R3"/>
    <mergeCell ref="E73:K73"/>
    <mergeCell ref="E87:K87"/>
    <mergeCell ref="S17:Y17"/>
    <mergeCell ref="S73:Y73"/>
    <mergeCell ref="C17:D17"/>
    <mergeCell ref="S101:Y101"/>
    <mergeCell ref="E31:K31"/>
    <mergeCell ref="L45:R45"/>
    <mergeCell ref="E59:K59"/>
    <mergeCell ref="S87:Y87"/>
    <mergeCell ref="L73:R73"/>
    <mergeCell ref="C3:D3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5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D1:U27"/>
  <sheetViews>
    <sheetView workbookViewId="0">
      <selection activeCell="L16" sqref="L16"/>
    </sheetView>
  </sheetViews>
  <sheetFormatPr baseColWidth="8" defaultRowHeight="18.75"/>
  <cols>
    <col width="1.625" customWidth="1" style="113" min="4" max="5"/>
    <col width="54.375" customWidth="1" style="113" min="21" max="21"/>
  </cols>
  <sheetData>
    <row r="1" ht="21.75" customHeight="1" s="113">
      <c r="D1" s="112" t="inlineStr">
        <is>
          <t>境港営業所第51期下期予算について</t>
        </is>
      </c>
    </row>
    <row r="3">
      <c r="D3" s="20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2" t="n"/>
    </row>
    <row r="4">
      <c r="D4" s="23" t="n"/>
      <c r="U4" s="38" t="n"/>
    </row>
    <row r="5">
      <c r="D5" s="24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7" t="n"/>
    </row>
    <row r="7">
      <c r="D7" s="104" t="n"/>
      <c r="E7" s="117" t="n"/>
      <c r="F7" s="118" t="n"/>
      <c r="G7" s="109" t="inlineStr">
        <is>
          <t>2024年4～9月</t>
        </is>
      </c>
      <c r="H7" s="110" t="n"/>
      <c r="I7" s="111" t="n"/>
      <c r="J7" s="109" t="inlineStr">
        <is>
          <t>2025年4～9月</t>
        </is>
      </c>
      <c r="K7" s="110" t="n"/>
      <c r="L7" s="111" t="n"/>
      <c r="M7" s="109" t="inlineStr">
        <is>
          <t>過年度平均</t>
        </is>
      </c>
      <c r="N7" s="110" t="n"/>
      <c r="O7" s="111" t="n"/>
      <c r="P7" s="115" t="inlineStr">
        <is>
          <t>計画</t>
        </is>
      </c>
      <c r="Q7" s="110" t="n"/>
      <c r="R7" s="110" t="n"/>
      <c r="S7" s="110" t="n"/>
      <c r="T7" s="116" t="n"/>
      <c r="U7" s="115" t="inlineStr">
        <is>
          <t>根拠</t>
        </is>
      </c>
    </row>
    <row r="8">
      <c r="D8" s="119" t="n"/>
      <c r="E8" s="120" t="n"/>
      <c r="F8" s="121" t="n"/>
      <c r="G8" s="32" t="inlineStr">
        <is>
          <t>売上</t>
        </is>
      </c>
      <c r="H8" s="33" t="inlineStr">
        <is>
          <t>粗利益</t>
        </is>
      </c>
      <c r="I8" s="34" t="inlineStr">
        <is>
          <t>粗利益率</t>
        </is>
      </c>
      <c r="J8" s="32" t="inlineStr">
        <is>
          <t>売上</t>
        </is>
      </c>
      <c r="K8" s="33" t="inlineStr">
        <is>
          <t>粗利益</t>
        </is>
      </c>
      <c r="L8" s="34" t="inlineStr">
        <is>
          <t>粗利益率</t>
        </is>
      </c>
      <c r="M8" s="32" t="inlineStr">
        <is>
          <t>売上</t>
        </is>
      </c>
      <c r="N8" s="33" t="inlineStr">
        <is>
          <t>粗利益</t>
        </is>
      </c>
      <c r="O8" s="34" t="inlineStr">
        <is>
          <t>粗利益率</t>
        </is>
      </c>
      <c r="P8" s="32" t="inlineStr">
        <is>
          <t>売上</t>
        </is>
      </c>
      <c r="Q8" s="33" t="inlineStr">
        <is>
          <t>粗利益</t>
        </is>
      </c>
      <c r="R8" s="35" t="inlineStr">
        <is>
          <t>粗利益率</t>
        </is>
      </c>
      <c r="S8" s="35" t="inlineStr">
        <is>
          <t>売上年率</t>
        </is>
      </c>
      <c r="T8" s="34" t="inlineStr">
        <is>
          <t>粗利益年率</t>
        </is>
      </c>
      <c r="U8" s="122" t="n"/>
    </row>
    <row r="9">
      <c r="D9" s="20" t="inlineStr">
        <is>
          <t>境港営業所</t>
        </is>
      </c>
      <c r="E9" s="21" t="n"/>
      <c r="F9" s="22" t="n"/>
      <c r="G9" s="27" t="n">
        <v>303863</v>
      </c>
      <c r="H9" s="28" t="n">
        <v>58108</v>
      </c>
      <c r="I9" s="144">
        <f>H9/G9</f>
        <v/>
      </c>
      <c r="J9" s="27" t="n">
        <v>392659</v>
      </c>
      <c r="K9" s="28" t="n">
        <v>77096</v>
      </c>
      <c r="L9" s="144">
        <f>K9/J9</f>
        <v/>
      </c>
      <c r="M9" s="27">
        <f>(G9+J9)/2</f>
        <v/>
      </c>
      <c r="N9" s="28">
        <f>(H9+K9)/2</f>
        <v/>
      </c>
      <c r="O9" s="144">
        <f>N9/M9</f>
        <v/>
      </c>
      <c r="P9" s="27">
        <f>P10+P13+P14</f>
        <v/>
      </c>
      <c r="Q9" s="28">
        <f>Q10+Q13+Q14</f>
        <v/>
      </c>
      <c r="R9" s="145">
        <f>Q9/P9</f>
        <v/>
      </c>
      <c r="S9" s="145">
        <f>P9/J9-1</f>
        <v/>
      </c>
      <c r="T9" s="144">
        <f>Q9/K9-1</f>
        <v/>
      </c>
      <c r="U9" s="31" t="n"/>
    </row>
    <row r="10">
      <c r="D10" s="23" t="n"/>
      <c r="E10" s="16" t="inlineStr">
        <is>
          <t>営業</t>
        </is>
      </c>
      <c r="F10" s="17" t="n"/>
      <c r="G10" s="1">
        <f>G9-G14-G13</f>
        <v/>
      </c>
      <c r="H10" s="2">
        <f>H9-H14-H13</f>
        <v/>
      </c>
      <c r="I10" s="146">
        <f>H10/G10</f>
        <v/>
      </c>
      <c r="J10" s="1">
        <f>J9-J14-J13</f>
        <v/>
      </c>
      <c r="K10" s="2">
        <f>K9-K14-K13</f>
        <v/>
      </c>
      <c r="L10" s="146">
        <f>K10/J10</f>
        <v/>
      </c>
      <c r="M10" s="1">
        <f>(G10+J10)/2</f>
        <v/>
      </c>
      <c r="N10" s="2">
        <f>(H10+K10)/2</f>
        <v/>
      </c>
      <c r="O10" s="146">
        <f>N10/M10</f>
        <v/>
      </c>
      <c r="P10" s="1">
        <f>P11+P12</f>
        <v/>
      </c>
      <c r="Q10" s="2">
        <f>Q11+Q12</f>
        <v/>
      </c>
      <c r="R10" s="147">
        <f>Q10/P10</f>
        <v/>
      </c>
      <c r="S10" s="147">
        <f>P10/J10-1</f>
        <v/>
      </c>
      <c r="T10" s="146">
        <f>Q10/K10-1</f>
        <v/>
      </c>
      <c r="U10" s="11" t="n"/>
    </row>
    <row r="11">
      <c r="D11" s="23" t="n"/>
      <c r="E11" s="18" t="n"/>
      <c r="F11" s="15" t="inlineStr">
        <is>
          <t>包装資材</t>
        </is>
      </c>
      <c r="G11" s="1">
        <f>G10-G12</f>
        <v/>
      </c>
      <c r="H11" s="2">
        <f>H10-H12</f>
        <v/>
      </c>
      <c r="I11" s="146">
        <f>H11/G11</f>
        <v/>
      </c>
      <c r="J11" s="1">
        <f>J10-J12</f>
        <v/>
      </c>
      <c r="K11" s="2">
        <f>K10-K12</f>
        <v/>
      </c>
      <c r="L11" s="146">
        <f>K11/J11</f>
        <v/>
      </c>
      <c r="M11" s="1">
        <f>(G11+J11)/2</f>
        <v/>
      </c>
      <c r="N11" s="2">
        <f>(H11+K11)/2</f>
        <v/>
      </c>
      <c r="O11" s="146">
        <f>N11/M11</f>
        <v/>
      </c>
      <c r="P11" s="1" t="n">
        <v>279390</v>
      </c>
      <c r="Q11" s="2" t="n">
        <v>54430</v>
      </c>
      <c r="R11" s="147">
        <f>Q11/P11</f>
        <v/>
      </c>
      <c r="S11" s="147">
        <f>P11/J11-1</f>
        <v/>
      </c>
      <c r="T11" s="146">
        <f>Q11/K11-1</f>
        <v/>
      </c>
      <c r="U11" s="54" t="n"/>
    </row>
    <row r="12">
      <c r="D12" s="23" t="n"/>
      <c r="E12" s="18" t="n"/>
      <c r="F12" s="19" t="inlineStr">
        <is>
          <t>機械</t>
        </is>
      </c>
      <c r="G12" s="83" t="n">
        <v>51572</v>
      </c>
      <c r="H12" s="86" t="n">
        <v>11000</v>
      </c>
      <c r="I12" s="148">
        <f>H12/G12</f>
        <v/>
      </c>
      <c r="J12" s="83" t="n">
        <v>138794</v>
      </c>
      <c r="K12" s="86" t="n">
        <v>28492</v>
      </c>
      <c r="L12" s="148">
        <f>K12/J12</f>
        <v/>
      </c>
      <c r="M12" s="83">
        <f>(G12+J12)/2</f>
        <v/>
      </c>
      <c r="N12" s="86">
        <f>(H12+K12)/2</f>
        <v/>
      </c>
      <c r="O12" s="148">
        <f>N12/M12</f>
        <v/>
      </c>
      <c r="P12" s="83">
        <f>H26</f>
        <v/>
      </c>
      <c r="Q12" s="86" t="n">
        <v>19730</v>
      </c>
      <c r="R12" s="149">
        <f>Q12/P12</f>
        <v/>
      </c>
      <c r="S12" s="149">
        <f>P12/J12-1</f>
        <v/>
      </c>
      <c r="T12" s="148">
        <f>Q12/K12-1</f>
        <v/>
      </c>
      <c r="U12" s="11" t="n"/>
    </row>
    <row r="13">
      <c r="D13" s="23" t="n"/>
      <c r="E13" s="99" t="inlineStr">
        <is>
          <t>自治体</t>
        </is>
      </c>
      <c r="F13" s="100" t="n"/>
      <c r="G13" s="1" t="n">
        <v>57</v>
      </c>
      <c r="H13" s="2" t="n">
        <v>2</v>
      </c>
      <c r="I13" s="148">
        <f>H13/G13</f>
        <v/>
      </c>
      <c r="J13" s="1" t="n">
        <v>87</v>
      </c>
      <c r="K13" s="2" t="n">
        <v>5</v>
      </c>
      <c r="L13" s="148">
        <f>K13/J13</f>
        <v/>
      </c>
      <c r="M13" s="83">
        <f>(G13+J13)/2</f>
        <v/>
      </c>
      <c r="N13" s="86">
        <f>(H13+K13)/2</f>
        <v/>
      </c>
      <c r="O13" s="148">
        <f>N13/M13</f>
        <v/>
      </c>
      <c r="P13" s="1" t="n">
        <v>0</v>
      </c>
      <c r="Q13" s="2" t="n">
        <v>0</v>
      </c>
      <c r="R13" s="149">
        <f>Q13/P13</f>
        <v/>
      </c>
      <c r="S13" s="149">
        <f>P13/J13-1</f>
        <v/>
      </c>
      <c r="T13" s="148">
        <f>Q13/K13-1</f>
        <v/>
      </c>
      <c r="U13" s="98" t="n"/>
    </row>
    <row r="14">
      <c r="D14" s="24" t="n"/>
      <c r="E14" s="25" t="inlineStr">
        <is>
          <t>海外</t>
        </is>
      </c>
      <c r="F14" s="26" t="n"/>
      <c r="G14" s="3" t="n">
        <v>8366</v>
      </c>
      <c r="H14" s="4" t="n">
        <v>1637</v>
      </c>
      <c r="I14" s="150">
        <f>H14/G14</f>
        <v/>
      </c>
      <c r="J14" s="3" t="n">
        <v>6953</v>
      </c>
      <c r="K14" s="4" t="n">
        <v>1284</v>
      </c>
      <c r="L14" s="150">
        <f>K14/J14</f>
        <v/>
      </c>
      <c r="M14" s="3">
        <f>(G14+J14)/2</f>
        <v/>
      </c>
      <c r="N14" s="4">
        <f>(H14+K14)/2</f>
        <v/>
      </c>
      <c r="O14" s="150">
        <f>N14/M14</f>
        <v/>
      </c>
      <c r="P14" s="3" t="n">
        <v>8610</v>
      </c>
      <c r="Q14" s="4" t="n">
        <v>1640</v>
      </c>
      <c r="R14" s="151">
        <f>Q14/P14</f>
        <v/>
      </c>
      <c r="S14" s="151">
        <f>P14/J14-1</f>
        <v/>
      </c>
      <c r="T14" s="150">
        <f>Q14/K14-1</f>
        <v/>
      </c>
      <c r="U14" s="12" t="n"/>
    </row>
    <row r="15">
      <c r="G15" s="6" t="n"/>
      <c r="H15" s="6" t="n"/>
      <c r="I15" s="6" t="n"/>
      <c r="J15" s="6" t="n"/>
      <c r="K15" s="6" t="n"/>
      <c r="L15" s="6" t="n"/>
      <c r="M15" s="6" t="n"/>
    </row>
    <row r="17">
      <c r="F17" s="114" t="inlineStr">
        <is>
          <t>包材：期初計画 年率11.5％　粗利率：段ボールも含め値上げで苦戦するので約1％程度改善で計画。</t>
        </is>
      </c>
    </row>
    <row r="18">
      <c r="F18" s="114" t="inlineStr">
        <is>
          <t xml:space="preserve">　　　上期2月末実績では前年比+3,800（年率1.6％）で特定の顧客の増加があり売上が増えているので難しいが＋5％で計画。</t>
        </is>
      </c>
    </row>
    <row r="19">
      <c r="F19" s="114" t="inlineStr">
        <is>
          <t>機械：受注案件金額と個人別過年度平均にて個別に計画策定</t>
        </is>
      </c>
    </row>
    <row r="20">
      <c r="G20" s="114" t="inlineStr">
        <is>
          <t>秋田さん</t>
        </is>
      </c>
      <c r="H20" s="101" t="n">
        <v>1200</v>
      </c>
      <c r="I20" s="114" t="inlineStr">
        <is>
          <t>過年度平均は723千円/6か月　200千円/月で1,200千円/6ヶ月で計画。浅井SAと一緒に大新、環境プラントの機械案件に取り組む</t>
        </is>
      </c>
    </row>
    <row r="21">
      <c r="G21" s="114" t="inlineStr">
        <is>
          <t>足立次長</t>
        </is>
      </c>
      <c r="H21" s="101" t="n">
        <v>30000</v>
      </c>
      <c r="I21" s="114" t="inlineStr">
        <is>
          <t>昨年実績は特殊（弓ヶ浜、岡野農場）だったので前々年実績（28,600千円）を参照し約5％UPの30,000千円で計画</t>
        </is>
      </c>
    </row>
    <row r="22">
      <c r="G22" s="114" t="inlineStr">
        <is>
          <t>藤波課長</t>
        </is>
      </c>
      <c r="H22" s="6" t="n">
        <v>22200</v>
      </c>
      <c r="I22" s="114" t="inlineStr">
        <is>
          <t>過年度平均4,200千円にモリイ食品の包装機18,000千円（6月）を足して22,200千円で計画</t>
        </is>
      </c>
    </row>
    <row r="23">
      <c r="G23" s="114" t="inlineStr">
        <is>
          <t>足立課長</t>
        </is>
      </c>
      <c r="H23" s="6" t="n">
        <v>6000</v>
      </c>
      <c r="I23" s="114" t="inlineStr">
        <is>
          <t>過年度平均が5,000千円で、大型機械案件がないので過年度平均並みで計画。澤井珈琲の資材と食品輸出にウェイトを増やす。</t>
        </is>
      </c>
    </row>
    <row r="24">
      <c r="G24" s="114" t="inlineStr">
        <is>
          <t>川邊主任</t>
        </is>
      </c>
      <c r="H24" s="101" t="n">
        <v>4200</v>
      </c>
      <c r="I24" s="114" t="inlineStr">
        <is>
          <t>期内にて大きな機械案件がないので過年度平均に約5％UPで計画。粗利は有償メンテを推進して2％前後改善する。</t>
        </is>
      </c>
    </row>
    <row r="25">
      <c r="G25" s="114" t="inlineStr">
        <is>
          <t>白根主任</t>
        </is>
      </c>
      <c r="H25" s="101" t="n">
        <v>28000</v>
      </c>
      <c r="I25" s="114" t="inlineStr">
        <is>
          <t>過年度＋白雪食品の包装機が19,000千円（4月納品）で計画</t>
        </is>
      </c>
    </row>
    <row r="26">
      <c r="G26" s="114" t="inlineStr">
        <is>
          <t>合計</t>
        </is>
      </c>
      <c r="H26" s="101">
        <f>SUM(H20:H25)</f>
        <v/>
      </c>
      <c r="I26" s="114" t="inlineStr">
        <is>
          <t>前々期（2024年4月～9月）と比較すると約40,000千円の増加にて計画。粗利は機械メンテ有償化推進にて2％UPを計画</t>
        </is>
      </c>
    </row>
    <row r="27">
      <c r="F27" s="114" t="inlineStr">
        <is>
          <t>海外：過年度平均に食品輸出を約15％盛り込み計画。機械については案件がないので400千円/月で計算。</t>
        </is>
      </c>
    </row>
  </sheetData>
  <mergeCells count="7">
    <mergeCell ref="J7:L7"/>
    <mergeCell ref="D1:U1"/>
    <mergeCell ref="P7:T7"/>
    <mergeCell ref="M7:O7"/>
    <mergeCell ref="G7:I7"/>
    <mergeCell ref="D7:F8"/>
    <mergeCell ref="U7:U8"/>
  </mergeCells>
  <pageMargins left="0.7086614173228347" right="0.7086614173228347" top="0.7480314960629921" bottom="0.7480314960629921" header="0.3149606299212598" footer="0.3149606299212598"/>
  <pageSetup orientation="landscape" paperSize="9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ma-takahashi</dc:creator>
  <dcterms:created xmlns:dcterms="http://purl.org/dc/terms/" xmlns:xsi="http://www.w3.org/2001/XMLSchema-instance" xsi:type="dcterms:W3CDTF">2024-06-27T00:13:49Z</dcterms:created>
  <dcterms:modified xmlns:dcterms="http://purl.org/dc/terms/" xmlns:xsi="http://www.w3.org/2001/XMLSchema-instance" xsi:type="dcterms:W3CDTF">2026-10-07T00:50:29Z</dcterms:modified>
  <cp:lastModifiedBy>ma-takahashi</cp:lastModifiedBy>
  <cp:lastPrinted>2026-03-23T00:44:08Z</cp:lastPrinted>
</cp:coreProperties>
</file>