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第52期経営計画策定\実績資料作成\"/>
    </mc:Choice>
  </mc:AlternateContent>
  <xr:revisionPtr revIDLastSave="0" documentId="13_ncr:1_{0C97DD93-064F-4BA8-BF04-7F42DAAD714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包装資材" sheetId="1" r:id="rId1"/>
    <sheet name="機械" sheetId="2" r:id="rId2"/>
    <sheet name="全体" sheetId="3" r:id="rId3"/>
    <sheet name="総括" sheetId="4" r:id="rId4"/>
  </sheets>
  <definedNames>
    <definedName name="_xlnm.Print_Area" localSheetId="1">機械!$C$1:$Y$100</definedName>
    <definedName name="_xlnm.Print_Area" localSheetId="2">全体!$C$1:$Y$100</definedName>
    <definedName name="_xlnm.Print_Area" localSheetId="3">総括!$D$1:$U$23</definedName>
    <definedName name="_xlnm.Print_Area" localSheetId="0">包装資材!$C$1:$Y$100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4" i="3" l="1"/>
  <c r="T114" i="3"/>
  <c r="U114" i="3"/>
  <c r="V114" i="3"/>
  <c r="W114" i="3"/>
  <c r="X114" i="3"/>
  <c r="Y114" i="3"/>
  <c r="S114" i="1"/>
  <c r="T114" i="1"/>
  <c r="U114" i="1"/>
  <c r="V114" i="1"/>
  <c r="W114" i="1"/>
  <c r="X114" i="1"/>
  <c r="Y114" i="1"/>
  <c r="S115" i="1"/>
  <c r="T115" i="1"/>
  <c r="U115" i="1"/>
  <c r="V115" i="1"/>
  <c r="W115" i="1"/>
  <c r="X115" i="1"/>
  <c r="Y115" i="1"/>
  <c r="K147" i="1"/>
  <c r="K147" i="2"/>
  <c r="W115" i="3"/>
  <c r="V115" i="3"/>
  <c r="U115" i="3"/>
  <c r="T115" i="3"/>
  <c r="S115" i="3"/>
  <c r="X115" i="3"/>
  <c r="Y115" i="3"/>
  <c r="T23" i="4"/>
  <c r="S23" i="4"/>
  <c r="R23" i="4"/>
  <c r="N23" i="4"/>
  <c r="O23" i="4" s="1"/>
  <c r="M23" i="4"/>
  <c r="L23" i="4"/>
  <c r="I23" i="4"/>
  <c r="T22" i="4"/>
  <c r="S22" i="4"/>
  <c r="R22" i="4"/>
  <c r="L22" i="4"/>
  <c r="K22" i="4"/>
  <c r="J22" i="4"/>
  <c r="H22" i="4"/>
  <c r="G22" i="4"/>
  <c r="M22" i="4" s="1"/>
  <c r="S21" i="4"/>
  <c r="Q21" i="4"/>
  <c r="T21" i="4" s="1"/>
  <c r="P21" i="4"/>
  <c r="N21" i="4"/>
  <c r="O21" i="4" s="1"/>
  <c r="M21" i="4"/>
  <c r="L21" i="4"/>
  <c r="I21" i="4"/>
  <c r="T20" i="4"/>
  <c r="S20" i="4"/>
  <c r="R20" i="4"/>
  <c r="N20" i="4"/>
  <c r="M20" i="4"/>
  <c r="L20" i="4"/>
  <c r="I20" i="4"/>
  <c r="T19" i="4"/>
  <c r="S19" i="4"/>
  <c r="R19" i="4"/>
  <c r="N19" i="4"/>
  <c r="O19" i="4" s="1"/>
  <c r="M19" i="4"/>
  <c r="L19" i="4"/>
  <c r="I19" i="4"/>
  <c r="T18" i="4"/>
  <c r="R18" i="4"/>
  <c r="K18" i="4"/>
  <c r="J18" i="4"/>
  <c r="S18" i="4" s="1"/>
  <c r="I18" i="4"/>
  <c r="H18" i="4"/>
  <c r="N18" i="4" s="1"/>
  <c r="G18" i="4"/>
  <c r="T17" i="4"/>
  <c r="S17" i="4"/>
  <c r="R17" i="4"/>
  <c r="Q17" i="4"/>
  <c r="P17" i="4"/>
  <c r="N17" i="4"/>
  <c r="O17" i="4" s="1"/>
  <c r="M17" i="4"/>
  <c r="L17" i="4"/>
  <c r="I17" i="4"/>
  <c r="T16" i="4"/>
  <c r="S16" i="4"/>
  <c r="R16" i="4"/>
  <c r="O16" i="4"/>
  <c r="N16" i="4"/>
  <c r="M16" i="4"/>
  <c r="L16" i="4"/>
  <c r="I16" i="4"/>
  <c r="T15" i="4"/>
  <c r="S15" i="4"/>
  <c r="R15" i="4"/>
  <c r="O15" i="4"/>
  <c r="N15" i="4"/>
  <c r="M15" i="4"/>
  <c r="L15" i="4"/>
  <c r="I15" i="4"/>
  <c r="R14" i="4"/>
  <c r="K14" i="4"/>
  <c r="T14" i="4" s="1"/>
  <c r="J14" i="4"/>
  <c r="S14" i="4" s="1"/>
  <c r="H14" i="4"/>
  <c r="G14" i="4"/>
  <c r="M14" i="4" s="1"/>
  <c r="T13" i="4"/>
  <c r="S13" i="4"/>
  <c r="R13" i="4"/>
  <c r="Q13" i="4"/>
  <c r="P13" i="4"/>
  <c r="N13" i="4"/>
  <c r="M13" i="4"/>
  <c r="L13" i="4"/>
  <c r="I13" i="4"/>
  <c r="R12" i="4"/>
  <c r="Q12" i="4"/>
  <c r="P12" i="4"/>
  <c r="K12" i="4"/>
  <c r="T12" i="4" s="1"/>
  <c r="J12" i="4"/>
  <c r="S12" i="4" s="1"/>
  <c r="H12" i="4"/>
  <c r="G12" i="4"/>
  <c r="T11" i="4"/>
  <c r="R11" i="4"/>
  <c r="Q11" i="4"/>
  <c r="P11" i="4"/>
  <c r="N11" i="4"/>
  <c r="M11" i="4"/>
  <c r="K11" i="4"/>
  <c r="J11" i="4"/>
  <c r="S11" i="4" s="1"/>
  <c r="I11" i="4"/>
  <c r="H11" i="4"/>
  <c r="H10" i="4" s="1"/>
  <c r="G11" i="4"/>
  <c r="P9" i="4"/>
  <c r="S9" i="4" s="1"/>
  <c r="N9" i="4"/>
  <c r="O9" i="4" s="1"/>
  <c r="M9" i="4"/>
  <c r="L9" i="4"/>
  <c r="K9" i="4"/>
  <c r="J9" i="4"/>
  <c r="H9" i="4"/>
  <c r="I9" i="4" s="1"/>
  <c r="G9" i="4"/>
  <c r="G10" i="4" s="1"/>
  <c r="Q148" i="2"/>
  <c r="P148" i="2"/>
  <c r="I148" i="2"/>
  <c r="H148" i="2"/>
  <c r="Q147" i="2"/>
  <c r="P147" i="2"/>
  <c r="O147" i="2"/>
  <c r="N147" i="2"/>
  <c r="R147" i="2" s="1"/>
  <c r="M147" i="2"/>
  <c r="L147" i="2"/>
  <c r="J147" i="2"/>
  <c r="I147" i="2"/>
  <c r="H147" i="2"/>
  <c r="G147" i="2"/>
  <c r="G148" i="2" s="1"/>
  <c r="F147" i="2"/>
  <c r="F148" i="2" s="1"/>
  <c r="E147" i="2"/>
  <c r="X146" i="2"/>
  <c r="W146" i="2"/>
  <c r="V146" i="2"/>
  <c r="Q146" i="2"/>
  <c r="P146" i="2"/>
  <c r="O146" i="2"/>
  <c r="N146" i="2"/>
  <c r="M146" i="2"/>
  <c r="M148" i="2" s="1"/>
  <c r="L146" i="2"/>
  <c r="J146" i="2"/>
  <c r="J148" i="2" s="1"/>
  <c r="I146" i="2"/>
  <c r="H146" i="2"/>
  <c r="G146" i="2"/>
  <c r="F146" i="2"/>
  <c r="E146" i="2"/>
  <c r="L145" i="2"/>
  <c r="H145" i="2"/>
  <c r="G145" i="2"/>
  <c r="Q144" i="2"/>
  <c r="P144" i="2"/>
  <c r="R144" i="2" s="1"/>
  <c r="O144" i="2"/>
  <c r="N144" i="2"/>
  <c r="M144" i="2"/>
  <c r="L144" i="2"/>
  <c r="J144" i="2"/>
  <c r="J145" i="2" s="1"/>
  <c r="I144" i="2"/>
  <c r="I145" i="2" s="1"/>
  <c r="H144" i="2"/>
  <c r="G144" i="2"/>
  <c r="F144" i="2"/>
  <c r="E144" i="2"/>
  <c r="Q143" i="2"/>
  <c r="Q145" i="2" s="1"/>
  <c r="P143" i="2"/>
  <c r="P145" i="2" s="1"/>
  <c r="O143" i="2"/>
  <c r="O145" i="2" s="1"/>
  <c r="N143" i="2"/>
  <c r="N145" i="2" s="1"/>
  <c r="M143" i="2"/>
  <c r="M145" i="2" s="1"/>
  <c r="L143" i="2"/>
  <c r="J143" i="2"/>
  <c r="I143" i="2"/>
  <c r="H143" i="2"/>
  <c r="G143" i="2"/>
  <c r="F143" i="2"/>
  <c r="F145" i="2" s="1"/>
  <c r="E143" i="2"/>
  <c r="U141" i="2"/>
  <c r="T141" i="2"/>
  <c r="S141" i="2"/>
  <c r="Q141" i="2"/>
  <c r="P141" i="2"/>
  <c r="O141" i="2"/>
  <c r="N141" i="2"/>
  <c r="M141" i="2"/>
  <c r="L141" i="2"/>
  <c r="R141" i="2" s="1"/>
  <c r="J141" i="2"/>
  <c r="I141" i="2"/>
  <c r="H141" i="2"/>
  <c r="G141" i="2"/>
  <c r="K141" i="2" s="1"/>
  <c r="F141" i="2"/>
  <c r="E141" i="2"/>
  <c r="Q140" i="2"/>
  <c r="P140" i="2"/>
  <c r="R140" i="2" s="1"/>
  <c r="O140" i="2"/>
  <c r="N140" i="2"/>
  <c r="M140" i="2"/>
  <c r="L140" i="2"/>
  <c r="J140" i="2"/>
  <c r="I140" i="2"/>
  <c r="H140" i="2"/>
  <c r="G140" i="2"/>
  <c r="F140" i="2"/>
  <c r="E140" i="2"/>
  <c r="Q139" i="2"/>
  <c r="P139" i="2"/>
  <c r="O139" i="2"/>
  <c r="N139" i="2"/>
  <c r="M139" i="2"/>
  <c r="R139" i="2" s="1"/>
  <c r="L139" i="2"/>
  <c r="J139" i="2"/>
  <c r="I139" i="2"/>
  <c r="H139" i="2"/>
  <c r="G139" i="2"/>
  <c r="F139" i="2"/>
  <c r="E139" i="2"/>
  <c r="K139" i="2" s="1"/>
  <c r="W138" i="2"/>
  <c r="Q138" i="2"/>
  <c r="Q142" i="2" s="1"/>
  <c r="Q149" i="2" s="1"/>
  <c r="P138" i="2"/>
  <c r="P142" i="2" s="1"/>
  <c r="P149" i="2" s="1"/>
  <c r="O138" i="2"/>
  <c r="O142" i="2" s="1"/>
  <c r="N138" i="2"/>
  <c r="N142" i="2" s="1"/>
  <c r="M138" i="2"/>
  <c r="L138" i="2"/>
  <c r="J138" i="2"/>
  <c r="I138" i="2"/>
  <c r="H138" i="2"/>
  <c r="G138" i="2"/>
  <c r="G142" i="2" s="1"/>
  <c r="G149" i="2" s="1"/>
  <c r="F138" i="2"/>
  <c r="F142" i="2" s="1"/>
  <c r="E138" i="2"/>
  <c r="E142" i="2" s="1"/>
  <c r="V132" i="2"/>
  <c r="I132" i="2"/>
  <c r="H132" i="2"/>
  <c r="F132" i="2"/>
  <c r="T132" i="2" s="1"/>
  <c r="E132" i="2"/>
  <c r="Y131" i="2"/>
  <c r="X131" i="2"/>
  <c r="S131" i="2"/>
  <c r="Q131" i="2"/>
  <c r="Q132" i="2" s="1"/>
  <c r="P131" i="2"/>
  <c r="O131" i="2"/>
  <c r="N131" i="2"/>
  <c r="M131" i="2"/>
  <c r="R131" i="2" s="1"/>
  <c r="L131" i="2"/>
  <c r="J131" i="2"/>
  <c r="I131" i="2"/>
  <c r="W131" i="2" s="1"/>
  <c r="H131" i="2"/>
  <c r="V131" i="2" s="1"/>
  <c r="G131" i="2"/>
  <c r="F131" i="2"/>
  <c r="T131" i="2" s="1"/>
  <c r="E131" i="2"/>
  <c r="Q130" i="2"/>
  <c r="P130" i="2"/>
  <c r="W130" i="2" s="1"/>
  <c r="O130" i="2"/>
  <c r="O132" i="2" s="1"/>
  <c r="N130" i="2"/>
  <c r="M130" i="2"/>
  <c r="M132" i="2" s="1"/>
  <c r="L130" i="2"/>
  <c r="J130" i="2"/>
  <c r="X130" i="2" s="1"/>
  <c r="I130" i="2"/>
  <c r="H130" i="2"/>
  <c r="G130" i="2"/>
  <c r="F130" i="2"/>
  <c r="T130" i="2" s="1"/>
  <c r="E130" i="2"/>
  <c r="M129" i="2"/>
  <c r="L129" i="2"/>
  <c r="U128" i="2"/>
  <c r="T128" i="2"/>
  <c r="Q128" i="2"/>
  <c r="R128" i="2" s="1"/>
  <c r="P128" i="2"/>
  <c r="P129" i="2" s="1"/>
  <c r="O128" i="2"/>
  <c r="N128" i="2"/>
  <c r="M128" i="2"/>
  <c r="L128" i="2"/>
  <c r="J128" i="2"/>
  <c r="I128" i="2"/>
  <c r="W128" i="2" s="1"/>
  <c r="H128" i="2"/>
  <c r="H129" i="2" s="1"/>
  <c r="V129" i="2" s="1"/>
  <c r="G128" i="2"/>
  <c r="F128" i="2"/>
  <c r="E128" i="2"/>
  <c r="R127" i="2"/>
  <c r="Q127" i="2"/>
  <c r="P127" i="2"/>
  <c r="O127" i="2"/>
  <c r="O129" i="2" s="1"/>
  <c r="N127" i="2"/>
  <c r="N129" i="2" s="1"/>
  <c r="M127" i="2"/>
  <c r="L127" i="2"/>
  <c r="J127" i="2"/>
  <c r="I127" i="2"/>
  <c r="W127" i="2" s="1"/>
  <c r="H127" i="2"/>
  <c r="V127" i="2" s="1"/>
  <c r="G127" i="2"/>
  <c r="F127" i="2"/>
  <c r="E127" i="2"/>
  <c r="J126" i="2"/>
  <c r="X125" i="2"/>
  <c r="T125" i="2"/>
  <c r="S125" i="2"/>
  <c r="Q125" i="2"/>
  <c r="P125" i="2"/>
  <c r="O125" i="2"/>
  <c r="N125" i="2"/>
  <c r="M125" i="2"/>
  <c r="L125" i="2"/>
  <c r="K125" i="2"/>
  <c r="J125" i="2"/>
  <c r="I125" i="2"/>
  <c r="W125" i="2" s="1"/>
  <c r="H125" i="2"/>
  <c r="V125" i="2" s="1"/>
  <c r="G125" i="2"/>
  <c r="U125" i="2" s="1"/>
  <c r="F125" i="2"/>
  <c r="E125" i="2"/>
  <c r="U124" i="2"/>
  <c r="R124" i="2"/>
  <c r="Q124" i="2"/>
  <c r="P124" i="2"/>
  <c r="O124" i="2"/>
  <c r="N124" i="2"/>
  <c r="M124" i="2"/>
  <c r="L124" i="2"/>
  <c r="J124" i="2"/>
  <c r="X124" i="2" s="1"/>
  <c r="I124" i="2"/>
  <c r="W124" i="2" s="1"/>
  <c r="H124" i="2"/>
  <c r="V124" i="2" s="1"/>
  <c r="G124" i="2"/>
  <c r="F124" i="2"/>
  <c r="T124" i="2" s="1"/>
  <c r="E124" i="2"/>
  <c r="X123" i="2"/>
  <c r="R123" i="2"/>
  <c r="Q123" i="2"/>
  <c r="P123" i="2"/>
  <c r="O123" i="2"/>
  <c r="N123" i="2"/>
  <c r="M123" i="2"/>
  <c r="L123" i="2"/>
  <c r="J123" i="2"/>
  <c r="I123" i="2"/>
  <c r="W123" i="2" s="1"/>
  <c r="H123" i="2"/>
  <c r="V123" i="2" s="1"/>
  <c r="G123" i="2"/>
  <c r="U123" i="2" s="1"/>
  <c r="F123" i="2"/>
  <c r="T123" i="2" s="1"/>
  <c r="E123" i="2"/>
  <c r="W122" i="2"/>
  <c r="U122" i="2"/>
  <c r="Q122" i="2"/>
  <c r="P122" i="2"/>
  <c r="P126" i="2" s="1"/>
  <c r="O122" i="2"/>
  <c r="V122" i="2" s="1"/>
  <c r="N122" i="2"/>
  <c r="N126" i="2" s="1"/>
  <c r="M122" i="2"/>
  <c r="L122" i="2"/>
  <c r="J122" i="2"/>
  <c r="X122" i="2" s="1"/>
  <c r="I122" i="2"/>
  <c r="H122" i="2"/>
  <c r="G122" i="2"/>
  <c r="F122" i="2"/>
  <c r="T122" i="2" s="1"/>
  <c r="E122" i="2"/>
  <c r="Y117" i="2"/>
  <c r="X117" i="2"/>
  <c r="W117" i="2"/>
  <c r="V117" i="2"/>
  <c r="R117" i="2"/>
  <c r="M116" i="2"/>
  <c r="Q115" i="2"/>
  <c r="P115" i="2"/>
  <c r="P116" i="2" s="1"/>
  <c r="O115" i="2"/>
  <c r="N115" i="2"/>
  <c r="M115" i="2"/>
  <c r="L115" i="2"/>
  <c r="J115" i="2"/>
  <c r="I115" i="2"/>
  <c r="H115" i="2"/>
  <c r="G115" i="2"/>
  <c r="F115" i="2"/>
  <c r="E115" i="2"/>
  <c r="R114" i="2"/>
  <c r="R115" i="2" s="1"/>
  <c r="K114" i="2"/>
  <c r="X113" i="2"/>
  <c r="W113" i="2"/>
  <c r="V113" i="2"/>
  <c r="U113" i="2"/>
  <c r="T113" i="2"/>
  <c r="S113" i="2"/>
  <c r="R113" i="2"/>
  <c r="K113" i="2"/>
  <c r="W112" i="2"/>
  <c r="V112" i="2"/>
  <c r="U112" i="2"/>
  <c r="Q112" i="2"/>
  <c r="P112" i="2"/>
  <c r="O112" i="2"/>
  <c r="N112" i="2"/>
  <c r="M112" i="2"/>
  <c r="L112" i="2"/>
  <c r="L116" i="2" s="1"/>
  <c r="K112" i="2"/>
  <c r="Y112" i="2" s="1"/>
  <c r="J112" i="2"/>
  <c r="X112" i="2" s="1"/>
  <c r="I112" i="2"/>
  <c r="H112" i="2"/>
  <c r="G112" i="2"/>
  <c r="F112" i="2"/>
  <c r="T112" i="2" s="1"/>
  <c r="E112" i="2"/>
  <c r="S112" i="2" s="1"/>
  <c r="Y111" i="2"/>
  <c r="X111" i="2"/>
  <c r="W111" i="2"/>
  <c r="V111" i="2"/>
  <c r="U111" i="2"/>
  <c r="U144" i="2" s="1"/>
  <c r="T111" i="2"/>
  <c r="T144" i="2" s="1"/>
  <c r="S111" i="2"/>
  <c r="R111" i="2"/>
  <c r="K111" i="2"/>
  <c r="X110" i="2"/>
  <c r="X143" i="2" s="1"/>
  <c r="W110" i="2"/>
  <c r="W143" i="2" s="1"/>
  <c r="V110" i="2"/>
  <c r="U110" i="2"/>
  <c r="T110" i="2"/>
  <c r="S110" i="2"/>
  <c r="R110" i="2"/>
  <c r="R112" i="2" s="1"/>
  <c r="K110" i="2"/>
  <c r="Y110" i="2" s="1"/>
  <c r="Y143" i="2" s="1"/>
  <c r="X109" i="2"/>
  <c r="R109" i="2"/>
  <c r="Q109" i="2"/>
  <c r="Q116" i="2" s="1"/>
  <c r="P109" i="2"/>
  <c r="O109" i="2"/>
  <c r="N109" i="2"/>
  <c r="N116" i="2" s="1"/>
  <c r="M109" i="2"/>
  <c r="L109" i="2"/>
  <c r="J109" i="2"/>
  <c r="I109" i="2"/>
  <c r="W109" i="2" s="1"/>
  <c r="H109" i="2"/>
  <c r="V109" i="2" s="1"/>
  <c r="G109" i="2"/>
  <c r="F109" i="2"/>
  <c r="T109" i="2" s="1"/>
  <c r="E109" i="2"/>
  <c r="E116" i="2" s="1"/>
  <c r="S116" i="2" s="1"/>
  <c r="X108" i="2"/>
  <c r="W108" i="2"/>
  <c r="V108" i="2"/>
  <c r="U108" i="2"/>
  <c r="T108" i="2"/>
  <c r="S108" i="2"/>
  <c r="R108" i="2"/>
  <c r="K108" i="2"/>
  <c r="Y108" i="2" s="1"/>
  <c r="Y107" i="2"/>
  <c r="X107" i="2"/>
  <c r="X140" i="2" s="1"/>
  <c r="W107" i="2"/>
  <c r="V107" i="2"/>
  <c r="U107" i="2"/>
  <c r="T107" i="2"/>
  <c r="S107" i="2"/>
  <c r="R107" i="2"/>
  <c r="K107" i="2"/>
  <c r="X106" i="2"/>
  <c r="W106" i="2"/>
  <c r="V106" i="2"/>
  <c r="U106" i="2"/>
  <c r="T106" i="2"/>
  <c r="S106" i="2"/>
  <c r="R106" i="2"/>
  <c r="K106" i="2"/>
  <c r="Y106" i="2" s="1"/>
  <c r="X105" i="2"/>
  <c r="W105" i="2"/>
  <c r="V105" i="2"/>
  <c r="U105" i="2"/>
  <c r="T105" i="2"/>
  <c r="S105" i="2"/>
  <c r="R105" i="2"/>
  <c r="K105" i="2"/>
  <c r="Y105" i="2" s="1"/>
  <c r="M99" i="2"/>
  <c r="T98" i="2"/>
  <c r="Q98" i="2"/>
  <c r="P98" i="2"/>
  <c r="O97" i="2"/>
  <c r="O99" i="2" s="1"/>
  <c r="N97" i="2"/>
  <c r="N99" i="2" s="1"/>
  <c r="M97" i="2"/>
  <c r="I95" i="2"/>
  <c r="H95" i="2"/>
  <c r="G95" i="2"/>
  <c r="F94" i="2"/>
  <c r="F96" i="2" s="1"/>
  <c r="E94" i="2"/>
  <c r="Q90" i="2"/>
  <c r="P90" i="2"/>
  <c r="R90" i="2" s="1"/>
  <c r="J90" i="2"/>
  <c r="O89" i="2"/>
  <c r="N89" i="2"/>
  <c r="N93" i="2" s="1"/>
  <c r="M89" i="2"/>
  <c r="G89" i="2"/>
  <c r="L83" i="2"/>
  <c r="H83" i="2"/>
  <c r="G83" i="2"/>
  <c r="V82" i="2"/>
  <c r="Q82" i="2"/>
  <c r="P82" i="2"/>
  <c r="R82" i="2" s="1"/>
  <c r="O82" i="2"/>
  <c r="N82" i="2"/>
  <c r="M82" i="2"/>
  <c r="L82" i="2"/>
  <c r="J82" i="2"/>
  <c r="I82" i="2"/>
  <c r="I83" i="2" s="1"/>
  <c r="H82" i="2"/>
  <c r="G82" i="2"/>
  <c r="F82" i="2"/>
  <c r="E82" i="2"/>
  <c r="Q81" i="2"/>
  <c r="Q83" i="2" s="1"/>
  <c r="P81" i="2"/>
  <c r="P83" i="2" s="1"/>
  <c r="O81" i="2"/>
  <c r="O83" i="2" s="1"/>
  <c r="N81" i="2"/>
  <c r="N83" i="2" s="1"/>
  <c r="M81" i="2"/>
  <c r="L81" i="2"/>
  <c r="J81" i="2"/>
  <c r="I81" i="2"/>
  <c r="H81" i="2"/>
  <c r="G81" i="2"/>
  <c r="F81" i="2"/>
  <c r="F83" i="2" s="1"/>
  <c r="E81" i="2"/>
  <c r="W80" i="2"/>
  <c r="P80" i="2"/>
  <c r="O80" i="2"/>
  <c r="N80" i="2"/>
  <c r="N84" i="2" s="1"/>
  <c r="T79" i="2"/>
  <c r="Q79" i="2"/>
  <c r="P79" i="2"/>
  <c r="O79" i="2"/>
  <c r="N79" i="2"/>
  <c r="M79" i="2"/>
  <c r="L79" i="2"/>
  <c r="J79" i="2"/>
  <c r="I79" i="2"/>
  <c r="H79" i="2"/>
  <c r="G79" i="2"/>
  <c r="K79" i="2" s="1"/>
  <c r="F79" i="2"/>
  <c r="E79" i="2"/>
  <c r="R78" i="2"/>
  <c r="Q78" i="2"/>
  <c r="Q80" i="2" s="1"/>
  <c r="P78" i="2"/>
  <c r="O78" i="2"/>
  <c r="N78" i="2"/>
  <c r="M78" i="2"/>
  <c r="M80" i="2" s="1"/>
  <c r="L78" i="2"/>
  <c r="J78" i="2"/>
  <c r="J80" i="2" s="1"/>
  <c r="I78" i="2"/>
  <c r="I80" i="2" s="1"/>
  <c r="H78" i="2"/>
  <c r="H80" i="2" s="1"/>
  <c r="G78" i="2"/>
  <c r="F78" i="2"/>
  <c r="F80" i="2" s="1"/>
  <c r="E78" i="2"/>
  <c r="M77" i="2"/>
  <c r="H77" i="2"/>
  <c r="F77" i="2"/>
  <c r="F84" i="2" s="1"/>
  <c r="Q76" i="2"/>
  <c r="P76" i="2"/>
  <c r="O76" i="2"/>
  <c r="O77" i="2" s="1"/>
  <c r="O84" i="2" s="1"/>
  <c r="N76" i="2"/>
  <c r="N77" i="2" s="1"/>
  <c r="M76" i="2"/>
  <c r="L76" i="2"/>
  <c r="J76" i="2"/>
  <c r="K76" i="2" s="1"/>
  <c r="I76" i="2"/>
  <c r="H76" i="2"/>
  <c r="G76" i="2"/>
  <c r="F76" i="2"/>
  <c r="E76" i="2"/>
  <c r="T75" i="2"/>
  <c r="S75" i="2"/>
  <c r="Q75" i="2"/>
  <c r="P75" i="2"/>
  <c r="O75" i="2"/>
  <c r="N75" i="2"/>
  <c r="M75" i="2"/>
  <c r="L75" i="2"/>
  <c r="R75" i="2" s="1"/>
  <c r="J75" i="2"/>
  <c r="I75" i="2"/>
  <c r="H75" i="2"/>
  <c r="G75" i="2"/>
  <c r="F75" i="2"/>
  <c r="E75" i="2"/>
  <c r="Q74" i="2"/>
  <c r="P74" i="2"/>
  <c r="R74" i="2" s="1"/>
  <c r="O74" i="2"/>
  <c r="N74" i="2"/>
  <c r="M74" i="2"/>
  <c r="L74" i="2"/>
  <c r="K74" i="2"/>
  <c r="J74" i="2"/>
  <c r="I74" i="2"/>
  <c r="H74" i="2"/>
  <c r="G74" i="2"/>
  <c r="F74" i="2"/>
  <c r="E74" i="2"/>
  <c r="Q73" i="2"/>
  <c r="Q77" i="2" s="1"/>
  <c r="Q84" i="2" s="1"/>
  <c r="P73" i="2"/>
  <c r="P77" i="2" s="1"/>
  <c r="P84" i="2" s="1"/>
  <c r="O73" i="2"/>
  <c r="N73" i="2"/>
  <c r="M73" i="2"/>
  <c r="L73" i="2"/>
  <c r="J73" i="2"/>
  <c r="I73" i="2"/>
  <c r="H73" i="2"/>
  <c r="G73" i="2"/>
  <c r="F73" i="2"/>
  <c r="E73" i="2"/>
  <c r="E68" i="2"/>
  <c r="S68" i="2" s="1"/>
  <c r="I67" i="2"/>
  <c r="V66" i="2"/>
  <c r="U66" i="2"/>
  <c r="Q66" i="2"/>
  <c r="P66" i="2"/>
  <c r="R66" i="2" s="1"/>
  <c r="O66" i="2"/>
  <c r="N66" i="2"/>
  <c r="M66" i="2"/>
  <c r="L66" i="2"/>
  <c r="J66" i="2"/>
  <c r="X66" i="2" s="1"/>
  <c r="I66" i="2"/>
  <c r="H66" i="2"/>
  <c r="G66" i="2"/>
  <c r="F66" i="2"/>
  <c r="T66" i="2" s="1"/>
  <c r="E66" i="2"/>
  <c r="S66" i="2" s="1"/>
  <c r="X64" i="2"/>
  <c r="W64" i="2"/>
  <c r="V64" i="2"/>
  <c r="U64" i="2"/>
  <c r="T64" i="2"/>
  <c r="T97" i="2" s="1"/>
  <c r="S64" i="2"/>
  <c r="R64" i="2"/>
  <c r="Y64" i="2" s="1"/>
  <c r="K64" i="2"/>
  <c r="W63" i="2"/>
  <c r="V63" i="2"/>
  <c r="Q63" i="2"/>
  <c r="P63" i="2"/>
  <c r="O63" i="2"/>
  <c r="N63" i="2"/>
  <c r="M63" i="2"/>
  <c r="L63" i="2"/>
  <c r="L67" i="2" s="1"/>
  <c r="J63" i="2"/>
  <c r="X63" i="2" s="1"/>
  <c r="I63" i="2"/>
  <c r="H63" i="2"/>
  <c r="G63" i="2"/>
  <c r="U63" i="2" s="1"/>
  <c r="F63" i="2"/>
  <c r="T63" i="2" s="1"/>
  <c r="E63" i="2"/>
  <c r="S63" i="2" s="1"/>
  <c r="Y62" i="2"/>
  <c r="X62" i="2"/>
  <c r="W62" i="2"/>
  <c r="W95" i="2" s="1"/>
  <c r="V62" i="2"/>
  <c r="U62" i="2"/>
  <c r="U95" i="2" s="1"/>
  <c r="T62" i="2"/>
  <c r="S62" i="2"/>
  <c r="R62" i="2"/>
  <c r="K62" i="2"/>
  <c r="X61" i="2"/>
  <c r="W61" i="2"/>
  <c r="V61" i="2"/>
  <c r="U61" i="2"/>
  <c r="T61" i="2"/>
  <c r="T94" i="2" s="1"/>
  <c r="S61" i="2"/>
  <c r="S94" i="2" s="1"/>
  <c r="R61" i="2"/>
  <c r="R63" i="2" s="1"/>
  <c r="K61" i="2"/>
  <c r="T60" i="2"/>
  <c r="Q60" i="2"/>
  <c r="P60" i="2"/>
  <c r="O60" i="2"/>
  <c r="N60" i="2"/>
  <c r="M60" i="2"/>
  <c r="R60" i="2" s="1"/>
  <c r="L60" i="2"/>
  <c r="J60" i="2"/>
  <c r="X60" i="2" s="1"/>
  <c r="I60" i="2"/>
  <c r="W60" i="2" s="1"/>
  <c r="H60" i="2"/>
  <c r="G60" i="2"/>
  <c r="F60" i="2"/>
  <c r="E60" i="2"/>
  <c r="X59" i="2"/>
  <c r="W59" i="2"/>
  <c r="V59" i="2"/>
  <c r="U59" i="2"/>
  <c r="T59" i="2"/>
  <c r="S59" i="2"/>
  <c r="R59" i="2"/>
  <c r="K59" i="2"/>
  <c r="Y59" i="2" s="1"/>
  <c r="Y58" i="2"/>
  <c r="X58" i="2"/>
  <c r="X91" i="2" s="1"/>
  <c r="W58" i="2"/>
  <c r="V58" i="2"/>
  <c r="U58" i="2"/>
  <c r="T58" i="2"/>
  <c r="S58" i="2"/>
  <c r="R58" i="2"/>
  <c r="K58" i="2"/>
  <c r="X57" i="2"/>
  <c r="X90" i="2" s="1"/>
  <c r="W57" i="2"/>
  <c r="V57" i="2"/>
  <c r="U57" i="2"/>
  <c r="T57" i="2"/>
  <c r="T90" i="2" s="1"/>
  <c r="S57" i="2"/>
  <c r="R57" i="2"/>
  <c r="K57" i="2"/>
  <c r="Y57" i="2" s="1"/>
  <c r="X56" i="2"/>
  <c r="W56" i="2"/>
  <c r="V56" i="2"/>
  <c r="U56" i="2"/>
  <c r="T56" i="2"/>
  <c r="S56" i="2"/>
  <c r="R56" i="2"/>
  <c r="K56" i="2"/>
  <c r="W51" i="2"/>
  <c r="V51" i="2"/>
  <c r="Q51" i="2"/>
  <c r="Q68" i="2" s="1"/>
  <c r="P51" i="2"/>
  <c r="P68" i="2" s="1"/>
  <c r="O51" i="2"/>
  <c r="O68" i="2" s="1"/>
  <c r="N51" i="2"/>
  <c r="N68" i="2" s="1"/>
  <c r="M51" i="2"/>
  <c r="M68" i="2" s="1"/>
  <c r="L51" i="2"/>
  <c r="J51" i="2"/>
  <c r="I51" i="2"/>
  <c r="I68" i="2" s="1"/>
  <c r="W68" i="2" s="1"/>
  <c r="H51" i="2"/>
  <c r="H68" i="2" s="1"/>
  <c r="V68" i="2" s="1"/>
  <c r="G51" i="2"/>
  <c r="U51" i="2" s="1"/>
  <c r="F51" i="2"/>
  <c r="T51" i="2" s="1"/>
  <c r="E51" i="2"/>
  <c r="S51" i="2" s="1"/>
  <c r="E49" i="2"/>
  <c r="V48" i="2"/>
  <c r="V98" i="2" s="1"/>
  <c r="U48" i="2"/>
  <c r="U98" i="2" s="1"/>
  <c r="T48" i="2"/>
  <c r="Q48" i="2"/>
  <c r="P48" i="2"/>
  <c r="O48" i="2"/>
  <c r="O98" i="2" s="1"/>
  <c r="N48" i="2"/>
  <c r="N98" i="2" s="1"/>
  <c r="M48" i="2"/>
  <c r="M98" i="2" s="1"/>
  <c r="L48" i="2"/>
  <c r="J48" i="2"/>
  <c r="I48" i="2"/>
  <c r="H48" i="2"/>
  <c r="H98" i="2" s="1"/>
  <c r="G48" i="2"/>
  <c r="G98" i="2" s="1"/>
  <c r="F48" i="2"/>
  <c r="F98" i="2" s="1"/>
  <c r="E48" i="2"/>
  <c r="E98" i="2" s="1"/>
  <c r="T47" i="2"/>
  <c r="Q47" i="2"/>
  <c r="P47" i="2"/>
  <c r="O47" i="2"/>
  <c r="N47" i="2"/>
  <c r="M47" i="2"/>
  <c r="M49" i="2" s="1"/>
  <c r="L47" i="2"/>
  <c r="J47" i="2"/>
  <c r="J97" i="2" s="1"/>
  <c r="I47" i="2"/>
  <c r="I97" i="2" s="1"/>
  <c r="H47" i="2"/>
  <c r="G47" i="2"/>
  <c r="G97" i="2" s="1"/>
  <c r="G99" i="2" s="1"/>
  <c r="F47" i="2"/>
  <c r="E47" i="2"/>
  <c r="Q46" i="2"/>
  <c r="P46" i="2"/>
  <c r="O46" i="2"/>
  <c r="M46" i="2"/>
  <c r="F46" i="2"/>
  <c r="T46" i="2" s="1"/>
  <c r="E46" i="2"/>
  <c r="S46" i="2" s="1"/>
  <c r="W45" i="2"/>
  <c r="V45" i="2"/>
  <c r="Q45" i="2"/>
  <c r="Q95" i="2" s="1"/>
  <c r="P45" i="2"/>
  <c r="P95" i="2" s="1"/>
  <c r="O45" i="2"/>
  <c r="O95" i="2" s="1"/>
  <c r="O96" i="2" s="1"/>
  <c r="N45" i="2"/>
  <c r="M45" i="2"/>
  <c r="M95" i="2" s="1"/>
  <c r="L45" i="2"/>
  <c r="J45" i="2"/>
  <c r="I45" i="2"/>
  <c r="H45" i="2"/>
  <c r="G45" i="2"/>
  <c r="U45" i="2" s="1"/>
  <c r="F45" i="2"/>
  <c r="F95" i="2" s="1"/>
  <c r="E45" i="2"/>
  <c r="E95" i="2" s="1"/>
  <c r="W44" i="2"/>
  <c r="U44" i="2"/>
  <c r="T44" i="2"/>
  <c r="S44" i="2"/>
  <c r="Q44" i="2"/>
  <c r="Q94" i="2" s="1"/>
  <c r="Q96" i="2" s="1"/>
  <c r="P44" i="2"/>
  <c r="P94" i="2" s="1"/>
  <c r="P96" i="2" s="1"/>
  <c r="O44" i="2"/>
  <c r="O94" i="2" s="1"/>
  <c r="N44" i="2"/>
  <c r="N94" i="2" s="1"/>
  <c r="M44" i="2"/>
  <c r="M94" i="2" s="1"/>
  <c r="L44" i="2"/>
  <c r="L94" i="2" s="1"/>
  <c r="J44" i="2"/>
  <c r="I44" i="2"/>
  <c r="H44" i="2"/>
  <c r="G44" i="2"/>
  <c r="F44" i="2"/>
  <c r="E44" i="2"/>
  <c r="E43" i="2"/>
  <c r="Q42" i="2"/>
  <c r="Q92" i="2" s="1"/>
  <c r="P42" i="2"/>
  <c r="O42" i="2"/>
  <c r="O92" i="2" s="1"/>
  <c r="N42" i="2"/>
  <c r="N92" i="2" s="1"/>
  <c r="M42" i="2"/>
  <c r="L42" i="2"/>
  <c r="L92" i="2" s="1"/>
  <c r="J42" i="2"/>
  <c r="X42" i="2" s="1"/>
  <c r="X92" i="2" s="1"/>
  <c r="I42" i="2"/>
  <c r="I92" i="2" s="1"/>
  <c r="H42" i="2"/>
  <c r="H92" i="2" s="1"/>
  <c r="G42" i="2"/>
  <c r="G92" i="2" s="1"/>
  <c r="F42" i="2"/>
  <c r="F92" i="2" s="1"/>
  <c r="E42" i="2"/>
  <c r="Y41" i="2"/>
  <c r="X41" i="2"/>
  <c r="W41" i="2"/>
  <c r="W91" i="2" s="1"/>
  <c r="V41" i="2"/>
  <c r="Q41" i="2"/>
  <c r="Q91" i="2" s="1"/>
  <c r="P41" i="2"/>
  <c r="P91" i="2" s="1"/>
  <c r="O41" i="2"/>
  <c r="O91" i="2" s="1"/>
  <c r="N41" i="2"/>
  <c r="N91" i="2" s="1"/>
  <c r="M41" i="2"/>
  <c r="M91" i="2" s="1"/>
  <c r="L41" i="2"/>
  <c r="K41" i="2"/>
  <c r="J41" i="2"/>
  <c r="J91" i="2" s="1"/>
  <c r="I41" i="2"/>
  <c r="I91" i="2" s="1"/>
  <c r="H41" i="2"/>
  <c r="H91" i="2" s="1"/>
  <c r="G41" i="2"/>
  <c r="U41" i="2" s="1"/>
  <c r="U91" i="2" s="1"/>
  <c r="F41" i="2"/>
  <c r="F91" i="2" s="1"/>
  <c r="E41" i="2"/>
  <c r="E91" i="2" s="1"/>
  <c r="T40" i="2"/>
  <c r="S40" i="2"/>
  <c r="Q40" i="2"/>
  <c r="P40" i="2"/>
  <c r="O40" i="2"/>
  <c r="O90" i="2" s="1"/>
  <c r="N40" i="2"/>
  <c r="N90" i="2" s="1"/>
  <c r="M40" i="2"/>
  <c r="M90" i="2" s="1"/>
  <c r="L40" i="2"/>
  <c r="L90" i="2" s="1"/>
  <c r="J40" i="2"/>
  <c r="X40" i="2" s="1"/>
  <c r="I40" i="2"/>
  <c r="I90" i="2" s="1"/>
  <c r="H40" i="2"/>
  <c r="G40" i="2"/>
  <c r="F40" i="2"/>
  <c r="F90" i="2" s="1"/>
  <c r="E40" i="2"/>
  <c r="E90" i="2" s="1"/>
  <c r="Q39" i="2"/>
  <c r="P39" i="2"/>
  <c r="P89" i="2" s="1"/>
  <c r="O39" i="2"/>
  <c r="N39" i="2"/>
  <c r="M39" i="2"/>
  <c r="L39" i="2"/>
  <c r="L89" i="2" s="1"/>
  <c r="J39" i="2"/>
  <c r="J89" i="2" s="1"/>
  <c r="I39" i="2"/>
  <c r="I89" i="2" s="1"/>
  <c r="H39" i="2"/>
  <c r="G39" i="2"/>
  <c r="U39" i="2" s="1"/>
  <c r="F39" i="2"/>
  <c r="E39" i="2"/>
  <c r="X34" i="2"/>
  <c r="W34" i="2"/>
  <c r="V34" i="2"/>
  <c r="U34" i="2"/>
  <c r="T34" i="2"/>
  <c r="S34" i="2"/>
  <c r="R34" i="2"/>
  <c r="K34" i="2"/>
  <c r="Y34" i="2" s="1"/>
  <c r="W32" i="2"/>
  <c r="U32" i="2"/>
  <c r="T32" i="2"/>
  <c r="S32" i="2"/>
  <c r="Q32" i="2"/>
  <c r="P32" i="2"/>
  <c r="O32" i="2"/>
  <c r="N32" i="2"/>
  <c r="M32" i="2"/>
  <c r="L32" i="2"/>
  <c r="R32" i="2" s="1"/>
  <c r="J32" i="2"/>
  <c r="X32" i="2" s="1"/>
  <c r="I32" i="2"/>
  <c r="H32" i="2"/>
  <c r="G32" i="2"/>
  <c r="F32" i="2"/>
  <c r="E32" i="2"/>
  <c r="X31" i="2"/>
  <c r="W31" i="2"/>
  <c r="V31" i="2"/>
  <c r="V147" i="2" s="1"/>
  <c r="U31" i="2"/>
  <c r="U147" i="2" s="1"/>
  <c r="T31" i="2"/>
  <c r="S31" i="2"/>
  <c r="R31" i="2"/>
  <c r="K31" i="2"/>
  <c r="Y31" i="2" s="1"/>
  <c r="Y30" i="2"/>
  <c r="Y81" i="2" s="1"/>
  <c r="X30" i="2"/>
  <c r="X81" i="2" s="1"/>
  <c r="W30" i="2"/>
  <c r="W81" i="2" s="1"/>
  <c r="V30" i="2"/>
  <c r="V81" i="2" s="1"/>
  <c r="U30" i="2"/>
  <c r="U81" i="2" s="1"/>
  <c r="T30" i="2"/>
  <c r="T81" i="2" s="1"/>
  <c r="S30" i="2"/>
  <c r="S81" i="2" s="1"/>
  <c r="R30" i="2"/>
  <c r="K30" i="2"/>
  <c r="X29" i="2"/>
  <c r="X80" i="2" s="1"/>
  <c r="W29" i="2"/>
  <c r="V29" i="2"/>
  <c r="V80" i="2" s="1"/>
  <c r="Q29" i="2"/>
  <c r="P29" i="2"/>
  <c r="O29" i="2"/>
  <c r="N29" i="2"/>
  <c r="M29" i="2"/>
  <c r="L29" i="2"/>
  <c r="L33" i="2" s="1"/>
  <c r="J29" i="2"/>
  <c r="I29" i="2"/>
  <c r="H29" i="2"/>
  <c r="G29" i="2"/>
  <c r="U29" i="2" s="1"/>
  <c r="F29" i="2"/>
  <c r="T29" i="2" s="1"/>
  <c r="T80" i="2" s="1"/>
  <c r="E29" i="2"/>
  <c r="S29" i="2" s="1"/>
  <c r="Y28" i="2"/>
  <c r="Y79" i="2" s="1"/>
  <c r="X28" i="2"/>
  <c r="X79" i="2" s="1"/>
  <c r="W28" i="2"/>
  <c r="W79" i="2" s="1"/>
  <c r="V28" i="2"/>
  <c r="U28" i="2"/>
  <c r="U79" i="2" s="1"/>
  <c r="T28" i="2"/>
  <c r="S28" i="2"/>
  <c r="S79" i="2" s="1"/>
  <c r="R28" i="2"/>
  <c r="K28" i="2"/>
  <c r="X27" i="2"/>
  <c r="X78" i="2" s="1"/>
  <c r="W27" i="2"/>
  <c r="W78" i="2" s="1"/>
  <c r="V27" i="2"/>
  <c r="V78" i="2" s="1"/>
  <c r="U27" i="2"/>
  <c r="U78" i="2" s="1"/>
  <c r="T27" i="2"/>
  <c r="T78" i="2" s="1"/>
  <c r="S27" i="2"/>
  <c r="R27" i="2"/>
  <c r="R29" i="2" s="1"/>
  <c r="K27" i="2"/>
  <c r="Y27" i="2" s="1"/>
  <c r="Y78" i="2" s="1"/>
  <c r="R26" i="2"/>
  <c r="R33" i="2" s="1"/>
  <c r="Q26" i="2"/>
  <c r="Q33" i="2" s="1"/>
  <c r="P26" i="2"/>
  <c r="O26" i="2"/>
  <c r="N26" i="2"/>
  <c r="M26" i="2"/>
  <c r="M33" i="2" s="1"/>
  <c r="L26" i="2"/>
  <c r="J26" i="2"/>
  <c r="X26" i="2" s="1"/>
  <c r="I26" i="2"/>
  <c r="H26" i="2"/>
  <c r="G26" i="2"/>
  <c r="F26" i="2"/>
  <c r="E26" i="2"/>
  <c r="Y25" i="2"/>
  <c r="Y76" i="2" s="1"/>
  <c r="X25" i="2"/>
  <c r="X76" i="2" s="1"/>
  <c r="W25" i="2"/>
  <c r="W76" i="2" s="1"/>
  <c r="V25" i="2"/>
  <c r="V76" i="2" s="1"/>
  <c r="U25" i="2"/>
  <c r="U76" i="2" s="1"/>
  <c r="T25" i="2"/>
  <c r="T76" i="2" s="1"/>
  <c r="S25" i="2"/>
  <c r="S76" i="2" s="1"/>
  <c r="R25" i="2"/>
  <c r="K25" i="2"/>
  <c r="Y24" i="2"/>
  <c r="Y75" i="2" s="1"/>
  <c r="X24" i="2"/>
  <c r="X75" i="2" s="1"/>
  <c r="W24" i="2"/>
  <c r="W75" i="2" s="1"/>
  <c r="V24" i="2"/>
  <c r="U24" i="2"/>
  <c r="U75" i="2" s="1"/>
  <c r="T24" i="2"/>
  <c r="S24" i="2"/>
  <c r="R24" i="2"/>
  <c r="K24" i="2"/>
  <c r="Y23" i="2"/>
  <c r="Y74" i="2" s="1"/>
  <c r="X23" i="2"/>
  <c r="X74" i="2" s="1"/>
  <c r="W23" i="2"/>
  <c r="W74" i="2" s="1"/>
  <c r="V23" i="2"/>
  <c r="V74" i="2" s="1"/>
  <c r="U23" i="2"/>
  <c r="U74" i="2" s="1"/>
  <c r="T23" i="2"/>
  <c r="T74" i="2" s="1"/>
  <c r="S23" i="2"/>
  <c r="R23" i="2"/>
  <c r="K23" i="2"/>
  <c r="X22" i="2"/>
  <c r="X73" i="2" s="1"/>
  <c r="W22" i="2"/>
  <c r="W73" i="2" s="1"/>
  <c r="V22" i="2"/>
  <c r="U22" i="2"/>
  <c r="U73" i="2" s="1"/>
  <c r="T22" i="2"/>
  <c r="T73" i="2" s="1"/>
  <c r="S22" i="2"/>
  <c r="S73" i="2" s="1"/>
  <c r="R22" i="2"/>
  <c r="K22" i="2"/>
  <c r="Y22" i="2" s="1"/>
  <c r="Y73" i="2" s="1"/>
  <c r="Y17" i="2"/>
  <c r="X17" i="2"/>
  <c r="W17" i="2"/>
  <c r="V17" i="2"/>
  <c r="U17" i="2"/>
  <c r="T17" i="2"/>
  <c r="S17" i="2"/>
  <c r="R17" i="2"/>
  <c r="K17" i="2"/>
  <c r="N16" i="2"/>
  <c r="U15" i="2"/>
  <c r="T15" i="2"/>
  <c r="S15" i="2"/>
  <c r="Q15" i="2"/>
  <c r="P15" i="2"/>
  <c r="O15" i="2"/>
  <c r="N15" i="2"/>
  <c r="M15" i="2"/>
  <c r="L15" i="2"/>
  <c r="J15" i="2"/>
  <c r="X15" i="2" s="1"/>
  <c r="I15" i="2"/>
  <c r="W15" i="2" s="1"/>
  <c r="H15" i="2"/>
  <c r="G15" i="2"/>
  <c r="G16" i="2" s="1"/>
  <c r="U16" i="2" s="1"/>
  <c r="F15" i="2"/>
  <c r="E15" i="2"/>
  <c r="X14" i="2"/>
  <c r="W14" i="2"/>
  <c r="V14" i="2"/>
  <c r="U14" i="2"/>
  <c r="T14" i="2"/>
  <c r="S14" i="2"/>
  <c r="R14" i="2"/>
  <c r="R15" i="2" s="1"/>
  <c r="K14" i="2"/>
  <c r="Y14" i="2" s="1"/>
  <c r="Y13" i="2"/>
  <c r="X13" i="2"/>
  <c r="W13" i="2"/>
  <c r="V13" i="2"/>
  <c r="U13" i="2"/>
  <c r="T13" i="2"/>
  <c r="S13" i="2"/>
  <c r="R13" i="2"/>
  <c r="K13" i="2"/>
  <c r="V12" i="2"/>
  <c r="T12" i="2"/>
  <c r="S12" i="2"/>
  <c r="Q12" i="2"/>
  <c r="P12" i="2"/>
  <c r="P16" i="2" s="1"/>
  <c r="O12" i="2"/>
  <c r="N12" i="2"/>
  <c r="M12" i="2"/>
  <c r="L12" i="2"/>
  <c r="J12" i="2"/>
  <c r="X12" i="2" s="1"/>
  <c r="I12" i="2"/>
  <c r="H12" i="2"/>
  <c r="G12" i="2"/>
  <c r="U12" i="2" s="1"/>
  <c r="F12" i="2"/>
  <c r="E12" i="2"/>
  <c r="Y11" i="2"/>
  <c r="X11" i="2"/>
  <c r="W11" i="2"/>
  <c r="V11" i="2"/>
  <c r="U11" i="2"/>
  <c r="T11" i="2"/>
  <c r="S11" i="2"/>
  <c r="R11" i="2"/>
  <c r="K11" i="2"/>
  <c r="X10" i="2"/>
  <c r="W10" i="2"/>
  <c r="V10" i="2"/>
  <c r="U10" i="2"/>
  <c r="T10" i="2"/>
  <c r="S10" i="2"/>
  <c r="R10" i="2"/>
  <c r="K10" i="2"/>
  <c r="Y10" i="2" s="1"/>
  <c r="W9" i="2"/>
  <c r="Q9" i="2"/>
  <c r="Q16" i="2" s="1"/>
  <c r="P9" i="2"/>
  <c r="O9" i="2"/>
  <c r="N9" i="2"/>
  <c r="M9" i="2"/>
  <c r="L9" i="2"/>
  <c r="L16" i="2" s="1"/>
  <c r="S16" i="2" s="1"/>
  <c r="K9" i="2"/>
  <c r="J9" i="2"/>
  <c r="I9" i="2"/>
  <c r="H9" i="2"/>
  <c r="G9" i="2"/>
  <c r="U9" i="2" s="1"/>
  <c r="F9" i="2"/>
  <c r="F16" i="2" s="1"/>
  <c r="E9" i="2"/>
  <c r="E16" i="2" s="1"/>
  <c r="Y8" i="2"/>
  <c r="X8" i="2"/>
  <c r="W8" i="2"/>
  <c r="V8" i="2"/>
  <c r="U8" i="2"/>
  <c r="T8" i="2"/>
  <c r="S8" i="2"/>
  <c r="R8" i="2"/>
  <c r="K8" i="2"/>
  <c r="X7" i="2"/>
  <c r="W7" i="2"/>
  <c r="V7" i="2"/>
  <c r="U7" i="2"/>
  <c r="T7" i="2"/>
  <c r="S7" i="2"/>
  <c r="R7" i="2"/>
  <c r="K7" i="2"/>
  <c r="Y7" i="2" s="1"/>
  <c r="Y6" i="2"/>
  <c r="X6" i="2"/>
  <c r="W6" i="2"/>
  <c r="V6" i="2"/>
  <c r="U6" i="2"/>
  <c r="T6" i="2"/>
  <c r="S6" i="2"/>
  <c r="R6" i="2"/>
  <c r="K6" i="2"/>
  <c r="Y5" i="2"/>
  <c r="X5" i="2"/>
  <c r="W5" i="2"/>
  <c r="V5" i="2"/>
  <c r="U5" i="2"/>
  <c r="T5" i="2"/>
  <c r="S5" i="2"/>
  <c r="R5" i="2"/>
  <c r="K5" i="2"/>
  <c r="I138" i="1"/>
  <c r="T131" i="1"/>
  <c r="O131" i="1"/>
  <c r="N131" i="1"/>
  <c r="M131" i="1"/>
  <c r="J131" i="1"/>
  <c r="X131" i="1" s="1"/>
  <c r="H131" i="1"/>
  <c r="V131" i="1" s="1"/>
  <c r="F131" i="1"/>
  <c r="L130" i="1"/>
  <c r="I130" i="1"/>
  <c r="G130" i="1"/>
  <c r="F130" i="1"/>
  <c r="X128" i="1"/>
  <c r="Q128" i="1"/>
  <c r="F128" i="1"/>
  <c r="E128" i="1"/>
  <c r="U127" i="1"/>
  <c r="O127" i="1"/>
  <c r="N127" i="1"/>
  <c r="M127" i="1"/>
  <c r="I127" i="1"/>
  <c r="H127" i="1"/>
  <c r="O125" i="1"/>
  <c r="N125" i="1"/>
  <c r="I125" i="1"/>
  <c r="H125" i="1"/>
  <c r="Q124" i="1"/>
  <c r="L124" i="1"/>
  <c r="F124" i="1"/>
  <c r="E124" i="1"/>
  <c r="O123" i="1"/>
  <c r="N123" i="1"/>
  <c r="J123" i="1"/>
  <c r="I123" i="1"/>
  <c r="L122" i="1"/>
  <c r="J122" i="1"/>
  <c r="I122" i="1"/>
  <c r="G122" i="1"/>
  <c r="F122" i="1"/>
  <c r="E122" i="1"/>
  <c r="Y117" i="1"/>
  <c r="X117" i="1"/>
  <c r="W117" i="1"/>
  <c r="V117" i="1"/>
  <c r="R117" i="1"/>
  <c r="N117" i="1"/>
  <c r="M117" i="1"/>
  <c r="T117" i="1" s="1"/>
  <c r="L117" i="1"/>
  <c r="S117" i="1" s="1"/>
  <c r="G117" i="1"/>
  <c r="U117" i="1" s="1"/>
  <c r="F117" i="1"/>
  <c r="E117" i="1"/>
  <c r="M115" i="1"/>
  <c r="L115" i="1"/>
  <c r="J115" i="1"/>
  <c r="Q114" i="1"/>
  <c r="Q131" i="1" s="1"/>
  <c r="P114" i="1"/>
  <c r="P131" i="1" s="1"/>
  <c r="O114" i="1"/>
  <c r="N114" i="1"/>
  <c r="N115" i="1" s="1"/>
  <c r="L114" i="1"/>
  <c r="J114" i="1"/>
  <c r="I114" i="1"/>
  <c r="H114" i="1"/>
  <c r="G114" i="1"/>
  <c r="E114" i="1"/>
  <c r="E131" i="1" s="1"/>
  <c r="Q113" i="1"/>
  <c r="Q115" i="1" s="1"/>
  <c r="P113" i="1"/>
  <c r="O113" i="1"/>
  <c r="N113" i="1"/>
  <c r="M113" i="1"/>
  <c r="L113" i="1"/>
  <c r="J113" i="1"/>
  <c r="I113" i="1"/>
  <c r="H113" i="1"/>
  <c r="G113" i="1"/>
  <c r="G146" i="1" s="1"/>
  <c r="F113" i="1"/>
  <c r="E113" i="1"/>
  <c r="Q112" i="1"/>
  <c r="L112" i="1"/>
  <c r="S112" i="1" s="1"/>
  <c r="G112" i="1"/>
  <c r="E112" i="1"/>
  <c r="X111" i="1"/>
  <c r="Q111" i="1"/>
  <c r="P111" i="1"/>
  <c r="O111" i="1"/>
  <c r="N111" i="1"/>
  <c r="M111" i="1"/>
  <c r="L111" i="1"/>
  <c r="J111" i="1"/>
  <c r="J128" i="1" s="1"/>
  <c r="I111" i="1"/>
  <c r="H111" i="1"/>
  <c r="G111" i="1"/>
  <c r="F111" i="1"/>
  <c r="E111" i="1"/>
  <c r="X110" i="1"/>
  <c r="V110" i="1"/>
  <c r="U110" i="1"/>
  <c r="R110" i="1"/>
  <c r="Q110" i="1"/>
  <c r="Q127" i="1" s="1"/>
  <c r="P110" i="1"/>
  <c r="P127" i="1" s="1"/>
  <c r="O110" i="1"/>
  <c r="N110" i="1"/>
  <c r="M110" i="1"/>
  <c r="L110" i="1"/>
  <c r="J110" i="1"/>
  <c r="I110" i="1"/>
  <c r="H110" i="1"/>
  <c r="G110" i="1"/>
  <c r="G127" i="1" s="1"/>
  <c r="F110" i="1"/>
  <c r="E110" i="1"/>
  <c r="E127" i="1" s="1"/>
  <c r="P109" i="1"/>
  <c r="H109" i="1"/>
  <c r="F109" i="1"/>
  <c r="Q108" i="1"/>
  <c r="P108" i="1"/>
  <c r="O108" i="1"/>
  <c r="N108" i="1"/>
  <c r="M108" i="1"/>
  <c r="L108" i="1"/>
  <c r="J108" i="1"/>
  <c r="J125" i="1" s="1"/>
  <c r="I108" i="1"/>
  <c r="W108" i="1" s="1"/>
  <c r="H108" i="1"/>
  <c r="G108" i="1"/>
  <c r="G125" i="1" s="1"/>
  <c r="U125" i="1" s="1"/>
  <c r="F108" i="1"/>
  <c r="E108" i="1"/>
  <c r="X107" i="1"/>
  <c r="Q107" i="1"/>
  <c r="P107" i="1"/>
  <c r="O107" i="1"/>
  <c r="N107" i="1"/>
  <c r="M107" i="1"/>
  <c r="L107" i="1"/>
  <c r="J107" i="1"/>
  <c r="I107" i="1"/>
  <c r="H107" i="1"/>
  <c r="H124" i="1" s="1"/>
  <c r="G107" i="1"/>
  <c r="G124" i="1" s="1"/>
  <c r="F107" i="1"/>
  <c r="E107" i="1"/>
  <c r="X106" i="1"/>
  <c r="W106" i="1"/>
  <c r="V106" i="1"/>
  <c r="Q106" i="1"/>
  <c r="P106" i="1"/>
  <c r="O106" i="1"/>
  <c r="N106" i="1"/>
  <c r="M106" i="1"/>
  <c r="M123" i="1" s="1"/>
  <c r="L106" i="1"/>
  <c r="J106" i="1"/>
  <c r="I106" i="1"/>
  <c r="I139" i="1" s="1"/>
  <c r="H106" i="1"/>
  <c r="G106" i="1"/>
  <c r="F106" i="1"/>
  <c r="E106" i="1"/>
  <c r="U105" i="1"/>
  <c r="Q105" i="1"/>
  <c r="Q122" i="1" s="1"/>
  <c r="P105" i="1"/>
  <c r="O105" i="1"/>
  <c r="N105" i="1"/>
  <c r="M105" i="1"/>
  <c r="L105" i="1"/>
  <c r="J105" i="1"/>
  <c r="I105" i="1"/>
  <c r="H105" i="1"/>
  <c r="G105" i="1"/>
  <c r="F105" i="1"/>
  <c r="E105" i="1"/>
  <c r="L98" i="1"/>
  <c r="O97" i="1"/>
  <c r="J97" i="1"/>
  <c r="J99" i="1" s="1"/>
  <c r="N91" i="1"/>
  <c r="H89" i="1"/>
  <c r="M82" i="1"/>
  <c r="F82" i="1"/>
  <c r="N81" i="1"/>
  <c r="L81" i="1"/>
  <c r="J81" i="1"/>
  <c r="H79" i="1"/>
  <c r="F79" i="1"/>
  <c r="M78" i="1"/>
  <c r="L78" i="1"/>
  <c r="H76" i="1"/>
  <c r="G76" i="1"/>
  <c r="F76" i="1"/>
  <c r="E76" i="1"/>
  <c r="P75" i="1"/>
  <c r="N75" i="1"/>
  <c r="I75" i="1"/>
  <c r="H75" i="1"/>
  <c r="P74" i="1"/>
  <c r="J73" i="1"/>
  <c r="I73" i="1"/>
  <c r="H73" i="1"/>
  <c r="H77" i="1" s="1"/>
  <c r="Q68" i="1"/>
  <c r="M68" i="1"/>
  <c r="T68" i="1" s="1"/>
  <c r="L68" i="1"/>
  <c r="I68" i="1"/>
  <c r="W68" i="1" s="1"/>
  <c r="F68" i="1"/>
  <c r="I67" i="1"/>
  <c r="W67" i="1" s="1"/>
  <c r="H67" i="1"/>
  <c r="Q66" i="1"/>
  <c r="X66" i="1" s="1"/>
  <c r="P66" i="1"/>
  <c r="W66" i="1" s="1"/>
  <c r="O66" i="1"/>
  <c r="N66" i="1"/>
  <c r="M66" i="1"/>
  <c r="L66" i="1"/>
  <c r="R66" i="1" s="1"/>
  <c r="J66" i="1"/>
  <c r="I66" i="1"/>
  <c r="H66" i="1"/>
  <c r="G66" i="1"/>
  <c r="F66" i="1"/>
  <c r="T66" i="1" s="1"/>
  <c r="E66" i="1"/>
  <c r="Y65" i="1"/>
  <c r="X65" i="1"/>
  <c r="W65" i="1"/>
  <c r="V65" i="1"/>
  <c r="U65" i="1"/>
  <c r="T65" i="1"/>
  <c r="S65" i="1"/>
  <c r="R65" i="1"/>
  <c r="K65" i="1"/>
  <c r="X64" i="1"/>
  <c r="W64" i="1"/>
  <c r="V64" i="1"/>
  <c r="U64" i="1"/>
  <c r="T64" i="1"/>
  <c r="S64" i="1"/>
  <c r="R64" i="1"/>
  <c r="Y64" i="1" s="1"/>
  <c r="K64" i="1"/>
  <c r="R63" i="1"/>
  <c r="Q63" i="1"/>
  <c r="P63" i="1"/>
  <c r="P67" i="1" s="1"/>
  <c r="O63" i="1"/>
  <c r="N63" i="1"/>
  <c r="N67" i="1" s="1"/>
  <c r="M63" i="1"/>
  <c r="L63" i="1"/>
  <c r="J63" i="1"/>
  <c r="I63" i="1"/>
  <c r="W63" i="1" s="1"/>
  <c r="H63" i="1"/>
  <c r="G63" i="1"/>
  <c r="F63" i="1"/>
  <c r="T63" i="1" s="1"/>
  <c r="E63" i="1"/>
  <c r="Y62" i="1"/>
  <c r="X62" i="1"/>
  <c r="W62" i="1"/>
  <c r="V62" i="1"/>
  <c r="U62" i="1"/>
  <c r="T62" i="1"/>
  <c r="S62" i="1"/>
  <c r="R62" i="1"/>
  <c r="K62" i="1"/>
  <c r="Y61" i="1"/>
  <c r="X61" i="1"/>
  <c r="W61" i="1"/>
  <c r="V61" i="1"/>
  <c r="U61" i="1"/>
  <c r="T61" i="1"/>
  <c r="S61" i="1"/>
  <c r="R61" i="1"/>
  <c r="K61" i="1"/>
  <c r="K63" i="1" s="1"/>
  <c r="Y63" i="1" s="1"/>
  <c r="T60" i="1"/>
  <c r="Q60" i="1"/>
  <c r="Q67" i="1" s="1"/>
  <c r="P60" i="1"/>
  <c r="O60" i="1"/>
  <c r="N60" i="1"/>
  <c r="M60" i="1"/>
  <c r="L60" i="1"/>
  <c r="J60" i="1"/>
  <c r="I60" i="1"/>
  <c r="W60" i="1" s="1"/>
  <c r="H60" i="1"/>
  <c r="V60" i="1" s="1"/>
  <c r="G60" i="1"/>
  <c r="F60" i="1"/>
  <c r="E60" i="1"/>
  <c r="X59" i="1"/>
  <c r="W59" i="1"/>
  <c r="V59" i="1"/>
  <c r="U59" i="1"/>
  <c r="T59" i="1"/>
  <c r="S59" i="1"/>
  <c r="R59" i="1"/>
  <c r="K59" i="1"/>
  <c r="Y58" i="1"/>
  <c r="X58" i="1"/>
  <c r="W58" i="1"/>
  <c r="V58" i="1"/>
  <c r="U58" i="1"/>
  <c r="T58" i="1"/>
  <c r="S58" i="1"/>
  <c r="R58" i="1"/>
  <c r="K58" i="1"/>
  <c r="Y57" i="1"/>
  <c r="X57" i="1"/>
  <c r="W57" i="1"/>
  <c r="V57" i="1"/>
  <c r="U57" i="1"/>
  <c r="T57" i="1"/>
  <c r="S57" i="1"/>
  <c r="R57" i="1"/>
  <c r="K57" i="1"/>
  <c r="X56" i="1"/>
  <c r="W56" i="1"/>
  <c r="V56" i="1"/>
  <c r="U56" i="1"/>
  <c r="T56" i="1"/>
  <c r="S56" i="1"/>
  <c r="R56" i="1"/>
  <c r="K56" i="1"/>
  <c r="Y56" i="1" s="1"/>
  <c r="W51" i="1"/>
  <c r="V51" i="1"/>
  <c r="Q51" i="1"/>
  <c r="P51" i="1"/>
  <c r="P68" i="1" s="1"/>
  <c r="O51" i="1"/>
  <c r="O68" i="1" s="1"/>
  <c r="N51" i="1"/>
  <c r="M51" i="1"/>
  <c r="L51" i="1"/>
  <c r="J51" i="1"/>
  <c r="I51" i="1"/>
  <c r="H51" i="1"/>
  <c r="H68" i="1" s="1"/>
  <c r="V68" i="1" s="1"/>
  <c r="G51" i="1"/>
  <c r="U51" i="1" s="1"/>
  <c r="F51" i="1"/>
  <c r="T51" i="1" s="1"/>
  <c r="E51" i="1"/>
  <c r="S51" i="1" s="1"/>
  <c r="J48" i="1"/>
  <c r="J98" i="1" s="1"/>
  <c r="I48" i="1"/>
  <c r="I98" i="1" s="1"/>
  <c r="H48" i="1"/>
  <c r="G48" i="1"/>
  <c r="O47" i="1"/>
  <c r="N47" i="1"/>
  <c r="G47" i="1"/>
  <c r="M45" i="1"/>
  <c r="M95" i="1" s="1"/>
  <c r="L45" i="1"/>
  <c r="I45" i="1"/>
  <c r="H45" i="1"/>
  <c r="V45" i="1" s="1"/>
  <c r="V95" i="1" s="1"/>
  <c r="G44" i="1"/>
  <c r="E42" i="1"/>
  <c r="V41" i="1"/>
  <c r="N41" i="1"/>
  <c r="M41" i="1"/>
  <c r="M91" i="1" s="1"/>
  <c r="J41" i="1"/>
  <c r="I41" i="1"/>
  <c r="Q40" i="1"/>
  <c r="Q90" i="1" s="1"/>
  <c r="H40" i="1"/>
  <c r="P39" i="1"/>
  <c r="H39" i="1"/>
  <c r="G39" i="1"/>
  <c r="X34" i="1"/>
  <c r="W34" i="1"/>
  <c r="V34" i="1"/>
  <c r="U34" i="1"/>
  <c r="T34" i="1"/>
  <c r="S34" i="1"/>
  <c r="R34" i="1"/>
  <c r="K34" i="1"/>
  <c r="Y34" i="1" s="1"/>
  <c r="L32" i="1"/>
  <c r="J32" i="1"/>
  <c r="I32" i="1"/>
  <c r="H32" i="1"/>
  <c r="U31" i="1"/>
  <c r="U82" i="1" s="1"/>
  <c r="Q31" i="1"/>
  <c r="P31" i="1"/>
  <c r="O31" i="1"/>
  <c r="N31" i="1"/>
  <c r="M31" i="1"/>
  <c r="M147" i="1" s="1"/>
  <c r="L31" i="1"/>
  <c r="L82" i="1" s="1"/>
  <c r="J31" i="1"/>
  <c r="I31" i="1"/>
  <c r="H31" i="1"/>
  <c r="G31" i="1"/>
  <c r="G82" i="1" s="1"/>
  <c r="F31" i="1"/>
  <c r="F147" i="1" s="1"/>
  <c r="T147" i="1" s="1"/>
  <c r="E31" i="1"/>
  <c r="E82" i="1" s="1"/>
  <c r="W30" i="1"/>
  <c r="W81" i="1" s="1"/>
  <c r="R30" i="1"/>
  <c r="Q30" i="1"/>
  <c r="P30" i="1"/>
  <c r="O30" i="1"/>
  <c r="N30" i="1"/>
  <c r="M30" i="1"/>
  <c r="L30" i="1"/>
  <c r="J30" i="1"/>
  <c r="I30" i="1"/>
  <c r="I81" i="1" s="1"/>
  <c r="H30" i="1"/>
  <c r="V30" i="1" s="1"/>
  <c r="V81" i="1" s="1"/>
  <c r="G30" i="1"/>
  <c r="G81" i="1" s="1"/>
  <c r="G83" i="1" s="1"/>
  <c r="F30" i="1"/>
  <c r="E30" i="1"/>
  <c r="O29" i="1"/>
  <c r="N29" i="1"/>
  <c r="M29" i="1"/>
  <c r="L29" i="1"/>
  <c r="J29" i="1"/>
  <c r="W28" i="1"/>
  <c r="W79" i="1" s="1"/>
  <c r="T28" i="1"/>
  <c r="T79" i="1" s="1"/>
  <c r="S28" i="1"/>
  <c r="S79" i="1" s="1"/>
  <c r="R28" i="1"/>
  <c r="Q28" i="1"/>
  <c r="P28" i="1"/>
  <c r="P79" i="1" s="1"/>
  <c r="O28" i="1"/>
  <c r="O79" i="1" s="1"/>
  <c r="N28" i="1"/>
  <c r="N79" i="1" s="1"/>
  <c r="M28" i="1"/>
  <c r="M79" i="1" s="1"/>
  <c r="L28" i="1"/>
  <c r="L79" i="1" s="1"/>
  <c r="J28" i="1"/>
  <c r="J79" i="1" s="1"/>
  <c r="I28" i="1"/>
  <c r="I79" i="1" s="1"/>
  <c r="H28" i="1"/>
  <c r="V28" i="1" s="1"/>
  <c r="V79" i="1" s="1"/>
  <c r="G28" i="1"/>
  <c r="F28" i="1"/>
  <c r="E28" i="1"/>
  <c r="E45" i="1" s="1"/>
  <c r="V27" i="1"/>
  <c r="V78" i="1" s="1"/>
  <c r="U27" i="1"/>
  <c r="U78" i="1" s="1"/>
  <c r="Q27" i="1"/>
  <c r="P27" i="1"/>
  <c r="O27" i="1"/>
  <c r="N27" i="1"/>
  <c r="M27" i="1"/>
  <c r="L27" i="1"/>
  <c r="J27" i="1"/>
  <c r="I27" i="1"/>
  <c r="H27" i="1"/>
  <c r="G27" i="1"/>
  <c r="F27" i="1"/>
  <c r="E27" i="1"/>
  <c r="O26" i="1"/>
  <c r="X25" i="1"/>
  <c r="X76" i="1" s="1"/>
  <c r="T25" i="1"/>
  <c r="T76" i="1" s="1"/>
  <c r="Q25" i="1"/>
  <c r="Q76" i="1" s="1"/>
  <c r="P25" i="1"/>
  <c r="P76" i="1" s="1"/>
  <c r="O25" i="1"/>
  <c r="O76" i="1" s="1"/>
  <c r="N25" i="1"/>
  <c r="M25" i="1"/>
  <c r="M76" i="1" s="1"/>
  <c r="L25" i="1"/>
  <c r="L42" i="1" s="1"/>
  <c r="J25" i="1"/>
  <c r="I25" i="1"/>
  <c r="H25" i="1"/>
  <c r="G25" i="1"/>
  <c r="F25" i="1"/>
  <c r="E25" i="1"/>
  <c r="W24" i="1"/>
  <c r="W75" i="1" s="1"/>
  <c r="T24" i="1"/>
  <c r="T75" i="1" s="1"/>
  <c r="S24" i="1"/>
  <c r="S75" i="1" s="1"/>
  <c r="Q24" i="1"/>
  <c r="P24" i="1"/>
  <c r="O24" i="1"/>
  <c r="O75" i="1" s="1"/>
  <c r="N24" i="1"/>
  <c r="M24" i="1"/>
  <c r="M75" i="1" s="1"/>
  <c r="L24" i="1"/>
  <c r="L75" i="1" s="1"/>
  <c r="J24" i="1"/>
  <c r="J75" i="1" s="1"/>
  <c r="I24" i="1"/>
  <c r="H24" i="1"/>
  <c r="H41" i="1" s="1"/>
  <c r="H91" i="1" s="1"/>
  <c r="G24" i="1"/>
  <c r="F24" i="1"/>
  <c r="E24" i="1"/>
  <c r="W23" i="1"/>
  <c r="W74" i="1" s="1"/>
  <c r="V23" i="1"/>
  <c r="V74" i="1" s="1"/>
  <c r="Q23" i="1"/>
  <c r="Q74" i="1" s="1"/>
  <c r="P23" i="1"/>
  <c r="P26" i="1" s="1"/>
  <c r="O23" i="1"/>
  <c r="N23" i="1"/>
  <c r="M23" i="1"/>
  <c r="M74" i="1" s="1"/>
  <c r="L23" i="1"/>
  <c r="L74" i="1" s="1"/>
  <c r="K23" i="1"/>
  <c r="J23" i="1"/>
  <c r="I23" i="1"/>
  <c r="I74" i="1" s="1"/>
  <c r="H23" i="1"/>
  <c r="H74" i="1" s="1"/>
  <c r="G23" i="1"/>
  <c r="G74" i="1" s="1"/>
  <c r="F23" i="1"/>
  <c r="E23" i="1"/>
  <c r="E74" i="1" s="1"/>
  <c r="W22" i="1"/>
  <c r="W73" i="1" s="1"/>
  <c r="Q22" i="1"/>
  <c r="P22" i="1"/>
  <c r="P73" i="1" s="1"/>
  <c r="O22" i="1"/>
  <c r="O73" i="1" s="1"/>
  <c r="N22" i="1"/>
  <c r="N73" i="1" s="1"/>
  <c r="M22" i="1"/>
  <c r="L22" i="1"/>
  <c r="J22" i="1"/>
  <c r="I22" i="1"/>
  <c r="I26" i="1" s="1"/>
  <c r="H22" i="1"/>
  <c r="G22" i="1"/>
  <c r="F22" i="1"/>
  <c r="E22" i="1"/>
  <c r="X17" i="1"/>
  <c r="W17" i="1"/>
  <c r="V17" i="1"/>
  <c r="U17" i="1"/>
  <c r="T17" i="1"/>
  <c r="S17" i="1"/>
  <c r="R17" i="1"/>
  <c r="K17" i="1"/>
  <c r="Y17" i="1" s="1"/>
  <c r="P15" i="1"/>
  <c r="J15" i="1"/>
  <c r="G15" i="1"/>
  <c r="F15" i="1"/>
  <c r="X14" i="1"/>
  <c r="W14" i="1"/>
  <c r="Q14" i="1"/>
  <c r="P14" i="1"/>
  <c r="O14" i="1"/>
  <c r="N14" i="1"/>
  <c r="M14" i="1"/>
  <c r="M48" i="1" s="1"/>
  <c r="M98" i="1" s="1"/>
  <c r="L14" i="1"/>
  <c r="L48" i="1" s="1"/>
  <c r="J14" i="1"/>
  <c r="I14" i="1"/>
  <c r="H14" i="1"/>
  <c r="V14" i="1" s="1"/>
  <c r="G14" i="1"/>
  <c r="U14" i="1" s="1"/>
  <c r="F14" i="1"/>
  <c r="T14" i="1" s="1"/>
  <c r="E14" i="1"/>
  <c r="U13" i="1"/>
  <c r="T13" i="1"/>
  <c r="Q13" i="1"/>
  <c r="Q15" i="1" s="1"/>
  <c r="P13" i="1"/>
  <c r="P47" i="1" s="1"/>
  <c r="P97" i="1" s="1"/>
  <c r="O13" i="1"/>
  <c r="O15" i="1" s="1"/>
  <c r="N13" i="1"/>
  <c r="N15" i="1" s="1"/>
  <c r="M13" i="1"/>
  <c r="L13" i="1"/>
  <c r="J13" i="1"/>
  <c r="J47" i="1" s="1"/>
  <c r="I13" i="1"/>
  <c r="I47" i="1" s="1"/>
  <c r="H13" i="1"/>
  <c r="V13" i="1" s="1"/>
  <c r="G13" i="1"/>
  <c r="F13" i="1"/>
  <c r="E13" i="1"/>
  <c r="Q12" i="1"/>
  <c r="L12" i="1"/>
  <c r="W11" i="1"/>
  <c r="V11" i="1"/>
  <c r="S11" i="1"/>
  <c r="Q11" i="1"/>
  <c r="P11" i="1"/>
  <c r="P45" i="1" s="1"/>
  <c r="P95" i="1" s="1"/>
  <c r="O11" i="1"/>
  <c r="O45" i="1" s="1"/>
  <c r="O95" i="1" s="1"/>
  <c r="N11" i="1"/>
  <c r="N45" i="1" s="1"/>
  <c r="N95" i="1" s="1"/>
  <c r="M11" i="1"/>
  <c r="L11" i="1"/>
  <c r="J11" i="1"/>
  <c r="I11" i="1"/>
  <c r="I12" i="1" s="1"/>
  <c r="W12" i="1" s="1"/>
  <c r="H11" i="1"/>
  <c r="G11" i="1"/>
  <c r="F11" i="1"/>
  <c r="E11" i="1"/>
  <c r="W10" i="1"/>
  <c r="Q10" i="1"/>
  <c r="X10" i="1" s="1"/>
  <c r="P10" i="1"/>
  <c r="P12" i="1" s="1"/>
  <c r="O10" i="1"/>
  <c r="O12" i="1" s="1"/>
  <c r="N10" i="1"/>
  <c r="M10" i="1"/>
  <c r="L10" i="1"/>
  <c r="L44" i="1" s="1"/>
  <c r="L94" i="1" s="1"/>
  <c r="J10" i="1"/>
  <c r="I10" i="1"/>
  <c r="H10" i="1"/>
  <c r="G10" i="1"/>
  <c r="F10" i="1"/>
  <c r="E10" i="1"/>
  <c r="N9" i="1"/>
  <c r="X8" i="1"/>
  <c r="W8" i="1"/>
  <c r="T8" i="1"/>
  <c r="S8" i="1"/>
  <c r="Q8" i="1"/>
  <c r="Q42" i="1" s="1"/>
  <c r="Q92" i="1" s="1"/>
  <c r="P8" i="1"/>
  <c r="P42" i="1" s="1"/>
  <c r="P92" i="1" s="1"/>
  <c r="O8" i="1"/>
  <c r="O42" i="1" s="1"/>
  <c r="O92" i="1" s="1"/>
  <c r="N8" i="1"/>
  <c r="M8" i="1"/>
  <c r="L8" i="1"/>
  <c r="R8" i="1" s="1"/>
  <c r="J8" i="1"/>
  <c r="I8" i="1"/>
  <c r="H8" i="1"/>
  <c r="G8" i="1"/>
  <c r="F8" i="1"/>
  <c r="F42" i="1" s="1"/>
  <c r="E8" i="1"/>
  <c r="U7" i="1"/>
  <c r="T7" i="1"/>
  <c r="Q7" i="1"/>
  <c r="X7" i="1" s="1"/>
  <c r="P7" i="1"/>
  <c r="P41" i="1" s="1"/>
  <c r="P91" i="1" s="1"/>
  <c r="O7" i="1"/>
  <c r="O41" i="1" s="1"/>
  <c r="O91" i="1" s="1"/>
  <c r="N7" i="1"/>
  <c r="M7" i="1"/>
  <c r="L7" i="1"/>
  <c r="J7" i="1"/>
  <c r="I7" i="1"/>
  <c r="H7" i="1"/>
  <c r="V7" i="1" s="1"/>
  <c r="G7" i="1"/>
  <c r="F7" i="1"/>
  <c r="E7" i="1"/>
  <c r="U6" i="1"/>
  <c r="Q6" i="1"/>
  <c r="P6" i="1"/>
  <c r="O6" i="1"/>
  <c r="N6" i="1"/>
  <c r="M6" i="1"/>
  <c r="L6" i="1"/>
  <c r="L40" i="1" s="1"/>
  <c r="L90" i="1" s="1"/>
  <c r="J6" i="1"/>
  <c r="X6" i="1" s="1"/>
  <c r="I6" i="1"/>
  <c r="W6" i="1" s="1"/>
  <c r="H6" i="1"/>
  <c r="V6" i="1" s="1"/>
  <c r="G6" i="1"/>
  <c r="F6" i="1"/>
  <c r="T6" i="1" s="1"/>
  <c r="E6" i="1"/>
  <c r="W5" i="1"/>
  <c r="V5" i="1"/>
  <c r="Q5" i="1"/>
  <c r="P5" i="1"/>
  <c r="O5" i="1"/>
  <c r="N5" i="1"/>
  <c r="N39" i="1" s="1"/>
  <c r="M5" i="1"/>
  <c r="M9" i="1" s="1"/>
  <c r="L5" i="1"/>
  <c r="L9" i="1" s="1"/>
  <c r="K5" i="1"/>
  <c r="J5" i="1"/>
  <c r="I5" i="1"/>
  <c r="I39" i="1" s="1"/>
  <c r="I89" i="1" s="1"/>
  <c r="H5" i="1"/>
  <c r="G5" i="1"/>
  <c r="F5" i="1"/>
  <c r="T5" i="1" s="1"/>
  <c r="E5" i="1"/>
  <c r="S5" i="1" s="1"/>
  <c r="O149" i="3"/>
  <c r="X148" i="3"/>
  <c r="P148" i="3"/>
  <c r="L148" i="3"/>
  <c r="H148" i="3"/>
  <c r="G148" i="3"/>
  <c r="Q147" i="3"/>
  <c r="Q148" i="3" s="1"/>
  <c r="P147" i="3"/>
  <c r="O147" i="3"/>
  <c r="N147" i="3"/>
  <c r="M147" i="3"/>
  <c r="L147" i="3"/>
  <c r="J147" i="3"/>
  <c r="I147" i="3"/>
  <c r="I148" i="3" s="1"/>
  <c r="H147" i="3"/>
  <c r="G147" i="3"/>
  <c r="F147" i="3"/>
  <c r="E147" i="3"/>
  <c r="K147" i="3" s="1"/>
  <c r="W146" i="3"/>
  <c r="V146" i="3"/>
  <c r="R146" i="3"/>
  <c r="Q146" i="3"/>
  <c r="P146" i="3"/>
  <c r="O146" i="3"/>
  <c r="O148" i="3" s="1"/>
  <c r="N146" i="3"/>
  <c r="N148" i="3" s="1"/>
  <c r="M146" i="3"/>
  <c r="M148" i="3" s="1"/>
  <c r="L146" i="3"/>
  <c r="J146" i="3"/>
  <c r="J148" i="3" s="1"/>
  <c r="I146" i="3"/>
  <c r="H146" i="3"/>
  <c r="G146" i="3"/>
  <c r="F146" i="3"/>
  <c r="E146" i="3"/>
  <c r="O145" i="3"/>
  <c r="T144" i="3"/>
  <c r="Q144" i="3"/>
  <c r="P144" i="3"/>
  <c r="O144" i="3"/>
  <c r="N144" i="3"/>
  <c r="M144" i="3"/>
  <c r="L144" i="3"/>
  <c r="J144" i="3"/>
  <c r="I144" i="3"/>
  <c r="H144" i="3"/>
  <c r="G144" i="3"/>
  <c r="F144" i="3"/>
  <c r="E144" i="3"/>
  <c r="K144" i="3" s="1"/>
  <c r="U143" i="3"/>
  <c r="Q143" i="3"/>
  <c r="P143" i="3"/>
  <c r="O143" i="3"/>
  <c r="N143" i="3"/>
  <c r="N145" i="3" s="1"/>
  <c r="M143" i="3"/>
  <c r="L143" i="3"/>
  <c r="J143" i="3"/>
  <c r="I143" i="3"/>
  <c r="H143" i="3"/>
  <c r="G143" i="3"/>
  <c r="F143" i="3"/>
  <c r="E143" i="3"/>
  <c r="N142" i="3"/>
  <c r="N149" i="3" s="1"/>
  <c r="M142" i="3"/>
  <c r="J142" i="3"/>
  <c r="F142" i="3"/>
  <c r="W141" i="3"/>
  <c r="T141" i="3"/>
  <c r="S141" i="3"/>
  <c r="Q141" i="3"/>
  <c r="P141" i="3"/>
  <c r="O141" i="3"/>
  <c r="O142" i="3" s="1"/>
  <c r="N141" i="3"/>
  <c r="M141" i="3"/>
  <c r="L141" i="3"/>
  <c r="R141" i="3" s="1"/>
  <c r="J141" i="3"/>
  <c r="J145" i="3" s="1"/>
  <c r="I141" i="3"/>
  <c r="H141" i="3"/>
  <c r="G141" i="3"/>
  <c r="K141" i="3" s="1"/>
  <c r="F141" i="3"/>
  <c r="F145" i="3" s="1"/>
  <c r="E141" i="3"/>
  <c r="Q140" i="3"/>
  <c r="Q142" i="3" s="1"/>
  <c r="P140" i="3"/>
  <c r="P142" i="3" s="1"/>
  <c r="O140" i="3"/>
  <c r="N140" i="3"/>
  <c r="M140" i="3"/>
  <c r="L140" i="3"/>
  <c r="R140" i="3" s="1"/>
  <c r="J140" i="3"/>
  <c r="I140" i="3"/>
  <c r="H140" i="3"/>
  <c r="G140" i="3"/>
  <c r="F140" i="3"/>
  <c r="E140" i="3"/>
  <c r="Q139" i="3"/>
  <c r="P139" i="3"/>
  <c r="O139" i="3"/>
  <c r="N139" i="3"/>
  <c r="M139" i="3"/>
  <c r="R139" i="3" s="1"/>
  <c r="L139" i="3"/>
  <c r="J139" i="3"/>
  <c r="I139" i="3"/>
  <c r="H139" i="3"/>
  <c r="G139" i="3"/>
  <c r="F139" i="3"/>
  <c r="E139" i="3"/>
  <c r="Q138" i="3"/>
  <c r="P138" i="3"/>
  <c r="O138" i="3"/>
  <c r="N138" i="3"/>
  <c r="R138" i="3" s="1"/>
  <c r="M138" i="3"/>
  <c r="L138" i="3"/>
  <c r="J138" i="3"/>
  <c r="I138" i="3"/>
  <c r="H138" i="3"/>
  <c r="G138" i="3"/>
  <c r="F138" i="3"/>
  <c r="K138" i="3" s="1"/>
  <c r="E138" i="3"/>
  <c r="E142" i="3" s="1"/>
  <c r="Q132" i="3"/>
  <c r="P132" i="3"/>
  <c r="L132" i="3"/>
  <c r="I132" i="3"/>
  <c r="H132" i="3"/>
  <c r="G132" i="3"/>
  <c r="Q131" i="3"/>
  <c r="P131" i="3"/>
  <c r="O131" i="3"/>
  <c r="N131" i="3"/>
  <c r="M131" i="3"/>
  <c r="R131" i="3" s="1"/>
  <c r="L131" i="3"/>
  <c r="J131" i="3"/>
  <c r="I131" i="3"/>
  <c r="H131" i="3"/>
  <c r="G131" i="3"/>
  <c r="F131" i="3"/>
  <c r="E131" i="3"/>
  <c r="Q130" i="3"/>
  <c r="P130" i="3"/>
  <c r="O130" i="3"/>
  <c r="N130" i="3"/>
  <c r="M130" i="3"/>
  <c r="L130" i="3"/>
  <c r="J130" i="3"/>
  <c r="J132" i="3" s="1"/>
  <c r="I130" i="3"/>
  <c r="H130" i="3"/>
  <c r="G130" i="3"/>
  <c r="F130" i="3"/>
  <c r="F132" i="3" s="1"/>
  <c r="E130" i="3"/>
  <c r="J129" i="3"/>
  <c r="G129" i="3"/>
  <c r="X128" i="3"/>
  <c r="U128" i="3"/>
  <c r="T128" i="3"/>
  <c r="Q128" i="3"/>
  <c r="P128" i="3"/>
  <c r="O128" i="3"/>
  <c r="N128" i="3"/>
  <c r="M128" i="3"/>
  <c r="L128" i="3"/>
  <c r="J128" i="3"/>
  <c r="I128" i="3"/>
  <c r="H128" i="3"/>
  <c r="H129" i="3" s="1"/>
  <c r="G128" i="3"/>
  <c r="F128" i="3"/>
  <c r="E128" i="3"/>
  <c r="K128" i="3" s="1"/>
  <c r="Y127" i="3"/>
  <c r="Q127" i="3"/>
  <c r="P127" i="3"/>
  <c r="P129" i="3" s="1"/>
  <c r="O127" i="3"/>
  <c r="O129" i="3" s="1"/>
  <c r="N127" i="3"/>
  <c r="N129" i="3" s="1"/>
  <c r="M127" i="3"/>
  <c r="M129" i="3" s="1"/>
  <c r="L127" i="3"/>
  <c r="J127" i="3"/>
  <c r="I127" i="3"/>
  <c r="I129" i="3" s="1"/>
  <c r="H127" i="3"/>
  <c r="G127" i="3"/>
  <c r="F127" i="3"/>
  <c r="F129" i="3" s="1"/>
  <c r="E127" i="3"/>
  <c r="J126" i="3"/>
  <c r="J133" i="3" s="1"/>
  <c r="Q125" i="3"/>
  <c r="P125" i="3"/>
  <c r="O125" i="3"/>
  <c r="N125" i="3"/>
  <c r="M125" i="3"/>
  <c r="L125" i="3"/>
  <c r="R125" i="3" s="1"/>
  <c r="K125" i="3"/>
  <c r="J125" i="3"/>
  <c r="I125" i="3"/>
  <c r="H125" i="3"/>
  <c r="G125" i="3"/>
  <c r="F125" i="3"/>
  <c r="E125" i="3"/>
  <c r="U124" i="3"/>
  <c r="T124" i="3"/>
  <c r="Q124" i="3"/>
  <c r="P124" i="3"/>
  <c r="R124" i="3" s="1"/>
  <c r="O124" i="3"/>
  <c r="N124" i="3"/>
  <c r="M124" i="3"/>
  <c r="L124" i="3"/>
  <c r="J124" i="3"/>
  <c r="I124" i="3"/>
  <c r="H124" i="3"/>
  <c r="G124" i="3"/>
  <c r="F124" i="3"/>
  <c r="E124" i="3"/>
  <c r="K124" i="3" s="1"/>
  <c r="Q123" i="3"/>
  <c r="P123" i="3"/>
  <c r="O123" i="3"/>
  <c r="N123" i="3"/>
  <c r="M123" i="3"/>
  <c r="R123" i="3" s="1"/>
  <c r="L123" i="3"/>
  <c r="J123" i="3"/>
  <c r="I123" i="3"/>
  <c r="H123" i="3"/>
  <c r="G123" i="3"/>
  <c r="F123" i="3"/>
  <c r="F126" i="3" s="1"/>
  <c r="F133" i="3" s="1"/>
  <c r="E123" i="3"/>
  <c r="Q122" i="3"/>
  <c r="P122" i="3"/>
  <c r="O122" i="3"/>
  <c r="O126" i="3" s="1"/>
  <c r="N122" i="3"/>
  <c r="N126" i="3" s="1"/>
  <c r="M122" i="3"/>
  <c r="M126" i="3" s="1"/>
  <c r="L122" i="3"/>
  <c r="J122" i="3"/>
  <c r="I122" i="3"/>
  <c r="H122" i="3"/>
  <c r="G122" i="3"/>
  <c r="F122" i="3"/>
  <c r="K122" i="3" s="1"/>
  <c r="E122" i="3"/>
  <c r="Y117" i="3"/>
  <c r="X117" i="3"/>
  <c r="W117" i="3"/>
  <c r="V117" i="3"/>
  <c r="U117" i="3"/>
  <c r="T117" i="3"/>
  <c r="S117" i="3"/>
  <c r="R117" i="3"/>
  <c r="K117" i="3"/>
  <c r="Q116" i="3"/>
  <c r="P116" i="3"/>
  <c r="R115" i="3"/>
  <c r="Q115" i="3"/>
  <c r="P115" i="3"/>
  <c r="O115" i="3"/>
  <c r="N115" i="3"/>
  <c r="M115" i="3"/>
  <c r="L115" i="3"/>
  <c r="L116" i="3" s="1"/>
  <c r="J115" i="3"/>
  <c r="I115" i="3"/>
  <c r="H115" i="3"/>
  <c r="G115" i="3"/>
  <c r="F115" i="3"/>
  <c r="E115" i="3"/>
  <c r="R114" i="3"/>
  <c r="K114" i="3"/>
  <c r="Y113" i="3"/>
  <c r="X113" i="3"/>
  <c r="W113" i="3"/>
  <c r="V113" i="3"/>
  <c r="U113" i="3"/>
  <c r="T113" i="3"/>
  <c r="S113" i="3"/>
  <c r="R113" i="3"/>
  <c r="K113" i="3"/>
  <c r="K115" i="3" s="1"/>
  <c r="T112" i="3"/>
  <c r="R112" i="3"/>
  <c r="Q112" i="3"/>
  <c r="P112" i="3"/>
  <c r="O112" i="3"/>
  <c r="N112" i="3"/>
  <c r="M112" i="3"/>
  <c r="L112" i="3"/>
  <c r="J112" i="3"/>
  <c r="X112" i="3" s="1"/>
  <c r="I112" i="3"/>
  <c r="W112" i="3" s="1"/>
  <c r="W145" i="3" s="1"/>
  <c r="H112" i="3"/>
  <c r="V112" i="3" s="1"/>
  <c r="G112" i="3"/>
  <c r="U112" i="3" s="1"/>
  <c r="F112" i="3"/>
  <c r="F116" i="3" s="1"/>
  <c r="T116" i="3" s="1"/>
  <c r="E112" i="3"/>
  <c r="X111" i="3"/>
  <c r="W111" i="3"/>
  <c r="V111" i="3"/>
  <c r="U111" i="3"/>
  <c r="T111" i="3"/>
  <c r="S111" i="3"/>
  <c r="R111" i="3"/>
  <c r="K111" i="3"/>
  <c r="Y111" i="3" s="1"/>
  <c r="Y110" i="3"/>
  <c r="X110" i="3"/>
  <c r="W110" i="3"/>
  <c r="V110" i="3"/>
  <c r="U110" i="3"/>
  <c r="U127" i="3" s="1"/>
  <c r="T110" i="3"/>
  <c r="S110" i="3"/>
  <c r="R110" i="3"/>
  <c r="K110" i="3"/>
  <c r="T109" i="3"/>
  <c r="S109" i="3"/>
  <c r="Q109" i="3"/>
  <c r="P109" i="3"/>
  <c r="O109" i="3"/>
  <c r="O116" i="3" s="1"/>
  <c r="N109" i="3"/>
  <c r="M109" i="3"/>
  <c r="M116" i="3" s="1"/>
  <c r="L109" i="3"/>
  <c r="J109" i="3"/>
  <c r="X109" i="3" s="1"/>
  <c r="I109" i="3"/>
  <c r="I116" i="3" s="1"/>
  <c r="H109" i="3"/>
  <c r="H116" i="3" s="1"/>
  <c r="V116" i="3" s="1"/>
  <c r="G109" i="3"/>
  <c r="F109" i="3"/>
  <c r="E109" i="3"/>
  <c r="X108" i="3"/>
  <c r="W108" i="3"/>
  <c r="V108" i="3"/>
  <c r="U108" i="3"/>
  <c r="T108" i="3"/>
  <c r="T125" i="3" s="1"/>
  <c r="S108" i="3"/>
  <c r="S125" i="3" s="1"/>
  <c r="R108" i="3"/>
  <c r="K108" i="3"/>
  <c r="Y108" i="3" s="1"/>
  <c r="Y107" i="3"/>
  <c r="X107" i="3"/>
  <c r="W107" i="3"/>
  <c r="V107" i="3"/>
  <c r="U107" i="3"/>
  <c r="T107" i="3"/>
  <c r="S107" i="3"/>
  <c r="R107" i="3"/>
  <c r="K107" i="3"/>
  <c r="Y106" i="3"/>
  <c r="X106" i="3"/>
  <c r="W106" i="3"/>
  <c r="V106" i="3"/>
  <c r="U106" i="3"/>
  <c r="U139" i="3" s="1"/>
  <c r="T106" i="3"/>
  <c r="S106" i="3"/>
  <c r="R106" i="3"/>
  <c r="K106" i="3"/>
  <c r="X105" i="3"/>
  <c r="W105" i="3"/>
  <c r="W122" i="3" s="1"/>
  <c r="V105" i="3"/>
  <c r="V122" i="3" s="1"/>
  <c r="U105" i="3"/>
  <c r="T105" i="3"/>
  <c r="S105" i="3"/>
  <c r="R105" i="3"/>
  <c r="Y105" i="3" s="1"/>
  <c r="K105" i="3"/>
  <c r="O99" i="3"/>
  <c r="N99" i="3"/>
  <c r="P98" i="3"/>
  <c r="P99" i="3" s="1"/>
  <c r="N98" i="3"/>
  <c r="M98" i="3"/>
  <c r="H98" i="3"/>
  <c r="E97" i="3"/>
  <c r="E99" i="3" s="1"/>
  <c r="M95" i="3"/>
  <c r="P94" i="3"/>
  <c r="P96" i="3" s="1"/>
  <c r="O94" i="3"/>
  <c r="N94" i="3"/>
  <c r="N96" i="3" s="1"/>
  <c r="N92" i="3"/>
  <c r="J92" i="3"/>
  <c r="I92" i="3"/>
  <c r="H92" i="3"/>
  <c r="Q91" i="3"/>
  <c r="P91" i="3"/>
  <c r="O91" i="3"/>
  <c r="N91" i="3"/>
  <c r="V90" i="3"/>
  <c r="T90" i="3"/>
  <c r="H90" i="3"/>
  <c r="G90" i="3"/>
  <c r="F90" i="3"/>
  <c r="E90" i="3"/>
  <c r="K90" i="3" s="1"/>
  <c r="Q89" i="3"/>
  <c r="P89" i="3"/>
  <c r="O89" i="3"/>
  <c r="N89" i="3"/>
  <c r="E89" i="3"/>
  <c r="V83" i="3"/>
  <c r="M83" i="3"/>
  <c r="L83" i="3"/>
  <c r="J83" i="3"/>
  <c r="I83" i="3"/>
  <c r="H83" i="3"/>
  <c r="S82" i="3"/>
  <c r="Q82" i="3"/>
  <c r="R82" i="3" s="1"/>
  <c r="P82" i="3"/>
  <c r="O82" i="3"/>
  <c r="N82" i="3"/>
  <c r="M82" i="3"/>
  <c r="L82" i="3"/>
  <c r="J82" i="3"/>
  <c r="I82" i="3"/>
  <c r="H82" i="3"/>
  <c r="G82" i="3"/>
  <c r="F82" i="3"/>
  <c r="E82" i="3"/>
  <c r="K82" i="3" s="1"/>
  <c r="Q81" i="3"/>
  <c r="Q83" i="3" s="1"/>
  <c r="P81" i="3"/>
  <c r="P83" i="3" s="1"/>
  <c r="O81" i="3"/>
  <c r="O83" i="3" s="1"/>
  <c r="N81" i="3"/>
  <c r="M81" i="3"/>
  <c r="L81" i="3"/>
  <c r="J81" i="3"/>
  <c r="I81" i="3"/>
  <c r="H81" i="3"/>
  <c r="G81" i="3"/>
  <c r="G83" i="3" s="1"/>
  <c r="F81" i="3"/>
  <c r="F83" i="3" s="1"/>
  <c r="E81" i="3"/>
  <c r="E83" i="3" s="1"/>
  <c r="K83" i="3" s="1"/>
  <c r="W80" i="3"/>
  <c r="P80" i="3"/>
  <c r="O80" i="3"/>
  <c r="N80" i="3"/>
  <c r="M80" i="3"/>
  <c r="L80" i="3"/>
  <c r="V79" i="3"/>
  <c r="T79" i="3"/>
  <c r="Q79" i="3"/>
  <c r="P79" i="3"/>
  <c r="O79" i="3"/>
  <c r="N79" i="3"/>
  <c r="M79" i="3"/>
  <c r="L79" i="3"/>
  <c r="R79" i="3" s="1"/>
  <c r="J79" i="3"/>
  <c r="I79" i="3"/>
  <c r="H79" i="3"/>
  <c r="K79" i="3" s="1"/>
  <c r="G79" i="3"/>
  <c r="F79" i="3"/>
  <c r="E79" i="3"/>
  <c r="S78" i="3"/>
  <c r="Q78" i="3"/>
  <c r="P78" i="3"/>
  <c r="O78" i="3"/>
  <c r="N78" i="3"/>
  <c r="M78" i="3"/>
  <c r="L78" i="3"/>
  <c r="J78" i="3"/>
  <c r="J80" i="3" s="1"/>
  <c r="I78" i="3"/>
  <c r="I80" i="3" s="1"/>
  <c r="H78" i="3"/>
  <c r="H80" i="3" s="1"/>
  <c r="G78" i="3"/>
  <c r="G80" i="3" s="1"/>
  <c r="F78" i="3"/>
  <c r="F80" i="3" s="1"/>
  <c r="E78" i="3"/>
  <c r="Y76" i="3"/>
  <c r="W76" i="3"/>
  <c r="Q76" i="3"/>
  <c r="P76" i="3"/>
  <c r="O76" i="3"/>
  <c r="N76" i="3"/>
  <c r="M76" i="3"/>
  <c r="L76" i="3"/>
  <c r="R76" i="3" s="1"/>
  <c r="K76" i="3"/>
  <c r="J76" i="3"/>
  <c r="I76" i="3"/>
  <c r="H76" i="3"/>
  <c r="G76" i="3"/>
  <c r="F76" i="3"/>
  <c r="E76" i="3"/>
  <c r="V75" i="3"/>
  <c r="T75" i="3"/>
  <c r="Q75" i="3"/>
  <c r="P75" i="3"/>
  <c r="O75" i="3"/>
  <c r="N75" i="3"/>
  <c r="M75" i="3"/>
  <c r="L75" i="3"/>
  <c r="R75" i="3" s="1"/>
  <c r="J75" i="3"/>
  <c r="I75" i="3"/>
  <c r="H75" i="3"/>
  <c r="K75" i="3" s="1"/>
  <c r="G75" i="3"/>
  <c r="F75" i="3"/>
  <c r="E75" i="3"/>
  <c r="S74" i="3"/>
  <c r="Q74" i="3"/>
  <c r="R74" i="3" s="1"/>
  <c r="P74" i="3"/>
  <c r="O74" i="3"/>
  <c r="N74" i="3"/>
  <c r="M74" i="3"/>
  <c r="L74" i="3"/>
  <c r="J74" i="3"/>
  <c r="I74" i="3"/>
  <c r="H74" i="3"/>
  <c r="G74" i="3"/>
  <c r="F74" i="3"/>
  <c r="E74" i="3"/>
  <c r="K74" i="3" s="1"/>
  <c r="Q73" i="3"/>
  <c r="Q77" i="3" s="1"/>
  <c r="P73" i="3"/>
  <c r="P77" i="3" s="1"/>
  <c r="O73" i="3"/>
  <c r="O77" i="3" s="1"/>
  <c r="N73" i="3"/>
  <c r="R73" i="3" s="1"/>
  <c r="M73" i="3"/>
  <c r="M77" i="3" s="1"/>
  <c r="M84" i="3" s="1"/>
  <c r="L73" i="3"/>
  <c r="L77" i="3" s="1"/>
  <c r="J73" i="3"/>
  <c r="J77" i="3" s="1"/>
  <c r="I73" i="3"/>
  <c r="I77" i="3" s="1"/>
  <c r="I84" i="3" s="1"/>
  <c r="H73" i="3"/>
  <c r="H77" i="3" s="1"/>
  <c r="H84" i="3" s="1"/>
  <c r="G73" i="3"/>
  <c r="G77" i="3" s="1"/>
  <c r="G84" i="3" s="1"/>
  <c r="F73" i="3"/>
  <c r="F77" i="3" s="1"/>
  <c r="E73" i="3"/>
  <c r="E77" i="3" s="1"/>
  <c r="Q68" i="3"/>
  <c r="P68" i="3"/>
  <c r="O68" i="3"/>
  <c r="N68" i="3"/>
  <c r="M68" i="3"/>
  <c r="L68" i="3"/>
  <c r="R68" i="3" s="1"/>
  <c r="E68" i="3"/>
  <c r="S68" i="3" s="1"/>
  <c r="O67" i="3"/>
  <c r="J67" i="3"/>
  <c r="H67" i="3"/>
  <c r="V67" i="3" s="1"/>
  <c r="T66" i="3"/>
  <c r="T132" i="3" s="1"/>
  <c r="S66" i="3"/>
  <c r="S132" i="3" s="1"/>
  <c r="Q66" i="3"/>
  <c r="R66" i="3" s="1"/>
  <c r="P66" i="3"/>
  <c r="O66" i="3"/>
  <c r="N66" i="3"/>
  <c r="M66" i="3"/>
  <c r="L66" i="3"/>
  <c r="J66" i="3"/>
  <c r="X66" i="3" s="1"/>
  <c r="I66" i="3"/>
  <c r="W66" i="3" s="1"/>
  <c r="H66" i="3"/>
  <c r="V66" i="3" s="1"/>
  <c r="G66" i="3"/>
  <c r="U66" i="3" s="1"/>
  <c r="E66" i="3"/>
  <c r="K66" i="3" s="1"/>
  <c r="Y65" i="3"/>
  <c r="X65" i="3"/>
  <c r="X131" i="3" s="1"/>
  <c r="W65" i="3"/>
  <c r="W131" i="3" s="1"/>
  <c r="V65" i="3"/>
  <c r="V131" i="3" s="1"/>
  <c r="U65" i="3"/>
  <c r="U131" i="3" s="1"/>
  <c r="T65" i="3"/>
  <c r="T131" i="3" s="1"/>
  <c r="S65" i="3"/>
  <c r="R65" i="3"/>
  <c r="Y64" i="3"/>
  <c r="X64" i="3"/>
  <c r="W64" i="3"/>
  <c r="W130" i="3" s="1"/>
  <c r="V64" i="3"/>
  <c r="V130" i="3" s="1"/>
  <c r="U64" i="3"/>
  <c r="T64" i="3"/>
  <c r="S64" i="3"/>
  <c r="R64" i="3"/>
  <c r="K64" i="3"/>
  <c r="S63" i="3"/>
  <c r="R63" i="3"/>
  <c r="Q63" i="3"/>
  <c r="P63" i="3"/>
  <c r="O63" i="3"/>
  <c r="N63" i="3"/>
  <c r="M63" i="3"/>
  <c r="L63" i="3"/>
  <c r="J63" i="3"/>
  <c r="X63" i="3" s="1"/>
  <c r="I63" i="3"/>
  <c r="W63" i="3" s="1"/>
  <c r="H63" i="3"/>
  <c r="V63" i="3" s="1"/>
  <c r="G63" i="3"/>
  <c r="U63" i="3" s="1"/>
  <c r="F63" i="3"/>
  <c r="T63" i="3" s="1"/>
  <c r="E63" i="3"/>
  <c r="X62" i="3"/>
  <c r="X95" i="3" s="1"/>
  <c r="W62" i="3"/>
  <c r="V62" i="3"/>
  <c r="U62" i="3"/>
  <c r="T62" i="3"/>
  <c r="S62" i="3"/>
  <c r="R62" i="3"/>
  <c r="K62" i="3"/>
  <c r="Y62" i="3" s="1"/>
  <c r="Y61" i="3"/>
  <c r="X61" i="3"/>
  <c r="W61" i="3"/>
  <c r="V61" i="3"/>
  <c r="U61" i="3"/>
  <c r="T61" i="3"/>
  <c r="S61" i="3"/>
  <c r="R61" i="3"/>
  <c r="K61" i="3"/>
  <c r="K63" i="3" s="1"/>
  <c r="V60" i="3"/>
  <c r="U60" i="3"/>
  <c r="Q60" i="3"/>
  <c r="P60" i="3"/>
  <c r="P67" i="3" s="1"/>
  <c r="O60" i="3"/>
  <c r="N60" i="3"/>
  <c r="N67" i="3" s="1"/>
  <c r="M60" i="3"/>
  <c r="M67" i="3" s="1"/>
  <c r="L60" i="3"/>
  <c r="R60" i="3" s="1"/>
  <c r="R67" i="3" s="1"/>
  <c r="J60" i="3"/>
  <c r="X60" i="3" s="1"/>
  <c r="I60" i="3"/>
  <c r="H60" i="3"/>
  <c r="G60" i="3"/>
  <c r="G67" i="3" s="1"/>
  <c r="F60" i="3"/>
  <c r="T60" i="3" s="1"/>
  <c r="E60" i="3"/>
  <c r="S60" i="3" s="1"/>
  <c r="X59" i="3"/>
  <c r="W59" i="3"/>
  <c r="V59" i="3"/>
  <c r="U59" i="3"/>
  <c r="T59" i="3"/>
  <c r="S59" i="3"/>
  <c r="R59" i="3"/>
  <c r="Y59" i="3" s="1"/>
  <c r="K59" i="3"/>
  <c r="X58" i="3"/>
  <c r="W58" i="3"/>
  <c r="V58" i="3"/>
  <c r="U58" i="3"/>
  <c r="T58" i="3"/>
  <c r="S58" i="3"/>
  <c r="R58" i="3"/>
  <c r="K58" i="3"/>
  <c r="Y58" i="3" s="1"/>
  <c r="Y57" i="3"/>
  <c r="X57" i="3"/>
  <c r="W57" i="3"/>
  <c r="V57" i="3"/>
  <c r="U57" i="3"/>
  <c r="T57" i="3"/>
  <c r="S57" i="3"/>
  <c r="R57" i="3"/>
  <c r="K57" i="3"/>
  <c r="Y56" i="3"/>
  <c r="X56" i="3"/>
  <c r="W56" i="3"/>
  <c r="V56" i="3"/>
  <c r="U56" i="3"/>
  <c r="U89" i="3" s="1"/>
  <c r="T56" i="3"/>
  <c r="S56" i="3"/>
  <c r="R56" i="3"/>
  <c r="K56" i="3"/>
  <c r="S51" i="3"/>
  <c r="R51" i="3"/>
  <c r="Q51" i="3"/>
  <c r="P51" i="3"/>
  <c r="O51" i="3"/>
  <c r="N51" i="3"/>
  <c r="M51" i="3"/>
  <c r="L51" i="3"/>
  <c r="J51" i="3"/>
  <c r="J68" i="3" s="1"/>
  <c r="X68" i="3" s="1"/>
  <c r="I51" i="3"/>
  <c r="I68" i="3" s="1"/>
  <c r="W68" i="3" s="1"/>
  <c r="H51" i="3"/>
  <c r="H68" i="3" s="1"/>
  <c r="V68" i="3" s="1"/>
  <c r="G51" i="3"/>
  <c r="G68" i="3" s="1"/>
  <c r="U68" i="3" s="1"/>
  <c r="F51" i="3"/>
  <c r="E51" i="3"/>
  <c r="Q49" i="3"/>
  <c r="P49" i="3"/>
  <c r="O49" i="3"/>
  <c r="N49" i="3"/>
  <c r="M49" i="3"/>
  <c r="L49" i="3"/>
  <c r="R49" i="3" s="1"/>
  <c r="E49" i="3"/>
  <c r="W48" i="3"/>
  <c r="V48" i="3"/>
  <c r="V98" i="3" s="1"/>
  <c r="U48" i="3"/>
  <c r="U98" i="3" s="1"/>
  <c r="Q48" i="3"/>
  <c r="Q98" i="3" s="1"/>
  <c r="P48" i="3"/>
  <c r="O48" i="3"/>
  <c r="O98" i="3" s="1"/>
  <c r="N48" i="3"/>
  <c r="M48" i="3"/>
  <c r="L48" i="3"/>
  <c r="L98" i="3" s="1"/>
  <c r="R98" i="3" s="1"/>
  <c r="K48" i="3"/>
  <c r="J48" i="3"/>
  <c r="J98" i="3" s="1"/>
  <c r="I48" i="3"/>
  <c r="I98" i="3" s="1"/>
  <c r="H48" i="3"/>
  <c r="G48" i="3"/>
  <c r="G98" i="3" s="1"/>
  <c r="F48" i="3"/>
  <c r="F98" i="3" s="1"/>
  <c r="E48" i="3"/>
  <c r="E98" i="3" s="1"/>
  <c r="K98" i="3" s="1"/>
  <c r="S47" i="3"/>
  <c r="S97" i="3" s="1"/>
  <c r="R47" i="3"/>
  <c r="Q47" i="3"/>
  <c r="Q97" i="3" s="1"/>
  <c r="Q99" i="3" s="1"/>
  <c r="P47" i="3"/>
  <c r="P97" i="3" s="1"/>
  <c r="O47" i="3"/>
  <c r="O97" i="3" s="1"/>
  <c r="N47" i="3"/>
  <c r="N97" i="3" s="1"/>
  <c r="M47" i="3"/>
  <c r="M97" i="3" s="1"/>
  <c r="M99" i="3" s="1"/>
  <c r="L47" i="3"/>
  <c r="L97" i="3" s="1"/>
  <c r="J47" i="3"/>
  <c r="J49" i="3" s="1"/>
  <c r="X49" i="3" s="1"/>
  <c r="I47" i="3"/>
  <c r="I49" i="3" s="1"/>
  <c r="W49" i="3" s="1"/>
  <c r="H47" i="3"/>
  <c r="G47" i="3"/>
  <c r="U47" i="3" s="1"/>
  <c r="F47" i="3"/>
  <c r="E47" i="3"/>
  <c r="Q46" i="3"/>
  <c r="P46" i="3"/>
  <c r="O46" i="3"/>
  <c r="H46" i="3"/>
  <c r="G46" i="3"/>
  <c r="F46" i="3"/>
  <c r="E46" i="3"/>
  <c r="X45" i="3"/>
  <c r="Q45" i="3"/>
  <c r="Q95" i="3" s="1"/>
  <c r="P45" i="3"/>
  <c r="P95" i="3" s="1"/>
  <c r="O45" i="3"/>
  <c r="O95" i="3" s="1"/>
  <c r="N45" i="3"/>
  <c r="N95" i="3" s="1"/>
  <c r="M45" i="3"/>
  <c r="L45" i="3"/>
  <c r="J45" i="3"/>
  <c r="J95" i="3" s="1"/>
  <c r="I45" i="3"/>
  <c r="I95" i="3" s="1"/>
  <c r="H45" i="3"/>
  <c r="H95" i="3" s="1"/>
  <c r="G45" i="3"/>
  <c r="G95" i="3" s="1"/>
  <c r="G96" i="3" s="1"/>
  <c r="F45" i="3"/>
  <c r="F95" i="3" s="1"/>
  <c r="F96" i="3" s="1"/>
  <c r="E45" i="3"/>
  <c r="K45" i="3" s="1"/>
  <c r="V44" i="3"/>
  <c r="V94" i="3" s="1"/>
  <c r="U44" i="3"/>
  <c r="U94" i="3" s="1"/>
  <c r="Q44" i="3"/>
  <c r="Q94" i="3" s="1"/>
  <c r="Q96" i="3" s="1"/>
  <c r="P44" i="3"/>
  <c r="O44" i="3"/>
  <c r="N44" i="3"/>
  <c r="N46" i="3" s="1"/>
  <c r="M44" i="3"/>
  <c r="M94" i="3" s="1"/>
  <c r="M96" i="3" s="1"/>
  <c r="L44" i="3"/>
  <c r="L94" i="3" s="1"/>
  <c r="J44" i="3"/>
  <c r="J94" i="3" s="1"/>
  <c r="J96" i="3" s="1"/>
  <c r="I44" i="3"/>
  <c r="W44" i="3" s="1"/>
  <c r="W94" i="3" s="1"/>
  <c r="H44" i="3"/>
  <c r="H94" i="3" s="1"/>
  <c r="H96" i="3" s="1"/>
  <c r="G44" i="3"/>
  <c r="G94" i="3" s="1"/>
  <c r="F44" i="3"/>
  <c r="F94" i="3" s="1"/>
  <c r="E44" i="3"/>
  <c r="E94" i="3" s="1"/>
  <c r="H43" i="3"/>
  <c r="Q42" i="3"/>
  <c r="Q92" i="3" s="1"/>
  <c r="P42" i="3"/>
  <c r="P92" i="3" s="1"/>
  <c r="O42" i="3"/>
  <c r="N42" i="3"/>
  <c r="M42" i="3"/>
  <c r="M92" i="3" s="1"/>
  <c r="L42" i="3"/>
  <c r="L92" i="3" s="1"/>
  <c r="J42" i="3"/>
  <c r="X42" i="3" s="1"/>
  <c r="I42" i="3"/>
  <c r="W42" i="3" s="1"/>
  <c r="H42" i="3"/>
  <c r="V42" i="3" s="1"/>
  <c r="G42" i="3"/>
  <c r="G92" i="3" s="1"/>
  <c r="F42" i="3"/>
  <c r="F92" i="3" s="1"/>
  <c r="E42" i="3"/>
  <c r="X41" i="3"/>
  <c r="X91" i="3" s="1"/>
  <c r="Q41" i="3"/>
  <c r="P41" i="3"/>
  <c r="O41" i="3"/>
  <c r="N41" i="3"/>
  <c r="M41" i="3"/>
  <c r="M91" i="3" s="1"/>
  <c r="L41" i="3"/>
  <c r="J41" i="3"/>
  <c r="J91" i="3" s="1"/>
  <c r="I41" i="3"/>
  <c r="I91" i="3" s="1"/>
  <c r="H41" i="3"/>
  <c r="H91" i="3" s="1"/>
  <c r="G41" i="3"/>
  <c r="U41" i="3" s="1"/>
  <c r="F41" i="3"/>
  <c r="T41" i="3" s="1"/>
  <c r="E41" i="3"/>
  <c r="K41" i="3" s="1"/>
  <c r="W40" i="3"/>
  <c r="W90" i="3" s="1"/>
  <c r="V40" i="3"/>
  <c r="U40" i="3"/>
  <c r="U90" i="3" s="1"/>
  <c r="Q40" i="3"/>
  <c r="Q90" i="3" s="1"/>
  <c r="P40" i="3"/>
  <c r="P90" i="3" s="1"/>
  <c r="O40" i="3"/>
  <c r="O90" i="3" s="1"/>
  <c r="N40" i="3"/>
  <c r="N90" i="3" s="1"/>
  <c r="M40" i="3"/>
  <c r="M90" i="3" s="1"/>
  <c r="L40" i="3"/>
  <c r="R40" i="3" s="1"/>
  <c r="K40" i="3"/>
  <c r="Y40" i="3" s="1"/>
  <c r="J40" i="3"/>
  <c r="J90" i="3" s="1"/>
  <c r="I40" i="3"/>
  <c r="I90" i="3" s="1"/>
  <c r="H40" i="3"/>
  <c r="G40" i="3"/>
  <c r="F40" i="3"/>
  <c r="T40" i="3" s="1"/>
  <c r="E40" i="3"/>
  <c r="S40" i="3" s="1"/>
  <c r="S39" i="3"/>
  <c r="S89" i="3" s="1"/>
  <c r="R39" i="3"/>
  <c r="Q39" i="3"/>
  <c r="Q43" i="3" s="1"/>
  <c r="Q50" i="3" s="1"/>
  <c r="P39" i="3"/>
  <c r="P43" i="3" s="1"/>
  <c r="P50" i="3" s="1"/>
  <c r="O39" i="3"/>
  <c r="O43" i="3" s="1"/>
  <c r="O50" i="3" s="1"/>
  <c r="N39" i="3"/>
  <c r="M39" i="3"/>
  <c r="M89" i="3" s="1"/>
  <c r="L39" i="3"/>
  <c r="L89" i="3" s="1"/>
  <c r="J39" i="3"/>
  <c r="J89" i="3" s="1"/>
  <c r="J93" i="3" s="1"/>
  <c r="I39" i="3"/>
  <c r="I89" i="3" s="1"/>
  <c r="I93" i="3" s="1"/>
  <c r="H39" i="3"/>
  <c r="G39" i="3"/>
  <c r="U39" i="3" s="1"/>
  <c r="F39" i="3"/>
  <c r="E39" i="3"/>
  <c r="E43" i="3" s="1"/>
  <c r="E50" i="3" s="1"/>
  <c r="X34" i="3"/>
  <c r="W34" i="3"/>
  <c r="V34" i="3"/>
  <c r="U34" i="3"/>
  <c r="T34" i="3"/>
  <c r="S34" i="3"/>
  <c r="R34" i="3"/>
  <c r="K34" i="3"/>
  <c r="Y34" i="3" s="1"/>
  <c r="W32" i="3"/>
  <c r="V32" i="3"/>
  <c r="V148" i="3" s="1"/>
  <c r="U32" i="3"/>
  <c r="Q32" i="3"/>
  <c r="P32" i="3"/>
  <c r="O32" i="3"/>
  <c r="N32" i="3"/>
  <c r="M32" i="3"/>
  <c r="L32" i="3"/>
  <c r="R32" i="3" s="1"/>
  <c r="J32" i="3"/>
  <c r="X32" i="3" s="1"/>
  <c r="X83" i="3" s="1"/>
  <c r="I32" i="3"/>
  <c r="K32" i="3" s="1"/>
  <c r="Y32" i="3" s="1"/>
  <c r="H32" i="3"/>
  <c r="G32" i="3"/>
  <c r="F32" i="3"/>
  <c r="T32" i="3" s="1"/>
  <c r="T148" i="3" s="1"/>
  <c r="E32" i="3"/>
  <c r="S32" i="3" s="1"/>
  <c r="X31" i="3"/>
  <c r="W31" i="3"/>
  <c r="W147" i="3" s="1"/>
  <c r="V31" i="3"/>
  <c r="V147" i="3" s="1"/>
  <c r="U31" i="3"/>
  <c r="U82" i="3" s="1"/>
  <c r="T31" i="3"/>
  <c r="S31" i="3"/>
  <c r="S147" i="3" s="1"/>
  <c r="R31" i="3"/>
  <c r="Y31" i="3" s="1"/>
  <c r="K31" i="3"/>
  <c r="X30" i="3"/>
  <c r="X81" i="3" s="1"/>
  <c r="W30" i="3"/>
  <c r="W81" i="3" s="1"/>
  <c r="V30" i="3"/>
  <c r="V81" i="3" s="1"/>
  <c r="U30" i="3"/>
  <c r="U81" i="3" s="1"/>
  <c r="T30" i="3"/>
  <c r="T81" i="3" s="1"/>
  <c r="S30" i="3"/>
  <c r="S81" i="3" s="1"/>
  <c r="R30" i="3"/>
  <c r="K30" i="3"/>
  <c r="Y30" i="3" s="1"/>
  <c r="Y81" i="3" s="1"/>
  <c r="X29" i="3"/>
  <c r="X80" i="3" s="1"/>
  <c r="Q29" i="3"/>
  <c r="P29" i="3"/>
  <c r="O29" i="3"/>
  <c r="N29" i="3"/>
  <c r="N33" i="3" s="1"/>
  <c r="M29" i="3"/>
  <c r="M33" i="3" s="1"/>
  <c r="L29" i="3"/>
  <c r="L33" i="3" s="1"/>
  <c r="J29" i="3"/>
  <c r="I29" i="3"/>
  <c r="W29" i="3" s="1"/>
  <c r="H29" i="3"/>
  <c r="V29" i="3" s="1"/>
  <c r="V80" i="3" s="1"/>
  <c r="G29" i="3"/>
  <c r="F29" i="3"/>
  <c r="T29" i="3" s="1"/>
  <c r="T80" i="3" s="1"/>
  <c r="E29" i="3"/>
  <c r="Y28" i="3"/>
  <c r="Y79" i="3" s="1"/>
  <c r="X28" i="3"/>
  <c r="X144" i="3" s="1"/>
  <c r="W28" i="3"/>
  <c r="W79" i="3" s="1"/>
  <c r="V28" i="3"/>
  <c r="V144" i="3" s="1"/>
  <c r="U28" i="3"/>
  <c r="T28" i="3"/>
  <c r="S28" i="3"/>
  <c r="S79" i="3" s="1"/>
  <c r="R28" i="3"/>
  <c r="K28" i="3"/>
  <c r="X27" i="3"/>
  <c r="X78" i="3" s="1"/>
  <c r="W27" i="3"/>
  <c r="W78" i="3" s="1"/>
  <c r="V27" i="3"/>
  <c r="V78" i="3" s="1"/>
  <c r="U27" i="3"/>
  <c r="U78" i="3" s="1"/>
  <c r="T27" i="3"/>
  <c r="T78" i="3" s="1"/>
  <c r="S27" i="3"/>
  <c r="S143" i="3" s="1"/>
  <c r="R27" i="3"/>
  <c r="K27" i="3"/>
  <c r="K29" i="3" s="1"/>
  <c r="Q26" i="3"/>
  <c r="Q33" i="3" s="1"/>
  <c r="P26" i="3"/>
  <c r="P33" i="3" s="1"/>
  <c r="O26" i="3"/>
  <c r="N26" i="3"/>
  <c r="M26" i="3"/>
  <c r="L26" i="3"/>
  <c r="J26" i="3"/>
  <c r="J33" i="3" s="1"/>
  <c r="X33" i="3" s="1"/>
  <c r="X84" i="3" s="1"/>
  <c r="I26" i="3"/>
  <c r="H26" i="3"/>
  <c r="H33" i="3" s="1"/>
  <c r="G26" i="3"/>
  <c r="G33" i="3" s="1"/>
  <c r="F26" i="3"/>
  <c r="T26" i="3" s="1"/>
  <c r="T77" i="3" s="1"/>
  <c r="E26" i="3"/>
  <c r="Y25" i="3"/>
  <c r="X25" i="3"/>
  <c r="W25" i="3"/>
  <c r="V25" i="3"/>
  <c r="V76" i="3" s="1"/>
  <c r="U25" i="3"/>
  <c r="U76" i="3" s="1"/>
  <c r="T25" i="3"/>
  <c r="T76" i="3" s="1"/>
  <c r="S25" i="3"/>
  <c r="S76" i="3" s="1"/>
  <c r="R25" i="3"/>
  <c r="K25" i="3"/>
  <c r="Y24" i="3"/>
  <c r="Y75" i="3" s="1"/>
  <c r="X24" i="3"/>
  <c r="X75" i="3" s="1"/>
  <c r="W24" i="3"/>
  <c r="W75" i="3" s="1"/>
  <c r="V24" i="3"/>
  <c r="V140" i="3" s="1"/>
  <c r="U24" i="3"/>
  <c r="T24" i="3"/>
  <c r="T140" i="3" s="1"/>
  <c r="S24" i="3"/>
  <c r="S75" i="3" s="1"/>
  <c r="R24" i="3"/>
  <c r="K24" i="3"/>
  <c r="X23" i="3"/>
  <c r="X74" i="3" s="1"/>
  <c r="W23" i="3"/>
  <c r="W74" i="3" s="1"/>
  <c r="V23" i="3"/>
  <c r="V74" i="3" s="1"/>
  <c r="U23" i="3"/>
  <c r="U74" i="3" s="1"/>
  <c r="T23" i="3"/>
  <c r="T74" i="3" s="1"/>
  <c r="S23" i="3"/>
  <c r="S139" i="3" s="1"/>
  <c r="R23" i="3"/>
  <c r="Y23" i="3" s="1"/>
  <c r="Y74" i="3" s="1"/>
  <c r="K23" i="3"/>
  <c r="X22" i="3"/>
  <c r="X73" i="3" s="1"/>
  <c r="W22" i="3"/>
  <c r="W73" i="3" s="1"/>
  <c r="V22" i="3"/>
  <c r="V73" i="3" s="1"/>
  <c r="U22" i="3"/>
  <c r="U73" i="3" s="1"/>
  <c r="T22" i="3"/>
  <c r="T73" i="3" s="1"/>
  <c r="S22" i="3"/>
  <c r="S73" i="3" s="1"/>
  <c r="R22" i="3"/>
  <c r="K22" i="3"/>
  <c r="Y22" i="3" s="1"/>
  <c r="Y73" i="3" s="1"/>
  <c r="Y17" i="3"/>
  <c r="X17" i="3"/>
  <c r="W17" i="3"/>
  <c r="V17" i="3"/>
  <c r="U17" i="3"/>
  <c r="T17" i="3"/>
  <c r="S17" i="3"/>
  <c r="R17" i="3"/>
  <c r="K17" i="3"/>
  <c r="I16" i="3"/>
  <c r="W16" i="3" s="1"/>
  <c r="T15" i="3"/>
  <c r="S15" i="3"/>
  <c r="R15" i="3"/>
  <c r="Q15" i="3"/>
  <c r="P15" i="3"/>
  <c r="O15" i="3"/>
  <c r="N15" i="3"/>
  <c r="M15" i="3"/>
  <c r="L15" i="3"/>
  <c r="J15" i="3"/>
  <c r="X15" i="3" s="1"/>
  <c r="I15" i="3"/>
  <c r="W15" i="3" s="1"/>
  <c r="H15" i="3"/>
  <c r="V15" i="3" s="1"/>
  <c r="G15" i="3"/>
  <c r="U15" i="3" s="1"/>
  <c r="F15" i="3"/>
  <c r="E15" i="3"/>
  <c r="X14" i="3"/>
  <c r="W14" i="3"/>
  <c r="V14" i="3"/>
  <c r="U14" i="3"/>
  <c r="T14" i="3"/>
  <c r="S14" i="3"/>
  <c r="R14" i="3"/>
  <c r="K14" i="3"/>
  <c r="Y14" i="3" s="1"/>
  <c r="Y13" i="3"/>
  <c r="X13" i="3"/>
  <c r="W13" i="3"/>
  <c r="V13" i="3"/>
  <c r="U13" i="3"/>
  <c r="T13" i="3"/>
  <c r="S13" i="3"/>
  <c r="R13" i="3"/>
  <c r="K13" i="3"/>
  <c r="V12" i="3"/>
  <c r="U12" i="3"/>
  <c r="Q12" i="3"/>
  <c r="P12" i="3"/>
  <c r="O12" i="3"/>
  <c r="N12" i="3"/>
  <c r="M12" i="3"/>
  <c r="L12" i="3"/>
  <c r="K12" i="3"/>
  <c r="J12" i="3"/>
  <c r="X12" i="3" s="1"/>
  <c r="I12" i="3"/>
  <c r="W12" i="3" s="1"/>
  <c r="H12" i="3"/>
  <c r="G12" i="3"/>
  <c r="F12" i="3"/>
  <c r="T12" i="3" s="1"/>
  <c r="E12" i="3"/>
  <c r="S12" i="3" s="1"/>
  <c r="X11" i="3"/>
  <c r="W11" i="3"/>
  <c r="V11" i="3"/>
  <c r="U11" i="3"/>
  <c r="T11" i="3"/>
  <c r="S11" i="3"/>
  <c r="R11" i="3"/>
  <c r="Y11" i="3" s="1"/>
  <c r="K11" i="3"/>
  <c r="X10" i="3"/>
  <c r="W10" i="3"/>
  <c r="V10" i="3"/>
  <c r="U10" i="3"/>
  <c r="T10" i="3"/>
  <c r="S10" i="3"/>
  <c r="R10" i="3"/>
  <c r="R12" i="3" s="1"/>
  <c r="K10" i="3"/>
  <c r="Y10" i="3" s="1"/>
  <c r="X9" i="3"/>
  <c r="Q9" i="3"/>
  <c r="Q16" i="3" s="1"/>
  <c r="P9" i="3"/>
  <c r="P16" i="3" s="1"/>
  <c r="O9" i="3"/>
  <c r="O16" i="3" s="1"/>
  <c r="N9" i="3"/>
  <c r="N16" i="3" s="1"/>
  <c r="M9" i="3"/>
  <c r="M16" i="3" s="1"/>
  <c r="L9" i="3"/>
  <c r="L16" i="3" s="1"/>
  <c r="J9" i="3"/>
  <c r="I9" i="3"/>
  <c r="W9" i="3" s="1"/>
  <c r="H9" i="3"/>
  <c r="G9" i="3"/>
  <c r="G16" i="3" s="1"/>
  <c r="U16" i="3" s="1"/>
  <c r="F9" i="3"/>
  <c r="E9" i="3"/>
  <c r="Y8" i="3"/>
  <c r="X8" i="3"/>
  <c r="W8" i="3"/>
  <c r="V8" i="3"/>
  <c r="U8" i="3"/>
  <c r="T8" i="3"/>
  <c r="S8" i="3"/>
  <c r="R8" i="3"/>
  <c r="K8" i="3"/>
  <c r="X7" i="3"/>
  <c r="W7" i="3"/>
  <c r="V7" i="3"/>
  <c r="U7" i="3"/>
  <c r="T7" i="3"/>
  <c r="S7" i="3"/>
  <c r="R7" i="3"/>
  <c r="Y7" i="3" s="1"/>
  <c r="K7" i="3"/>
  <c r="X6" i="3"/>
  <c r="W6" i="3"/>
  <c r="V6" i="3"/>
  <c r="U6" i="3"/>
  <c r="T6" i="3"/>
  <c r="S6" i="3"/>
  <c r="R6" i="3"/>
  <c r="K6" i="3"/>
  <c r="Y6" i="3" s="1"/>
  <c r="Y5" i="3"/>
  <c r="X5" i="3"/>
  <c r="W5" i="3"/>
  <c r="V5" i="3"/>
  <c r="U5" i="3"/>
  <c r="T5" i="3"/>
  <c r="S5" i="3"/>
  <c r="R5" i="3"/>
  <c r="R9" i="3" s="1"/>
  <c r="K5" i="3"/>
  <c r="K9" i="3" s="1"/>
  <c r="Y9" i="3" s="1"/>
  <c r="X147" i="3" l="1"/>
  <c r="Y148" i="3"/>
  <c r="Y83" i="3"/>
  <c r="S148" i="3"/>
  <c r="S83" i="3"/>
  <c r="Y48" i="3"/>
  <c r="Y98" i="3" s="1"/>
  <c r="K77" i="3"/>
  <c r="K84" i="3" s="1"/>
  <c r="E84" i="3"/>
  <c r="V43" i="3"/>
  <c r="V93" i="3" s="1"/>
  <c r="H50" i="3"/>
  <c r="V50" i="3" s="1"/>
  <c r="V100" i="3" s="1"/>
  <c r="K60" i="3"/>
  <c r="W60" i="3"/>
  <c r="I67" i="3"/>
  <c r="W67" i="3" s="1"/>
  <c r="V132" i="3"/>
  <c r="R16" i="3"/>
  <c r="H16" i="3"/>
  <c r="V16" i="3" s="1"/>
  <c r="U148" i="3"/>
  <c r="U83" i="3"/>
  <c r="R45" i="3"/>
  <c r="Y45" i="3" s="1"/>
  <c r="Y95" i="3" s="1"/>
  <c r="L95" i="3"/>
  <c r="R95" i="3" s="1"/>
  <c r="W132" i="3"/>
  <c r="W99" i="3"/>
  <c r="F84" i="3"/>
  <c r="N83" i="3"/>
  <c r="R83" i="3" s="1"/>
  <c r="R81" i="3"/>
  <c r="O96" i="3"/>
  <c r="L99" i="3"/>
  <c r="V145" i="3"/>
  <c r="V129" i="3"/>
  <c r="G89" i="1"/>
  <c r="U39" i="1"/>
  <c r="S142" i="3"/>
  <c r="S126" i="3"/>
  <c r="U33" i="3"/>
  <c r="U84" i="3" s="1"/>
  <c r="K39" i="3"/>
  <c r="Y39" i="3" s="1"/>
  <c r="Y89" i="3" s="1"/>
  <c r="F89" i="3"/>
  <c r="L91" i="3"/>
  <c r="R91" i="3" s="1"/>
  <c r="R41" i="3"/>
  <c r="F49" i="3"/>
  <c r="T49" i="3" s="1"/>
  <c r="K47" i="3"/>
  <c r="Y47" i="3" s="1"/>
  <c r="Y97" i="3" s="1"/>
  <c r="F97" i="3"/>
  <c r="F99" i="3" s="1"/>
  <c r="Y91" i="3"/>
  <c r="U92" i="3"/>
  <c r="S96" i="3"/>
  <c r="N93" i="3"/>
  <c r="N100" i="3" s="1"/>
  <c r="N141" i="1"/>
  <c r="N76" i="1"/>
  <c r="U25" i="1"/>
  <c r="U76" i="1" s="1"/>
  <c r="N42" i="1"/>
  <c r="N92" i="1" s="1"/>
  <c r="Y82" i="3"/>
  <c r="Y147" i="3"/>
  <c r="T47" i="3"/>
  <c r="T97" i="3" s="1"/>
  <c r="X89" i="3"/>
  <c r="V92" i="3"/>
  <c r="U96" i="3"/>
  <c r="J84" i="3"/>
  <c r="X140" i="3"/>
  <c r="X124" i="3"/>
  <c r="G116" i="3"/>
  <c r="K109" i="3"/>
  <c r="U109" i="3"/>
  <c r="L126" i="3"/>
  <c r="R122" i="3"/>
  <c r="R148" i="3"/>
  <c r="K6" i="1"/>
  <c r="S6" i="1"/>
  <c r="K26" i="3"/>
  <c r="E33" i="3"/>
  <c r="S33" i="3" s="1"/>
  <c r="S84" i="3" s="1"/>
  <c r="S26" i="3"/>
  <c r="S77" i="3" s="1"/>
  <c r="Y27" i="3"/>
  <c r="Y78" i="3" s="1"/>
  <c r="R29" i="3"/>
  <c r="W148" i="3"/>
  <c r="W83" i="3"/>
  <c r="K94" i="3"/>
  <c r="V33" i="3"/>
  <c r="V84" i="3" s="1"/>
  <c r="T39" i="3"/>
  <c r="T89" i="3" s="1"/>
  <c r="R92" i="3"/>
  <c r="X94" i="3"/>
  <c r="I33" i="3"/>
  <c r="W33" i="3" s="1"/>
  <c r="W84" i="3" s="1"/>
  <c r="H89" i="3"/>
  <c r="H93" i="3" s="1"/>
  <c r="V39" i="3"/>
  <c r="H49" i="3"/>
  <c r="V49" i="3" s="1"/>
  <c r="V99" i="3" s="1"/>
  <c r="H97" i="3"/>
  <c r="H99" i="3" s="1"/>
  <c r="V47" i="3"/>
  <c r="S91" i="3"/>
  <c r="R77" i="3"/>
  <c r="L84" i="3"/>
  <c r="N77" i="3"/>
  <c r="Q80" i="3"/>
  <c r="R78" i="3"/>
  <c r="R80" i="3" s="1"/>
  <c r="Y138" i="3"/>
  <c r="Y122" i="3"/>
  <c r="V133" i="3"/>
  <c r="F148" i="3"/>
  <c r="F149" i="3" s="1"/>
  <c r="K146" i="3"/>
  <c r="K148" i="3" s="1"/>
  <c r="U144" i="3"/>
  <c r="U79" i="3"/>
  <c r="X99" i="3"/>
  <c r="X132" i="3"/>
  <c r="Y144" i="3"/>
  <c r="Y128" i="3"/>
  <c r="Y90" i="3"/>
  <c r="K15" i="3"/>
  <c r="Y15" i="3" s="1"/>
  <c r="S29" i="3"/>
  <c r="S80" i="3" s="1"/>
  <c r="T147" i="3"/>
  <c r="T82" i="3"/>
  <c r="I94" i="3"/>
  <c r="I96" i="3" s="1"/>
  <c r="I46" i="3"/>
  <c r="W46" i="3" s="1"/>
  <c r="Q67" i="3"/>
  <c r="X67" i="3" s="1"/>
  <c r="W96" i="3"/>
  <c r="E80" i="3"/>
  <c r="K78" i="3"/>
  <c r="K80" i="3" s="1"/>
  <c r="Q93" i="3"/>
  <c r="Q100" i="3" s="1"/>
  <c r="W116" i="3"/>
  <c r="Y29" i="3"/>
  <c r="Y80" i="3" s="1"/>
  <c r="E145" i="3"/>
  <c r="K143" i="3"/>
  <c r="K145" i="3" s="1"/>
  <c r="V89" i="3"/>
  <c r="Y146" i="3"/>
  <c r="Y130" i="3"/>
  <c r="U29" i="3"/>
  <c r="U80" i="3" s="1"/>
  <c r="T46" i="3"/>
  <c r="T96" i="3" s="1"/>
  <c r="T51" i="3"/>
  <c r="F68" i="3"/>
  <c r="K51" i="3"/>
  <c r="Y51" i="3" s="1"/>
  <c r="U97" i="3"/>
  <c r="Y131" i="3"/>
  <c r="O84" i="3"/>
  <c r="Y139" i="3"/>
  <c r="O132" i="3"/>
  <c r="R130" i="3"/>
  <c r="R132" i="3" s="1"/>
  <c r="M44" i="1"/>
  <c r="R10" i="1"/>
  <c r="R12" i="1" s="1"/>
  <c r="M12" i="1"/>
  <c r="M16" i="1" s="1"/>
  <c r="S63" i="1"/>
  <c r="E67" i="1"/>
  <c r="X141" i="3"/>
  <c r="X76" i="3"/>
  <c r="R42" i="3"/>
  <c r="O92" i="3"/>
  <c r="O93" i="3" s="1"/>
  <c r="O100" i="3" s="1"/>
  <c r="O133" i="3"/>
  <c r="Y12" i="3"/>
  <c r="R89" i="3"/>
  <c r="K44" i="3"/>
  <c r="S9" i="3"/>
  <c r="M93" i="3"/>
  <c r="M100" i="3" s="1"/>
  <c r="Y41" i="3"/>
  <c r="L96" i="3"/>
  <c r="R94" i="3"/>
  <c r="R96" i="3" s="1"/>
  <c r="U46" i="3"/>
  <c r="U67" i="3"/>
  <c r="Y63" i="3"/>
  <c r="Y66" i="3"/>
  <c r="P84" i="3"/>
  <c r="E116" i="3"/>
  <c r="S116" i="3" s="1"/>
  <c r="S112" i="3"/>
  <c r="U140" i="3"/>
  <c r="U75" i="3"/>
  <c r="J100" i="3"/>
  <c r="S46" i="3"/>
  <c r="X129" i="3"/>
  <c r="R97" i="3"/>
  <c r="R99" i="3" s="1"/>
  <c r="F16" i="3"/>
  <c r="T16" i="3" s="1"/>
  <c r="O33" i="3"/>
  <c r="R26" i="3"/>
  <c r="R33" i="3" s="1"/>
  <c r="N43" i="3"/>
  <c r="N50" i="3" s="1"/>
  <c r="E92" i="3"/>
  <c r="K92" i="3" s="1"/>
  <c r="K42" i="3"/>
  <c r="Y42" i="3" s="1"/>
  <c r="Y92" i="3" s="1"/>
  <c r="S42" i="3"/>
  <c r="S92" i="3" s="1"/>
  <c r="F43" i="3"/>
  <c r="V46" i="3"/>
  <c r="V96" i="3" s="1"/>
  <c r="U132" i="3"/>
  <c r="Q84" i="3"/>
  <c r="T83" i="3"/>
  <c r="W143" i="3"/>
  <c r="W127" i="3"/>
  <c r="T129" i="3"/>
  <c r="U123" i="3"/>
  <c r="W129" i="3"/>
  <c r="J16" i="3"/>
  <c r="X16" i="3" s="1"/>
  <c r="G43" i="3"/>
  <c r="S138" i="3"/>
  <c r="S122" i="3"/>
  <c r="V139" i="3"/>
  <c r="V123" i="3"/>
  <c r="Y140" i="3"/>
  <c r="Y124" i="3"/>
  <c r="T142" i="3"/>
  <c r="T126" i="3"/>
  <c r="X143" i="3"/>
  <c r="X127" i="3"/>
  <c r="Y123" i="3"/>
  <c r="J39" i="1"/>
  <c r="X5" i="1"/>
  <c r="N12" i="1"/>
  <c r="N16" i="1" s="1"/>
  <c r="M39" i="1"/>
  <c r="M26" i="1"/>
  <c r="J74" i="1"/>
  <c r="J77" i="1" s="1"/>
  <c r="J84" i="1" s="1"/>
  <c r="X23" i="1"/>
  <c r="X74" i="1" s="1"/>
  <c r="J40" i="1"/>
  <c r="Q146" i="1"/>
  <c r="Q148" i="1" s="1"/>
  <c r="Q81" i="1"/>
  <c r="Q47" i="1"/>
  <c r="Q32" i="1"/>
  <c r="X30" i="1"/>
  <c r="X81" i="1" s="1"/>
  <c r="N48" i="1"/>
  <c r="N98" i="1" s="1"/>
  <c r="N82" i="1"/>
  <c r="R31" i="1"/>
  <c r="H43" i="1"/>
  <c r="E92" i="1"/>
  <c r="S42" i="1"/>
  <c r="N97" i="1"/>
  <c r="N99" i="1" s="1"/>
  <c r="H95" i="1"/>
  <c r="U147" i="3"/>
  <c r="H29" i="1"/>
  <c r="V29" i="1" s="1"/>
  <c r="V80" i="1" s="1"/>
  <c r="H78" i="1"/>
  <c r="H80" i="1" s="1"/>
  <c r="L95" i="1"/>
  <c r="R45" i="1"/>
  <c r="L46" i="1"/>
  <c r="S122" i="1"/>
  <c r="Y141" i="3"/>
  <c r="Y125" i="3"/>
  <c r="G41" i="1"/>
  <c r="G75" i="1"/>
  <c r="G140" i="1"/>
  <c r="U140" i="1" s="1"/>
  <c r="U24" i="1"/>
  <c r="U75" i="1" s="1"/>
  <c r="X40" i="3"/>
  <c r="X90" i="3" s="1"/>
  <c r="I43" i="3"/>
  <c r="X48" i="3"/>
  <c r="X98" i="3" s="1"/>
  <c r="U51" i="3"/>
  <c r="U138" i="3"/>
  <c r="U122" i="3"/>
  <c r="J43" i="3"/>
  <c r="V51" i="3"/>
  <c r="L67" i="3"/>
  <c r="X79" i="3"/>
  <c r="V97" i="3"/>
  <c r="W109" i="3"/>
  <c r="P126" i="3"/>
  <c r="P133" i="3" s="1"/>
  <c r="E149" i="3"/>
  <c r="S13" i="1"/>
  <c r="K13" i="1"/>
  <c r="E15" i="1"/>
  <c r="I78" i="1"/>
  <c r="I80" i="1" s="1"/>
  <c r="W27" i="1"/>
  <c r="W78" i="1" s="1"/>
  <c r="I29" i="1"/>
  <c r="I44" i="1"/>
  <c r="G45" i="1"/>
  <c r="G79" i="1"/>
  <c r="U28" i="1"/>
  <c r="U79" i="1" s="1"/>
  <c r="Q147" i="1"/>
  <c r="Q82" i="1"/>
  <c r="Q48" i="1"/>
  <c r="Q98" i="1" s="1"/>
  <c r="H90" i="1"/>
  <c r="G98" i="1"/>
  <c r="U48" i="1"/>
  <c r="O99" i="1"/>
  <c r="M144" i="1"/>
  <c r="M112" i="1"/>
  <c r="M128" i="1"/>
  <c r="Y61" i="2"/>
  <c r="K63" i="2"/>
  <c r="Y63" i="2" s="1"/>
  <c r="X44" i="3"/>
  <c r="W47" i="3"/>
  <c r="W97" i="3" s="1"/>
  <c r="W51" i="3"/>
  <c r="T91" i="3"/>
  <c r="W92" i="3"/>
  <c r="T95" i="3"/>
  <c r="V82" i="3"/>
  <c r="G89" i="3"/>
  <c r="G97" i="3"/>
  <c r="G99" i="3" s="1"/>
  <c r="S144" i="3"/>
  <c r="S128" i="3"/>
  <c r="X145" i="3"/>
  <c r="E126" i="3"/>
  <c r="Q126" i="3"/>
  <c r="J149" i="3"/>
  <c r="E148" i="3"/>
  <c r="N89" i="1"/>
  <c r="N93" i="1" s="1"/>
  <c r="K10" i="1"/>
  <c r="E12" i="1"/>
  <c r="S12" i="1" s="1"/>
  <c r="S10" i="1"/>
  <c r="Q73" i="1"/>
  <c r="Q77" i="1" s="1"/>
  <c r="Q138" i="1"/>
  <c r="Q39" i="1"/>
  <c r="X22" i="1"/>
  <c r="X73" i="1" s="1"/>
  <c r="Q26" i="1"/>
  <c r="N139" i="1"/>
  <c r="N40" i="1"/>
  <c r="N90" i="1" s="1"/>
  <c r="N74" i="1"/>
  <c r="N77" i="1" s="1"/>
  <c r="N84" i="1" s="1"/>
  <c r="I40" i="1"/>
  <c r="H98" i="1"/>
  <c r="I147" i="1"/>
  <c r="W147" i="1" s="1"/>
  <c r="I131" i="1"/>
  <c r="W131" i="1" s="1"/>
  <c r="W139" i="3"/>
  <c r="W123" i="3"/>
  <c r="U145" i="3"/>
  <c r="U129" i="3"/>
  <c r="W45" i="1"/>
  <c r="I95" i="1"/>
  <c r="F81" i="1"/>
  <c r="F83" i="1" s="1"/>
  <c r="T30" i="1"/>
  <c r="T81" i="1" s="1"/>
  <c r="F32" i="1"/>
  <c r="W39" i="3"/>
  <c r="W89" i="3" s="1"/>
  <c r="U26" i="3"/>
  <c r="U77" i="3" s="1"/>
  <c r="F33" i="3"/>
  <c r="T33" i="3" s="1"/>
  <c r="T84" i="3" s="1"/>
  <c r="X39" i="3"/>
  <c r="U42" i="3"/>
  <c r="L43" i="3"/>
  <c r="S43" i="3" s="1"/>
  <c r="S93" i="3" s="1"/>
  <c r="X47" i="3"/>
  <c r="X51" i="3"/>
  <c r="U91" i="3"/>
  <c r="X92" i="3"/>
  <c r="S131" i="3"/>
  <c r="W82" i="3"/>
  <c r="E91" i="3"/>
  <c r="K91" i="3" s="1"/>
  <c r="W98" i="3"/>
  <c r="X138" i="3"/>
  <c r="U141" i="3"/>
  <c r="K112" i="3"/>
  <c r="Y112" i="3" s="1"/>
  <c r="S146" i="3"/>
  <c r="S130" i="3"/>
  <c r="K131" i="3"/>
  <c r="G142" i="3"/>
  <c r="V138" i="3"/>
  <c r="O9" i="1"/>
  <c r="O16" i="1" s="1"/>
  <c r="W7" i="1"/>
  <c r="F12" i="1"/>
  <c r="R11" i="1"/>
  <c r="E39" i="1"/>
  <c r="E73" i="1"/>
  <c r="E26" i="1"/>
  <c r="K22" i="1"/>
  <c r="S22" i="1"/>
  <c r="S73" i="1" s="1"/>
  <c r="R22" i="1"/>
  <c r="K24" i="1"/>
  <c r="Y24" i="1" s="1"/>
  <c r="Y75" i="1" s="1"/>
  <c r="I83" i="1"/>
  <c r="V32" i="1"/>
  <c r="V83" i="1" s="1"/>
  <c r="L83" i="1"/>
  <c r="P93" i="3"/>
  <c r="P100" i="3" s="1"/>
  <c r="P89" i="1"/>
  <c r="V109" i="3"/>
  <c r="V26" i="3"/>
  <c r="V77" i="3" s="1"/>
  <c r="S41" i="3"/>
  <c r="M43" i="3"/>
  <c r="M50" i="3" s="1"/>
  <c r="S45" i="3"/>
  <c r="S95" i="3" s="1"/>
  <c r="J46" i="3"/>
  <c r="X46" i="3" s="1"/>
  <c r="X96" i="3" s="1"/>
  <c r="G49" i="3"/>
  <c r="U49" i="3" s="1"/>
  <c r="U99" i="3" s="1"/>
  <c r="S49" i="3"/>
  <c r="S99" i="3" s="1"/>
  <c r="S90" i="3"/>
  <c r="S123" i="3"/>
  <c r="V124" i="3"/>
  <c r="S127" i="3"/>
  <c r="V95" i="3"/>
  <c r="V128" i="3"/>
  <c r="X82" i="3"/>
  <c r="L90" i="3"/>
  <c r="R90" i="3" s="1"/>
  <c r="F91" i="3"/>
  <c r="I97" i="3"/>
  <c r="I99" i="3" s="1"/>
  <c r="I100" i="3" s="1"/>
  <c r="S140" i="3"/>
  <c r="S124" i="3"/>
  <c r="V141" i="3"/>
  <c r="V125" i="3"/>
  <c r="N116" i="3"/>
  <c r="T146" i="3"/>
  <c r="T130" i="3"/>
  <c r="G126" i="3"/>
  <c r="G133" i="3" s="1"/>
  <c r="R128" i="3"/>
  <c r="H142" i="3"/>
  <c r="W138" i="3"/>
  <c r="M149" i="3"/>
  <c r="M145" i="3"/>
  <c r="R143" i="3"/>
  <c r="P9" i="1"/>
  <c r="P16" i="1" s="1"/>
  <c r="M40" i="1"/>
  <c r="R6" i="1"/>
  <c r="G42" i="1"/>
  <c r="U8" i="1"/>
  <c r="K11" i="1"/>
  <c r="Y11" i="1" s="1"/>
  <c r="T11" i="1"/>
  <c r="H15" i="1"/>
  <c r="V15" i="1" s="1"/>
  <c r="H47" i="1"/>
  <c r="S14" i="1"/>
  <c r="K14" i="1"/>
  <c r="Y14" i="1" s="1"/>
  <c r="F73" i="1"/>
  <c r="F39" i="1"/>
  <c r="F26" i="1"/>
  <c r="T22" i="1"/>
  <c r="T73" i="1" s="1"/>
  <c r="G26" i="1"/>
  <c r="W32" i="1"/>
  <c r="W83" i="1" s="1"/>
  <c r="X91" i="1"/>
  <c r="U60" i="1"/>
  <c r="G67" i="1"/>
  <c r="U67" i="1" s="1"/>
  <c r="F67" i="1"/>
  <c r="M73" i="1"/>
  <c r="M77" i="1" s="1"/>
  <c r="N83" i="1"/>
  <c r="P138" i="1"/>
  <c r="P122" i="1"/>
  <c r="R105" i="1"/>
  <c r="Y23" i="1"/>
  <c r="Y74" i="1" s="1"/>
  <c r="R32" i="1"/>
  <c r="T42" i="3"/>
  <c r="T92" i="3" s="1"/>
  <c r="E16" i="3"/>
  <c r="S16" i="3" s="1"/>
  <c r="W26" i="3"/>
  <c r="W77" i="3" s="1"/>
  <c r="T45" i="3"/>
  <c r="G91" i="3"/>
  <c r="J97" i="3"/>
  <c r="J99" i="3" s="1"/>
  <c r="U146" i="3"/>
  <c r="U130" i="3"/>
  <c r="H126" i="3"/>
  <c r="H133" i="3" s="1"/>
  <c r="L129" i="3"/>
  <c r="K130" i="3"/>
  <c r="K132" i="3" s="1"/>
  <c r="I142" i="3"/>
  <c r="K139" i="3"/>
  <c r="L145" i="3"/>
  <c r="R144" i="3"/>
  <c r="Q9" i="1"/>
  <c r="Q16" i="1" s="1"/>
  <c r="L41" i="1"/>
  <c r="R7" i="1"/>
  <c r="V8" i="1"/>
  <c r="U11" i="1"/>
  <c r="N26" i="1"/>
  <c r="N33" i="1" s="1"/>
  <c r="K28" i="1"/>
  <c r="Y28" i="1" s="1"/>
  <c r="Y79" i="1" s="1"/>
  <c r="V31" i="1"/>
  <c r="V82" i="1" s="1"/>
  <c r="H82" i="1"/>
  <c r="K82" i="1" s="1"/>
  <c r="I91" i="1"/>
  <c r="W41" i="1"/>
  <c r="X122" i="1"/>
  <c r="I142" i="1"/>
  <c r="W138" i="1"/>
  <c r="K7" i="1"/>
  <c r="Y7" i="1" s="1"/>
  <c r="S7" i="1"/>
  <c r="T9" i="3"/>
  <c r="U9" i="3"/>
  <c r="X26" i="3"/>
  <c r="X77" i="3" s="1"/>
  <c r="R44" i="3"/>
  <c r="R46" i="3" s="1"/>
  <c r="U45" i="3"/>
  <c r="U95" i="3" s="1"/>
  <c r="L46" i="3"/>
  <c r="R48" i="3"/>
  <c r="E67" i="3"/>
  <c r="S67" i="3" s="1"/>
  <c r="K73" i="3"/>
  <c r="K81" i="3"/>
  <c r="E95" i="3"/>
  <c r="K97" i="3"/>
  <c r="K99" i="3" s="1"/>
  <c r="T143" i="3"/>
  <c r="T127" i="3"/>
  <c r="W144" i="3"/>
  <c r="W128" i="3"/>
  <c r="I126" i="3"/>
  <c r="I133" i="3" s="1"/>
  <c r="X122" i="3"/>
  <c r="U125" i="3"/>
  <c r="X126" i="3"/>
  <c r="Q129" i="3"/>
  <c r="E132" i="3"/>
  <c r="Q149" i="3"/>
  <c r="T145" i="3"/>
  <c r="R5" i="1"/>
  <c r="Y5" i="1" s="1"/>
  <c r="F40" i="1"/>
  <c r="T23" i="1"/>
  <c r="T74" i="1" s="1"/>
  <c r="F74" i="1"/>
  <c r="R23" i="1"/>
  <c r="J42" i="1"/>
  <c r="J141" i="1"/>
  <c r="J76" i="1"/>
  <c r="K76" i="1" s="1"/>
  <c r="K25" i="1"/>
  <c r="Y25" i="1" s="1"/>
  <c r="Y76" i="1" s="1"/>
  <c r="O33" i="1"/>
  <c r="M47" i="1"/>
  <c r="M32" i="1"/>
  <c r="M81" i="1"/>
  <c r="M83" i="1" s="1"/>
  <c r="J91" i="1"/>
  <c r="X41" i="1"/>
  <c r="G94" i="1"/>
  <c r="W95" i="1"/>
  <c r="O67" i="1"/>
  <c r="V67" i="1" s="1"/>
  <c r="N140" i="1"/>
  <c r="N124" i="1"/>
  <c r="U107" i="1"/>
  <c r="E81" i="1"/>
  <c r="S30" i="1"/>
  <c r="S81" i="1" s="1"/>
  <c r="E32" i="1"/>
  <c r="S32" i="1" s="1"/>
  <c r="S83" i="1" s="1"/>
  <c r="K30" i="1"/>
  <c r="X97" i="3"/>
  <c r="X130" i="3"/>
  <c r="V41" i="3"/>
  <c r="V91" i="3" s="1"/>
  <c r="S44" i="3"/>
  <c r="S94" i="3" s="1"/>
  <c r="V45" i="3"/>
  <c r="M46" i="3"/>
  <c r="S48" i="3"/>
  <c r="S98" i="3" s="1"/>
  <c r="F67" i="3"/>
  <c r="T67" i="3" s="1"/>
  <c r="T133" i="3" s="1"/>
  <c r="J116" i="3"/>
  <c r="X116" i="3" s="1"/>
  <c r="W125" i="3"/>
  <c r="E129" i="3"/>
  <c r="K127" i="3"/>
  <c r="K129" i="3" s="1"/>
  <c r="R127" i="3"/>
  <c r="M132" i="3"/>
  <c r="M133" i="3" s="1"/>
  <c r="K140" i="3"/>
  <c r="P145" i="3"/>
  <c r="P149" i="3" s="1"/>
  <c r="R147" i="3"/>
  <c r="U5" i="1"/>
  <c r="F9" i="1"/>
  <c r="G12" i="1"/>
  <c r="U12" i="1" s="1"/>
  <c r="L15" i="1"/>
  <c r="L16" i="1" s="1"/>
  <c r="R13" i="1"/>
  <c r="U15" i="1"/>
  <c r="W26" i="1"/>
  <c r="W77" i="1" s="1"/>
  <c r="R42" i="1"/>
  <c r="L92" i="1"/>
  <c r="R92" i="1" s="1"/>
  <c r="H44" i="1"/>
  <c r="E47" i="1"/>
  <c r="T138" i="3"/>
  <c r="T122" i="3"/>
  <c r="T99" i="3"/>
  <c r="X139" i="3"/>
  <c r="X123" i="3"/>
  <c r="V9" i="3"/>
  <c r="W41" i="3"/>
  <c r="W91" i="3" s="1"/>
  <c r="T44" i="3"/>
  <c r="T94" i="3" s="1"/>
  <c r="W45" i="3"/>
  <c r="W95" i="3" s="1"/>
  <c r="T48" i="3"/>
  <c r="T98" i="3" s="1"/>
  <c r="T139" i="3"/>
  <c r="T123" i="3"/>
  <c r="W140" i="3"/>
  <c r="W124" i="3"/>
  <c r="R109" i="3"/>
  <c r="R116" i="3" s="1"/>
  <c r="V143" i="3"/>
  <c r="V127" i="3"/>
  <c r="X146" i="3"/>
  <c r="K123" i="3"/>
  <c r="X125" i="3"/>
  <c r="N132" i="3"/>
  <c r="N133" i="3" s="1"/>
  <c r="L142" i="3"/>
  <c r="Q145" i="3"/>
  <c r="H9" i="1"/>
  <c r="K8" i="1"/>
  <c r="Y8" i="1" s="1"/>
  <c r="J9" i="1"/>
  <c r="X11" i="1"/>
  <c r="J12" i="1"/>
  <c r="X12" i="1" s="1"/>
  <c r="X15" i="1"/>
  <c r="Q143" i="1"/>
  <c r="Q29" i="1"/>
  <c r="X29" i="1" s="1"/>
  <c r="X80" i="1" s="1"/>
  <c r="Q78" i="1"/>
  <c r="Q44" i="1"/>
  <c r="F47" i="1"/>
  <c r="U89" i="1"/>
  <c r="S92" i="1"/>
  <c r="N144" i="1"/>
  <c r="N128" i="1"/>
  <c r="N129" i="1" s="1"/>
  <c r="U111" i="1"/>
  <c r="T128" i="1"/>
  <c r="G73" i="1"/>
  <c r="G77" i="1" s="1"/>
  <c r="G84" i="1" s="1"/>
  <c r="U22" i="1"/>
  <c r="U73" i="1" s="1"/>
  <c r="E140" i="1"/>
  <c r="E75" i="1"/>
  <c r="E41" i="1"/>
  <c r="Q41" i="1"/>
  <c r="Q91" i="1" s="1"/>
  <c r="Q75" i="1"/>
  <c r="Q140" i="1"/>
  <c r="H42" i="1"/>
  <c r="V25" i="1"/>
  <c r="V76" i="1" s="1"/>
  <c r="J78" i="1"/>
  <c r="J80" i="1" s="1"/>
  <c r="X27" i="1"/>
  <c r="X78" i="1" s="1"/>
  <c r="S45" i="1"/>
  <c r="S95" i="1" s="1"/>
  <c r="E95" i="1"/>
  <c r="Q144" i="1"/>
  <c r="Q79" i="1"/>
  <c r="R79" i="1" s="1"/>
  <c r="Q45" i="1"/>
  <c r="Q95" i="1" s="1"/>
  <c r="O48" i="1"/>
  <c r="O98" i="1" s="1"/>
  <c r="O82" i="1"/>
  <c r="X32" i="1"/>
  <c r="X83" i="1" s="1"/>
  <c r="J45" i="1"/>
  <c r="R51" i="1"/>
  <c r="K105" i="1"/>
  <c r="Y105" i="1" s="1"/>
  <c r="S105" i="1"/>
  <c r="F127" i="1"/>
  <c r="T110" i="1"/>
  <c r="F112" i="1"/>
  <c r="F143" i="1"/>
  <c r="K110" i="1"/>
  <c r="G131" i="1"/>
  <c r="U131" i="1" s="1"/>
  <c r="G147" i="1"/>
  <c r="U147" i="1" s="1"/>
  <c r="V22" i="1"/>
  <c r="V73" i="1" s="1"/>
  <c r="H26" i="1"/>
  <c r="F140" i="1"/>
  <c r="T140" i="1" s="1"/>
  <c r="F75" i="1"/>
  <c r="F41" i="1"/>
  <c r="R24" i="1"/>
  <c r="I42" i="1"/>
  <c r="I141" i="1"/>
  <c r="I76" i="1"/>
  <c r="W25" i="1"/>
  <c r="W76" i="1" s="1"/>
  <c r="F45" i="1"/>
  <c r="P147" i="1"/>
  <c r="P48" i="1"/>
  <c r="P82" i="1"/>
  <c r="R82" i="1" s="1"/>
  <c r="O39" i="1"/>
  <c r="M42" i="1"/>
  <c r="M92" i="1" s="1"/>
  <c r="J44" i="1"/>
  <c r="N68" i="1"/>
  <c r="R68" i="1" s="1"/>
  <c r="M140" i="1"/>
  <c r="M124" i="1"/>
  <c r="R124" i="1" s="1"/>
  <c r="P144" i="1"/>
  <c r="P128" i="1"/>
  <c r="P129" i="1" s="1"/>
  <c r="U146" i="1"/>
  <c r="G148" i="1"/>
  <c r="U148" i="1" s="1"/>
  <c r="H147" i="1"/>
  <c r="V147" i="1" s="1"/>
  <c r="E138" i="1"/>
  <c r="J144" i="1"/>
  <c r="I49" i="1"/>
  <c r="W47" i="1"/>
  <c r="W13" i="1"/>
  <c r="J26" i="1"/>
  <c r="O40" i="1"/>
  <c r="O90" i="1" s="1"/>
  <c r="N44" i="1"/>
  <c r="K31" i="1"/>
  <c r="Y31" i="1" s="1"/>
  <c r="O49" i="1"/>
  <c r="O140" i="1"/>
  <c r="V107" i="1"/>
  <c r="U60" i="2"/>
  <c r="G67" i="2"/>
  <c r="U10" i="1"/>
  <c r="X47" i="1"/>
  <c r="X97" i="1" s="1"/>
  <c r="X13" i="1"/>
  <c r="P40" i="1"/>
  <c r="P90" i="1" s="1"/>
  <c r="R25" i="1"/>
  <c r="L76" i="1"/>
  <c r="R76" i="1" s="1"/>
  <c r="O44" i="1"/>
  <c r="O143" i="1"/>
  <c r="O78" i="1"/>
  <c r="O80" i="1" s="1"/>
  <c r="S31" i="1"/>
  <c r="S82" i="1" s="1"/>
  <c r="V91" i="1"/>
  <c r="K60" i="1"/>
  <c r="R60" i="1"/>
  <c r="R67" i="1" s="1"/>
  <c r="U63" i="1"/>
  <c r="U98" i="1"/>
  <c r="J112" i="1"/>
  <c r="X112" i="1" s="1"/>
  <c r="J143" i="1"/>
  <c r="J127" i="1"/>
  <c r="X113" i="1"/>
  <c r="J130" i="1"/>
  <c r="J146" i="1"/>
  <c r="K114" i="1"/>
  <c r="V127" i="1"/>
  <c r="O139" i="1"/>
  <c r="V32" i="2"/>
  <c r="K32" i="2"/>
  <c r="Y32" i="2" s="1"/>
  <c r="H89" i="2"/>
  <c r="H93" i="2" s="1"/>
  <c r="V39" i="2"/>
  <c r="H43" i="2"/>
  <c r="H90" i="2"/>
  <c r="V40" i="2"/>
  <c r="E9" i="1"/>
  <c r="V10" i="1"/>
  <c r="T10" i="1"/>
  <c r="I15" i="1"/>
  <c r="W15" i="1" s="1"/>
  <c r="L39" i="1"/>
  <c r="L73" i="1"/>
  <c r="L138" i="1"/>
  <c r="V24" i="1"/>
  <c r="V75" i="1" s="1"/>
  <c r="P44" i="1"/>
  <c r="P143" i="1"/>
  <c r="P145" i="1" s="1"/>
  <c r="P29" i="1"/>
  <c r="P33" i="1" s="1"/>
  <c r="P78" i="1"/>
  <c r="P80" i="1" s="1"/>
  <c r="L47" i="1"/>
  <c r="T31" i="1"/>
  <c r="T82" i="1" s="1"/>
  <c r="W91" i="1"/>
  <c r="S60" i="1"/>
  <c r="V63" i="1"/>
  <c r="O74" i="1"/>
  <c r="O77" i="1" s="1"/>
  <c r="L80" i="1"/>
  <c r="L146" i="1"/>
  <c r="O124" i="1"/>
  <c r="W127" i="1"/>
  <c r="I129" i="1"/>
  <c r="V73" i="2"/>
  <c r="V138" i="2"/>
  <c r="M146" i="1"/>
  <c r="M148" i="1" s="1"/>
  <c r="M129" i="1"/>
  <c r="G9" i="1"/>
  <c r="H12" i="1"/>
  <c r="V12" i="1" s="1"/>
  <c r="M15" i="1"/>
  <c r="T15" i="1" s="1"/>
  <c r="R14" i="1"/>
  <c r="S23" i="1"/>
  <c r="S74" i="1" s="1"/>
  <c r="R75" i="1"/>
  <c r="X24" i="1"/>
  <c r="X75" i="1" s="1"/>
  <c r="E143" i="1"/>
  <c r="E78" i="1"/>
  <c r="E29" i="1"/>
  <c r="S29" i="1" s="1"/>
  <c r="S80" i="1" s="1"/>
  <c r="K27" i="1"/>
  <c r="R27" i="1"/>
  <c r="R29" i="1" s="1"/>
  <c r="X28" i="1"/>
  <c r="X79" i="1" s="1"/>
  <c r="N32" i="1"/>
  <c r="I82" i="1"/>
  <c r="W31" i="1"/>
  <c r="W82" i="1" s="1"/>
  <c r="E40" i="1"/>
  <c r="I77" i="1"/>
  <c r="N78" i="1"/>
  <c r="N80" i="1" s="1"/>
  <c r="J139" i="1"/>
  <c r="E109" i="1"/>
  <c r="L26" i="1"/>
  <c r="L33" i="1" s="1"/>
  <c r="F78" i="1"/>
  <c r="F80" i="1" s="1"/>
  <c r="F29" i="1"/>
  <c r="T29" i="1" s="1"/>
  <c r="T80" i="1" s="1"/>
  <c r="S27" i="1"/>
  <c r="S78" i="1" s="1"/>
  <c r="O32" i="1"/>
  <c r="O81" i="1"/>
  <c r="O83" i="1" s="1"/>
  <c r="E44" i="1"/>
  <c r="E48" i="1"/>
  <c r="X51" i="1"/>
  <c r="J68" i="1"/>
  <c r="X68" i="1" s="1"/>
  <c r="Y131" i="1"/>
  <c r="N109" i="1"/>
  <c r="K106" i="1"/>
  <c r="T109" i="1"/>
  <c r="N112" i="1"/>
  <c r="O130" i="1"/>
  <c r="O132" i="1" s="1"/>
  <c r="O115" i="1"/>
  <c r="R113" i="1"/>
  <c r="O146" i="1"/>
  <c r="O148" i="1" s="1"/>
  <c r="W39" i="1"/>
  <c r="W89" i="1" s="1"/>
  <c r="I43" i="1"/>
  <c r="F92" i="1"/>
  <c r="T42" i="1"/>
  <c r="T92" i="1" s="1"/>
  <c r="I9" i="1"/>
  <c r="P77" i="1"/>
  <c r="U23" i="1"/>
  <c r="U74" i="1" s="1"/>
  <c r="S25" i="1"/>
  <c r="S76" i="1" s="1"/>
  <c r="G78" i="1"/>
  <c r="G80" i="1" s="1"/>
  <c r="G29" i="1"/>
  <c r="U29" i="1" s="1"/>
  <c r="U80" i="1" s="1"/>
  <c r="G143" i="1"/>
  <c r="T27" i="1"/>
  <c r="T78" i="1" s="1"/>
  <c r="P81" i="1"/>
  <c r="P83" i="1" s="1"/>
  <c r="P146" i="1"/>
  <c r="P148" i="1" s="1"/>
  <c r="P32" i="1"/>
  <c r="G32" i="1"/>
  <c r="G40" i="1"/>
  <c r="G43" i="1" s="1"/>
  <c r="F44" i="1"/>
  <c r="F48" i="1"/>
  <c r="J49" i="1"/>
  <c r="K51" i="1"/>
  <c r="Y51" i="1" s="1"/>
  <c r="X60" i="1"/>
  <c r="J67" i="1"/>
  <c r="X67" i="1" s="1"/>
  <c r="K66" i="1"/>
  <c r="Y66" i="1" s="1"/>
  <c r="E79" i="1"/>
  <c r="I97" i="1"/>
  <c r="I99" i="1" s="1"/>
  <c r="O138" i="1"/>
  <c r="O122" i="1"/>
  <c r="O109" i="1"/>
  <c r="L139" i="1"/>
  <c r="S106" i="1"/>
  <c r="R106" i="1"/>
  <c r="L123" i="1"/>
  <c r="V109" i="1"/>
  <c r="L144" i="1"/>
  <c r="R111" i="1"/>
  <c r="R112" i="1" s="1"/>
  <c r="L128" i="1"/>
  <c r="P112" i="1"/>
  <c r="P116" i="1" s="1"/>
  <c r="G132" i="1"/>
  <c r="M80" i="1"/>
  <c r="P140" i="1"/>
  <c r="P124" i="1"/>
  <c r="M125" i="1"/>
  <c r="M141" i="1"/>
  <c r="I143" i="1"/>
  <c r="I112" i="1"/>
  <c r="W110" i="1"/>
  <c r="O144" i="1"/>
  <c r="O128" i="1"/>
  <c r="O129" i="1" s="1"/>
  <c r="O112" i="1"/>
  <c r="T130" i="1"/>
  <c r="F132" i="1"/>
  <c r="V90" i="2"/>
  <c r="Y125" i="2"/>
  <c r="G49" i="1"/>
  <c r="Y59" i="1"/>
  <c r="W97" i="1"/>
  <c r="E68" i="1"/>
  <c r="T105" i="1"/>
  <c r="F138" i="1"/>
  <c r="T107" i="1"/>
  <c r="Q109" i="1"/>
  <c r="Q116" i="1" s="1"/>
  <c r="I132" i="1"/>
  <c r="W132" i="1" s="1"/>
  <c r="W130" i="1"/>
  <c r="J16" i="2"/>
  <c r="X16" i="2" s="1"/>
  <c r="X9" i="2"/>
  <c r="P97" i="2"/>
  <c r="P99" i="2" s="1"/>
  <c r="P49" i="2"/>
  <c r="R47" i="2"/>
  <c r="G138" i="1"/>
  <c r="P141" i="1"/>
  <c r="P125" i="1"/>
  <c r="L143" i="1"/>
  <c r="S110" i="1"/>
  <c r="L127" i="1"/>
  <c r="S111" i="1"/>
  <c r="Y9" i="2"/>
  <c r="V15" i="2"/>
  <c r="H16" i="2"/>
  <c r="N95" i="2"/>
  <c r="N96" i="2" s="1"/>
  <c r="N46" i="2"/>
  <c r="Q49" i="2"/>
  <c r="Q97" i="2"/>
  <c r="Q99" i="2" s="1"/>
  <c r="U47" i="1"/>
  <c r="U97" i="1" s="1"/>
  <c r="X48" i="1"/>
  <c r="X98" i="1" s="1"/>
  <c r="U66" i="1"/>
  <c r="S66" i="1"/>
  <c r="G68" i="1"/>
  <c r="U68" i="1" s="1"/>
  <c r="H138" i="1"/>
  <c r="H122" i="1"/>
  <c r="V105" i="1"/>
  <c r="Q141" i="1"/>
  <c r="Q125" i="1"/>
  <c r="X125" i="1" s="1"/>
  <c r="M143" i="1"/>
  <c r="M145" i="1" s="1"/>
  <c r="T111" i="1"/>
  <c r="V111" i="1"/>
  <c r="E115" i="1"/>
  <c r="K113" i="1"/>
  <c r="E146" i="1"/>
  <c r="E130" i="1"/>
  <c r="S113" i="1"/>
  <c r="O147" i="1"/>
  <c r="K26" i="2"/>
  <c r="E33" i="2"/>
  <c r="S33" i="2" s="1"/>
  <c r="S84" i="2" s="1"/>
  <c r="S26" i="2"/>
  <c r="S77" i="2" s="1"/>
  <c r="J82" i="1"/>
  <c r="J83" i="1" s="1"/>
  <c r="J147" i="1"/>
  <c r="X147" i="1" s="1"/>
  <c r="L67" i="1"/>
  <c r="V66" i="1"/>
  <c r="F139" i="1"/>
  <c r="F123" i="1"/>
  <c r="T123" i="1" s="1"/>
  <c r="I124" i="1"/>
  <c r="I126" i="1" s="1"/>
  <c r="I140" i="1"/>
  <c r="W107" i="1"/>
  <c r="E141" i="1"/>
  <c r="K108" i="1"/>
  <c r="E125" i="1"/>
  <c r="R108" i="1"/>
  <c r="N143" i="1"/>
  <c r="N145" i="1" s="1"/>
  <c r="G144" i="1"/>
  <c r="U144" i="1" s="1"/>
  <c r="F146" i="1"/>
  <c r="T113" i="1"/>
  <c r="M16" i="2"/>
  <c r="T16" i="2" s="1"/>
  <c r="M67" i="1"/>
  <c r="X63" i="1"/>
  <c r="J138" i="1"/>
  <c r="G139" i="1"/>
  <c r="G123" i="1"/>
  <c r="J124" i="1"/>
  <c r="X124" i="1" s="1"/>
  <c r="J140" i="1"/>
  <c r="X140" i="1" s="1"/>
  <c r="F141" i="1"/>
  <c r="T141" i="1" s="1"/>
  <c r="T108" i="1"/>
  <c r="F125" i="1"/>
  <c r="S108" i="1"/>
  <c r="G115" i="1"/>
  <c r="U113" i="1"/>
  <c r="V125" i="1"/>
  <c r="H46" i="2"/>
  <c r="V46" i="2" s="1"/>
  <c r="H94" i="2"/>
  <c r="H96" i="2" s="1"/>
  <c r="V44" i="2"/>
  <c r="V94" i="2" s="1"/>
  <c r="K44" i="2"/>
  <c r="U30" i="1"/>
  <c r="U81" i="1" s="1"/>
  <c r="X31" i="1"/>
  <c r="X82" i="1" s="1"/>
  <c r="H81" i="1"/>
  <c r="G97" i="1"/>
  <c r="G99" i="1" s="1"/>
  <c r="L109" i="1"/>
  <c r="H139" i="1"/>
  <c r="H123" i="1"/>
  <c r="V123" i="1" s="1"/>
  <c r="T106" i="1"/>
  <c r="K107" i="1"/>
  <c r="Y107" i="1" s="1"/>
  <c r="G141" i="1"/>
  <c r="U141" i="1" s="1"/>
  <c r="U108" i="1"/>
  <c r="X108" i="1"/>
  <c r="I128" i="1"/>
  <c r="K111" i="1"/>
  <c r="Y111" i="1" s="1"/>
  <c r="I144" i="1"/>
  <c r="W144" i="1" s="1"/>
  <c r="W111" i="1"/>
  <c r="H146" i="1"/>
  <c r="H130" i="1"/>
  <c r="V113" i="1"/>
  <c r="F115" i="1"/>
  <c r="W125" i="1"/>
  <c r="M139" i="1"/>
  <c r="S78" i="2"/>
  <c r="S143" i="2"/>
  <c r="M109" i="1"/>
  <c r="M116" i="1" s="1"/>
  <c r="U106" i="1"/>
  <c r="L140" i="1"/>
  <c r="R107" i="1"/>
  <c r="H141" i="1"/>
  <c r="U112" i="1"/>
  <c r="I146" i="1"/>
  <c r="W113" i="1"/>
  <c r="I115" i="1"/>
  <c r="H115" i="1"/>
  <c r="T124" i="1"/>
  <c r="U83" i="2"/>
  <c r="U148" i="2"/>
  <c r="G90" i="2"/>
  <c r="G93" i="2" s="1"/>
  <c r="G100" i="2" s="1"/>
  <c r="K40" i="2"/>
  <c r="G43" i="2"/>
  <c r="U40" i="2"/>
  <c r="I99" i="2"/>
  <c r="H84" i="2"/>
  <c r="S131" i="1"/>
  <c r="S124" i="1"/>
  <c r="S148" i="2"/>
  <c r="S83" i="2"/>
  <c r="J46" i="2"/>
  <c r="X46" i="2" s="1"/>
  <c r="J94" i="2"/>
  <c r="X44" i="2"/>
  <c r="T99" i="2"/>
  <c r="O16" i="2"/>
  <c r="V9" i="2"/>
  <c r="X77" i="2"/>
  <c r="X142" i="2"/>
  <c r="P43" i="2"/>
  <c r="P92" i="2"/>
  <c r="P93" i="2" s="1"/>
  <c r="P100" i="2" s="1"/>
  <c r="X51" i="2"/>
  <c r="K51" i="2"/>
  <c r="Y51" i="2" s="1"/>
  <c r="M83" i="2"/>
  <c r="R81" i="2"/>
  <c r="W148" i="2"/>
  <c r="W83" i="2"/>
  <c r="E50" i="2"/>
  <c r="S43" i="2"/>
  <c r="W66" i="2"/>
  <c r="K66" i="2"/>
  <c r="Y66" i="2" s="1"/>
  <c r="N100" i="2"/>
  <c r="S107" i="1"/>
  <c r="L125" i="1"/>
  <c r="L141" i="1"/>
  <c r="R141" i="1" s="1"/>
  <c r="G109" i="1"/>
  <c r="S127" i="1"/>
  <c r="E129" i="1"/>
  <c r="K127" i="1"/>
  <c r="Q129" i="1"/>
  <c r="H144" i="1"/>
  <c r="N146" i="1"/>
  <c r="N148" i="1" s="1"/>
  <c r="I16" i="2"/>
  <c r="W16" i="2" s="1"/>
  <c r="W12" i="2"/>
  <c r="N33" i="2"/>
  <c r="X148" i="2"/>
  <c r="X83" i="2"/>
  <c r="J33" i="2"/>
  <c r="X33" i="2" s="1"/>
  <c r="X84" i="2" s="1"/>
  <c r="Q43" i="2"/>
  <c r="Q50" i="2" s="1"/>
  <c r="X48" i="2"/>
  <c r="X98" i="2" s="1"/>
  <c r="J98" i="2"/>
  <c r="K98" i="2" s="1"/>
  <c r="P133" i="2"/>
  <c r="K15" i="2"/>
  <c r="Y15" i="2" s="1"/>
  <c r="O33" i="2"/>
  <c r="S82" i="2"/>
  <c r="S147" i="2"/>
  <c r="E89" i="2"/>
  <c r="K39" i="2"/>
  <c r="Y39" i="2" s="1"/>
  <c r="R39" i="2"/>
  <c r="J95" i="2"/>
  <c r="K95" i="2" s="1"/>
  <c r="X45" i="2"/>
  <c r="X95" i="2" s="1"/>
  <c r="J68" i="2"/>
  <c r="X68" i="2" s="1"/>
  <c r="Q89" i="2"/>
  <c r="Q93" i="2" s="1"/>
  <c r="T139" i="2"/>
  <c r="U109" i="2"/>
  <c r="G116" i="2"/>
  <c r="U116" i="2" s="1"/>
  <c r="L132" i="2"/>
  <c r="R130" i="2"/>
  <c r="R132" i="2" s="1"/>
  <c r="W105" i="1"/>
  <c r="P139" i="1"/>
  <c r="W139" i="1" s="1"/>
  <c r="U124" i="1"/>
  <c r="I109" i="1"/>
  <c r="P130" i="1"/>
  <c r="P132" i="1" s="1"/>
  <c r="P115" i="1"/>
  <c r="L147" i="1"/>
  <c r="R147" i="1" s="1"/>
  <c r="R114" i="1"/>
  <c r="L131" i="1"/>
  <c r="R131" i="1" s="1"/>
  <c r="N147" i="1"/>
  <c r="K12" i="2"/>
  <c r="Y12" i="2" s="1"/>
  <c r="F89" i="2"/>
  <c r="F93" i="2" s="1"/>
  <c r="F43" i="2"/>
  <c r="K43" i="2" s="1"/>
  <c r="T39" i="2"/>
  <c r="T89" i="2" s="1"/>
  <c r="S39" i="2"/>
  <c r="S89" i="2" s="1"/>
  <c r="K45" i="2"/>
  <c r="Y45" i="2" s="1"/>
  <c r="Y95" i="2" s="1"/>
  <c r="Y138" i="2"/>
  <c r="X105" i="1"/>
  <c r="E139" i="1"/>
  <c r="Q139" i="1"/>
  <c r="V124" i="1"/>
  <c r="O141" i="1"/>
  <c r="J109" i="1"/>
  <c r="H143" i="1"/>
  <c r="H112" i="1"/>
  <c r="V112" i="1" s="1"/>
  <c r="Q130" i="1"/>
  <c r="Q132" i="1" s="1"/>
  <c r="S74" i="2"/>
  <c r="S139" i="2"/>
  <c r="V75" i="2"/>
  <c r="V140" i="2"/>
  <c r="K90" i="2"/>
  <c r="R45" i="2"/>
  <c r="L95" i="2"/>
  <c r="U127" i="2"/>
  <c r="G129" i="2"/>
  <c r="U129" i="2" s="1"/>
  <c r="S95" i="2"/>
  <c r="X96" i="2"/>
  <c r="K75" i="2"/>
  <c r="R12" i="2"/>
  <c r="S80" i="2"/>
  <c r="S145" i="2"/>
  <c r="T83" i="2"/>
  <c r="T148" i="2"/>
  <c r="E92" i="2"/>
  <c r="K92" i="2" s="1"/>
  <c r="K42" i="2"/>
  <c r="Y42" i="2" s="1"/>
  <c r="Y92" i="2" s="1"/>
  <c r="S42" i="2"/>
  <c r="S92" i="2" s="1"/>
  <c r="G94" i="2"/>
  <c r="G96" i="2" s="1"/>
  <c r="G46" i="2"/>
  <c r="U46" i="2" s="1"/>
  <c r="W48" i="2"/>
  <c r="W98" i="2" s="1"/>
  <c r="I98" i="2"/>
  <c r="R89" i="2"/>
  <c r="Y141" i="2"/>
  <c r="J142" i="2"/>
  <c r="J149" i="2" s="1"/>
  <c r="P33" i="2"/>
  <c r="U80" i="2"/>
  <c r="U145" i="2"/>
  <c r="Y82" i="2"/>
  <c r="Y147" i="2"/>
  <c r="L91" i="2"/>
  <c r="R91" i="2" s="1"/>
  <c r="R41" i="2"/>
  <c r="I46" i="2"/>
  <c r="W46" i="2" s="1"/>
  <c r="I94" i="2"/>
  <c r="I96" i="2" s="1"/>
  <c r="L98" i="2"/>
  <c r="R98" i="2" s="1"/>
  <c r="R48" i="2"/>
  <c r="Y56" i="2"/>
  <c r="Y89" i="2" s="1"/>
  <c r="U90" i="2"/>
  <c r="Y91" i="2"/>
  <c r="V60" i="2"/>
  <c r="H67" i="2"/>
  <c r="G77" i="2"/>
  <c r="O93" i="2"/>
  <c r="O100" i="2" s="1"/>
  <c r="T145" i="2"/>
  <c r="K124" i="2"/>
  <c r="S124" i="2"/>
  <c r="M122" i="1"/>
  <c r="M126" i="1" s="1"/>
  <c r="P123" i="1"/>
  <c r="W123" i="1" s="1"/>
  <c r="G128" i="1"/>
  <c r="M130" i="1"/>
  <c r="M138" i="1"/>
  <c r="H140" i="1"/>
  <c r="V140" i="1" s="1"/>
  <c r="E144" i="1"/>
  <c r="E147" i="1"/>
  <c r="F33" i="2"/>
  <c r="T33" i="2" s="1"/>
  <c r="T84" i="2" s="1"/>
  <c r="T26" i="2"/>
  <c r="T77" i="2" s="1"/>
  <c r="T147" i="2"/>
  <c r="T82" i="2"/>
  <c r="M43" i="2"/>
  <c r="M50" i="2" s="1"/>
  <c r="R94" i="2"/>
  <c r="E97" i="2"/>
  <c r="K47" i="2"/>
  <c r="Y47" i="2" s="1"/>
  <c r="Y97" i="2" s="1"/>
  <c r="U94" i="2"/>
  <c r="U130" i="2"/>
  <c r="N132" i="2"/>
  <c r="N133" i="2" s="1"/>
  <c r="N122" i="1"/>
  <c r="E123" i="1"/>
  <c r="E126" i="1" s="1"/>
  <c r="Q123" i="1"/>
  <c r="X123" i="1" s="1"/>
  <c r="H128" i="1"/>
  <c r="V128" i="1" s="1"/>
  <c r="N130" i="1"/>
  <c r="N132" i="1" s="1"/>
  <c r="N138" i="1"/>
  <c r="F144" i="1"/>
  <c r="T144" i="1" s="1"/>
  <c r="R9" i="2"/>
  <c r="S9" i="2"/>
  <c r="G33" i="2"/>
  <c r="U33" i="2" s="1"/>
  <c r="U84" i="2" s="1"/>
  <c r="U26" i="2"/>
  <c r="U77" i="2" s="1"/>
  <c r="K29" i="2"/>
  <c r="Y29" i="2" s="1"/>
  <c r="Y80" i="2" s="1"/>
  <c r="N43" i="2"/>
  <c r="W40" i="2"/>
  <c r="W90" i="2" s="1"/>
  <c r="R92" i="2"/>
  <c r="F97" i="2"/>
  <c r="F99" i="2" s="1"/>
  <c r="F49" i="2"/>
  <c r="T49" i="2" s="1"/>
  <c r="S47" i="2"/>
  <c r="S97" i="2" s="1"/>
  <c r="R51" i="2"/>
  <c r="L68" i="2"/>
  <c r="R68" i="2" s="1"/>
  <c r="U89" i="2"/>
  <c r="R67" i="2"/>
  <c r="K73" i="2"/>
  <c r="E77" i="2"/>
  <c r="R73" i="2"/>
  <c r="E96" i="2"/>
  <c r="K94" i="2"/>
  <c r="T140" i="2"/>
  <c r="W141" i="2"/>
  <c r="W145" i="2"/>
  <c r="R122" i="2"/>
  <c r="L126" i="2"/>
  <c r="V108" i="1"/>
  <c r="H33" i="2"/>
  <c r="V33" i="2" s="1"/>
  <c r="V84" i="2" s="1"/>
  <c r="O43" i="2"/>
  <c r="O50" i="2" s="1"/>
  <c r="K91" i="2"/>
  <c r="M92" i="2"/>
  <c r="M93" i="2" s="1"/>
  <c r="M100" i="2" s="1"/>
  <c r="R42" i="2"/>
  <c r="G49" i="2"/>
  <c r="U49" i="2" s="1"/>
  <c r="U99" i="2" s="1"/>
  <c r="U47" i="2"/>
  <c r="U97" i="2" s="1"/>
  <c r="N67" i="2"/>
  <c r="V96" i="2"/>
  <c r="R76" i="2"/>
  <c r="Y139" i="2"/>
  <c r="Y123" i="2"/>
  <c r="U140" i="2"/>
  <c r="X141" i="2"/>
  <c r="K115" i="2"/>
  <c r="Y113" i="2"/>
  <c r="E149" i="2"/>
  <c r="I33" i="2"/>
  <c r="W33" i="2" s="1"/>
  <c r="W84" i="2" s="1"/>
  <c r="V79" i="2"/>
  <c r="V144" i="2"/>
  <c r="H97" i="2"/>
  <c r="H99" i="2" s="1"/>
  <c r="H49" i="2"/>
  <c r="V49" i="2" s="1"/>
  <c r="V99" i="2" s="1"/>
  <c r="V47" i="2"/>
  <c r="V97" i="2" s="1"/>
  <c r="W96" i="2"/>
  <c r="G80" i="2"/>
  <c r="K109" i="2"/>
  <c r="S109" i="2"/>
  <c r="S142" i="2" s="1"/>
  <c r="R116" i="2"/>
  <c r="S144" i="2"/>
  <c r="X145" i="2"/>
  <c r="K123" i="2"/>
  <c r="E129" i="2"/>
  <c r="S129" i="2" s="1"/>
  <c r="K127" i="2"/>
  <c r="R129" i="2"/>
  <c r="V145" i="2"/>
  <c r="K122" i="2"/>
  <c r="S123" i="2"/>
  <c r="F129" i="2"/>
  <c r="T129" i="2" s="1"/>
  <c r="T127" i="2"/>
  <c r="S127" i="2"/>
  <c r="K130" i="2"/>
  <c r="U131" i="2"/>
  <c r="G132" i="2"/>
  <c r="U132" i="2" s="1"/>
  <c r="M18" i="4"/>
  <c r="Q9" i="4"/>
  <c r="L12" i="4"/>
  <c r="O18" i="4"/>
  <c r="V95" i="2"/>
  <c r="M84" i="2"/>
  <c r="W140" i="2"/>
  <c r="T142" i="2"/>
  <c r="M126" i="2"/>
  <c r="M133" i="2" s="1"/>
  <c r="R125" i="2"/>
  <c r="K128" i="2"/>
  <c r="S128" i="2"/>
  <c r="S132" i="2"/>
  <c r="F149" i="2"/>
  <c r="L11" i="4"/>
  <c r="J10" i="4"/>
  <c r="M10" i="4" s="1"/>
  <c r="I93" i="2"/>
  <c r="I100" i="2" s="1"/>
  <c r="I43" i="2"/>
  <c r="V89" i="2"/>
  <c r="R83" i="2"/>
  <c r="U139" i="2"/>
  <c r="Y140" i="2"/>
  <c r="Y124" i="2"/>
  <c r="F116" i="2"/>
  <c r="T116" i="2" s="1"/>
  <c r="T149" i="2" s="1"/>
  <c r="H142" i="2"/>
  <c r="H149" i="2" s="1"/>
  <c r="X138" i="2"/>
  <c r="E145" i="2"/>
  <c r="K143" i="2"/>
  <c r="K145" i="2" s="1"/>
  <c r="R143" i="2"/>
  <c r="R145" i="2" s="1"/>
  <c r="K10" i="4"/>
  <c r="O11" i="4"/>
  <c r="L18" i="4"/>
  <c r="R21" i="4"/>
  <c r="J43" i="2"/>
  <c r="M96" i="2"/>
  <c r="J99" i="2"/>
  <c r="W89" i="2"/>
  <c r="X97" i="2"/>
  <c r="I77" i="2"/>
  <c r="I84" i="2" s="1"/>
  <c r="E83" i="2"/>
  <c r="K81" i="2"/>
  <c r="S138" i="2"/>
  <c r="V139" i="2"/>
  <c r="S146" i="2"/>
  <c r="V128" i="2"/>
  <c r="Y129" i="2"/>
  <c r="W132" i="2"/>
  <c r="I142" i="2"/>
  <c r="I149" i="2" s="1"/>
  <c r="K146" i="2"/>
  <c r="K148" i="2" s="1"/>
  <c r="N14" i="4"/>
  <c r="O14" i="4" s="1"/>
  <c r="I14" i="4"/>
  <c r="W147" i="2"/>
  <c r="W82" i="2"/>
  <c r="W39" i="2"/>
  <c r="T42" i="2"/>
  <c r="T92" i="2" s="1"/>
  <c r="W47" i="2"/>
  <c r="W97" i="2" s="1"/>
  <c r="I49" i="2"/>
  <c r="W49" i="2" s="1"/>
  <c r="X89" i="2"/>
  <c r="O67" i="2"/>
  <c r="S96" i="2"/>
  <c r="M67" i="2"/>
  <c r="J77" i="2"/>
  <c r="G91" i="2"/>
  <c r="J92" i="2"/>
  <c r="J93" i="2" s="1"/>
  <c r="T138" i="2"/>
  <c r="W139" i="2"/>
  <c r="J116" i="2"/>
  <c r="X116" i="2" s="1"/>
  <c r="T146" i="2"/>
  <c r="S122" i="2"/>
  <c r="Q126" i="2"/>
  <c r="Q133" i="2" s="1"/>
  <c r="O126" i="2"/>
  <c r="O133" i="2" s="1"/>
  <c r="S130" i="2"/>
  <c r="J132" i="2"/>
  <c r="X132" i="2" s="1"/>
  <c r="L148" i="2"/>
  <c r="R146" i="2"/>
  <c r="R148" i="2" s="1"/>
  <c r="E148" i="2"/>
  <c r="O20" i="4"/>
  <c r="X147" i="2"/>
  <c r="X82" i="2"/>
  <c r="L93" i="2"/>
  <c r="X39" i="2"/>
  <c r="U42" i="2"/>
  <c r="U92" i="2" s="1"/>
  <c r="L43" i="2"/>
  <c r="L97" i="2"/>
  <c r="L49" i="2"/>
  <c r="R49" i="2" s="1"/>
  <c r="X47" i="2"/>
  <c r="J49" i="2"/>
  <c r="P67" i="2"/>
  <c r="W67" i="2" s="1"/>
  <c r="W94" i="2"/>
  <c r="T96" i="2"/>
  <c r="L77" i="2"/>
  <c r="U138" i="2"/>
  <c r="X139" i="2"/>
  <c r="W144" i="2"/>
  <c r="U146" i="2"/>
  <c r="X128" i="2"/>
  <c r="J129" i="2"/>
  <c r="X129" i="2" s="1"/>
  <c r="V130" i="2"/>
  <c r="P132" i="2"/>
  <c r="K138" i="2"/>
  <c r="K144" i="2"/>
  <c r="V26" i="2"/>
  <c r="V77" i="2" s="1"/>
  <c r="S41" i="2"/>
  <c r="S91" i="2" s="1"/>
  <c r="V42" i="2"/>
  <c r="V92" i="2" s="1"/>
  <c r="S45" i="2"/>
  <c r="Q67" i="2"/>
  <c r="X94" i="2"/>
  <c r="U96" i="2"/>
  <c r="R79" i="2"/>
  <c r="R80" i="2" s="1"/>
  <c r="K82" i="2"/>
  <c r="T143" i="2"/>
  <c r="X144" i="2"/>
  <c r="G126" i="2"/>
  <c r="I129" i="2"/>
  <c r="W129" i="2" s="1"/>
  <c r="R138" i="2"/>
  <c r="K140" i="2"/>
  <c r="N148" i="2"/>
  <c r="N149" i="2" s="1"/>
  <c r="P10" i="4"/>
  <c r="S10" i="4" s="1"/>
  <c r="L14" i="4"/>
  <c r="N22" i="4"/>
  <c r="O22" i="4" s="1"/>
  <c r="I22" i="4"/>
  <c r="T9" i="2"/>
  <c r="W26" i="2"/>
  <c r="T41" i="2"/>
  <c r="T91" i="2" s="1"/>
  <c r="W42" i="2"/>
  <c r="W92" i="2" s="1"/>
  <c r="T45" i="2"/>
  <c r="T95" i="2" s="1"/>
  <c r="N49" i="2"/>
  <c r="K48" i="2"/>
  <c r="Y48" i="2" s="1"/>
  <c r="Y98" i="2" s="1"/>
  <c r="V91" i="2"/>
  <c r="E67" i="2"/>
  <c r="S67" i="2" s="1"/>
  <c r="K60" i="2"/>
  <c r="E80" i="2"/>
  <c r="K78" i="2"/>
  <c r="K80" i="2" s="1"/>
  <c r="U143" i="2"/>
  <c r="Y144" i="2"/>
  <c r="Y128" i="2"/>
  <c r="H126" i="2"/>
  <c r="M142" i="2"/>
  <c r="M149" i="2" s="1"/>
  <c r="L142" i="2"/>
  <c r="O148" i="2"/>
  <c r="O149" i="2" s="1"/>
  <c r="M12" i="4"/>
  <c r="R40" i="2"/>
  <c r="R44" i="2"/>
  <c r="R46" i="2" s="1"/>
  <c r="L46" i="2"/>
  <c r="O49" i="2"/>
  <c r="S48" i="2"/>
  <c r="S98" i="2" s="1"/>
  <c r="S90" i="2"/>
  <c r="F67" i="2"/>
  <c r="S60" i="2"/>
  <c r="L80" i="2"/>
  <c r="J83" i="2"/>
  <c r="U82" i="2"/>
  <c r="S140" i="2"/>
  <c r="V141" i="2"/>
  <c r="O116" i="2"/>
  <c r="V143" i="2"/>
  <c r="I126" i="2"/>
  <c r="X126" i="2"/>
  <c r="X127" i="2"/>
  <c r="Q129" i="2"/>
  <c r="K131" i="2"/>
  <c r="I10" i="4"/>
  <c r="N12" i="4"/>
  <c r="I12" i="4"/>
  <c r="O13" i="4"/>
  <c r="J67" i="2"/>
  <c r="E126" i="2"/>
  <c r="F68" i="2"/>
  <c r="T68" i="2" s="1"/>
  <c r="H116" i="2"/>
  <c r="F126" i="2"/>
  <c r="G68" i="2"/>
  <c r="U68" i="2" s="1"/>
  <c r="I116" i="2"/>
  <c r="W116" i="2" s="1"/>
  <c r="I133" i="1" l="1"/>
  <c r="X100" i="3"/>
  <c r="W142" i="3"/>
  <c r="W126" i="3"/>
  <c r="N142" i="1"/>
  <c r="N149" i="1" s="1"/>
  <c r="E99" i="2"/>
  <c r="K97" i="2"/>
  <c r="K99" i="2" s="1"/>
  <c r="U128" i="1"/>
  <c r="G129" i="1"/>
  <c r="U129" i="1" s="1"/>
  <c r="W109" i="1"/>
  <c r="I116" i="1"/>
  <c r="W116" i="1" s="1"/>
  <c r="Y113" i="1"/>
  <c r="K115" i="1"/>
  <c r="H116" i="1"/>
  <c r="K78" i="1"/>
  <c r="E80" i="1"/>
  <c r="K74" i="1"/>
  <c r="H100" i="2"/>
  <c r="K138" i="1"/>
  <c r="S138" i="1"/>
  <c r="E142" i="1"/>
  <c r="J94" i="1"/>
  <c r="J46" i="1"/>
  <c r="X46" i="1" s="1"/>
  <c r="X44" i="1"/>
  <c r="X94" i="1" s="1"/>
  <c r="F91" i="1"/>
  <c r="T41" i="1"/>
  <c r="T91" i="1" s="1"/>
  <c r="F129" i="1"/>
  <c r="T129" i="1" s="1"/>
  <c r="T127" i="1"/>
  <c r="S41" i="1"/>
  <c r="S91" i="1" s="1"/>
  <c r="E91" i="1"/>
  <c r="K91" i="1" s="1"/>
  <c r="K41" i="1"/>
  <c r="Y41" i="1" s="1"/>
  <c r="Y91" i="1" s="1"/>
  <c r="Q94" i="1"/>
  <c r="Q96" i="1" s="1"/>
  <c r="Q46" i="1"/>
  <c r="E97" i="1"/>
  <c r="E49" i="1"/>
  <c r="K47" i="1"/>
  <c r="S47" i="1"/>
  <c r="S97" i="1" s="1"/>
  <c r="R81" i="1"/>
  <c r="T12" i="1"/>
  <c r="N100" i="1"/>
  <c r="W43" i="3"/>
  <c r="I50" i="3"/>
  <c r="W50" i="3" s="1"/>
  <c r="W100" i="3" s="1"/>
  <c r="U43" i="3"/>
  <c r="U93" i="3" s="1"/>
  <c r="G50" i="3"/>
  <c r="U50" i="3" s="1"/>
  <c r="U100" i="3" s="1"/>
  <c r="K46" i="3"/>
  <c r="Y46" i="3" s="1"/>
  <c r="Y44" i="3"/>
  <c r="Y94" i="3" s="1"/>
  <c r="K33" i="3"/>
  <c r="Y33" i="3" s="1"/>
  <c r="Y84" i="3" s="1"/>
  <c r="Y26" i="3"/>
  <c r="Y77" i="3" s="1"/>
  <c r="E133" i="2"/>
  <c r="S126" i="2"/>
  <c r="K126" i="2"/>
  <c r="X67" i="2"/>
  <c r="K67" i="2"/>
  <c r="Y67" i="2" s="1"/>
  <c r="Y60" i="2"/>
  <c r="L99" i="2"/>
  <c r="R97" i="2"/>
  <c r="R99" i="2" s="1"/>
  <c r="I50" i="2"/>
  <c r="W43" i="2"/>
  <c r="W93" i="2" s="1"/>
  <c r="K131" i="1"/>
  <c r="L129" i="1"/>
  <c r="S129" i="1" s="1"/>
  <c r="R127" i="1"/>
  <c r="R129" i="1" s="1"/>
  <c r="E145" i="1"/>
  <c r="S145" i="1" s="1"/>
  <c r="K143" i="1"/>
  <c r="K145" i="1" s="1"/>
  <c r="S143" i="1"/>
  <c r="R138" i="1"/>
  <c r="L142" i="1"/>
  <c r="Y148" i="2"/>
  <c r="Y83" i="2"/>
  <c r="K75" i="1"/>
  <c r="Q80" i="1"/>
  <c r="H94" i="1"/>
  <c r="H96" i="1" s="1"/>
  <c r="H46" i="1"/>
  <c r="V44" i="1"/>
  <c r="V94" i="1" s="1"/>
  <c r="M97" i="1"/>
  <c r="M99" i="1" s="1"/>
  <c r="M49" i="1"/>
  <c r="K95" i="3"/>
  <c r="E96" i="3"/>
  <c r="H97" i="1"/>
  <c r="H99" i="1" s="1"/>
  <c r="H49" i="1"/>
  <c r="V49" i="1" s="1"/>
  <c r="V47" i="1"/>
  <c r="V97" i="1" s="1"/>
  <c r="G95" i="1"/>
  <c r="G96" i="1" s="1"/>
  <c r="U45" i="1"/>
  <c r="U95" i="1" s="1"/>
  <c r="J90" i="1"/>
  <c r="X40" i="1"/>
  <c r="X90" i="1" s="1"/>
  <c r="Y132" i="3"/>
  <c r="R84" i="3"/>
  <c r="K46" i="2"/>
  <c r="Y46" i="2" s="1"/>
  <c r="Y44" i="2"/>
  <c r="Y94" i="2" s="1"/>
  <c r="O89" i="1"/>
  <c r="O93" i="1" s="1"/>
  <c r="O43" i="1"/>
  <c r="K125" i="1"/>
  <c r="S125" i="1"/>
  <c r="V43" i="1"/>
  <c r="V93" i="1" s="1"/>
  <c r="H50" i="1"/>
  <c r="W146" i="1"/>
  <c r="I148" i="1"/>
  <c r="W148" i="1" s="1"/>
  <c r="U139" i="1"/>
  <c r="U143" i="1"/>
  <c r="G145" i="1"/>
  <c r="U145" i="1" s="1"/>
  <c r="Y147" i="1"/>
  <c r="Y82" i="1"/>
  <c r="P98" i="1"/>
  <c r="P99" i="1" s="1"/>
  <c r="P49" i="1"/>
  <c r="W49" i="1" s="1"/>
  <c r="W99" i="1" s="1"/>
  <c r="P126" i="1"/>
  <c r="P133" i="1" s="1"/>
  <c r="E133" i="3"/>
  <c r="K126" i="3"/>
  <c r="K133" i="3" s="1"/>
  <c r="R95" i="1"/>
  <c r="L96" i="1"/>
  <c r="V39" i="1"/>
  <c r="V89" i="1" s="1"/>
  <c r="M33" i="1"/>
  <c r="M94" i="1"/>
  <c r="R44" i="1"/>
  <c r="R46" i="1" s="1"/>
  <c r="M46" i="1"/>
  <c r="Y6" i="1"/>
  <c r="K9" i="1"/>
  <c r="K116" i="2"/>
  <c r="Y116" i="2" s="1"/>
  <c r="Y109" i="2"/>
  <c r="Y122" i="1"/>
  <c r="F50" i="3"/>
  <c r="T50" i="3" s="1"/>
  <c r="T43" i="3"/>
  <c r="T93" i="3" s="1"/>
  <c r="T68" i="3"/>
  <c r="K68" i="3"/>
  <c r="Y68" i="3" s="1"/>
  <c r="R93" i="2"/>
  <c r="L100" i="2"/>
  <c r="J50" i="2"/>
  <c r="X50" i="2" s="1"/>
  <c r="X43" i="2"/>
  <c r="X93" i="2" s="1"/>
  <c r="N50" i="2"/>
  <c r="N126" i="1"/>
  <c r="N133" i="1" s="1"/>
  <c r="U122" i="1"/>
  <c r="R125" i="1"/>
  <c r="X138" i="1"/>
  <c r="J142" i="1"/>
  <c r="S141" i="1"/>
  <c r="K141" i="1"/>
  <c r="Y26" i="2"/>
  <c r="Y77" i="2" s="1"/>
  <c r="K33" i="2"/>
  <c r="Y33" i="2" s="1"/>
  <c r="Y84" i="2" s="1"/>
  <c r="F142" i="1"/>
  <c r="T138" i="1"/>
  <c r="U130" i="1"/>
  <c r="R139" i="1"/>
  <c r="R115" i="1"/>
  <c r="H129" i="1"/>
  <c r="V129" i="1" s="1"/>
  <c r="Y60" i="1"/>
  <c r="K67" i="1"/>
  <c r="Y67" i="1" s="1"/>
  <c r="N46" i="1"/>
  <c r="N94" i="1"/>
  <c r="N96" i="1" s="1"/>
  <c r="K128" i="1"/>
  <c r="K129" i="1" s="1"/>
  <c r="K32" i="1"/>
  <c r="Y32" i="1" s="1"/>
  <c r="Y30" i="1"/>
  <c r="Y81" i="1" s="1"/>
  <c r="X141" i="1"/>
  <c r="Q126" i="1"/>
  <c r="Q133" i="1" s="1"/>
  <c r="P142" i="1"/>
  <c r="P149" i="1" s="1"/>
  <c r="G33" i="1"/>
  <c r="U33" i="1" s="1"/>
  <c r="U84" i="1" s="1"/>
  <c r="U26" i="1"/>
  <c r="U77" i="1" s="1"/>
  <c r="R26" i="1"/>
  <c r="R33" i="1" s="1"/>
  <c r="G149" i="3"/>
  <c r="T32" i="1"/>
  <c r="T83" i="1" s="1"/>
  <c r="Q89" i="1"/>
  <c r="Q93" i="1" s="1"/>
  <c r="Q43" i="1"/>
  <c r="X142" i="3"/>
  <c r="G91" i="1"/>
  <c r="G93" i="1" s="1"/>
  <c r="U41" i="1"/>
  <c r="U91" i="1" s="1"/>
  <c r="M43" i="1"/>
  <c r="M89" i="1"/>
  <c r="M93" i="1" s="1"/>
  <c r="K49" i="3"/>
  <c r="Y49" i="3" s="1"/>
  <c r="Y99" i="3" s="1"/>
  <c r="K96" i="3"/>
  <c r="L133" i="3"/>
  <c r="R126" i="3"/>
  <c r="R123" i="1"/>
  <c r="L126" i="1"/>
  <c r="Y96" i="3"/>
  <c r="K96" i="2"/>
  <c r="H145" i="1"/>
  <c r="V145" i="1" s="1"/>
  <c r="V143" i="1"/>
  <c r="U123" i="1"/>
  <c r="G126" i="1"/>
  <c r="W129" i="1"/>
  <c r="Q33" i="1"/>
  <c r="R142" i="2"/>
  <c r="R149" i="2" s="1"/>
  <c r="L149" i="2"/>
  <c r="S93" i="2"/>
  <c r="V126" i="2"/>
  <c r="H133" i="2"/>
  <c r="V133" i="2" s="1"/>
  <c r="R77" i="2"/>
  <c r="R84" i="2" s="1"/>
  <c r="L84" i="2"/>
  <c r="X149" i="2"/>
  <c r="K77" i="2"/>
  <c r="E84" i="2"/>
  <c r="R95" i="2"/>
  <c r="R96" i="2" s="1"/>
  <c r="L96" i="2"/>
  <c r="U149" i="2"/>
  <c r="G50" i="2"/>
  <c r="U43" i="2"/>
  <c r="U93" i="2" s="1"/>
  <c r="V141" i="1"/>
  <c r="H132" i="1"/>
  <c r="V132" i="1" s="1"/>
  <c r="V130" i="1"/>
  <c r="X96" i="1"/>
  <c r="L132" i="1"/>
  <c r="G142" i="1"/>
  <c r="U138" i="1"/>
  <c r="U132" i="1"/>
  <c r="O116" i="1"/>
  <c r="K109" i="1"/>
  <c r="E116" i="1"/>
  <c r="S109" i="1"/>
  <c r="L97" i="1"/>
  <c r="L49" i="1"/>
  <c r="R49" i="1" s="1"/>
  <c r="R47" i="1"/>
  <c r="U67" i="2"/>
  <c r="F95" i="1"/>
  <c r="T45" i="1"/>
  <c r="T95" i="1" s="1"/>
  <c r="R15" i="1"/>
  <c r="U44" i="1"/>
  <c r="U94" i="1" s="1"/>
  <c r="J92" i="1"/>
  <c r="X42" i="1"/>
  <c r="X92" i="1" s="1"/>
  <c r="U42" i="1"/>
  <c r="U92" i="1" s="1"/>
  <c r="G92" i="1"/>
  <c r="K92" i="1" s="1"/>
  <c r="K42" i="1"/>
  <c r="Y42" i="1" s="1"/>
  <c r="Y92" i="1" s="1"/>
  <c r="Q142" i="1"/>
  <c r="Q149" i="1" s="1"/>
  <c r="V40" i="1"/>
  <c r="V90" i="1" s="1"/>
  <c r="S15" i="1"/>
  <c r="R48" i="1"/>
  <c r="T149" i="3"/>
  <c r="V149" i="3"/>
  <c r="U142" i="3"/>
  <c r="U126" i="3"/>
  <c r="K16" i="3"/>
  <c r="Y16" i="3" s="1"/>
  <c r="Q145" i="1"/>
  <c r="Q133" i="3"/>
  <c r="Y140" i="1"/>
  <c r="Y124" i="1"/>
  <c r="W149" i="2"/>
  <c r="U126" i="2"/>
  <c r="G133" i="2"/>
  <c r="U133" i="2" s="1"/>
  <c r="T9" i="4"/>
  <c r="Q10" i="4"/>
  <c r="R9" i="4"/>
  <c r="K129" i="2"/>
  <c r="S147" i="1"/>
  <c r="K49" i="2"/>
  <c r="Y49" i="2" s="1"/>
  <c r="Y99" i="2" s="1"/>
  <c r="U142" i="2"/>
  <c r="Y40" i="2"/>
  <c r="Y90" i="2" s="1"/>
  <c r="H148" i="1"/>
  <c r="V148" i="1" s="1"/>
  <c r="V146" i="1"/>
  <c r="V139" i="1"/>
  <c r="W140" i="1"/>
  <c r="R122" i="1"/>
  <c r="V16" i="2"/>
  <c r="K68" i="1"/>
  <c r="Y68" i="1" s="1"/>
  <c r="S68" i="1"/>
  <c r="O126" i="1"/>
  <c r="O133" i="1" s="1"/>
  <c r="F98" i="1"/>
  <c r="T48" i="1"/>
  <c r="T98" i="1" s="1"/>
  <c r="X139" i="1"/>
  <c r="W122" i="1"/>
  <c r="S9" i="1"/>
  <c r="E16" i="1"/>
  <c r="S16" i="1" s="1"/>
  <c r="J148" i="1"/>
  <c r="X148" i="1" s="1"/>
  <c r="X146" i="1"/>
  <c r="X26" i="1"/>
  <c r="X77" i="1" s="1"/>
  <c r="J33" i="1"/>
  <c r="X33" i="1" s="1"/>
  <c r="X84" i="1" s="1"/>
  <c r="X9" i="1"/>
  <c r="J16" i="1"/>
  <c r="X16" i="1" s="1"/>
  <c r="X149" i="3"/>
  <c r="X133" i="3"/>
  <c r="G46" i="1"/>
  <c r="G50" i="1" s="1"/>
  <c r="U50" i="1" s="1"/>
  <c r="U100" i="1" s="1"/>
  <c r="L91" i="1"/>
  <c r="R91" i="1" s="1"/>
  <c r="R41" i="1"/>
  <c r="M84" i="1"/>
  <c r="K26" i="1"/>
  <c r="Y22" i="1"/>
  <c r="Y73" i="1" s="1"/>
  <c r="Q84" i="1"/>
  <c r="Y96" i="2"/>
  <c r="K15" i="1"/>
  <c r="Y15" i="1" s="1"/>
  <c r="Y13" i="1"/>
  <c r="J50" i="3"/>
  <c r="X50" i="3" s="1"/>
  <c r="X43" i="3"/>
  <c r="X93" i="3" s="1"/>
  <c r="R74" i="1"/>
  <c r="K43" i="3"/>
  <c r="K116" i="3"/>
  <c r="Y116" i="3" s="1"/>
  <c r="Y109" i="3"/>
  <c r="H149" i="3"/>
  <c r="K89" i="2"/>
  <c r="E93" i="2"/>
  <c r="O12" i="4"/>
  <c r="Y146" i="2"/>
  <c r="Y130" i="2"/>
  <c r="Y108" i="1"/>
  <c r="K144" i="1"/>
  <c r="S144" i="1"/>
  <c r="G84" i="2"/>
  <c r="S49" i="2"/>
  <c r="S99" i="2" s="1"/>
  <c r="S139" i="1"/>
  <c r="K139" i="1"/>
  <c r="S149" i="2"/>
  <c r="J96" i="2"/>
  <c r="J100" i="2" s="1"/>
  <c r="R140" i="1"/>
  <c r="L116" i="1"/>
  <c r="R109" i="1"/>
  <c r="R116" i="1" s="1"/>
  <c r="W124" i="1"/>
  <c r="K124" i="1"/>
  <c r="H126" i="1"/>
  <c r="V122" i="1"/>
  <c r="O142" i="1"/>
  <c r="F94" i="1"/>
  <c r="F96" i="1" s="1"/>
  <c r="F46" i="1"/>
  <c r="T46" i="1" s="1"/>
  <c r="T96" i="1" s="1"/>
  <c r="T44" i="1"/>
  <c r="T94" i="1" s="1"/>
  <c r="U9" i="1"/>
  <c r="G16" i="1"/>
  <c r="U16" i="1" s="1"/>
  <c r="L148" i="1"/>
  <c r="R146" i="1"/>
  <c r="R148" i="1" s="1"/>
  <c r="J132" i="1"/>
  <c r="X132" i="1" s="1"/>
  <c r="X130" i="1"/>
  <c r="F126" i="1"/>
  <c r="K112" i="1"/>
  <c r="Y112" i="1" s="1"/>
  <c r="Y110" i="1"/>
  <c r="J95" i="1"/>
  <c r="X45" i="1"/>
  <c r="X95" i="1" s="1"/>
  <c r="V42" i="1"/>
  <c r="V92" i="1" s="1"/>
  <c r="H92" i="1"/>
  <c r="H93" i="1" s="1"/>
  <c r="H100" i="1" s="1"/>
  <c r="T100" i="3"/>
  <c r="K81" i="1"/>
  <c r="E83" i="1"/>
  <c r="T67" i="1"/>
  <c r="F33" i="1"/>
  <c r="T33" i="1" s="1"/>
  <c r="T84" i="1" s="1"/>
  <c r="T26" i="1"/>
  <c r="T77" i="1" s="1"/>
  <c r="M90" i="1"/>
  <c r="R90" i="1" s="1"/>
  <c r="R40" i="1"/>
  <c r="V142" i="3"/>
  <c r="V126" i="3"/>
  <c r="E33" i="1"/>
  <c r="S33" i="1" s="1"/>
  <c r="S84" i="1" s="1"/>
  <c r="S26" i="1"/>
  <c r="S77" i="1" s="1"/>
  <c r="V48" i="1"/>
  <c r="V98" i="1" s="1"/>
  <c r="Y127" i="2"/>
  <c r="H145" i="3"/>
  <c r="U116" i="3"/>
  <c r="R73" i="1"/>
  <c r="L77" i="1"/>
  <c r="I94" i="1"/>
  <c r="I96" i="1" s="1"/>
  <c r="I46" i="1"/>
  <c r="W46" i="1" s="1"/>
  <c r="W96" i="1" s="1"/>
  <c r="W44" i="1"/>
  <c r="W94" i="1" s="1"/>
  <c r="L93" i="3"/>
  <c r="W133" i="3"/>
  <c r="W149" i="3"/>
  <c r="F50" i="2"/>
  <c r="T50" i="2" s="1"/>
  <c r="T43" i="2"/>
  <c r="T93" i="2" s="1"/>
  <c r="R143" i="1"/>
  <c r="L145" i="1"/>
  <c r="R129" i="3"/>
  <c r="K142" i="3"/>
  <c r="K149" i="3" s="1"/>
  <c r="J133" i="2"/>
  <c r="X133" i="2" s="1"/>
  <c r="V142" i="2"/>
  <c r="H142" i="1"/>
  <c r="V138" i="1"/>
  <c r="R128" i="1"/>
  <c r="G90" i="1"/>
  <c r="U40" i="1"/>
  <c r="U90" i="1" s="1"/>
  <c r="P84" i="1"/>
  <c r="W48" i="1"/>
  <c r="W98" i="1" s="1"/>
  <c r="I84" i="1"/>
  <c r="R78" i="1"/>
  <c r="R80" i="1" s="1"/>
  <c r="T122" i="1"/>
  <c r="W141" i="1"/>
  <c r="F145" i="1"/>
  <c r="T145" i="1" s="1"/>
  <c r="T143" i="1"/>
  <c r="H16" i="1"/>
  <c r="V16" i="1" s="1"/>
  <c r="V9" i="1"/>
  <c r="T9" i="1"/>
  <c r="F16" i="1"/>
  <c r="T16" i="1" s="1"/>
  <c r="F89" i="1"/>
  <c r="T39" i="1"/>
  <c r="T89" i="1" s="1"/>
  <c r="F43" i="1"/>
  <c r="P43" i="1"/>
  <c r="W43" i="1" s="1"/>
  <c r="W93" i="1" s="1"/>
  <c r="E77" i="1"/>
  <c r="K73" i="1"/>
  <c r="Y145" i="3"/>
  <c r="Y129" i="3"/>
  <c r="G145" i="3"/>
  <c r="S129" i="3"/>
  <c r="S145" i="3"/>
  <c r="K142" i="2"/>
  <c r="K149" i="2" s="1"/>
  <c r="L43" i="1"/>
  <c r="L89" i="1"/>
  <c r="R39" i="1"/>
  <c r="V26" i="1"/>
  <c r="V77" i="1" s="1"/>
  <c r="H33" i="1"/>
  <c r="V33" i="1" s="1"/>
  <c r="V84" i="1" s="1"/>
  <c r="W29" i="1"/>
  <c r="W80" i="1" s="1"/>
  <c r="I33" i="1"/>
  <c r="W33" i="1" s="1"/>
  <c r="W84" i="1" s="1"/>
  <c r="X109" i="1"/>
  <c r="J116" i="1"/>
  <c r="X116" i="1" s="1"/>
  <c r="F133" i="2"/>
  <c r="T133" i="2" s="1"/>
  <c r="T126" i="2"/>
  <c r="K68" i="2"/>
  <c r="Y68" i="2" s="1"/>
  <c r="Q100" i="2"/>
  <c r="Y145" i="2"/>
  <c r="V116" i="2"/>
  <c r="V149" i="2" s="1"/>
  <c r="W126" i="2"/>
  <c r="I133" i="2"/>
  <c r="W133" i="2" s="1"/>
  <c r="X49" i="2"/>
  <c r="X99" i="2" s="1"/>
  <c r="K83" i="2"/>
  <c r="N10" i="4"/>
  <c r="O10" i="4" s="1"/>
  <c r="L10" i="4"/>
  <c r="R126" i="2"/>
  <c r="R133" i="2" s="1"/>
  <c r="L133" i="2"/>
  <c r="R16" i="2"/>
  <c r="M142" i="1"/>
  <c r="M149" i="1" s="1"/>
  <c r="V67" i="2"/>
  <c r="Y122" i="2"/>
  <c r="V144" i="1"/>
  <c r="Y132" i="2"/>
  <c r="P50" i="2"/>
  <c r="Y128" i="1"/>
  <c r="Y144" i="1"/>
  <c r="H83" i="1"/>
  <c r="H84" i="1" s="1"/>
  <c r="T125" i="1"/>
  <c r="T139" i="1"/>
  <c r="E132" i="1"/>
  <c r="S130" i="1"/>
  <c r="K130" i="1"/>
  <c r="K132" i="1" s="1"/>
  <c r="K16" i="2"/>
  <c r="Y16" i="2" s="1"/>
  <c r="U49" i="1"/>
  <c r="U99" i="1" s="1"/>
  <c r="W112" i="1"/>
  <c r="K79" i="1"/>
  <c r="U32" i="1"/>
  <c r="U83" i="1" s="1"/>
  <c r="Y106" i="1"/>
  <c r="E98" i="1"/>
  <c r="S48" i="1"/>
  <c r="S98" i="1" s="1"/>
  <c r="K48" i="1"/>
  <c r="Y48" i="1" s="1"/>
  <c r="Y98" i="1" s="1"/>
  <c r="Y27" i="1"/>
  <c r="Y78" i="1" s="1"/>
  <c r="K29" i="1"/>
  <c r="Y29" i="1" s="1"/>
  <c r="Y80" i="1" s="1"/>
  <c r="J126" i="1"/>
  <c r="P94" i="1"/>
  <c r="P96" i="1" s="1"/>
  <c r="P46" i="1"/>
  <c r="H50" i="2"/>
  <c r="V50" i="2" s="1"/>
  <c r="V43" i="2"/>
  <c r="J129" i="1"/>
  <c r="X129" i="1" s="1"/>
  <c r="X127" i="1"/>
  <c r="O145" i="1"/>
  <c r="I92" i="1"/>
  <c r="W42" i="1"/>
  <c r="W92" i="1" s="1"/>
  <c r="T112" i="1"/>
  <c r="F116" i="1"/>
  <c r="T116" i="1" s="1"/>
  <c r="F90" i="1"/>
  <c r="T40" i="1"/>
  <c r="T90" i="1" s="1"/>
  <c r="F77" i="1"/>
  <c r="F84" i="1" s="1"/>
  <c r="R145" i="3"/>
  <c r="P93" i="1"/>
  <c r="K39" i="1"/>
  <c r="E43" i="1"/>
  <c r="E89" i="1"/>
  <c r="S39" i="1"/>
  <c r="S89" i="1" s="1"/>
  <c r="I90" i="1"/>
  <c r="I93" i="1" s="1"/>
  <c r="W40" i="1"/>
  <c r="W90" i="1" s="1"/>
  <c r="Y10" i="1"/>
  <c r="K12" i="1"/>
  <c r="Y12" i="1" s="1"/>
  <c r="G93" i="3"/>
  <c r="G100" i="3" s="1"/>
  <c r="K122" i="1"/>
  <c r="Q49" i="1"/>
  <c r="X49" i="1" s="1"/>
  <c r="X99" i="1" s="1"/>
  <c r="Q97" i="1"/>
  <c r="Q99" i="1" s="1"/>
  <c r="X39" i="1"/>
  <c r="X89" i="1" s="1"/>
  <c r="J43" i="1"/>
  <c r="J89" i="1"/>
  <c r="S149" i="3"/>
  <c r="S133" i="3"/>
  <c r="S67" i="1"/>
  <c r="H100" i="3"/>
  <c r="W93" i="3"/>
  <c r="L50" i="2"/>
  <c r="S50" i="2" s="1"/>
  <c r="S100" i="2" s="1"/>
  <c r="R43" i="2"/>
  <c r="R50" i="2" s="1"/>
  <c r="V83" i="2"/>
  <c r="V148" i="2"/>
  <c r="K140" i="1"/>
  <c r="S140" i="1"/>
  <c r="G116" i="1"/>
  <c r="U116" i="1" s="1"/>
  <c r="U109" i="1"/>
  <c r="S40" i="1"/>
  <c r="S90" i="1" s="1"/>
  <c r="K40" i="1"/>
  <c r="Y40" i="1" s="1"/>
  <c r="Y90" i="1" s="1"/>
  <c r="E90" i="1"/>
  <c r="K90" i="1" s="1"/>
  <c r="S123" i="1"/>
  <c r="K123" i="1"/>
  <c r="F100" i="2"/>
  <c r="T67" i="2"/>
  <c r="T100" i="2" s="1"/>
  <c r="W77" i="2"/>
  <c r="W142" i="2"/>
  <c r="J84" i="2"/>
  <c r="K132" i="2"/>
  <c r="M132" i="1"/>
  <c r="T132" i="1" s="1"/>
  <c r="R130" i="1"/>
  <c r="R132" i="1" s="1"/>
  <c r="V93" i="2"/>
  <c r="W99" i="2"/>
  <c r="S128" i="1"/>
  <c r="W128" i="1"/>
  <c r="T146" i="1"/>
  <c r="F148" i="1"/>
  <c r="T148" i="1" s="1"/>
  <c r="V99" i="1"/>
  <c r="E148" i="1"/>
  <c r="K146" i="1"/>
  <c r="S146" i="1"/>
  <c r="W143" i="1"/>
  <c r="I145" i="1"/>
  <c r="W145" i="1" s="1"/>
  <c r="R144" i="1"/>
  <c r="Y132" i="1"/>
  <c r="I16" i="1"/>
  <c r="W16" i="1" s="1"/>
  <c r="W9" i="1"/>
  <c r="N116" i="1"/>
  <c r="E94" i="1"/>
  <c r="S44" i="1"/>
  <c r="S94" i="1" s="1"/>
  <c r="K44" i="1"/>
  <c r="E46" i="1"/>
  <c r="S46" i="1" s="1"/>
  <c r="S96" i="1" s="1"/>
  <c r="O84" i="1"/>
  <c r="X143" i="1"/>
  <c r="J145" i="1"/>
  <c r="X145" i="1" s="1"/>
  <c r="O46" i="1"/>
  <c r="O94" i="1"/>
  <c r="O96" i="1" s="1"/>
  <c r="X144" i="1"/>
  <c r="K45" i="1"/>
  <c r="Y45" i="1" s="1"/>
  <c r="Y95" i="1" s="1"/>
  <c r="F97" i="1"/>
  <c r="F49" i="1"/>
  <c r="T49" i="1" s="1"/>
  <c r="T99" i="1" s="1"/>
  <c r="T47" i="1"/>
  <c r="T97" i="1" s="1"/>
  <c r="L149" i="3"/>
  <c r="R142" i="3"/>
  <c r="R149" i="3" s="1"/>
  <c r="R9" i="1"/>
  <c r="R16" i="1" s="1"/>
  <c r="L50" i="3"/>
  <c r="S50" i="3" s="1"/>
  <c r="S100" i="3" s="1"/>
  <c r="R43" i="3"/>
  <c r="R50" i="3" s="1"/>
  <c r="N43" i="1"/>
  <c r="N50" i="1" s="1"/>
  <c r="I145" i="3"/>
  <c r="I149" i="3" s="1"/>
  <c r="N49" i="1"/>
  <c r="Q83" i="1"/>
  <c r="R83" i="1" s="1"/>
  <c r="E93" i="3"/>
  <c r="N84" i="3"/>
  <c r="K89" i="3"/>
  <c r="F93" i="3"/>
  <c r="F100" i="3" s="1"/>
  <c r="Y143" i="3"/>
  <c r="Y60" i="3"/>
  <c r="K67" i="3"/>
  <c r="Y67" i="3" s="1"/>
  <c r="G100" i="1" l="1"/>
  <c r="L100" i="3"/>
  <c r="R93" i="3"/>
  <c r="R100" i="3" s="1"/>
  <c r="Y142" i="2"/>
  <c r="Y126" i="2"/>
  <c r="R98" i="1"/>
  <c r="H149" i="1"/>
  <c r="V142" i="1"/>
  <c r="M50" i="1"/>
  <c r="Y149" i="2"/>
  <c r="Y133" i="2"/>
  <c r="Y43" i="2"/>
  <c r="Y93" i="2" s="1"/>
  <c r="J133" i="1"/>
  <c r="X133" i="1" s="1"/>
  <c r="X126" i="1"/>
  <c r="V46" i="1"/>
  <c r="V96" i="1" s="1"/>
  <c r="Y148" i="1"/>
  <c r="Y83" i="1"/>
  <c r="K133" i="2"/>
  <c r="Y100" i="2"/>
  <c r="K77" i="1"/>
  <c r="K84" i="1" s="1"/>
  <c r="E84" i="1"/>
  <c r="L99" i="1"/>
  <c r="R97" i="1"/>
  <c r="F149" i="1"/>
  <c r="T149" i="1" s="1"/>
  <c r="T142" i="1"/>
  <c r="L50" i="1"/>
  <c r="R43" i="1"/>
  <c r="R50" i="1" s="1"/>
  <c r="T43" i="1"/>
  <c r="T93" i="1" s="1"/>
  <c r="F50" i="1"/>
  <c r="S116" i="1"/>
  <c r="Q50" i="1"/>
  <c r="R100" i="2"/>
  <c r="K80" i="1"/>
  <c r="R89" i="1"/>
  <c r="L93" i="1"/>
  <c r="J93" i="1"/>
  <c r="M133" i="1"/>
  <c r="Y143" i="1"/>
  <c r="Y127" i="1"/>
  <c r="O149" i="1"/>
  <c r="I50" i="1"/>
  <c r="W50" i="1" s="1"/>
  <c r="W100" i="1" s="1"/>
  <c r="Y109" i="1"/>
  <c r="K116" i="1"/>
  <c r="Y116" i="1" s="1"/>
  <c r="U50" i="2"/>
  <c r="U100" i="2" s="1"/>
  <c r="L133" i="1"/>
  <c r="R126" i="1"/>
  <c r="R133" i="1" s="1"/>
  <c r="Q100" i="1"/>
  <c r="M96" i="1"/>
  <c r="M100" i="1" s="1"/>
  <c r="R94" i="1"/>
  <c r="R96" i="1" s="1"/>
  <c r="O50" i="1"/>
  <c r="S133" i="2"/>
  <c r="V116" i="1"/>
  <c r="W142" i="1"/>
  <c r="K93" i="2"/>
  <c r="K100" i="2" s="1"/>
  <c r="E100" i="2"/>
  <c r="Y9" i="1"/>
  <c r="K16" i="1"/>
  <c r="Y16" i="1" s="1"/>
  <c r="K50" i="2"/>
  <c r="Y50" i="2" s="1"/>
  <c r="I100" i="1"/>
  <c r="P50" i="1"/>
  <c r="K148" i="1"/>
  <c r="J50" i="1"/>
  <c r="X43" i="1"/>
  <c r="X93" i="1" s="1"/>
  <c r="K43" i="1"/>
  <c r="E50" i="1"/>
  <c r="S50" i="1" s="1"/>
  <c r="S100" i="1" s="1"/>
  <c r="S43" i="1"/>
  <c r="S93" i="1" s="1"/>
  <c r="F93" i="1"/>
  <c r="F100" i="1" s="1"/>
  <c r="R145" i="1"/>
  <c r="Y129" i="1"/>
  <c r="Y145" i="1"/>
  <c r="K33" i="1"/>
  <c r="Y33" i="1" s="1"/>
  <c r="Y84" i="1" s="1"/>
  <c r="Y26" i="1"/>
  <c r="Y77" i="1" s="1"/>
  <c r="T10" i="4"/>
  <c r="R10" i="4"/>
  <c r="O100" i="1"/>
  <c r="I149" i="1"/>
  <c r="W149" i="1" s="1"/>
  <c r="W126" i="1"/>
  <c r="V100" i="2"/>
  <c r="R77" i="1"/>
  <c r="R84" i="1" s="1"/>
  <c r="L84" i="1"/>
  <c r="S148" i="1"/>
  <c r="U149" i="3"/>
  <c r="U133" i="3"/>
  <c r="T126" i="1"/>
  <c r="F133" i="1"/>
  <c r="T133" i="1" s="1"/>
  <c r="V126" i="1"/>
  <c r="H133" i="1"/>
  <c r="V133" i="1" s="1"/>
  <c r="Y142" i="3"/>
  <c r="Y126" i="3"/>
  <c r="R133" i="3"/>
  <c r="X142" i="1"/>
  <c r="J149" i="1"/>
  <c r="X149" i="1" s="1"/>
  <c r="Y47" i="1"/>
  <c r="Y97" i="1" s="1"/>
  <c r="W133" i="1"/>
  <c r="S132" i="1"/>
  <c r="F99" i="1"/>
  <c r="P100" i="1"/>
  <c r="Y123" i="1"/>
  <c r="Y139" i="1"/>
  <c r="Y149" i="3"/>
  <c r="Y133" i="3"/>
  <c r="K95" i="1"/>
  <c r="R142" i="1"/>
  <c r="L149" i="1"/>
  <c r="S49" i="1"/>
  <c r="S99" i="1" s="1"/>
  <c r="K49" i="1"/>
  <c r="Y49" i="1" s="1"/>
  <c r="Y99" i="1" s="1"/>
  <c r="Y130" i="1"/>
  <c r="Y146" i="1"/>
  <c r="S126" i="1"/>
  <c r="V50" i="1"/>
  <c r="V100" i="1" s="1"/>
  <c r="X100" i="2"/>
  <c r="Y44" i="1"/>
  <c r="Y94" i="1" s="1"/>
  <c r="K46" i="1"/>
  <c r="Y46" i="1" s="1"/>
  <c r="Y96" i="1" s="1"/>
  <c r="E93" i="1"/>
  <c r="K89" i="1"/>
  <c r="E100" i="3"/>
  <c r="K93" i="3"/>
  <c r="K100" i="3" s="1"/>
  <c r="K94" i="1"/>
  <c r="E96" i="1"/>
  <c r="K98" i="1"/>
  <c r="Y125" i="1"/>
  <c r="Y141" i="1"/>
  <c r="K50" i="3"/>
  <c r="Y50" i="3" s="1"/>
  <c r="Y100" i="3" s="1"/>
  <c r="Y43" i="3"/>
  <c r="Y93" i="3" s="1"/>
  <c r="W50" i="2"/>
  <c r="W100" i="2" s="1"/>
  <c r="E99" i="1"/>
  <c r="K97" i="1"/>
  <c r="J96" i="1"/>
  <c r="K126" i="1"/>
  <c r="K133" i="1" s="1"/>
  <c r="Y39" i="1"/>
  <c r="Y89" i="1" s="1"/>
  <c r="K83" i="1"/>
  <c r="U46" i="1"/>
  <c r="U96" i="1" s="1"/>
  <c r="U142" i="1"/>
  <c r="G149" i="1"/>
  <c r="U149" i="1" s="1"/>
  <c r="K84" i="2"/>
  <c r="G133" i="1"/>
  <c r="U133" i="1" s="1"/>
  <c r="U126" i="1"/>
  <c r="Y138" i="1"/>
  <c r="E149" i="1"/>
  <c r="S149" i="1" s="1"/>
  <c r="S142" i="1"/>
  <c r="K142" i="1"/>
  <c r="K149" i="1" s="1"/>
  <c r="U43" i="1"/>
  <c r="U93" i="1" s="1"/>
  <c r="E133" i="1"/>
  <c r="S133" i="1" s="1"/>
  <c r="Y126" i="1" l="1"/>
  <c r="Y142" i="1"/>
  <c r="V149" i="1"/>
  <c r="Y133" i="1"/>
  <c r="Y149" i="1"/>
  <c r="T50" i="1"/>
  <c r="T100" i="1" s="1"/>
  <c r="Y43" i="1"/>
  <c r="Y93" i="1" s="1"/>
  <c r="K50" i="1"/>
  <c r="Y50" i="1" s="1"/>
  <c r="Y100" i="1" s="1"/>
  <c r="X50" i="1"/>
  <c r="X100" i="1" s="1"/>
  <c r="K96" i="1"/>
  <c r="R99" i="1"/>
  <c r="R149" i="1"/>
  <c r="J100" i="1"/>
  <c r="K99" i="1"/>
  <c r="R93" i="1"/>
  <c r="L100" i="1"/>
  <c r="K93" i="1"/>
  <c r="E100" i="1"/>
  <c r="K100" i="1" l="1"/>
  <c r="R100" i="1"/>
</calcChain>
</file>

<file path=xl/sharedStrings.xml><?xml version="1.0" encoding="utf-8"?>
<sst xmlns="http://schemas.openxmlformats.org/spreadsheetml/2006/main" count="788" uniqueCount="55">
  <si>
    <t>水産部全体</t>
  </si>
  <si>
    <t>1．2024年</t>
  </si>
  <si>
    <t>売上</t>
  </si>
  <si>
    <t>粗利益</t>
  </si>
  <si>
    <t>粗利益率</t>
  </si>
  <si>
    <t>合計</t>
  </si>
  <si>
    <t>0010 集計</t>
  </si>
  <si>
    <t>JF</t>
  </si>
  <si>
    <t>0017 集計</t>
  </si>
  <si>
    <t>鮮魚</t>
  </si>
  <si>
    <t>0101 集計</t>
  </si>
  <si>
    <t>GS</t>
  </si>
  <si>
    <t>0106 集計</t>
  </si>
  <si>
    <t>浜田荷役</t>
  </si>
  <si>
    <t>浜田水産部合計</t>
  </si>
  <si>
    <t>0102 集計</t>
  </si>
  <si>
    <t>JF大田</t>
  </si>
  <si>
    <t>0104 集計</t>
  </si>
  <si>
    <t>大田荷役</t>
  </si>
  <si>
    <t>大田水産部</t>
  </si>
  <si>
    <t>0031 集計</t>
  </si>
  <si>
    <t>JF境</t>
  </si>
  <si>
    <t>0038 集計</t>
  </si>
  <si>
    <t>境その他</t>
  </si>
  <si>
    <t>境港水産部合計</t>
  </si>
  <si>
    <t>【参考】大海分</t>
  </si>
  <si>
    <t>2．2025年</t>
  </si>
  <si>
    <t>3．過年度平均</t>
  </si>
  <si>
    <t>4．計画</t>
  </si>
  <si>
    <t>＊大海分の計画入力は不要</t>
  </si>
  <si>
    <t>5．前期比</t>
  </si>
  <si>
    <t>6．過年度平均比</t>
  </si>
  <si>
    <t>7．実績</t>
  </si>
  <si>
    <t>8．計画比</t>
  </si>
  <si>
    <t>9．前期比</t>
  </si>
  <si>
    <t>水産部包装資材</t>
  </si>
  <si>
    <t>水産部機械</t>
  </si>
  <si>
    <t>水産部第50期下期予算について</t>
  </si>
  <si>
    <t>2024年4～9月</t>
  </si>
  <si>
    <t>2025年4～9月</t>
  </si>
  <si>
    <t>過年度平均</t>
  </si>
  <si>
    <t>計画</t>
  </si>
  <si>
    <t>根拠</t>
  </si>
  <si>
    <t>年率</t>
  </si>
  <si>
    <t>粗利益年率</t>
  </si>
  <si>
    <t>水産部</t>
  </si>
  <si>
    <t>包装資材</t>
  </si>
  <si>
    <t>荷役</t>
  </si>
  <si>
    <t>機械</t>
  </si>
  <si>
    <t>浜田</t>
  </si>
  <si>
    <t>生産者向け売価15％増で売上8％増加、粗利益率2％改善、福宝▲800/月</t>
  </si>
  <si>
    <t>ベルトコンベヤーのメンテナンス料と部品代</t>
  </si>
  <si>
    <t>大田</t>
  </si>
  <si>
    <t>生産者向け売価15％増で売上8％増加、粗利益率2％改善</t>
  </si>
  <si>
    <t>境港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</si>
</sst>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6"/>
      <color theme="1"/>
      <name val="HGP創英角ｺﾞｼｯｸUB"/>
      <family val="3"/>
      <charset val="128"/>
    </font>
    <font>
      <sz val="9"/>
      <color theme="1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3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38" fontId="1" fillId="0" borderId="0">
      <alignment vertical="center"/>
    </xf>
    <xf numFmtId="9" fontId="1" fillId="0" borderId="0">
      <alignment vertical="center"/>
    </xf>
  </cellStyleXfs>
  <cellXfs count="137">
    <xf numFmtId="0" fontId="0" fillId="0" borderId="0" xfId="0">
      <alignment vertical="center"/>
    </xf>
    <xf numFmtId="0" fontId="0" fillId="0" borderId="1" xfId="0" applyBorder="1">
      <alignment vertical="center"/>
    </xf>
    <xf numFmtId="55" fontId="3" fillId="0" borderId="2" xfId="0" applyNumberFormat="1" applyFont="1" applyBorder="1" applyAlignment="1">
      <alignment horizontal="center" vertical="center"/>
    </xf>
    <xf numFmtId="38" fontId="0" fillId="0" borderId="4" xfId="1" applyFont="1" applyBorder="1">
      <alignment vertical="center"/>
    </xf>
    <xf numFmtId="38" fontId="0" fillId="0" borderId="5" xfId="1" applyFont="1" applyBorder="1">
      <alignment vertical="center"/>
    </xf>
    <xf numFmtId="38" fontId="0" fillId="0" borderId="7" xfId="1" applyFont="1" applyBorder="1">
      <alignment vertical="center"/>
    </xf>
    <xf numFmtId="38" fontId="0" fillId="0" borderId="8" xfId="1" applyFont="1" applyBorder="1">
      <alignment vertical="center"/>
    </xf>
    <xf numFmtId="38" fontId="0" fillId="2" borderId="5" xfId="1" applyFont="1" applyFill="1" applyBorder="1">
      <alignment vertical="center"/>
    </xf>
    <xf numFmtId="38" fontId="0" fillId="3" borderId="8" xfId="0" applyNumberFormat="1" applyFill="1" applyBorder="1">
      <alignment vertical="center"/>
    </xf>
    <xf numFmtId="38" fontId="0" fillId="4" borderId="8" xfId="1" applyFont="1" applyFill="1" applyBorder="1">
      <alignment vertical="center"/>
    </xf>
    <xf numFmtId="0" fontId="0" fillId="2" borderId="3" xfId="0" applyFill="1" applyBorder="1" applyAlignment="1">
      <alignment horizontal="center" vertical="center"/>
    </xf>
    <xf numFmtId="176" fontId="0" fillId="0" borderId="5" xfId="2" applyNumberFormat="1" applyFont="1" applyBorder="1" applyAlignment="1">
      <alignment horizontal="right" vertical="center"/>
    </xf>
    <xf numFmtId="176" fontId="0" fillId="2" borderId="5" xfId="2" applyNumberFormat="1" applyFont="1" applyFill="1" applyBorder="1" applyAlignment="1">
      <alignment horizontal="right" vertical="center"/>
    </xf>
    <xf numFmtId="176" fontId="0" fillId="2" borderId="6" xfId="2" applyNumberFormat="1" applyFont="1" applyFill="1" applyBorder="1" applyAlignment="1">
      <alignment horizontal="right" vertical="center"/>
    </xf>
    <xf numFmtId="176" fontId="0" fillId="3" borderId="8" xfId="2" applyNumberFormat="1" applyFont="1" applyFill="1" applyBorder="1" applyAlignment="1">
      <alignment horizontal="right" vertical="center"/>
    </xf>
    <xf numFmtId="176" fontId="0" fillId="4" borderId="8" xfId="2" applyNumberFormat="1" applyFont="1" applyFill="1" applyBorder="1" applyAlignment="1">
      <alignment horizontal="right" vertical="center"/>
    </xf>
    <xf numFmtId="176" fontId="0" fillId="4" borderId="9" xfId="2" applyNumberFormat="1" applyFont="1" applyFill="1" applyBorder="1" applyAlignment="1">
      <alignment horizontal="right" vertical="center"/>
    </xf>
    <xf numFmtId="38" fontId="0" fillId="0" borderId="0" xfId="0" applyNumberFormat="1">
      <alignment vertical="center"/>
    </xf>
    <xf numFmtId="38" fontId="0" fillId="0" borderId="0" xfId="1" applyFont="1">
      <alignment vertical="center"/>
    </xf>
    <xf numFmtId="176" fontId="0" fillId="0" borderId="0" xfId="2" applyNumberFormat="1" applyFont="1" applyAlignment="1">
      <alignment horizontal="right" vertical="center"/>
    </xf>
    <xf numFmtId="38" fontId="0" fillId="0" borderId="17" xfId="1" applyFont="1" applyBorder="1">
      <alignment vertical="center"/>
    </xf>
    <xf numFmtId="0" fontId="0" fillId="0" borderId="3" xfId="0" applyBorder="1">
      <alignment vertical="center"/>
    </xf>
    <xf numFmtId="38" fontId="0" fillId="0" borderId="6" xfId="1" applyFont="1" applyBorder="1">
      <alignment vertical="center"/>
    </xf>
    <xf numFmtId="0" fontId="0" fillId="0" borderId="9" xfId="0" applyBorder="1">
      <alignment vertical="center"/>
    </xf>
    <xf numFmtId="0" fontId="4" fillId="0" borderId="0" xfId="0" applyFont="1">
      <alignment vertical="center"/>
    </xf>
    <xf numFmtId="176" fontId="0" fillId="0" borderId="6" xfId="2" applyNumberFormat="1" applyFont="1" applyBorder="1">
      <alignment vertical="center"/>
    </xf>
    <xf numFmtId="176" fontId="0" fillId="0" borderId="9" xfId="2" applyNumberFormat="1" applyFont="1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176" fontId="0" fillId="0" borderId="23" xfId="2" applyNumberFormat="1" applyFont="1" applyBorder="1">
      <alignment vertical="center"/>
    </xf>
    <xf numFmtId="176" fontId="0" fillId="0" borderId="24" xfId="2" applyNumberFormat="1" applyFont="1" applyBorder="1">
      <alignment vertical="center"/>
    </xf>
    <xf numFmtId="0" fontId="0" fillId="0" borderId="6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10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18" xfId="0" applyBorder="1">
      <alignment vertical="center"/>
    </xf>
    <xf numFmtId="0" fontId="0" fillId="0" borderId="15" xfId="0" applyBorder="1">
      <alignment vertical="center"/>
    </xf>
    <xf numFmtId="38" fontId="0" fillId="0" borderId="31" xfId="1" applyFont="1" applyBorder="1">
      <alignment vertical="center"/>
    </xf>
    <xf numFmtId="38" fontId="0" fillId="0" borderId="32" xfId="1" applyFont="1" applyBorder="1">
      <alignment vertical="center"/>
    </xf>
    <xf numFmtId="176" fontId="0" fillId="0" borderId="33" xfId="2" applyNumberFormat="1" applyFont="1" applyBorder="1">
      <alignment vertical="center"/>
    </xf>
    <xf numFmtId="176" fontId="0" fillId="0" borderId="34" xfId="2" applyNumberFormat="1" applyFont="1" applyBorder="1">
      <alignment vertical="center"/>
    </xf>
    <xf numFmtId="0" fontId="0" fillId="0" borderId="35" xfId="0" applyBorder="1">
      <alignment vertical="center"/>
    </xf>
    <xf numFmtId="38" fontId="0" fillId="0" borderId="7" xfId="1" applyFont="1" applyBorder="1" applyAlignment="1">
      <alignment horizontal="center" vertical="center"/>
    </xf>
    <xf numFmtId="38" fontId="0" fillId="0" borderId="8" xfId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6" xfId="0" applyBorder="1">
      <alignment vertical="center"/>
    </xf>
    <xf numFmtId="0" fontId="0" fillId="0" borderId="36" xfId="0" applyBorder="1">
      <alignment vertical="center"/>
    </xf>
    <xf numFmtId="38" fontId="0" fillId="3" borderId="7" xfId="1" applyFont="1" applyFill="1" applyBorder="1">
      <alignment vertical="center"/>
    </xf>
    <xf numFmtId="0" fontId="0" fillId="3" borderId="9" xfId="0" applyFill="1" applyBorder="1">
      <alignment vertical="center"/>
    </xf>
    <xf numFmtId="0" fontId="0" fillId="0" borderId="37" xfId="0" applyBorder="1">
      <alignment vertical="center"/>
    </xf>
    <xf numFmtId="0" fontId="0" fillId="0" borderId="34" xfId="0" applyBorder="1">
      <alignment vertical="center"/>
    </xf>
    <xf numFmtId="0" fontId="0" fillId="0" borderId="38" xfId="0" applyBorder="1">
      <alignment vertical="center"/>
    </xf>
    <xf numFmtId="38" fontId="0" fillId="0" borderId="1" xfId="1" applyFont="1" applyBorder="1">
      <alignment vertical="center"/>
    </xf>
    <xf numFmtId="38" fontId="0" fillId="0" borderId="2" xfId="1" applyFont="1" applyBorder="1">
      <alignment vertical="center"/>
    </xf>
    <xf numFmtId="0" fontId="0" fillId="0" borderId="4" xfId="0" applyBorder="1">
      <alignment vertical="center"/>
    </xf>
    <xf numFmtId="55" fontId="3" fillId="0" borderId="1" xfId="0" applyNumberFormat="1" applyFont="1" applyBorder="1" applyAlignment="1">
      <alignment horizontal="center" vertical="center"/>
    </xf>
    <xf numFmtId="38" fontId="0" fillId="2" borderId="6" xfId="1" applyFont="1" applyFill="1" applyBorder="1">
      <alignment vertical="center"/>
    </xf>
    <xf numFmtId="38" fontId="0" fillId="3" borderId="7" xfId="0" applyNumberFormat="1" applyFill="1" applyBorder="1">
      <alignment vertical="center"/>
    </xf>
    <xf numFmtId="38" fontId="0" fillId="4" borderId="9" xfId="1" applyFont="1" applyFill="1" applyBorder="1">
      <alignment vertical="center"/>
    </xf>
    <xf numFmtId="176" fontId="0" fillId="0" borderId="4" xfId="2" applyNumberFormat="1" applyFont="1" applyBorder="1" applyAlignment="1">
      <alignment horizontal="right" vertical="center"/>
    </xf>
    <xf numFmtId="176" fontId="0" fillId="3" borderId="7" xfId="2" applyNumberFormat="1" applyFont="1" applyFill="1" applyBorder="1" applyAlignment="1">
      <alignment horizontal="right" vertical="center"/>
    </xf>
    <xf numFmtId="0" fontId="0" fillId="2" borderId="40" xfId="0" applyFill="1" applyBorder="1" applyAlignment="1">
      <alignment horizontal="center" vertical="center"/>
    </xf>
    <xf numFmtId="38" fontId="0" fillId="2" borderId="23" xfId="1" applyFont="1" applyFill="1" applyBorder="1">
      <alignment vertical="center"/>
    </xf>
    <xf numFmtId="38" fontId="0" fillId="4" borderId="24" xfId="1" applyFont="1" applyFill="1" applyBorder="1">
      <alignment vertical="center"/>
    </xf>
    <xf numFmtId="0" fontId="5" fillId="0" borderId="19" xfId="0" applyFont="1" applyBorder="1">
      <alignment vertical="center"/>
    </xf>
    <xf numFmtId="38" fontId="6" fillId="0" borderId="17" xfId="1" applyFont="1" applyBorder="1">
      <alignment vertical="center"/>
    </xf>
    <xf numFmtId="38" fontId="6" fillId="2" borderId="5" xfId="1" applyFont="1" applyFill="1" applyBorder="1">
      <alignment vertical="center"/>
    </xf>
    <xf numFmtId="38" fontId="6" fillId="0" borderId="5" xfId="1" applyFont="1" applyBorder="1">
      <alignment vertical="center"/>
    </xf>
    <xf numFmtId="38" fontId="0" fillId="5" borderId="7" xfId="1" applyFont="1" applyFill="1" applyBorder="1">
      <alignment vertical="center"/>
    </xf>
    <xf numFmtId="0" fontId="0" fillId="5" borderId="9" xfId="0" applyFill="1" applyBorder="1">
      <alignment vertical="center"/>
    </xf>
    <xf numFmtId="38" fontId="0" fillId="6" borderId="8" xfId="0" applyNumberFormat="1" applyFill="1" applyBorder="1">
      <alignment vertical="center"/>
    </xf>
    <xf numFmtId="38" fontId="0" fillId="7" borderId="24" xfId="1" applyFont="1" applyFill="1" applyBorder="1">
      <alignment vertical="center"/>
    </xf>
    <xf numFmtId="38" fontId="0" fillId="6" borderId="7" xfId="0" applyNumberFormat="1" applyFill="1" applyBorder="1">
      <alignment vertical="center"/>
    </xf>
    <xf numFmtId="176" fontId="0" fillId="6" borderId="7" xfId="2" applyNumberFormat="1" applyFont="1" applyFill="1" applyBorder="1" applyAlignment="1">
      <alignment horizontal="right" vertical="center"/>
    </xf>
    <xf numFmtId="176" fontId="0" fillId="6" borderId="8" xfId="2" applyNumberFormat="1" applyFont="1" applyFill="1" applyBorder="1" applyAlignment="1">
      <alignment horizontal="right" vertical="center"/>
    </xf>
    <xf numFmtId="176" fontId="0" fillId="7" borderId="9" xfId="2" applyNumberFormat="1" applyFont="1" applyFill="1" applyBorder="1" applyAlignment="1">
      <alignment horizontal="right" vertical="center"/>
    </xf>
    <xf numFmtId="0" fontId="0" fillId="0" borderId="41" xfId="0" applyBorder="1">
      <alignment vertical="center"/>
    </xf>
    <xf numFmtId="38" fontId="0" fillId="0" borderId="10" xfId="1" applyFont="1" applyBorder="1">
      <alignment vertical="center"/>
    </xf>
    <xf numFmtId="38" fontId="0" fillId="0" borderId="42" xfId="1" applyFont="1" applyBorder="1">
      <alignment vertical="center"/>
    </xf>
    <xf numFmtId="38" fontId="0" fillId="2" borderId="43" xfId="1" applyFont="1" applyFill="1" applyBorder="1">
      <alignment vertical="center"/>
    </xf>
    <xf numFmtId="176" fontId="0" fillId="0" borderId="43" xfId="2" applyNumberFormat="1" applyFont="1" applyBorder="1" applyAlignment="1">
      <alignment horizontal="right" vertical="center"/>
    </xf>
    <xf numFmtId="176" fontId="0" fillId="2" borderId="43" xfId="2" applyNumberFormat="1" applyFont="1" applyFill="1" applyBorder="1" applyAlignment="1">
      <alignment horizontal="right" vertical="center"/>
    </xf>
    <xf numFmtId="38" fontId="0" fillId="0" borderId="41" xfId="1" applyFont="1" applyBorder="1">
      <alignment vertical="center"/>
    </xf>
    <xf numFmtId="38" fontId="0" fillId="2" borderId="10" xfId="1" applyFont="1" applyFill="1" applyBorder="1">
      <alignment vertical="center"/>
    </xf>
    <xf numFmtId="176" fontId="0" fillId="2" borderId="10" xfId="2" applyNumberFormat="1" applyFont="1" applyFill="1" applyBorder="1" applyAlignment="1">
      <alignment horizontal="right" vertical="center"/>
    </xf>
    <xf numFmtId="176" fontId="0" fillId="3" borderId="44" xfId="2" applyNumberFormat="1" applyFont="1" applyFill="1" applyBorder="1" applyAlignment="1">
      <alignment horizontal="right" vertical="center"/>
    </xf>
    <xf numFmtId="38" fontId="6" fillId="0" borderId="42" xfId="1" applyFont="1" applyBorder="1">
      <alignment vertical="center"/>
    </xf>
    <xf numFmtId="38" fontId="6" fillId="2" borderId="43" xfId="1" applyFont="1" applyFill="1" applyBorder="1">
      <alignment vertical="center"/>
    </xf>
    <xf numFmtId="38" fontId="6" fillId="0" borderId="43" xfId="1" applyFont="1" applyBorder="1">
      <alignment vertical="center"/>
    </xf>
    <xf numFmtId="55" fontId="3" fillId="0" borderId="45" xfId="0" applyNumberFormat="1" applyFont="1" applyBorder="1" applyAlignment="1">
      <alignment horizontal="center" vertical="center"/>
    </xf>
    <xf numFmtId="176" fontId="0" fillId="0" borderId="17" xfId="2" applyNumberFormat="1" applyFont="1" applyBorder="1" applyAlignment="1">
      <alignment horizontal="right" vertical="center"/>
    </xf>
    <xf numFmtId="176" fontId="0" fillId="0" borderId="42" xfId="2" applyNumberFormat="1" applyFont="1" applyBorder="1" applyAlignment="1">
      <alignment horizontal="right" vertical="center"/>
    </xf>
    <xf numFmtId="38" fontId="0" fillId="0" borderId="44" xfId="1" applyFont="1" applyBorder="1">
      <alignment vertical="center"/>
    </xf>
    <xf numFmtId="38" fontId="0" fillId="2" borderId="9" xfId="1" applyFont="1" applyFill="1" applyBorder="1">
      <alignment vertical="center"/>
    </xf>
    <xf numFmtId="176" fontId="0" fillId="0" borderId="7" xfId="2" applyNumberFormat="1" applyFont="1" applyBorder="1" applyAlignment="1">
      <alignment horizontal="right" vertical="center"/>
    </xf>
    <xf numFmtId="176" fontId="0" fillId="0" borderId="8" xfId="2" applyNumberFormat="1" applyFont="1" applyBorder="1" applyAlignment="1">
      <alignment horizontal="right" vertical="center"/>
    </xf>
    <xf numFmtId="176" fontId="0" fillId="2" borderId="9" xfId="2" applyNumberFormat="1" applyFont="1" applyFill="1" applyBorder="1" applyAlignment="1">
      <alignment horizontal="right" vertical="center"/>
    </xf>
    <xf numFmtId="38" fontId="0" fillId="2" borderId="8" xfId="1" applyFont="1" applyFill="1" applyBorder="1">
      <alignment vertical="center"/>
    </xf>
    <xf numFmtId="38" fontId="0" fillId="3" borderId="44" xfId="0" applyNumberFormat="1" applyFill="1" applyBorder="1">
      <alignment vertical="center"/>
    </xf>
    <xf numFmtId="176" fontId="0" fillId="0" borderId="44" xfId="2" applyNumberFormat="1" applyFont="1" applyBorder="1" applyAlignment="1">
      <alignment horizontal="right" vertical="center"/>
    </xf>
    <xf numFmtId="38" fontId="0" fillId="2" borderId="24" xfId="1" applyFont="1" applyFill="1" applyBorder="1">
      <alignment vertical="center"/>
    </xf>
    <xf numFmtId="38" fontId="0" fillId="2" borderId="46" xfId="1" applyFont="1" applyFill="1" applyBorder="1">
      <alignment vertical="center"/>
    </xf>
    <xf numFmtId="0" fontId="0" fillId="0" borderId="0" xfId="0" applyAlignment="1"/>
    <xf numFmtId="38" fontId="1" fillId="0" borderId="17" xfId="1" applyBorder="1">
      <alignment vertical="center"/>
    </xf>
    <xf numFmtId="38" fontId="1" fillId="0" borderId="5" xfId="1" applyBorder="1">
      <alignment vertical="center"/>
    </xf>
    <xf numFmtId="38" fontId="6" fillId="0" borderId="49" xfId="1" applyFont="1" applyBorder="1">
      <alignment vertical="center"/>
    </xf>
    <xf numFmtId="38" fontId="6" fillId="0" borderId="50" xfId="1" applyFont="1" applyBorder="1">
      <alignment vertical="center"/>
    </xf>
    <xf numFmtId="38" fontId="0" fillId="6" borderId="51" xfId="0" applyNumberFormat="1" applyFill="1" applyBorder="1">
      <alignment vertical="center"/>
    </xf>
    <xf numFmtId="38" fontId="0" fillId="7" borderId="52" xfId="1" applyFont="1" applyFill="1" applyBorder="1">
      <alignment vertical="center"/>
    </xf>
    <xf numFmtId="38" fontId="1" fillId="6" borderId="8" xfId="0" applyNumberFormat="1" applyFont="1" applyFill="1" applyBorder="1">
      <alignment vertical="center"/>
    </xf>
    <xf numFmtId="176" fontId="0" fillId="0" borderId="51" xfId="2" applyNumberFormat="1" applyFont="1" applyBorder="1" applyAlignment="1">
      <alignment horizontal="right" vertical="center"/>
    </xf>
    <xf numFmtId="38" fontId="0" fillId="0" borderId="14" xfId="1" applyFont="1" applyBorder="1" applyAlignment="1">
      <alignment horizontal="center" vertical="center"/>
    </xf>
    <xf numFmtId="0" fontId="0" fillId="0" borderId="13" xfId="0" applyBorder="1" applyAlignment="1"/>
    <xf numFmtId="0" fontId="0" fillId="0" borderId="14" xfId="0" applyBorder="1" applyAlignment="1"/>
    <xf numFmtId="0" fontId="0" fillId="0" borderId="47" xfId="0" applyBorder="1" applyAlignment="1">
      <alignment horizontal="center" vertical="center"/>
    </xf>
    <xf numFmtId="38" fontId="0" fillId="0" borderId="47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2" xfId="0" applyBorder="1" applyAlignment="1"/>
    <xf numFmtId="0" fontId="0" fillId="0" borderId="21" xfId="0" applyBorder="1" applyAlignment="1"/>
    <xf numFmtId="0" fontId="4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>
      <alignment vertical="center"/>
    </xf>
    <xf numFmtId="0" fontId="0" fillId="0" borderId="29" xfId="0" applyBorder="1" applyAlignment="1"/>
    <xf numFmtId="0" fontId="0" fillId="0" borderId="30" xfId="0" applyBorder="1" applyAlignment="1"/>
    <xf numFmtId="0" fontId="0" fillId="0" borderId="15" xfId="0" applyBorder="1" applyAlignment="1"/>
    <xf numFmtId="0" fontId="0" fillId="0" borderId="11" xfId="0" applyBorder="1" applyAlignment="1"/>
    <xf numFmtId="0" fontId="0" fillId="0" borderId="16" xfId="0" applyBorder="1" applyAlignment="1"/>
    <xf numFmtId="0" fontId="0" fillId="0" borderId="39" xfId="0" applyBorder="1" applyAlignment="1"/>
    <xf numFmtId="38" fontId="6" fillId="2" borderId="42" xfId="1" applyFont="1" applyFill="1" applyBorder="1">
      <alignment vertical="center"/>
    </xf>
    <xf numFmtId="38" fontId="0" fillId="2" borderId="42" xfId="1" applyFont="1" applyFill="1" applyBorder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1:Y149"/>
  <sheetViews>
    <sheetView topLeftCell="B1" workbookViewId="0">
      <pane xSplit="3" ySplit="1" topLeftCell="F63" activePane="bottomRight" state="frozen"/>
      <selection activeCell="E47" sqref="E47"/>
      <selection pane="topRight" activeCell="E47" sqref="E47"/>
      <selection pane="bottomLeft" activeCell="E47" sqref="E47"/>
      <selection pane="bottomRight" activeCell="W115" sqref="W115"/>
    </sheetView>
  </sheetViews>
  <sheetFormatPr defaultRowHeight="18.75" x14ac:dyDescent="0.4"/>
  <cols>
    <col min="3" max="3" width="9.75" style="108" bestFit="1" customWidth="1"/>
    <col min="5" max="25" width="10.125" style="108" customWidth="1"/>
  </cols>
  <sheetData>
    <row r="1" spans="3:25" ht="24" customHeight="1" x14ac:dyDescent="0.4">
      <c r="C1" s="24" t="s">
        <v>35</v>
      </c>
    </row>
    <row r="2" spans="3:25" x14ac:dyDescent="0.4">
      <c r="C2" t="s">
        <v>1</v>
      </c>
    </row>
    <row r="3" spans="3:25" x14ac:dyDescent="0.4">
      <c r="C3" s="120"/>
      <c r="D3" s="119"/>
      <c r="E3" s="120" t="s">
        <v>2</v>
      </c>
      <c r="F3" s="118"/>
      <c r="G3" s="118"/>
      <c r="H3" s="118"/>
      <c r="I3" s="118"/>
      <c r="J3" s="118"/>
      <c r="K3" s="119"/>
      <c r="L3" s="117" t="s">
        <v>3</v>
      </c>
      <c r="M3" s="118"/>
      <c r="N3" s="118"/>
      <c r="O3" s="118"/>
      <c r="P3" s="118"/>
      <c r="Q3" s="118"/>
      <c r="R3" s="119"/>
      <c r="S3" s="117" t="s">
        <v>4</v>
      </c>
      <c r="T3" s="118"/>
      <c r="U3" s="118"/>
      <c r="V3" s="118"/>
      <c r="W3" s="118"/>
      <c r="X3" s="118"/>
      <c r="Y3" s="119"/>
    </row>
    <row r="4" spans="3:25" x14ac:dyDescent="0.4">
      <c r="C4" s="1"/>
      <c r="D4" s="21"/>
      <c r="E4" s="61">
        <v>45383</v>
      </c>
      <c r="F4" s="2">
        <v>45413</v>
      </c>
      <c r="G4" s="2">
        <v>45444</v>
      </c>
      <c r="H4" s="2">
        <v>45474</v>
      </c>
      <c r="I4" s="2">
        <v>45505</v>
      </c>
      <c r="J4" s="2">
        <v>45536</v>
      </c>
      <c r="K4" s="10" t="s">
        <v>5</v>
      </c>
      <c r="L4" s="95">
        <v>45383</v>
      </c>
      <c r="M4" s="2">
        <v>45413</v>
      </c>
      <c r="N4" s="2">
        <v>45444</v>
      </c>
      <c r="O4" s="2">
        <v>45474</v>
      </c>
      <c r="P4" s="2">
        <v>45505</v>
      </c>
      <c r="Q4" s="2">
        <v>45536</v>
      </c>
      <c r="R4" s="10" t="s">
        <v>5</v>
      </c>
      <c r="S4" s="95">
        <v>45383</v>
      </c>
      <c r="T4" s="2">
        <v>45413</v>
      </c>
      <c r="U4" s="2">
        <v>45444</v>
      </c>
      <c r="V4" s="2">
        <v>45474</v>
      </c>
      <c r="W4" s="2">
        <v>45505</v>
      </c>
      <c r="X4" s="2">
        <v>45536</v>
      </c>
      <c r="Y4" s="10" t="s">
        <v>5</v>
      </c>
    </row>
    <row r="5" spans="3:25" x14ac:dyDescent="0.4">
      <c r="C5" s="60" t="s">
        <v>6</v>
      </c>
      <c r="D5" s="22" t="s">
        <v>7</v>
      </c>
      <c r="E5" s="3">
        <f>全体!E5-機械!E5</f>
        <v>7819.7020000000002</v>
      </c>
      <c r="F5" s="4">
        <f>全体!F5-機械!F5</f>
        <v>4795.2980000000007</v>
      </c>
      <c r="G5" s="4">
        <f>全体!G5-機械!G5</f>
        <v>1764.9090000000001</v>
      </c>
      <c r="H5" s="4">
        <f>全体!H5-機械!H5</f>
        <v>1839.6819999999998</v>
      </c>
      <c r="I5" s="4">
        <f>全体!I5-機械!I5</f>
        <v>4586.7259999999997</v>
      </c>
      <c r="J5" s="4">
        <f>全体!J5-機械!J5</f>
        <v>7121.0939999999991</v>
      </c>
      <c r="K5" s="62">
        <f>SUM(E5:J5)</f>
        <v>27927.411</v>
      </c>
      <c r="L5" s="20">
        <f>全体!L5-機械!L5</f>
        <v>1473.163</v>
      </c>
      <c r="M5" s="4">
        <f>全体!M5-機械!M5</f>
        <v>1047.5060000000001</v>
      </c>
      <c r="N5" s="4">
        <f>全体!N5-機械!N5</f>
        <v>403.18299999999999</v>
      </c>
      <c r="O5" s="4">
        <f>全体!O5-機械!O5</f>
        <v>338.02900000000011</v>
      </c>
      <c r="P5" s="4">
        <f>全体!P5-機械!P5</f>
        <v>878.05700000000002</v>
      </c>
      <c r="Q5" s="4">
        <f>全体!Q5-機械!Q5</f>
        <v>1267.57</v>
      </c>
      <c r="R5" s="62">
        <f>SUM(L5:Q5)</f>
        <v>5407.5079999999998</v>
      </c>
      <c r="S5" s="96">
        <f t="shared" ref="S5:S17" si="0">IF(E5=0,"***",L5/E5)</f>
        <v>0.18839119444705182</v>
      </c>
      <c r="T5" s="11">
        <f t="shared" ref="T5:T17" si="1">IF(F5=0,"***",M5/F5)</f>
        <v>0.21844440116130426</v>
      </c>
      <c r="U5" s="11">
        <f t="shared" ref="U5:U17" si="2">IF(G5=0,"***",N5/G5)</f>
        <v>0.22844407275389267</v>
      </c>
      <c r="V5" s="11">
        <f t="shared" ref="V5:V17" si="3">IF(H5=0,"***",O5/H5)</f>
        <v>0.1837431686563222</v>
      </c>
      <c r="W5" s="11">
        <f t="shared" ref="W5:W17" si="4">IF(I5=0,"***",P5/I5)</f>
        <v>0.19143436952632445</v>
      </c>
      <c r="X5" s="11">
        <f t="shared" ref="X5:X17" si="5">IF(J5=0,"***",Q5/J5)</f>
        <v>0.17800214405258519</v>
      </c>
      <c r="Y5" s="13">
        <f t="shared" ref="Y5:Y17" si="6">IF(K5=0,"***",R5/K5)</f>
        <v>0.19362725746400195</v>
      </c>
    </row>
    <row r="6" spans="3:25" x14ac:dyDescent="0.4">
      <c r="C6" s="60" t="s">
        <v>8</v>
      </c>
      <c r="D6" s="22" t="s">
        <v>9</v>
      </c>
      <c r="E6" s="3">
        <f>全体!E6-機械!E6</f>
        <v>1270.335</v>
      </c>
      <c r="F6" s="4">
        <f>全体!F6-機械!F6</f>
        <v>1090.749</v>
      </c>
      <c r="G6" s="4">
        <f>全体!G6-機械!G6</f>
        <v>457.53699999999998</v>
      </c>
      <c r="H6" s="4">
        <f>全体!H6-機械!H6</f>
        <v>675.59300000000007</v>
      </c>
      <c r="I6" s="4">
        <f>全体!I6-機械!I6</f>
        <v>2326.8310000000001</v>
      </c>
      <c r="J6" s="4">
        <f>全体!J6-機械!J6</f>
        <v>2620.375</v>
      </c>
      <c r="K6" s="62">
        <f>SUM(E6:J6)</f>
        <v>8441.42</v>
      </c>
      <c r="L6" s="20">
        <f>全体!L6-機械!L6</f>
        <v>495.78500000000003</v>
      </c>
      <c r="M6" s="4">
        <f>全体!M6-機械!M6</f>
        <v>385.803</v>
      </c>
      <c r="N6" s="4">
        <f>全体!N6-機械!N6</f>
        <v>164.416</v>
      </c>
      <c r="O6" s="4">
        <f>全体!O6-機械!O6</f>
        <v>252.91900000000001</v>
      </c>
      <c r="P6" s="4">
        <f>全体!P6-機械!P6</f>
        <v>773.71699999999998</v>
      </c>
      <c r="Q6" s="4">
        <f>全体!Q6-機械!Q6</f>
        <v>827.49600000000009</v>
      </c>
      <c r="R6" s="62">
        <f>SUM(L6:Q6)</f>
        <v>2900.136</v>
      </c>
      <c r="S6" s="96">
        <f t="shared" si="0"/>
        <v>0.39027894216879799</v>
      </c>
      <c r="T6" s="11">
        <f t="shared" si="1"/>
        <v>0.35370465615829122</v>
      </c>
      <c r="U6" s="11">
        <f t="shared" si="2"/>
        <v>0.35935017277291237</v>
      </c>
      <c r="V6" s="11">
        <f t="shared" si="3"/>
        <v>0.37436592741487845</v>
      </c>
      <c r="W6" s="11">
        <f t="shared" si="4"/>
        <v>0.33251963722333078</v>
      </c>
      <c r="X6" s="11">
        <f t="shared" si="5"/>
        <v>0.31579296856365979</v>
      </c>
      <c r="Y6" s="13">
        <f t="shared" si="6"/>
        <v>0.34356020669508208</v>
      </c>
    </row>
    <row r="7" spans="3:25" x14ac:dyDescent="0.4">
      <c r="C7" s="60" t="s">
        <v>10</v>
      </c>
      <c r="D7" s="22" t="s">
        <v>11</v>
      </c>
      <c r="E7" s="3">
        <f>全体!E7-機械!E7</f>
        <v>428.70100000000002</v>
      </c>
      <c r="F7" s="4">
        <f>全体!F7-機械!F7</f>
        <v>251.499</v>
      </c>
      <c r="G7" s="4">
        <f>全体!G7-機械!G7</f>
        <v>45.225000000000001</v>
      </c>
      <c r="H7" s="4">
        <f>全体!H7-機械!H7</f>
        <v>35.354999999999997</v>
      </c>
      <c r="I7" s="4">
        <f>全体!I7-機械!I7</f>
        <v>309.95699999999999</v>
      </c>
      <c r="J7" s="4">
        <f>全体!J7-機械!J7</f>
        <v>347.30500000000001</v>
      </c>
      <c r="K7" s="62">
        <f>SUM(E7:J7)</f>
        <v>1418.0420000000001</v>
      </c>
      <c r="L7" s="20">
        <f>全体!L7-機械!L7</f>
        <v>92.5</v>
      </c>
      <c r="M7" s="4">
        <f>全体!M7-機械!M7</f>
        <v>60.83</v>
      </c>
      <c r="N7" s="4">
        <f>全体!N7-機械!N7</f>
        <v>13.472</v>
      </c>
      <c r="O7" s="4">
        <f>全体!O7-機械!O7</f>
        <v>13.477</v>
      </c>
      <c r="P7" s="4">
        <f>全体!P7-機械!P7</f>
        <v>80.497</v>
      </c>
      <c r="Q7" s="4">
        <f>全体!Q7-機械!Q7</f>
        <v>185.56200000000001</v>
      </c>
      <c r="R7" s="62">
        <f>SUM(L7:Q7)</f>
        <v>446.33800000000002</v>
      </c>
      <c r="S7" s="96">
        <f t="shared" si="0"/>
        <v>0.21576809944460124</v>
      </c>
      <c r="T7" s="11">
        <f t="shared" si="1"/>
        <v>0.24186974898508543</v>
      </c>
      <c r="U7" s="11">
        <f t="shared" si="2"/>
        <v>0.29788833609729132</v>
      </c>
      <c r="V7" s="11">
        <f t="shared" si="3"/>
        <v>0.38119077923914585</v>
      </c>
      <c r="W7" s="11">
        <f t="shared" si="4"/>
        <v>0.2597037653610017</v>
      </c>
      <c r="X7" s="11">
        <f t="shared" si="5"/>
        <v>0.53429118498150041</v>
      </c>
      <c r="Y7" s="13">
        <f t="shared" si="6"/>
        <v>0.31475654458753688</v>
      </c>
    </row>
    <row r="8" spans="3:25" x14ac:dyDescent="0.4">
      <c r="C8" s="60" t="s">
        <v>12</v>
      </c>
      <c r="D8" s="22" t="s">
        <v>13</v>
      </c>
      <c r="E8" s="3">
        <f>全体!E8-機械!E8</f>
        <v>3888.393</v>
      </c>
      <c r="F8" s="4">
        <f>全体!F8-機械!F8</f>
        <v>5524.8329999999996</v>
      </c>
      <c r="G8" s="4">
        <f>全体!G8-機械!G8</f>
        <v>2439.9140000000002</v>
      </c>
      <c r="H8" s="4">
        <f>全体!H8-機械!H8</f>
        <v>3134.155999999999</v>
      </c>
      <c r="I8" s="4">
        <f>全体!I8-機械!I8</f>
        <v>5261.74</v>
      </c>
      <c r="J8" s="4">
        <f>全体!J8-機械!J8</f>
        <v>5914.2</v>
      </c>
      <c r="K8" s="62">
        <f>SUM(E8:J8)</f>
        <v>26163.236000000001</v>
      </c>
      <c r="L8" s="20">
        <f>全体!L8-機械!L8</f>
        <v>2019.778</v>
      </c>
      <c r="M8" s="4">
        <f>全体!M8-機械!M8</f>
        <v>2623.9050000000002</v>
      </c>
      <c r="N8" s="4">
        <f>全体!N8-機械!N8</f>
        <v>1163.914</v>
      </c>
      <c r="O8" s="4">
        <f>全体!O8-機械!O8</f>
        <v>1742.1959999999999</v>
      </c>
      <c r="P8" s="4">
        <f>全体!P8-機械!P8</f>
        <v>2960.6780000000008</v>
      </c>
      <c r="Q8" s="4">
        <f>全体!Q8-機械!Q8</f>
        <v>3437.0350000000012</v>
      </c>
      <c r="R8" s="62">
        <f>SUM(L8:Q8)</f>
        <v>13947.506000000003</v>
      </c>
      <c r="S8" s="96">
        <f t="shared" si="0"/>
        <v>0.51943772144430878</v>
      </c>
      <c r="T8" s="11">
        <f t="shared" si="1"/>
        <v>0.4749292874553856</v>
      </c>
      <c r="U8" s="11">
        <f t="shared" si="2"/>
        <v>0.47703074780504556</v>
      </c>
      <c r="V8" s="11">
        <f t="shared" si="3"/>
        <v>0.55587405349318941</v>
      </c>
      <c r="W8" s="11">
        <f t="shared" si="4"/>
        <v>0.56268040610140391</v>
      </c>
      <c r="X8" s="11">
        <f t="shared" si="5"/>
        <v>0.58114960603293786</v>
      </c>
      <c r="Y8" s="13">
        <f t="shared" si="6"/>
        <v>0.53309560025373015</v>
      </c>
    </row>
    <row r="9" spans="3:25" x14ac:dyDescent="0.4">
      <c r="C9" s="60" t="s">
        <v>14</v>
      </c>
      <c r="D9" s="22"/>
      <c r="E9" s="3">
        <f t="shared" ref="E9:R9" si="7">SUM(E5:E8)</f>
        <v>13407.131000000001</v>
      </c>
      <c r="F9" s="4">
        <f t="shared" si="7"/>
        <v>11662.379000000001</v>
      </c>
      <c r="G9" s="4">
        <f t="shared" si="7"/>
        <v>4707.585</v>
      </c>
      <c r="H9" s="4">
        <f t="shared" si="7"/>
        <v>5684.7859999999982</v>
      </c>
      <c r="I9" s="4">
        <f t="shared" si="7"/>
        <v>12485.254000000001</v>
      </c>
      <c r="J9" s="4">
        <f t="shared" si="7"/>
        <v>16002.973999999998</v>
      </c>
      <c r="K9" s="62">
        <f t="shared" si="7"/>
        <v>63950.108999999997</v>
      </c>
      <c r="L9" s="20">
        <f t="shared" si="7"/>
        <v>4081.2260000000006</v>
      </c>
      <c r="M9" s="4">
        <f t="shared" si="7"/>
        <v>4118.0439999999999</v>
      </c>
      <c r="N9" s="4">
        <f t="shared" si="7"/>
        <v>1744.9849999999999</v>
      </c>
      <c r="O9" s="4">
        <f t="shared" si="7"/>
        <v>2346.6210000000001</v>
      </c>
      <c r="P9" s="4">
        <f t="shared" si="7"/>
        <v>4692.9490000000005</v>
      </c>
      <c r="Q9" s="4">
        <f t="shared" si="7"/>
        <v>5717.6630000000005</v>
      </c>
      <c r="R9" s="62">
        <f t="shared" si="7"/>
        <v>22701.488000000005</v>
      </c>
      <c r="S9" s="96">
        <f t="shared" si="0"/>
        <v>0.30440710991784897</v>
      </c>
      <c r="T9" s="11">
        <f t="shared" si="1"/>
        <v>0.35310497112124373</v>
      </c>
      <c r="U9" s="11">
        <f t="shared" si="2"/>
        <v>0.37067519758007555</v>
      </c>
      <c r="V9" s="11">
        <f t="shared" si="3"/>
        <v>0.41278968108913877</v>
      </c>
      <c r="W9" s="11">
        <f t="shared" si="4"/>
        <v>0.37587933733666934</v>
      </c>
      <c r="X9" s="11">
        <f t="shared" si="5"/>
        <v>0.35728752668097824</v>
      </c>
      <c r="Y9" s="13">
        <f t="shared" si="6"/>
        <v>0.35498747938021508</v>
      </c>
    </row>
    <row r="10" spans="3:25" x14ac:dyDescent="0.4">
      <c r="C10" s="60" t="s">
        <v>15</v>
      </c>
      <c r="D10" s="22" t="s">
        <v>16</v>
      </c>
      <c r="E10" s="3">
        <f>全体!E10-機械!E10</f>
        <v>8598.5280000000002</v>
      </c>
      <c r="F10" s="4">
        <f>全体!F10-機械!F10</f>
        <v>5949.7929999999997</v>
      </c>
      <c r="G10" s="4">
        <f>全体!G10-機械!G10</f>
        <v>6712.8280000000004</v>
      </c>
      <c r="H10" s="4">
        <f>全体!H10-機械!H10</f>
        <v>2910.08</v>
      </c>
      <c r="I10" s="4">
        <f>全体!I10-機械!I10</f>
        <v>4490.1959999999999</v>
      </c>
      <c r="J10" s="4">
        <f>全体!J10-機械!J10</f>
        <v>9948.6280000000006</v>
      </c>
      <c r="K10" s="62">
        <f>SUM(E10:J10)</f>
        <v>38610.053</v>
      </c>
      <c r="L10" s="20">
        <f>全体!L10-機械!L10</f>
        <v>1815.375</v>
      </c>
      <c r="M10" s="4">
        <f>全体!M10-機械!M10</f>
        <v>1139.616</v>
      </c>
      <c r="N10" s="4">
        <f>全体!N10-機械!N10</f>
        <v>1080.6010000000001</v>
      </c>
      <c r="O10" s="4">
        <f>全体!O10-機械!O10</f>
        <v>447.17</v>
      </c>
      <c r="P10" s="4">
        <f>全体!P10-機械!P10</f>
        <v>851.726</v>
      </c>
      <c r="Q10" s="4">
        <f>全体!Q10-機械!Q10</f>
        <v>1848.0820000000001</v>
      </c>
      <c r="R10" s="62">
        <f>SUM(L10:Q10)</f>
        <v>7182.57</v>
      </c>
      <c r="S10" s="96">
        <f t="shared" si="0"/>
        <v>0.21112625323776349</v>
      </c>
      <c r="T10" s="11">
        <f t="shared" si="1"/>
        <v>0.19153876445785595</v>
      </c>
      <c r="U10" s="11">
        <f t="shared" si="2"/>
        <v>0.1609755232816929</v>
      </c>
      <c r="V10" s="11">
        <f t="shared" si="3"/>
        <v>0.15366244226962833</v>
      </c>
      <c r="W10" s="11">
        <f t="shared" si="4"/>
        <v>0.18968570637005602</v>
      </c>
      <c r="X10" s="11">
        <f t="shared" si="5"/>
        <v>0.18576249911043011</v>
      </c>
      <c r="Y10" s="13">
        <f t="shared" si="6"/>
        <v>0.18602849366718041</v>
      </c>
    </row>
    <row r="11" spans="3:25" x14ac:dyDescent="0.4">
      <c r="C11" s="60" t="s">
        <v>17</v>
      </c>
      <c r="D11" s="22" t="s">
        <v>18</v>
      </c>
      <c r="E11" s="3">
        <f>全体!E11-機械!E11</f>
        <v>4686.1099999999997</v>
      </c>
      <c r="F11" s="4">
        <f>全体!F11-機械!F11</f>
        <v>3350.13</v>
      </c>
      <c r="G11" s="4">
        <f>全体!G11-機械!G11</f>
        <v>2005.66</v>
      </c>
      <c r="H11" s="4">
        <f>全体!H11-機械!H11</f>
        <v>1250.1600000000001</v>
      </c>
      <c r="I11" s="4">
        <f>全体!I11-機械!I11</f>
        <v>1488.54</v>
      </c>
      <c r="J11" s="4">
        <f>全体!J11-機械!J11</f>
        <v>4361.415</v>
      </c>
      <c r="K11" s="62">
        <f>SUM(E11:J11)</f>
        <v>17142.014999999999</v>
      </c>
      <c r="L11" s="20">
        <f>全体!L11-機械!L11</f>
        <v>2882.91</v>
      </c>
      <c r="M11" s="4">
        <f>全体!M11-機械!M11</f>
        <v>2089.067</v>
      </c>
      <c r="N11" s="4">
        <f>全体!N11-機械!N11</f>
        <v>1471.597</v>
      </c>
      <c r="O11" s="4">
        <f>全体!O11-機械!O11</f>
        <v>940.09700000000009</v>
      </c>
      <c r="P11" s="4">
        <f>全体!P11-機械!P11</f>
        <v>1147.04</v>
      </c>
      <c r="Q11" s="4">
        <f>全体!Q11-機械!Q11</f>
        <v>2488.2249999999999</v>
      </c>
      <c r="R11" s="62">
        <f>SUM(L11:Q11)</f>
        <v>11018.936</v>
      </c>
      <c r="S11" s="96">
        <f t="shared" si="0"/>
        <v>0.61520322826395457</v>
      </c>
      <c r="T11" s="11">
        <f t="shared" si="1"/>
        <v>0.62357789100721461</v>
      </c>
      <c r="U11" s="11">
        <f t="shared" si="2"/>
        <v>0.73372206655165872</v>
      </c>
      <c r="V11" s="11">
        <f t="shared" si="3"/>
        <v>0.75198134638766245</v>
      </c>
      <c r="W11" s="11">
        <f t="shared" si="4"/>
        <v>0.77058056887957327</v>
      </c>
      <c r="X11" s="11">
        <f t="shared" si="5"/>
        <v>0.57050865372820514</v>
      </c>
      <c r="Y11" s="13">
        <f t="shared" si="6"/>
        <v>0.64280284435639568</v>
      </c>
    </row>
    <row r="12" spans="3:25" x14ac:dyDescent="0.4">
      <c r="C12" s="60" t="s">
        <v>19</v>
      </c>
      <c r="D12" s="22"/>
      <c r="E12" s="3">
        <f t="shared" ref="E12:R12" si="8">E10+E11</f>
        <v>13284.637999999999</v>
      </c>
      <c r="F12" s="20">
        <f t="shared" si="8"/>
        <v>9299.9229999999989</v>
      </c>
      <c r="G12" s="20">
        <f t="shared" si="8"/>
        <v>8718.4880000000012</v>
      </c>
      <c r="H12" s="20">
        <f t="shared" si="8"/>
        <v>4160.24</v>
      </c>
      <c r="I12" s="20">
        <f t="shared" si="8"/>
        <v>5978.7359999999999</v>
      </c>
      <c r="J12" s="20">
        <f t="shared" si="8"/>
        <v>14310.043000000001</v>
      </c>
      <c r="K12" s="62">
        <f t="shared" si="8"/>
        <v>55752.067999999999</v>
      </c>
      <c r="L12" s="20">
        <f t="shared" si="8"/>
        <v>4698.2849999999999</v>
      </c>
      <c r="M12" s="20">
        <f t="shared" si="8"/>
        <v>3228.683</v>
      </c>
      <c r="N12" s="20">
        <f t="shared" si="8"/>
        <v>2552.1980000000003</v>
      </c>
      <c r="O12" s="20">
        <f t="shared" si="8"/>
        <v>1387.2670000000001</v>
      </c>
      <c r="P12" s="20">
        <f t="shared" si="8"/>
        <v>1998.7660000000001</v>
      </c>
      <c r="Q12" s="20">
        <f t="shared" si="8"/>
        <v>4336.3069999999998</v>
      </c>
      <c r="R12" s="62">
        <f t="shared" si="8"/>
        <v>18201.506000000001</v>
      </c>
      <c r="S12" s="96">
        <f t="shared" si="0"/>
        <v>0.35366300534497064</v>
      </c>
      <c r="T12" s="11">
        <f t="shared" si="1"/>
        <v>0.34717308949762277</v>
      </c>
      <c r="U12" s="11">
        <f t="shared" si="2"/>
        <v>0.29273401534761534</v>
      </c>
      <c r="V12" s="11">
        <f t="shared" si="3"/>
        <v>0.33345840624579354</v>
      </c>
      <c r="W12" s="11">
        <f t="shared" si="4"/>
        <v>0.33431247006056131</v>
      </c>
      <c r="X12" s="11">
        <f t="shared" si="5"/>
        <v>0.30302543465452897</v>
      </c>
      <c r="Y12" s="13">
        <f t="shared" si="6"/>
        <v>0.32647230233683888</v>
      </c>
    </row>
    <row r="13" spans="3:25" x14ac:dyDescent="0.4">
      <c r="C13" s="60" t="s">
        <v>20</v>
      </c>
      <c r="D13" s="22" t="s">
        <v>21</v>
      </c>
      <c r="E13" s="3">
        <f>全体!E13-機械!E13</f>
        <v>17441.391</v>
      </c>
      <c r="F13" s="20">
        <f>全体!F13-機械!F13</f>
        <v>17682.987000000001</v>
      </c>
      <c r="G13" s="20">
        <f>全体!G13-機械!G13</f>
        <v>17224.698</v>
      </c>
      <c r="H13" s="20">
        <f>全体!H13-機械!H13</f>
        <v>12139.448</v>
      </c>
      <c r="I13" s="20">
        <f>全体!I13-機械!I13</f>
        <v>8464.348</v>
      </c>
      <c r="J13" s="20">
        <f>全体!J13-機械!J13</f>
        <v>11829.111999999999</v>
      </c>
      <c r="K13" s="62">
        <f>SUM(E13:J13)</f>
        <v>84781.983999999997</v>
      </c>
      <c r="L13" s="20">
        <f>全体!L13-機械!L13</f>
        <v>2783.2820000000002</v>
      </c>
      <c r="M13" s="20">
        <f>全体!M13-機械!M13</f>
        <v>2693.9680000000003</v>
      </c>
      <c r="N13" s="20">
        <f>全体!N13-機械!N13</f>
        <v>2633.2079999999996</v>
      </c>
      <c r="O13" s="20">
        <f>全体!O13-機械!O13</f>
        <v>1911.915</v>
      </c>
      <c r="P13" s="20">
        <f>全体!P13-機械!P13</f>
        <v>1318.241</v>
      </c>
      <c r="Q13" s="20">
        <f>全体!Q13-機械!Q13</f>
        <v>1765.73</v>
      </c>
      <c r="R13" s="62">
        <f>SUM(L13:Q13)</f>
        <v>13106.343999999999</v>
      </c>
      <c r="S13" s="96">
        <f t="shared" si="0"/>
        <v>0.15957912989852702</v>
      </c>
      <c r="T13" s="11">
        <f t="shared" si="1"/>
        <v>0.1523480167688864</v>
      </c>
      <c r="U13" s="11">
        <f t="shared" si="2"/>
        <v>0.15287397201390698</v>
      </c>
      <c r="V13" s="11">
        <f t="shared" si="3"/>
        <v>0.15749604100614789</v>
      </c>
      <c r="W13" s="11">
        <f t="shared" si="4"/>
        <v>0.15574040670350511</v>
      </c>
      <c r="X13" s="11">
        <f t="shared" si="5"/>
        <v>0.14926986911612639</v>
      </c>
      <c r="Y13" s="13">
        <f t="shared" si="6"/>
        <v>0.15458878622137456</v>
      </c>
    </row>
    <row r="14" spans="3:25" x14ac:dyDescent="0.4">
      <c r="C14" s="60" t="s">
        <v>22</v>
      </c>
      <c r="D14" s="83" t="s">
        <v>23</v>
      </c>
      <c r="E14" s="88">
        <f>全体!E14-機械!E14</f>
        <v>0</v>
      </c>
      <c r="F14" s="84">
        <f>全体!F14-機械!F14</f>
        <v>0</v>
      </c>
      <c r="G14" s="84">
        <f>全体!G14-機械!G14</f>
        <v>0</v>
      </c>
      <c r="H14" s="84">
        <f>全体!H14-機械!H14</f>
        <v>0</v>
      </c>
      <c r="I14" s="84">
        <f>全体!I14-機械!I14</f>
        <v>0</v>
      </c>
      <c r="J14" s="84">
        <f>全体!J14-機械!J14</f>
        <v>0</v>
      </c>
      <c r="K14" s="62">
        <f>SUM(E14:J14)</f>
        <v>0</v>
      </c>
      <c r="L14" s="84">
        <f>全体!L14-機械!L14</f>
        <v>0</v>
      </c>
      <c r="M14" s="84">
        <f>全体!M14-機械!M14</f>
        <v>0</v>
      </c>
      <c r="N14" s="84">
        <f>全体!N14-機械!N14</f>
        <v>0</v>
      </c>
      <c r="O14" s="84">
        <f>全体!O14-機械!O14</f>
        <v>0</v>
      </c>
      <c r="P14" s="84">
        <f>全体!P14-機械!P14</f>
        <v>0</v>
      </c>
      <c r="Q14" s="84">
        <f>全体!Q14-機械!Q14</f>
        <v>0</v>
      </c>
      <c r="R14" s="62">
        <f>SUM(L14:Q14)</f>
        <v>0</v>
      </c>
      <c r="S14" s="96" t="str">
        <f t="shared" si="0"/>
        <v>***</v>
      </c>
      <c r="T14" s="11" t="str">
        <f t="shared" si="1"/>
        <v>***</v>
      </c>
      <c r="U14" s="11" t="str">
        <f t="shared" si="2"/>
        <v>***</v>
      </c>
      <c r="V14" s="11" t="str">
        <f t="shared" si="3"/>
        <v>***</v>
      </c>
      <c r="W14" s="11" t="str">
        <f t="shared" si="4"/>
        <v>***</v>
      </c>
      <c r="X14" s="11" t="str">
        <f t="shared" si="5"/>
        <v>***</v>
      </c>
      <c r="Y14" s="13" t="str">
        <f t="shared" si="6"/>
        <v>***</v>
      </c>
    </row>
    <row r="15" spans="3:25" x14ac:dyDescent="0.4">
      <c r="C15" s="82" t="s">
        <v>24</v>
      </c>
      <c r="D15" s="83"/>
      <c r="E15" s="88">
        <f t="shared" ref="E15:R15" si="9">E13+E14</f>
        <v>17441.391</v>
      </c>
      <c r="F15" s="84">
        <f t="shared" si="9"/>
        <v>17682.987000000001</v>
      </c>
      <c r="G15" s="84">
        <f t="shared" si="9"/>
        <v>17224.698</v>
      </c>
      <c r="H15" s="84">
        <f t="shared" si="9"/>
        <v>12139.448</v>
      </c>
      <c r="I15" s="84">
        <f t="shared" si="9"/>
        <v>8464.348</v>
      </c>
      <c r="J15" s="84">
        <f t="shared" si="9"/>
        <v>11829.111999999999</v>
      </c>
      <c r="K15" s="89">
        <f t="shared" si="9"/>
        <v>84781.983999999997</v>
      </c>
      <c r="L15" s="84">
        <f t="shared" si="9"/>
        <v>2783.2820000000002</v>
      </c>
      <c r="M15" s="84">
        <f t="shared" si="9"/>
        <v>2693.9680000000003</v>
      </c>
      <c r="N15" s="84">
        <f t="shared" si="9"/>
        <v>2633.2079999999996</v>
      </c>
      <c r="O15" s="84">
        <f t="shared" si="9"/>
        <v>1911.915</v>
      </c>
      <c r="P15" s="84">
        <f t="shared" si="9"/>
        <v>1318.241</v>
      </c>
      <c r="Q15" s="84">
        <f t="shared" si="9"/>
        <v>1765.73</v>
      </c>
      <c r="R15" s="89">
        <f t="shared" si="9"/>
        <v>13106.343999999999</v>
      </c>
      <c r="S15" s="96">
        <f t="shared" si="0"/>
        <v>0.15957912989852702</v>
      </c>
      <c r="T15" s="11">
        <f t="shared" si="1"/>
        <v>0.1523480167688864</v>
      </c>
      <c r="U15" s="11">
        <f t="shared" si="2"/>
        <v>0.15287397201390698</v>
      </c>
      <c r="V15" s="11">
        <f t="shared" si="3"/>
        <v>0.15749604100614789</v>
      </c>
      <c r="W15" s="11">
        <f t="shared" si="4"/>
        <v>0.15574040670350511</v>
      </c>
      <c r="X15" s="11">
        <f t="shared" si="5"/>
        <v>0.14926986911612639</v>
      </c>
      <c r="Y15" s="13">
        <f t="shared" si="6"/>
        <v>0.15458878622137456</v>
      </c>
    </row>
    <row r="16" spans="3:25" x14ac:dyDescent="0.4">
      <c r="C16" s="53" t="s">
        <v>5</v>
      </c>
      <c r="D16" s="54"/>
      <c r="E16" s="63">
        <f t="shared" ref="E16:R16" si="10">E9+E12+E15</f>
        <v>44133.16</v>
      </c>
      <c r="F16" s="8">
        <f t="shared" si="10"/>
        <v>38645.289000000004</v>
      </c>
      <c r="G16" s="8">
        <f t="shared" si="10"/>
        <v>30650.771000000001</v>
      </c>
      <c r="H16" s="8">
        <f t="shared" si="10"/>
        <v>21984.473999999998</v>
      </c>
      <c r="I16" s="8">
        <f t="shared" si="10"/>
        <v>26928.338000000003</v>
      </c>
      <c r="J16" s="8">
        <f t="shared" si="10"/>
        <v>42142.129000000001</v>
      </c>
      <c r="K16" s="64">
        <f t="shared" si="10"/>
        <v>204484.16099999999</v>
      </c>
      <c r="L16" s="104">
        <f t="shared" si="10"/>
        <v>11562.793000000001</v>
      </c>
      <c r="M16" s="8">
        <f t="shared" si="10"/>
        <v>10040.695</v>
      </c>
      <c r="N16" s="8">
        <f t="shared" si="10"/>
        <v>6930.3909999999996</v>
      </c>
      <c r="O16" s="8">
        <f t="shared" si="10"/>
        <v>5645.8029999999999</v>
      </c>
      <c r="P16" s="8">
        <f t="shared" si="10"/>
        <v>8009.9560000000001</v>
      </c>
      <c r="Q16" s="8">
        <f t="shared" si="10"/>
        <v>11819.7</v>
      </c>
      <c r="R16" s="64">
        <f t="shared" si="10"/>
        <v>54009.338000000003</v>
      </c>
      <c r="S16" s="91">
        <f t="shared" si="0"/>
        <v>0.2619978492362659</v>
      </c>
      <c r="T16" s="14">
        <f t="shared" si="1"/>
        <v>0.25981679164050236</v>
      </c>
      <c r="U16" s="14">
        <f t="shared" si="2"/>
        <v>0.22610821111155735</v>
      </c>
      <c r="V16" s="14">
        <f t="shared" si="3"/>
        <v>0.2568086459562326</v>
      </c>
      <c r="W16" s="14">
        <f t="shared" si="4"/>
        <v>0.29745452541482503</v>
      </c>
      <c r="X16" s="14">
        <f t="shared" si="5"/>
        <v>0.28047230361807302</v>
      </c>
      <c r="Y16" s="16">
        <f t="shared" si="6"/>
        <v>0.26412479937749311</v>
      </c>
    </row>
    <row r="17" spans="3:25" x14ac:dyDescent="0.4">
      <c r="C17" s="74" t="s">
        <v>25</v>
      </c>
      <c r="D17" s="75"/>
      <c r="E17" s="5"/>
      <c r="F17" s="98">
        <v>8671.2939999999999</v>
      </c>
      <c r="G17" s="98"/>
      <c r="H17" s="98"/>
      <c r="I17" s="98"/>
      <c r="J17" s="98"/>
      <c r="K17" s="99">
        <f>SUM(E17:J17)</f>
        <v>8671.2939999999999</v>
      </c>
      <c r="L17" s="98"/>
      <c r="M17" s="98">
        <v>3581.357</v>
      </c>
      <c r="N17" s="98"/>
      <c r="O17" s="98"/>
      <c r="P17" s="98"/>
      <c r="Q17" s="98"/>
      <c r="R17" s="99">
        <f>SUM(L17:Q17)</f>
        <v>3581.357</v>
      </c>
      <c r="S17" s="105" t="str">
        <f t="shared" si="0"/>
        <v>***</v>
      </c>
      <c r="T17" s="101">
        <f t="shared" si="1"/>
        <v>0.41301298283739429</v>
      </c>
      <c r="U17" s="101" t="str">
        <f t="shared" si="2"/>
        <v>***</v>
      </c>
      <c r="V17" s="101" t="str">
        <f t="shared" si="3"/>
        <v>***</v>
      </c>
      <c r="W17" s="101" t="str">
        <f t="shared" si="4"/>
        <v>***</v>
      </c>
      <c r="X17" s="101" t="str">
        <f t="shared" si="5"/>
        <v>***</v>
      </c>
      <c r="Y17" s="102">
        <f t="shared" si="6"/>
        <v>0.41301298283739429</v>
      </c>
    </row>
    <row r="18" spans="3:25" x14ac:dyDescent="0.4">
      <c r="C18" s="18"/>
      <c r="E18" s="17"/>
      <c r="F18" s="17"/>
      <c r="G18" s="17"/>
      <c r="H18" s="17"/>
      <c r="I18" s="17"/>
      <c r="J18" s="17"/>
      <c r="K18" s="18"/>
      <c r="L18" s="17"/>
      <c r="M18" s="17"/>
      <c r="N18" s="17"/>
      <c r="O18" s="17"/>
      <c r="P18" s="17"/>
      <c r="Q18" s="17"/>
      <c r="R18" s="18"/>
      <c r="S18" s="19"/>
      <c r="T18" s="19"/>
      <c r="U18" s="19"/>
      <c r="V18" s="19"/>
      <c r="W18" s="19"/>
      <c r="X18" s="19"/>
      <c r="Y18" s="19"/>
    </row>
    <row r="19" spans="3:25" x14ac:dyDescent="0.4">
      <c r="C19" s="18" t="s">
        <v>26</v>
      </c>
    </row>
    <row r="20" spans="3:25" x14ac:dyDescent="0.4">
      <c r="C20" s="120"/>
      <c r="D20" s="119"/>
      <c r="E20" s="120" t="s">
        <v>2</v>
      </c>
      <c r="F20" s="118"/>
      <c r="G20" s="118"/>
      <c r="H20" s="118"/>
      <c r="I20" s="118"/>
      <c r="J20" s="118"/>
      <c r="K20" s="119"/>
      <c r="L20" s="121" t="s">
        <v>3</v>
      </c>
      <c r="M20" s="118"/>
      <c r="N20" s="118"/>
      <c r="O20" s="118"/>
      <c r="P20" s="118"/>
      <c r="Q20" s="118"/>
      <c r="R20" s="119"/>
      <c r="S20" s="121" t="s">
        <v>4</v>
      </c>
      <c r="T20" s="118"/>
      <c r="U20" s="118"/>
      <c r="V20" s="118"/>
      <c r="W20" s="118"/>
      <c r="X20" s="118"/>
      <c r="Y20" s="119"/>
    </row>
    <row r="21" spans="3:25" x14ac:dyDescent="0.4">
      <c r="C21" s="1"/>
      <c r="D21" s="21"/>
      <c r="E21" s="61">
        <v>45748</v>
      </c>
      <c r="F21" s="2">
        <v>45778</v>
      </c>
      <c r="G21" s="2">
        <v>45809</v>
      </c>
      <c r="H21" s="2">
        <v>45839</v>
      </c>
      <c r="I21" s="2">
        <v>45870</v>
      </c>
      <c r="J21" s="2">
        <v>45901</v>
      </c>
      <c r="K21" s="10" t="s">
        <v>5</v>
      </c>
      <c r="L21" s="61">
        <v>45748</v>
      </c>
      <c r="M21" s="2">
        <v>45778</v>
      </c>
      <c r="N21" s="2">
        <v>45809</v>
      </c>
      <c r="O21" s="2">
        <v>45839</v>
      </c>
      <c r="P21" s="2">
        <v>45870</v>
      </c>
      <c r="Q21" s="2">
        <v>45901</v>
      </c>
      <c r="R21" s="10" t="s">
        <v>5</v>
      </c>
      <c r="S21" s="61">
        <v>45748</v>
      </c>
      <c r="T21" s="2">
        <v>45778</v>
      </c>
      <c r="U21" s="2">
        <v>45809</v>
      </c>
      <c r="V21" s="2">
        <v>45839</v>
      </c>
      <c r="W21" s="2">
        <v>45870</v>
      </c>
      <c r="X21" s="2">
        <v>45901</v>
      </c>
      <c r="Y21" s="10" t="s">
        <v>5</v>
      </c>
    </row>
    <row r="22" spans="3:25" x14ac:dyDescent="0.4">
      <c r="C22" s="60" t="s">
        <v>6</v>
      </c>
      <c r="D22" s="22" t="s">
        <v>7</v>
      </c>
      <c r="E22" s="3">
        <f>全体!E22-機械!E22</f>
        <v>9147.7960000000003</v>
      </c>
      <c r="F22" s="4">
        <f>全体!F22-機械!F22</f>
        <v>4444.4719999999998</v>
      </c>
      <c r="G22" s="4">
        <f>全体!G22-機械!G22</f>
        <v>2355.6019999999999</v>
      </c>
      <c r="H22" s="4">
        <f>全体!H22-機械!H22</f>
        <v>1541.684</v>
      </c>
      <c r="I22" s="4">
        <f>全体!I22-機械!I22</f>
        <v>3298.471</v>
      </c>
      <c r="J22" s="4">
        <f>全体!J22-機械!J22</f>
        <v>7505.23</v>
      </c>
      <c r="K22" s="62">
        <f>SUM(E22:J22)</f>
        <v>28293.255000000001</v>
      </c>
      <c r="L22" s="20">
        <f>全体!L22-機械!L22</f>
        <v>1807.7349999999999</v>
      </c>
      <c r="M22" s="4">
        <f>全体!M22-機械!M22</f>
        <v>979.73299999999995</v>
      </c>
      <c r="N22" s="4">
        <f>全体!N22-機械!N22</f>
        <v>613.37599999999998</v>
      </c>
      <c r="O22" s="4">
        <f>全体!O22-機械!O22</f>
        <v>481.64600000000002</v>
      </c>
      <c r="P22" s="4">
        <f>全体!P22-機械!P22</f>
        <v>716.77600000000007</v>
      </c>
      <c r="Q22" s="4">
        <f>全体!Q22-機械!Q22</f>
        <v>1539.684</v>
      </c>
      <c r="R22" s="62">
        <f>SUM(L22:Q22)</f>
        <v>6138.9500000000007</v>
      </c>
      <c r="S22" s="65">
        <f t="shared" ref="S22:S34" si="11">IF(E22=0,"***",L22/E22)</f>
        <v>0.19761426686821612</v>
      </c>
      <c r="T22" s="11">
        <f t="shared" ref="T22:T34" si="12">IF(F22=0,"***",M22/F22)</f>
        <v>0.22043855828093867</v>
      </c>
      <c r="U22" s="11">
        <f t="shared" ref="U22:U34" si="13">IF(G22=0,"***",N22/G22)</f>
        <v>0.26039033758674002</v>
      </c>
      <c r="V22" s="11">
        <f t="shared" ref="V22:V34" si="14">IF(H22=0,"***",O22/H22)</f>
        <v>0.31241551446340499</v>
      </c>
      <c r="W22" s="11">
        <f t="shared" ref="W22:W34" si="15">IF(I22=0,"***",P22/I22)</f>
        <v>0.21730553338198216</v>
      </c>
      <c r="X22" s="11">
        <f t="shared" ref="X22:X34" si="16">IF(J22=0,"***",Q22/J22)</f>
        <v>0.20514814336136269</v>
      </c>
      <c r="Y22" s="13">
        <f t="shared" ref="Y22:Y34" si="17">IF(K22=0,"***",R22/K22)</f>
        <v>0.21697574209824924</v>
      </c>
    </row>
    <row r="23" spans="3:25" x14ac:dyDescent="0.4">
      <c r="C23" s="60" t="s">
        <v>8</v>
      </c>
      <c r="D23" s="22" t="s">
        <v>9</v>
      </c>
      <c r="E23" s="3">
        <f>全体!E23-機械!E23</f>
        <v>643.41200000000003</v>
      </c>
      <c r="F23" s="4">
        <f>全体!F23-機械!F23</f>
        <v>683.47799999999995</v>
      </c>
      <c r="G23" s="4">
        <f>全体!G23-機械!G23</f>
        <v>1761.134</v>
      </c>
      <c r="H23" s="4">
        <f>全体!H23-機械!H23</f>
        <v>3657.34</v>
      </c>
      <c r="I23" s="4">
        <f>全体!I23-機械!I23</f>
        <v>2898.8049999999998</v>
      </c>
      <c r="J23" s="4">
        <f>全体!J23-機械!J23</f>
        <v>5118.3630000000003</v>
      </c>
      <c r="K23" s="62">
        <f>SUM(E23:J23)</f>
        <v>14762.531999999999</v>
      </c>
      <c r="L23" s="20">
        <f>全体!L23-機械!L23</f>
        <v>174.63200000000001</v>
      </c>
      <c r="M23" s="4">
        <f>全体!M23-機械!M23</f>
        <v>247.09100000000001</v>
      </c>
      <c r="N23" s="4">
        <f>全体!N23-機械!N23</f>
        <v>747.89400000000001</v>
      </c>
      <c r="O23" s="4">
        <f>全体!O23-機械!O23</f>
        <v>1286.432</v>
      </c>
      <c r="P23" s="4">
        <f>全体!P23-機械!P23</f>
        <v>848.42</v>
      </c>
      <c r="Q23" s="4">
        <f>全体!Q23-機械!Q23</f>
        <v>1789.3320000000001</v>
      </c>
      <c r="R23" s="62">
        <f>SUM(L23:Q23)</f>
        <v>5093.8010000000004</v>
      </c>
      <c r="S23" s="65">
        <f t="shared" si="11"/>
        <v>0.27141551603016417</v>
      </c>
      <c r="T23" s="11">
        <f t="shared" si="12"/>
        <v>0.36152004892622736</v>
      </c>
      <c r="U23" s="11">
        <f t="shared" si="13"/>
        <v>0.42466615260394724</v>
      </c>
      <c r="V23" s="11">
        <f t="shared" si="14"/>
        <v>0.35173978902699776</v>
      </c>
      <c r="W23" s="11">
        <f t="shared" si="15"/>
        <v>0.2926792247150119</v>
      </c>
      <c r="X23" s="11">
        <f t="shared" si="16"/>
        <v>0.34959067967629492</v>
      </c>
      <c r="Y23" s="13">
        <f t="shared" si="17"/>
        <v>0.3450492774545722</v>
      </c>
    </row>
    <row r="24" spans="3:25" x14ac:dyDescent="0.4">
      <c r="C24" s="60" t="s">
        <v>10</v>
      </c>
      <c r="D24" s="22" t="s">
        <v>11</v>
      </c>
      <c r="E24" s="3">
        <f>全体!E24-機械!E24</f>
        <v>676.904</v>
      </c>
      <c r="F24" s="4">
        <f>全体!F24-機械!F24</f>
        <v>421.59300000000002</v>
      </c>
      <c r="G24" s="4">
        <f>全体!G24-機械!G24</f>
        <v>54.481999999999999</v>
      </c>
      <c r="H24" s="4">
        <f>全体!H24-機械!H24</f>
        <v>36.713999999999999</v>
      </c>
      <c r="I24" s="4">
        <f>全体!I24-機械!I24</f>
        <v>888.85299999999995</v>
      </c>
      <c r="J24" s="4">
        <f>全体!J24-機械!J24</f>
        <v>683.03200000000004</v>
      </c>
      <c r="K24" s="62">
        <f>SUM(E24:J24)</f>
        <v>2761.578</v>
      </c>
      <c r="L24" s="20">
        <f>全体!L24-機械!L24</f>
        <v>413.214</v>
      </c>
      <c r="M24" s="4">
        <f>全体!M24-機械!M24</f>
        <v>270.70400000000001</v>
      </c>
      <c r="N24" s="4">
        <f>全体!N24-機械!N24</f>
        <v>22.481000000000002</v>
      </c>
      <c r="O24" s="4">
        <f>全体!O24-機械!O24</f>
        <v>16.864000000000001</v>
      </c>
      <c r="P24" s="4">
        <f>全体!P24-機械!P24</f>
        <v>717.35699999999997</v>
      </c>
      <c r="Q24" s="4">
        <f>全体!Q24-機械!Q24</f>
        <v>517.26300000000003</v>
      </c>
      <c r="R24" s="62">
        <f>SUM(L24:Q24)</f>
        <v>1957.8829999999998</v>
      </c>
      <c r="S24" s="65">
        <f t="shared" si="11"/>
        <v>0.61044697623296662</v>
      </c>
      <c r="T24" s="11">
        <f t="shared" si="12"/>
        <v>0.64209794754656746</v>
      </c>
      <c r="U24" s="11">
        <f t="shared" si="13"/>
        <v>0.41263169487170076</v>
      </c>
      <c r="V24" s="11">
        <f t="shared" si="14"/>
        <v>0.45933431388571122</v>
      </c>
      <c r="W24" s="11">
        <f t="shared" si="15"/>
        <v>0.80705921001560443</v>
      </c>
      <c r="X24" s="11">
        <f t="shared" si="16"/>
        <v>0.75730419658229775</v>
      </c>
      <c r="Y24" s="13">
        <f t="shared" si="17"/>
        <v>0.70897255120079894</v>
      </c>
    </row>
    <row r="25" spans="3:25" x14ac:dyDescent="0.4">
      <c r="C25" s="60" t="s">
        <v>12</v>
      </c>
      <c r="D25" s="22" t="s">
        <v>13</v>
      </c>
      <c r="E25" s="3">
        <f>全体!E25-機械!E25</f>
        <v>3178.58</v>
      </c>
      <c r="F25" s="4">
        <f>全体!F25-機械!F25</f>
        <v>4702.8280000000004</v>
      </c>
      <c r="G25" s="4">
        <f>全体!G25-機械!G25</f>
        <v>4402.2209999999986</v>
      </c>
      <c r="H25" s="4">
        <f>全体!H25-機械!H25</f>
        <v>3998.11</v>
      </c>
      <c r="I25" s="4">
        <f>全体!I25-機械!I25</f>
        <v>1925.62</v>
      </c>
      <c r="J25" s="4">
        <f>全体!J25-機械!J25</f>
        <v>3546.4710000000009</v>
      </c>
      <c r="K25" s="62">
        <f>SUM(E25:J25)</f>
        <v>21753.83</v>
      </c>
      <c r="L25" s="20">
        <f>全体!L25-機械!L25</f>
        <v>1743.3810000000001</v>
      </c>
      <c r="M25" s="4">
        <f>全体!M25-機械!M25</f>
        <v>2764.7779999999998</v>
      </c>
      <c r="N25" s="4">
        <f>全体!N25-機械!N25</f>
        <v>2329.6</v>
      </c>
      <c r="O25" s="4">
        <f>全体!O25-機械!O25</f>
        <v>2041.6869999999999</v>
      </c>
      <c r="P25" s="4">
        <f>全体!P25-機械!P25</f>
        <v>944.99799999999982</v>
      </c>
      <c r="Q25" s="4">
        <f>全体!Q25-機械!Q25</f>
        <v>1949.4349999999999</v>
      </c>
      <c r="R25" s="62">
        <f>SUM(L25:Q25)</f>
        <v>11773.878999999999</v>
      </c>
      <c r="S25" s="65">
        <f t="shared" si="11"/>
        <v>0.54847793668871014</v>
      </c>
      <c r="T25" s="11">
        <f t="shared" si="12"/>
        <v>0.58789689948260904</v>
      </c>
      <c r="U25" s="11">
        <f t="shared" si="13"/>
        <v>0.52918742607424762</v>
      </c>
      <c r="V25" s="11">
        <f t="shared" si="14"/>
        <v>0.5106630382855899</v>
      </c>
      <c r="W25" s="11">
        <f t="shared" si="15"/>
        <v>0.49074999221030102</v>
      </c>
      <c r="X25" s="11">
        <f t="shared" si="16"/>
        <v>0.54968305112321503</v>
      </c>
      <c r="Y25" s="13">
        <f t="shared" si="17"/>
        <v>0.5412324634328759</v>
      </c>
    </row>
    <row r="26" spans="3:25" x14ac:dyDescent="0.4">
      <c r="C26" s="60" t="s">
        <v>14</v>
      </c>
      <c r="D26" s="22"/>
      <c r="E26" s="3">
        <f t="shared" ref="E26:R26" si="18">SUM(E22:E25)</f>
        <v>13646.692000000001</v>
      </c>
      <c r="F26" s="4">
        <f t="shared" si="18"/>
        <v>10252.370999999999</v>
      </c>
      <c r="G26" s="4">
        <f t="shared" si="18"/>
        <v>8573.4389999999985</v>
      </c>
      <c r="H26" s="4">
        <f t="shared" si="18"/>
        <v>9233.848</v>
      </c>
      <c r="I26" s="4">
        <f t="shared" si="18"/>
        <v>9011.7489999999998</v>
      </c>
      <c r="J26" s="4">
        <f t="shared" si="18"/>
        <v>16853.096000000001</v>
      </c>
      <c r="K26" s="62">
        <f t="shared" si="18"/>
        <v>67571.195000000007</v>
      </c>
      <c r="L26" s="20">
        <f t="shared" si="18"/>
        <v>4138.9620000000004</v>
      </c>
      <c r="M26" s="4">
        <f t="shared" si="18"/>
        <v>4262.3059999999996</v>
      </c>
      <c r="N26" s="4">
        <f t="shared" si="18"/>
        <v>3713.3509999999997</v>
      </c>
      <c r="O26" s="4">
        <f t="shared" si="18"/>
        <v>3826.6289999999999</v>
      </c>
      <c r="P26" s="4">
        <f t="shared" si="18"/>
        <v>3227.5509999999995</v>
      </c>
      <c r="Q26" s="4">
        <f t="shared" si="18"/>
        <v>5795.7139999999999</v>
      </c>
      <c r="R26" s="62">
        <f t="shared" si="18"/>
        <v>24964.512999999999</v>
      </c>
      <c r="S26" s="65">
        <f t="shared" si="11"/>
        <v>0.30329416095856787</v>
      </c>
      <c r="T26" s="11">
        <f t="shared" si="12"/>
        <v>0.41573856427942374</v>
      </c>
      <c r="U26" s="11">
        <f t="shared" si="13"/>
        <v>0.43312269440536061</v>
      </c>
      <c r="V26" s="11">
        <f t="shared" si="14"/>
        <v>0.41441325436589382</v>
      </c>
      <c r="W26" s="11">
        <f t="shared" si="15"/>
        <v>0.358149233850166</v>
      </c>
      <c r="X26" s="11">
        <f t="shared" si="16"/>
        <v>0.34389610075205168</v>
      </c>
      <c r="Y26" s="13">
        <f t="shared" si="17"/>
        <v>0.3694549578411333</v>
      </c>
    </row>
    <row r="27" spans="3:25" x14ac:dyDescent="0.4">
      <c r="C27" s="60" t="s">
        <v>15</v>
      </c>
      <c r="D27" s="22" t="s">
        <v>16</v>
      </c>
      <c r="E27" s="3">
        <f>全体!E27-機械!E27</f>
        <v>5532.7629999999999</v>
      </c>
      <c r="F27" s="4">
        <f>全体!F27-機械!F27</f>
        <v>6604.0349999999999</v>
      </c>
      <c r="G27" s="4">
        <f>全体!G27-機械!G27</f>
        <v>7174.5259999999998</v>
      </c>
      <c r="H27" s="4">
        <f>全体!H27-機械!H27</f>
        <v>5086.6310000000003</v>
      </c>
      <c r="I27" s="4">
        <f>全体!I27-機械!I27</f>
        <v>5913.4979999999996</v>
      </c>
      <c r="J27" s="4">
        <f>全体!J27-機械!J27</f>
        <v>12536.989</v>
      </c>
      <c r="K27" s="62">
        <f>SUM(E27:J27)</f>
        <v>42848.442000000003</v>
      </c>
      <c r="L27" s="20">
        <f>全体!L27-機械!L27</f>
        <v>1289.4459999999999</v>
      </c>
      <c r="M27" s="4">
        <f>全体!M27-機械!M27</f>
        <v>1627.4090000000001</v>
      </c>
      <c r="N27" s="4">
        <f>全体!N27-機械!N27</f>
        <v>1407.741</v>
      </c>
      <c r="O27" s="4">
        <f>全体!O27-機械!O27</f>
        <v>950.38499999999999</v>
      </c>
      <c r="P27" s="4">
        <f>全体!P27-機械!P27</f>
        <v>1282.931</v>
      </c>
      <c r="Q27" s="4">
        <f>全体!Q27-機械!Q27</f>
        <v>2609.8470000000002</v>
      </c>
      <c r="R27" s="62">
        <f>SUM(L27:Q27)</f>
        <v>9167.759</v>
      </c>
      <c r="S27" s="65">
        <f t="shared" si="11"/>
        <v>0.23305643129843082</v>
      </c>
      <c r="T27" s="11">
        <f t="shared" si="12"/>
        <v>0.24642646503236282</v>
      </c>
      <c r="U27" s="11">
        <f t="shared" si="13"/>
        <v>0.19621379865373684</v>
      </c>
      <c r="V27" s="11">
        <f t="shared" si="14"/>
        <v>0.18683977666160567</v>
      </c>
      <c r="W27" s="11">
        <f t="shared" si="15"/>
        <v>0.21694959565387528</v>
      </c>
      <c r="X27" s="11">
        <f t="shared" si="16"/>
        <v>0.20817175479694527</v>
      </c>
      <c r="Y27" s="13">
        <f t="shared" si="17"/>
        <v>0.21395781438214251</v>
      </c>
    </row>
    <row r="28" spans="3:25" x14ac:dyDescent="0.4">
      <c r="C28" s="60" t="s">
        <v>17</v>
      </c>
      <c r="D28" s="22" t="s">
        <v>18</v>
      </c>
      <c r="E28" s="3">
        <f>全体!E28-機械!E28</f>
        <v>2776.4050000000002</v>
      </c>
      <c r="F28" s="4">
        <f>全体!F28-機械!F28</f>
        <v>3884.684999999999</v>
      </c>
      <c r="G28" s="4">
        <f>全体!G28-機械!G28</f>
        <v>4124.21</v>
      </c>
      <c r="H28" s="4">
        <f>全体!H28-機械!H28</f>
        <v>2676.2</v>
      </c>
      <c r="I28" s="4">
        <f>全体!I28-機械!I28</f>
        <v>1446.7950000000001</v>
      </c>
      <c r="J28" s="4">
        <f>全体!J28-機械!J28</f>
        <v>4570.5950000000003</v>
      </c>
      <c r="K28" s="62">
        <f>SUM(E28:J28)</f>
        <v>19478.89</v>
      </c>
      <c r="L28" s="20">
        <f>全体!L28-機械!L28</f>
        <v>1708.154</v>
      </c>
      <c r="M28" s="4">
        <f>全体!M28-機械!M28</f>
        <v>2438.683</v>
      </c>
      <c r="N28" s="4">
        <f>全体!N28-機械!N28</f>
        <v>3607.46</v>
      </c>
      <c r="O28" s="4">
        <f>全体!O28-機械!O28</f>
        <v>2209.1999999999998</v>
      </c>
      <c r="P28" s="4">
        <f>全体!P28-機械!P28</f>
        <v>1173.0450000000001</v>
      </c>
      <c r="Q28" s="4">
        <f>全体!Q28-機械!Q28</f>
        <v>3099.1410000000001</v>
      </c>
      <c r="R28" s="62">
        <f>SUM(L28:Q28)</f>
        <v>14235.682999999999</v>
      </c>
      <c r="S28" s="65">
        <f t="shared" si="11"/>
        <v>0.61523949135662837</v>
      </c>
      <c r="T28" s="11">
        <f t="shared" si="12"/>
        <v>0.62776853206888095</v>
      </c>
      <c r="U28" s="11">
        <f t="shared" si="13"/>
        <v>0.87470327650628843</v>
      </c>
      <c r="V28" s="11">
        <f t="shared" si="14"/>
        <v>0.82549884164113296</v>
      </c>
      <c r="W28" s="11">
        <f t="shared" si="15"/>
        <v>0.81078867427659063</v>
      </c>
      <c r="X28" s="11">
        <f t="shared" si="16"/>
        <v>0.67806073388694466</v>
      </c>
      <c r="Y28" s="13">
        <f t="shared" si="17"/>
        <v>0.73082619184152686</v>
      </c>
    </row>
    <row r="29" spans="3:25" x14ac:dyDescent="0.4">
      <c r="C29" s="60" t="s">
        <v>19</v>
      </c>
      <c r="D29" s="22"/>
      <c r="E29" s="3">
        <f t="shared" ref="E29:R29" si="19">E27+E28</f>
        <v>8309.1679999999997</v>
      </c>
      <c r="F29" s="20">
        <f t="shared" si="19"/>
        <v>10488.72</v>
      </c>
      <c r="G29" s="20">
        <f t="shared" si="19"/>
        <v>11298.736000000001</v>
      </c>
      <c r="H29" s="20">
        <f t="shared" si="19"/>
        <v>7762.8310000000001</v>
      </c>
      <c r="I29" s="20">
        <f t="shared" si="19"/>
        <v>7360.2929999999997</v>
      </c>
      <c r="J29" s="20">
        <f t="shared" si="19"/>
        <v>17107.583999999999</v>
      </c>
      <c r="K29" s="62">
        <f t="shared" si="19"/>
        <v>62327.332000000002</v>
      </c>
      <c r="L29" s="20">
        <f t="shared" si="19"/>
        <v>2997.6</v>
      </c>
      <c r="M29" s="20">
        <f t="shared" si="19"/>
        <v>4066.0920000000001</v>
      </c>
      <c r="N29" s="20">
        <f t="shared" si="19"/>
        <v>5015.201</v>
      </c>
      <c r="O29" s="20">
        <f t="shared" si="19"/>
        <v>3159.585</v>
      </c>
      <c r="P29" s="20">
        <f t="shared" si="19"/>
        <v>2455.9760000000001</v>
      </c>
      <c r="Q29" s="20">
        <f t="shared" si="19"/>
        <v>5708.9880000000003</v>
      </c>
      <c r="R29" s="62">
        <f t="shared" si="19"/>
        <v>23403.441999999999</v>
      </c>
      <c r="S29" s="65">
        <f t="shared" si="11"/>
        <v>0.36075814088727054</v>
      </c>
      <c r="T29" s="11">
        <f t="shared" si="12"/>
        <v>0.3876633183076677</v>
      </c>
      <c r="U29" s="11">
        <f t="shared" si="13"/>
        <v>0.44387274824369732</v>
      </c>
      <c r="V29" s="11">
        <f t="shared" si="14"/>
        <v>0.40701452859143783</v>
      </c>
      <c r="W29" s="11">
        <f t="shared" si="15"/>
        <v>0.33367910761161279</v>
      </c>
      <c r="X29" s="11">
        <f t="shared" si="16"/>
        <v>0.33371094363762882</v>
      </c>
      <c r="Y29" s="13">
        <f t="shared" si="17"/>
        <v>0.37549244045934771</v>
      </c>
    </row>
    <row r="30" spans="3:25" x14ac:dyDescent="0.4">
      <c r="C30" s="60" t="s">
        <v>20</v>
      </c>
      <c r="D30" s="22" t="s">
        <v>21</v>
      </c>
      <c r="E30" s="3">
        <f>全体!E30-機械!E30</f>
        <v>12865.138000000001</v>
      </c>
      <c r="F30" s="20">
        <f>全体!F30-機械!F30</f>
        <v>22540.204000000002</v>
      </c>
      <c r="G30" s="20">
        <f>全体!G30-機械!G30</f>
        <v>20249.112999999998</v>
      </c>
      <c r="H30" s="20">
        <f>全体!H30-機械!H30</f>
        <v>13451.318000000001</v>
      </c>
      <c r="I30" s="20">
        <f>全体!I30-機械!I30</f>
        <v>10086.545</v>
      </c>
      <c r="J30" s="20">
        <f>全体!J30-機械!J30</f>
        <v>10490.210000000001</v>
      </c>
      <c r="K30" s="62">
        <f>SUM(E30:J30)</f>
        <v>89682.528000000006</v>
      </c>
      <c r="L30" s="20">
        <f>全体!L30-機械!L30</f>
        <v>3262.7559999999999</v>
      </c>
      <c r="M30" s="20">
        <f>全体!M30-機械!M30</f>
        <v>5119.2780000000002</v>
      </c>
      <c r="N30" s="20">
        <f>全体!N30-機械!N30</f>
        <v>4386.8819999999996</v>
      </c>
      <c r="O30" s="20">
        <f>全体!O30-機械!O30</f>
        <v>2835.1460000000002</v>
      </c>
      <c r="P30" s="20">
        <f>全体!P30-機械!P30</f>
        <v>2110.172</v>
      </c>
      <c r="Q30" s="20">
        <f>全体!Q30-機械!Q30</f>
        <v>2139.9</v>
      </c>
      <c r="R30" s="62">
        <f>SUM(L30:Q30)</f>
        <v>19854.134000000002</v>
      </c>
      <c r="S30" s="65">
        <f t="shared" si="11"/>
        <v>0.25361220377115268</v>
      </c>
      <c r="T30" s="11">
        <f t="shared" si="12"/>
        <v>0.22711764276845053</v>
      </c>
      <c r="U30" s="11">
        <f t="shared" si="13"/>
        <v>0.21664563776200962</v>
      </c>
      <c r="V30" s="11">
        <f t="shared" si="14"/>
        <v>0.21077087018536028</v>
      </c>
      <c r="W30" s="11">
        <f t="shared" si="15"/>
        <v>0.20920662129599382</v>
      </c>
      <c r="X30" s="11">
        <f t="shared" si="16"/>
        <v>0.2039901965737578</v>
      </c>
      <c r="Y30" s="13">
        <f t="shared" si="17"/>
        <v>0.22138240795353137</v>
      </c>
    </row>
    <row r="31" spans="3:25" x14ac:dyDescent="0.4">
      <c r="C31" s="60" t="s">
        <v>22</v>
      </c>
      <c r="D31" s="83" t="s">
        <v>23</v>
      </c>
      <c r="E31" s="88">
        <f>全体!E31-機械!E31</f>
        <v>2.95</v>
      </c>
      <c r="F31" s="84">
        <f>全体!F31-機械!F31</f>
        <v>0</v>
      </c>
      <c r="G31" s="84">
        <f>全体!G31-機械!G31</f>
        <v>0</v>
      </c>
      <c r="H31" s="84">
        <f>全体!H31-機械!H31</f>
        <v>16.815000000000001</v>
      </c>
      <c r="I31" s="84">
        <f>全体!I31-機械!I31</f>
        <v>17.68</v>
      </c>
      <c r="J31" s="84">
        <f>全体!J31-機械!J31</f>
        <v>14.48</v>
      </c>
      <c r="K31" s="62">
        <f>SUM(E31:J31)</f>
        <v>51.924999999999997</v>
      </c>
      <c r="L31" s="84">
        <f>全体!L31-機械!L31</f>
        <v>0.90900000000000003</v>
      </c>
      <c r="M31" s="84">
        <f>全体!M31-機械!M31</f>
        <v>0</v>
      </c>
      <c r="N31" s="84">
        <f>全体!N31-機械!N31</f>
        <v>0</v>
      </c>
      <c r="O31" s="84">
        <f>全体!O31-機械!O31</f>
        <v>5.181</v>
      </c>
      <c r="P31" s="84">
        <f>全体!P31-機械!P31</f>
        <v>4.5359999999999996</v>
      </c>
      <c r="Q31" s="84">
        <f>全体!Q31-機械!Q31</f>
        <v>1.946</v>
      </c>
      <c r="R31" s="62">
        <f>SUM(L31:Q31)</f>
        <v>12.571999999999999</v>
      </c>
      <c r="S31" s="65">
        <f t="shared" si="11"/>
        <v>0.30813559322033895</v>
      </c>
      <c r="T31" s="11" t="str">
        <f t="shared" si="12"/>
        <v>***</v>
      </c>
      <c r="U31" s="11" t="str">
        <f t="shared" si="13"/>
        <v>***</v>
      </c>
      <c r="V31" s="11">
        <f t="shared" si="14"/>
        <v>0.30811775200713648</v>
      </c>
      <c r="W31" s="11">
        <f t="shared" si="15"/>
        <v>0.25656108597285066</v>
      </c>
      <c r="X31" s="11">
        <f t="shared" si="16"/>
        <v>0.13439226519337016</v>
      </c>
      <c r="Y31" s="13">
        <f t="shared" si="17"/>
        <v>0.24211844005777564</v>
      </c>
    </row>
    <row r="32" spans="3:25" x14ac:dyDescent="0.4">
      <c r="C32" s="82" t="s">
        <v>24</v>
      </c>
      <c r="D32" s="83"/>
      <c r="E32" s="88">
        <f t="shared" ref="E32:R32" si="20">E30+E31</f>
        <v>12868.088000000002</v>
      </c>
      <c r="F32" s="84">
        <f t="shared" si="20"/>
        <v>22540.204000000002</v>
      </c>
      <c r="G32" s="84">
        <f t="shared" si="20"/>
        <v>20249.112999999998</v>
      </c>
      <c r="H32" s="84">
        <f t="shared" si="20"/>
        <v>13468.133000000002</v>
      </c>
      <c r="I32" s="84">
        <f t="shared" si="20"/>
        <v>10104.225</v>
      </c>
      <c r="J32" s="84">
        <f t="shared" si="20"/>
        <v>10504.69</v>
      </c>
      <c r="K32" s="89">
        <f t="shared" si="20"/>
        <v>89734.453000000009</v>
      </c>
      <c r="L32" s="84">
        <f t="shared" si="20"/>
        <v>3263.665</v>
      </c>
      <c r="M32" s="84">
        <f t="shared" si="20"/>
        <v>5119.2780000000002</v>
      </c>
      <c r="N32" s="84">
        <f t="shared" si="20"/>
        <v>4386.8819999999996</v>
      </c>
      <c r="O32" s="84">
        <f t="shared" si="20"/>
        <v>2840.3270000000002</v>
      </c>
      <c r="P32" s="84">
        <f t="shared" si="20"/>
        <v>2114.7080000000001</v>
      </c>
      <c r="Q32" s="84">
        <f t="shared" si="20"/>
        <v>2141.846</v>
      </c>
      <c r="R32" s="89">
        <f t="shared" si="20"/>
        <v>19866.706000000002</v>
      </c>
      <c r="S32" s="65">
        <f t="shared" si="11"/>
        <v>0.25362470321931274</v>
      </c>
      <c r="T32" s="11">
        <f t="shared" si="12"/>
        <v>0.22711764276845053</v>
      </c>
      <c r="U32" s="11">
        <f t="shared" si="13"/>
        <v>0.21664563776200962</v>
      </c>
      <c r="V32" s="11">
        <f t="shared" si="14"/>
        <v>0.21089240802715564</v>
      </c>
      <c r="W32" s="11">
        <f t="shared" si="15"/>
        <v>0.20928948039062867</v>
      </c>
      <c r="X32" s="11">
        <f t="shared" si="16"/>
        <v>0.2038942605636149</v>
      </c>
      <c r="Y32" s="13">
        <f t="shared" si="17"/>
        <v>0.22139440689519777</v>
      </c>
    </row>
    <row r="33" spans="3:25" x14ac:dyDescent="0.4">
      <c r="C33" s="53" t="s">
        <v>5</v>
      </c>
      <c r="D33" s="54"/>
      <c r="E33" s="63">
        <f t="shared" ref="E33:R33" si="21">E26+E29+E32</f>
        <v>34823.948000000004</v>
      </c>
      <c r="F33" s="8">
        <f t="shared" si="21"/>
        <v>43281.294999999998</v>
      </c>
      <c r="G33" s="8">
        <f t="shared" si="21"/>
        <v>40121.288</v>
      </c>
      <c r="H33" s="8">
        <f t="shared" si="21"/>
        <v>30464.812000000002</v>
      </c>
      <c r="I33" s="8">
        <f t="shared" si="21"/>
        <v>26476.267</v>
      </c>
      <c r="J33" s="8">
        <f t="shared" si="21"/>
        <v>44465.37</v>
      </c>
      <c r="K33" s="64">
        <f t="shared" si="21"/>
        <v>219632.98</v>
      </c>
      <c r="L33" s="104">
        <f t="shared" si="21"/>
        <v>10400.226999999999</v>
      </c>
      <c r="M33" s="8">
        <f t="shared" si="21"/>
        <v>13447.675999999999</v>
      </c>
      <c r="N33" s="8">
        <f t="shared" si="21"/>
        <v>13115.433999999999</v>
      </c>
      <c r="O33" s="8">
        <f t="shared" si="21"/>
        <v>9826.5410000000011</v>
      </c>
      <c r="P33" s="8">
        <f t="shared" si="21"/>
        <v>7798.2350000000006</v>
      </c>
      <c r="Q33" s="8">
        <f t="shared" si="21"/>
        <v>13646.548000000001</v>
      </c>
      <c r="R33" s="64">
        <f t="shared" si="21"/>
        <v>68234.661000000007</v>
      </c>
      <c r="S33" s="66">
        <f t="shared" si="11"/>
        <v>0.29865157735705317</v>
      </c>
      <c r="T33" s="14">
        <f t="shared" si="12"/>
        <v>0.31070410439428858</v>
      </c>
      <c r="U33" s="14">
        <f t="shared" si="13"/>
        <v>0.32689464007237251</v>
      </c>
      <c r="V33" s="14">
        <f t="shared" si="14"/>
        <v>0.3225538040412001</v>
      </c>
      <c r="W33" s="14">
        <f t="shared" si="15"/>
        <v>0.29453680158158252</v>
      </c>
      <c r="X33" s="14">
        <f t="shared" si="16"/>
        <v>0.30690283247390049</v>
      </c>
      <c r="Y33" s="16">
        <f t="shared" si="17"/>
        <v>0.31067584203428833</v>
      </c>
    </row>
    <row r="34" spans="3:25" x14ac:dyDescent="0.4">
      <c r="C34" s="74" t="s">
        <v>25</v>
      </c>
      <c r="D34" s="75"/>
      <c r="E34" s="5"/>
      <c r="F34" s="98">
        <v>8671.2939999999999</v>
      </c>
      <c r="G34" s="98"/>
      <c r="H34" s="98"/>
      <c r="I34" s="98"/>
      <c r="J34" s="98"/>
      <c r="K34" s="99">
        <f>SUM(E34:J34)</f>
        <v>8671.2939999999999</v>
      </c>
      <c r="L34" s="98"/>
      <c r="M34" s="98">
        <v>3581.357</v>
      </c>
      <c r="N34" s="98"/>
      <c r="O34" s="98"/>
      <c r="P34" s="98"/>
      <c r="Q34" s="98"/>
      <c r="R34" s="99">
        <f>SUM(L34:Q34)</f>
        <v>3581.357</v>
      </c>
      <c r="S34" s="101" t="str">
        <f t="shared" si="11"/>
        <v>***</v>
      </c>
      <c r="T34" s="101">
        <f t="shared" si="12"/>
        <v>0.41301298283739429</v>
      </c>
      <c r="U34" s="101" t="str">
        <f t="shared" si="13"/>
        <v>***</v>
      </c>
      <c r="V34" s="101" t="str">
        <f t="shared" si="14"/>
        <v>***</v>
      </c>
      <c r="W34" s="101" t="str">
        <f t="shared" si="15"/>
        <v>***</v>
      </c>
      <c r="X34" s="101" t="str">
        <f t="shared" si="16"/>
        <v>***</v>
      </c>
      <c r="Y34" s="102">
        <f t="shared" si="17"/>
        <v>0.41301298283739429</v>
      </c>
    </row>
    <row r="35" spans="3:25" x14ac:dyDescent="0.4">
      <c r="C35" s="18"/>
      <c r="E35" s="17"/>
      <c r="F35" s="17"/>
      <c r="G35" s="17"/>
      <c r="H35" s="17"/>
      <c r="I35" s="17"/>
      <c r="J35" s="17"/>
      <c r="K35" s="18"/>
      <c r="L35" s="17"/>
      <c r="M35" s="17"/>
      <c r="N35" s="17"/>
      <c r="O35" s="17"/>
      <c r="P35" s="17"/>
      <c r="Q35" s="17"/>
      <c r="R35" s="18"/>
      <c r="S35" s="19"/>
      <c r="T35" s="19"/>
      <c r="U35" s="19"/>
      <c r="V35" s="19"/>
      <c r="W35" s="19"/>
      <c r="X35" s="19"/>
      <c r="Y35" s="19"/>
    </row>
    <row r="36" spans="3:25" x14ac:dyDescent="0.4">
      <c r="C36" s="18" t="s">
        <v>27</v>
      </c>
    </row>
    <row r="37" spans="3:25" x14ac:dyDescent="0.4">
      <c r="C37" s="120"/>
      <c r="D37" s="119"/>
      <c r="E37" s="122" t="s">
        <v>2</v>
      </c>
      <c r="F37" s="118"/>
      <c r="G37" s="118"/>
      <c r="H37" s="118"/>
      <c r="I37" s="118"/>
      <c r="J37" s="118"/>
      <c r="K37" s="118"/>
      <c r="L37" s="121" t="s">
        <v>3</v>
      </c>
      <c r="M37" s="118"/>
      <c r="N37" s="118"/>
      <c r="O37" s="118"/>
      <c r="P37" s="118"/>
      <c r="Q37" s="118"/>
      <c r="R37" s="119"/>
      <c r="S37" s="121" t="s">
        <v>4</v>
      </c>
      <c r="T37" s="118"/>
      <c r="U37" s="118"/>
      <c r="V37" s="118"/>
      <c r="W37" s="118"/>
      <c r="X37" s="118"/>
      <c r="Y37" s="119"/>
    </row>
    <row r="38" spans="3:25" x14ac:dyDescent="0.4">
      <c r="C38" s="1"/>
      <c r="D38" s="21"/>
      <c r="E38" s="61">
        <v>45748</v>
      </c>
      <c r="F38" s="2">
        <v>45778</v>
      </c>
      <c r="G38" s="2">
        <v>45809</v>
      </c>
      <c r="H38" s="2">
        <v>45839</v>
      </c>
      <c r="I38" s="2">
        <v>45870</v>
      </c>
      <c r="J38" s="2">
        <v>45901</v>
      </c>
      <c r="K38" s="10" t="s">
        <v>5</v>
      </c>
      <c r="L38" s="61">
        <v>45748</v>
      </c>
      <c r="M38" s="2">
        <v>45778</v>
      </c>
      <c r="N38" s="2">
        <v>45809</v>
      </c>
      <c r="O38" s="2">
        <v>45839</v>
      </c>
      <c r="P38" s="2">
        <v>45870</v>
      </c>
      <c r="Q38" s="2">
        <v>45901</v>
      </c>
      <c r="R38" s="10" t="s">
        <v>5</v>
      </c>
      <c r="S38" s="61">
        <v>45748</v>
      </c>
      <c r="T38" s="2">
        <v>45778</v>
      </c>
      <c r="U38" s="2">
        <v>45809</v>
      </c>
      <c r="V38" s="2">
        <v>45839</v>
      </c>
      <c r="W38" s="2">
        <v>45870</v>
      </c>
      <c r="X38" s="2">
        <v>45901</v>
      </c>
      <c r="Y38" s="10" t="s">
        <v>5</v>
      </c>
    </row>
    <row r="39" spans="3:25" x14ac:dyDescent="0.4">
      <c r="C39" s="60" t="s">
        <v>6</v>
      </c>
      <c r="D39" s="22" t="s">
        <v>7</v>
      </c>
      <c r="E39" s="4">
        <f t="shared" ref="E39:J42" si="22">(E22+E5)/2</f>
        <v>8483.7489999999998</v>
      </c>
      <c r="F39" s="4">
        <f t="shared" si="22"/>
        <v>4619.8850000000002</v>
      </c>
      <c r="G39" s="4">
        <f t="shared" si="22"/>
        <v>2060.2555000000002</v>
      </c>
      <c r="H39" s="4">
        <f t="shared" si="22"/>
        <v>1690.683</v>
      </c>
      <c r="I39" s="4">
        <f t="shared" si="22"/>
        <v>3942.5985000000001</v>
      </c>
      <c r="J39" s="4">
        <f t="shared" si="22"/>
        <v>7313.1619999999994</v>
      </c>
      <c r="K39" s="7">
        <f t="shared" ref="K39:K45" si="23">SUM(E39:J39)</f>
        <v>28110.333000000002</v>
      </c>
      <c r="L39" s="4">
        <f t="shared" ref="L39:Q42" si="24">(L22+L5)/2</f>
        <v>1640.4490000000001</v>
      </c>
      <c r="M39" s="4">
        <f t="shared" si="24"/>
        <v>1013.6195</v>
      </c>
      <c r="N39" s="4">
        <f t="shared" si="24"/>
        <v>508.27949999999998</v>
      </c>
      <c r="O39" s="4">
        <f t="shared" si="24"/>
        <v>409.83750000000009</v>
      </c>
      <c r="P39" s="4">
        <f t="shared" si="24"/>
        <v>797.41650000000004</v>
      </c>
      <c r="Q39" s="4">
        <f t="shared" si="24"/>
        <v>1403.627</v>
      </c>
      <c r="R39" s="7">
        <f t="shared" ref="R39:R45" si="25">SUM(L39:Q39)</f>
        <v>5773.2290000000012</v>
      </c>
      <c r="S39" s="11">
        <f t="shared" ref="S39:S51" si="26">IF(E39=0,"***",L39/E39)</f>
        <v>0.19336368862397982</v>
      </c>
      <c r="T39" s="11">
        <f t="shared" ref="T39:T51" si="27">IF(F39=0,"***",M39/F39)</f>
        <v>0.21940362151871745</v>
      </c>
      <c r="U39" s="11">
        <f t="shared" ref="U39:U51" si="28">IF(G39=0,"***",N39/G39)</f>
        <v>0.2467070225027915</v>
      </c>
      <c r="V39" s="11">
        <f t="shared" ref="V39:V51" si="29">IF(H39=0,"***",O39/H39)</f>
        <v>0.24240942861553591</v>
      </c>
      <c r="W39" s="11">
        <f t="shared" ref="W39:W51" si="30">IF(I39=0,"***",P39/I39)</f>
        <v>0.2022565828095354</v>
      </c>
      <c r="X39" s="11">
        <f t="shared" ref="X39:X51" si="31">IF(J39=0,"***",Q39/J39)</f>
        <v>0.19193161590020844</v>
      </c>
      <c r="Y39" s="13">
        <f t="shared" ref="Y39:Y51" si="32">IF(K39=0,"***",R39/K39)</f>
        <v>0.20537746742452323</v>
      </c>
    </row>
    <row r="40" spans="3:25" x14ac:dyDescent="0.4">
      <c r="C40" s="60" t="s">
        <v>8</v>
      </c>
      <c r="D40" s="22" t="s">
        <v>9</v>
      </c>
      <c r="E40" s="4">
        <f t="shared" si="22"/>
        <v>956.87350000000004</v>
      </c>
      <c r="F40" s="4">
        <f t="shared" si="22"/>
        <v>887.11349999999993</v>
      </c>
      <c r="G40" s="4">
        <f t="shared" si="22"/>
        <v>1109.3354999999999</v>
      </c>
      <c r="H40" s="4">
        <f t="shared" si="22"/>
        <v>2166.4665</v>
      </c>
      <c r="I40" s="4">
        <f t="shared" si="22"/>
        <v>2612.8180000000002</v>
      </c>
      <c r="J40" s="4">
        <f t="shared" si="22"/>
        <v>3869.3690000000001</v>
      </c>
      <c r="K40" s="7">
        <f t="shared" si="23"/>
        <v>11601.976000000001</v>
      </c>
      <c r="L40" s="4">
        <f t="shared" si="24"/>
        <v>335.20850000000002</v>
      </c>
      <c r="M40" s="4">
        <f t="shared" si="24"/>
        <v>316.447</v>
      </c>
      <c r="N40" s="4">
        <f t="shared" si="24"/>
        <v>456.15499999999997</v>
      </c>
      <c r="O40" s="4">
        <f t="shared" si="24"/>
        <v>769.67550000000006</v>
      </c>
      <c r="P40" s="4">
        <f t="shared" si="24"/>
        <v>811.06849999999997</v>
      </c>
      <c r="Q40" s="4">
        <f t="shared" si="24"/>
        <v>1308.4140000000002</v>
      </c>
      <c r="R40" s="7">
        <f t="shared" si="25"/>
        <v>3996.9685000000004</v>
      </c>
      <c r="S40" s="11">
        <f t="shared" si="26"/>
        <v>0.35031642113612721</v>
      </c>
      <c r="T40" s="11">
        <f t="shared" si="27"/>
        <v>0.356715347021548</v>
      </c>
      <c r="U40" s="11">
        <f t="shared" si="28"/>
        <v>0.41119661274700037</v>
      </c>
      <c r="V40" s="11">
        <f t="shared" si="29"/>
        <v>0.35526766742065941</v>
      </c>
      <c r="W40" s="11">
        <f t="shared" si="30"/>
        <v>0.31041905712529533</v>
      </c>
      <c r="X40" s="11">
        <f t="shared" si="31"/>
        <v>0.33814660736673091</v>
      </c>
      <c r="Y40" s="13">
        <f t="shared" si="32"/>
        <v>0.34450756491825185</v>
      </c>
    </row>
    <row r="41" spans="3:25" x14ac:dyDescent="0.4">
      <c r="C41" s="60" t="s">
        <v>10</v>
      </c>
      <c r="D41" s="22" t="s">
        <v>11</v>
      </c>
      <c r="E41" s="4">
        <f t="shared" si="22"/>
        <v>552.80250000000001</v>
      </c>
      <c r="F41" s="4">
        <f t="shared" si="22"/>
        <v>336.54599999999999</v>
      </c>
      <c r="G41" s="4">
        <f t="shared" si="22"/>
        <v>49.853499999999997</v>
      </c>
      <c r="H41" s="4">
        <f t="shared" si="22"/>
        <v>36.034499999999994</v>
      </c>
      <c r="I41" s="4">
        <f t="shared" si="22"/>
        <v>599.40499999999997</v>
      </c>
      <c r="J41" s="4">
        <f t="shared" si="22"/>
        <v>515.16849999999999</v>
      </c>
      <c r="K41" s="7">
        <f t="shared" si="23"/>
        <v>2089.81</v>
      </c>
      <c r="L41" s="4">
        <f t="shared" si="24"/>
        <v>252.857</v>
      </c>
      <c r="M41" s="4">
        <f t="shared" si="24"/>
        <v>165.767</v>
      </c>
      <c r="N41" s="4">
        <f t="shared" si="24"/>
        <v>17.976500000000001</v>
      </c>
      <c r="O41" s="4">
        <f t="shared" si="24"/>
        <v>15.170500000000001</v>
      </c>
      <c r="P41" s="4">
        <f t="shared" si="24"/>
        <v>398.92699999999996</v>
      </c>
      <c r="Q41" s="4">
        <f t="shared" si="24"/>
        <v>351.41250000000002</v>
      </c>
      <c r="R41" s="7">
        <f t="shared" si="25"/>
        <v>1202.1105</v>
      </c>
      <c r="S41" s="11">
        <f t="shared" si="26"/>
        <v>0.45740929174524353</v>
      </c>
      <c r="T41" s="11">
        <f t="shared" si="27"/>
        <v>0.49255376679562379</v>
      </c>
      <c r="U41" s="11">
        <f t="shared" si="28"/>
        <v>0.3605865184992027</v>
      </c>
      <c r="V41" s="11">
        <f t="shared" si="29"/>
        <v>0.4209993200960192</v>
      </c>
      <c r="W41" s="11">
        <f t="shared" si="30"/>
        <v>0.6655383255061269</v>
      </c>
      <c r="X41" s="11">
        <f t="shared" si="31"/>
        <v>0.68213118620412549</v>
      </c>
      <c r="Y41" s="13">
        <f t="shared" si="32"/>
        <v>0.57522478120020482</v>
      </c>
    </row>
    <row r="42" spans="3:25" x14ac:dyDescent="0.4">
      <c r="C42" s="60" t="s">
        <v>12</v>
      </c>
      <c r="D42" s="22" t="s">
        <v>13</v>
      </c>
      <c r="E42" s="4">
        <f t="shared" si="22"/>
        <v>3533.4865</v>
      </c>
      <c r="F42" s="4">
        <f t="shared" si="22"/>
        <v>5113.8305</v>
      </c>
      <c r="G42" s="4">
        <f t="shared" si="22"/>
        <v>3421.0674999999992</v>
      </c>
      <c r="H42" s="4">
        <f t="shared" si="22"/>
        <v>3566.1329999999998</v>
      </c>
      <c r="I42" s="4">
        <f t="shared" si="22"/>
        <v>3593.68</v>
      </c>
      <c r="J42" s="4">
        <f t="shared" si="22"/>
        <v>4730.3355000000001</v>
      </c>
      <c r="K42" s="7">
        <f t="shared" si="23"/>
        <v>23958.532999999999</v>
      </c>
      <c r="L42" s="4">
        <f t="shared" si="24"/>
        <v>1881.5795000000001</v>
      </c>
      <c r="M42" s="4">
        <f t="shared" si="24"/>
        <v>2694.3415</v>
      </c>
      <c r="N42" s="4">
        <f t="shared" si="24"/>
        <v>1746.7570000000001</v>
      </c>
      <c r="O42" s="4">
        <f t="shared" si="24"/>
        <v>1891.9414999999999</v>
      </c>
      <c r="P42" s="4">
        <f t="shared" si="24"/>
        <v>1952.8380000000002</v>
      </c>
      <c r="Q42" s="4">
        <f t="shared" si="24"/>
        <v>2693.2350000000006</v>
      </c>
      <c r="R42" s="7">
        <f t="shared" si="25"/>
        <v>12860.692500000001</v>
      </c>
      <c r="S42" s="11">
        <f t="shared" si="26"/>
        <v>0.53249941665264611</v>
      </c>
      <c r="T42" s="11">
        <f t="shared" si="27"/>
        <v>0.5268734464312026</v>
      </c>
      <c r="U42" s="11">
        <f t="shared" si="28"/>
        <v>0.51058828859705352</v>
      </c>
      <c r="V42" s="11">
        <f t="shared" si="29"/>
        <v>0.53053026906175405</v>
      </c>
      <c r="W42" s="11">
        <f t="shared" si="30"/>
        <v>0.54340898466196219</v>
      </c>
      <c r="X42" s="11">
        <f t="shared" si="31"/>
        <v>0.56935390734970082</v>
      </c>
      <c r="Y42" s="13">
        <f t="shared" si="32"/>
        <v>0.53678964818087993</v>
      </c>
    </row>
    <row r="43" spans="3:25" x14ac:dyDescent="0.4">
      <c r="C43" s="60" t="s">
        <v>14</v>
      </c>
      <c r="D43" s="22"/>
      <c r="E43" s="4">
        <f t="shared" ref="E43:J43" si="33">SUM(E39:E42)</f>
        <v>13526.911499999998</v>
      </c>
      <c r="F43" s="4">
        <f t="shared" si="33"/>
        <v>10957.375</v>
      </c>
      <c r="G43" s="4">
        <f t="shared" si="33"/>
        <v>6640.5119999999997</v>
      </c>
      <c r="H43" s="4">
        <f t="shared" si="33"/>
        <v>7459.317</v>
      </c>
      <c r="I43" s="4">
        <f t="shared" si="33"/>
        <v>10748.5015</v>
      </c>
      <c r="J43" s="4">
        <f t="shared" si="33"/>
        <v>16428.035</v>
      </c>
      <c r="K43" s="7">
        <f t="shared" si="23"/>
        <v>65760.652000000002</v>
      </c>
      <c r="L43" s="4">
        <f t="shared" ref="L43:Q43" si="34">SUM(L39:L42)</f>
        <v>4110.0940000000001</v>
      </c>
      <c r="M43" s="4">
        <f t="shared" si="34"/>
        <v>4190.1750000000002</v>
      </c>
      <c r="N43" s="4">
        <f t="shared" si="34"/>
        <v>2729.1680000000001</v>
      </c>
      <c r="O43" s="4">
        <f t="shared" si="34"/>
        <v>3086.625</v>
      </c>
      <c r="P43" s="4">
        <f t="shared" si="34"/>
        <v>3960.25</v>
      </c>
      <c r="Q43" s="4">
        <f t="shared" si="34"/>
        <v>5756.6885000000002</v>
      </c>
      <c r="R43" s="7">
        <f t="shared" si="25"/>
        <v>23833.000499999998</v>
      </c>
      <c r="S43" s="11">
        <f t="shared" si="26"/>
        <v>0.30384570786908754</v>
      </c>
      <c r="T43" s="11">
        <f t="shared" si="27"/>
        <v>0.38240682645250346</v>
      </c>
      <c r="U43" s="11">
        <f t="shared" si="28"/>
        <v>0.4109875864993543</v>
      </c>
      <c r="V43" s="11">
        <f t="shared" si="29"/>
        <v>0.41379458735967384</v>
      </c>
      <c r="W43" s="11">
        <f t="shared" si="30"/>
        <v>0.36844670859468176</v>
      </c>
      <c r="X43" s="11">
        <f t="shared" si="31"/>
        <v>0.35041856801498172</v>
      </c>
      <c r="Y43" s="13">
        <f t="shared" si="32"/>
        <v>0.36242038019939338</v>
      </c>
    </row>
    <row r="44" spans="3:25" x14ac:dyDescent="0.4">
      <c r="C44" s="60" t="s">
        <v>15</v>
      </c>
      <c r="D44" s="22" t="s">
        <v>16</v>
      </c>
      <c r="E44" s="4">
        <f t="shared" ref="E44:J45" si="35">(E27+E10)/2</f>
        <v>7065.6455000000005</v>
      </c>
      <c r="F44" s="4">
        <f t="shared" si="35"/>
        <v>6276.9139999999998</v>
      </c>
      <c r="G44" s="4">
        <f t="shared" si="35"/>
        <v>6943.6769999999997</v>
      </c>
      <c r="H44" s="4">
        <f t="shared" si="35"/>
        <v>3998.3555000000001</v>
      </c>
      <c r="I44" s="4">
        <f t="shared" si="35"/>
        <v>5201.8469999999998</v>
      </c>
      <c r="J44" s="4">
        <f t="shared" si="35"/>
        <v>11242.808499999999</v>
      </c>
      <c r="K44" s="7">
        <f t="shared" si="23"/>
        <v>40729.247499999998</v>
      </c>
      <c r="L44" s="4">
        <f t="shared" ref="L44:Q45" si="36">(L27+L10)/2</f>
        <v>1552.4105</v>
      </c>
      <c r="M44" s="4">
        <f t="shared" si="36"/>
        <v>1383.5125</v>
      </c>
      <c r="N44" s="4">
        <f t="shared" si="36"/>
        <v>1244.171</v>
      </c>
      <c r="O44" s="4">
        <f t="shared" si="36"/>
        <v>698.77750000000003</v>
      </c>
      <c r="P44" s="4">
        <f t="shared" si="36"/>
        <v>1067.3285000000001</v>
      </c>
      <c r="Q44" s="4">
        <f t="shared" si="36"/>
        <v>2228.9645</v>
      </c>
      <c r="R44" s="7">
        <f t="shared" si="25"/>
        <v>8175.1645000000008</v>
      </c>
      <c r="S44" s="11">
        <f t="shared" si="26"/>
        <v>0.21971248062190493</v>
      </c>
      <c r="T44" s="11">
        <f t="shared" si="27"/>
        <v>0.22041284937152239</v>
      </c>
      <c r="U44" s="11">
        <f t="shared" si="28"/>
        <v>0.17918042558719249</v>
      </c>
      <c r="V44" s="11">
        <f t="shared" si="29"/>
        <v>0.17476622576456746</v>
      </c>
      <c r="W44" s="11">
        <f t="shared" si="30"/>
        <v>0.20518260148751014</v>
      </c>
      <c r="X44" s="11">
        <f t="shared" si="31"/>
        <v>0.19825691240760707</v>
      </c>
      <c r="Y44" s="13">
        <f t="shared" si="32"/>
        <v>0.20071975304724207</v>
      </c>
    </row>
    <row r="45" spans="3:25" x14ac:dyDescent="0.4">
      <c r="C45" s="60" t="s">
        <v>17</v>
      </c>
      <c r="D45" s="22" t="s">
        <v>18</v>
      </c>
      <c r="E45" s="4">
        <f t="shared" si="35"/>
        <v>3731.2574999999997</v>
      </c>
      <c r="F45" s="4">
        <f t="shared" si="35"/>
        <v>3617.4074999999993</v>
      </c>
      <c r="G45" s="4">
        <f t="shared" si="35"/>
        <v>3064.9349999999999</v>
      </c>
      <c r="H45" s="4">
        <f t="shared" si="35"/>
        <v>1963.1799999999998</v>
      </c>
      <c r="I45" s="4">
        <f t="shared" si="35"/>
        <v>1467.6675</v>
      </c>
      <c r="J45" s="4">
        <f t="shared" si="35"/>
        <v>4466.0050000000001</v>
      </c>
      <c r="K45" s="7">
        <f t="shared" si="23"/>
        <v>18310.452499999999</v>
      </c>
      <c r="L45" s="4">
        <f t="shared" si="36"/>
        <v>2295.5320000000002</v>
      </c>
      <c r="M45" s="4">
        <f t="shared" si="36"/>
        <v>2263.875</v>
      </c>
      <c r="N45" s="4">
        <f t="shared" si="36"/>
        <v>2539.5284999999999</v>
      </c>
      <c r="O45" s="4">
        <f t="shared" si="36"/>
        <v>1574.6485</v>
      </c>
      <c r="P45" s="4">
        <f t="shared" si="36"/>
        <v>1160.0425</v>
      </c>
      <c r="Q45" s="4">
        <f t="shared" si="36"/>
        <v>2793.683</v>
      </c>
      <c r="R45" s="7">
        <f t="shared" si="25"/>
        <v>12627.309499999999</v>
      </c>
      <c r="S45" s="11">
        <f t="shared" si="26"/>
        <v>0.61521671983238901</v>
      </c>
      <c r="T45" s="11">
        <f t="shared" si="27"/>
        <v>0.62582802739254573</v>
      </c>
      <c r="U45" s="11">
        <f t="shared" si="28"/>
        <v>0.82857499424947023</v>
      </c>
      <c r="V45" s="11">
        <f t="shared" si="29"/>
        <v>0.80209074053321661</v>
      </c>
      <c r="W45" s="11">
        <f t="shared" si="30"/>
        <v>0.79039871087967817</v>
      </c>
      <c r="X45" s="11">
        <f t="shared" si="31"/>
        <v>0.62554408246296189</v>
      </c>
      <c r="Y45" s="13">
        <f t="shared" si="32"/>
        <v>0.68962301723564723</v>
      </c>
    </row>
    <row r="46" spans="3:25" x14ac:dyDescent="0.4">
      <c r="C46" s="60" t="s">
        <v>19</v>
      </c>
      <c r="D46" s="22"/>
      <c r="E46" s="20">
        <f t="shared" ref="E46:R46" si="37">SUM(E44:E45)</f>
        <v>10796.903</v>
      </c>
      <c r="F46" s="20">
        <f t="shared" si="37"/>
        <v>9894.3214999999982</v>
      </c>
      <c r="G46" s="20">
        <f t="shared" si="37"/>
        <v>10008.611999999999</v>
      </c>
      <c r="H46" s="20">
        <f t="shared" si="37"/>
        <v>5961.5355</v>
      </c>
      <c r="I46" s="20">
        <f t="shared" si="37"/>
        <v>6669.5144999999993</v>
      </c>
      <c r="J46" s="20">
        <f t="shared" si="37"/>
        <v>15708.8135</v>
      </c>
      <c r="K46" s="7">
        <f t="shared" si="37"/>
        <v>59039.7</v>
      </c>
      <c r="L46" s="20">
        <f t="shared" si="37"/>
        <v>3847.9425000000001</v>
      </c>
      <c r="M46" s="20">
        <f t="shared" si="37"/>
        <v>3647.3874999999998</v>
      </c>
      <c r="N46" s="20">
        <f t="shared" si="37"/>
        <v>3783.6994999999997</v>
      </c>
      <c r="O46" s="20">
        <f t="shared" si="37"/>
        <v>2273.4259999999999</v>
      </c>
      <c r="P46" s="20">
        <f t="shared" si="37"/>
        <v>2227.3710000000001</v>
      </c>
      <c r="Q46" s="20">
        <f t="shared" si="37"/>
        <v>5022.6475</v>
      </c>
      <c r="R46" s="7">
        <f t="shared" si="37"/>
        <v>20802.474000000002</v>
      </c>
      <c r="S46" s="11">
        <f t="shared" si="26"/>
        <v>0.35639317126401893</v>
      </c>
      <c r="T46" s="11">
        <f t="shared" si="27"/>
        <v>0.36863442329016705</v>
      </c>
      <c r="U46" s="11">
        <f t="shared" si="28"/>
        <v>0.3780443781815101</v>
      </c>
      <c r="V46" s="11">
        <f t="shared" si="29"/>
        <v>0.38134906686372999</v>
      </c>
      <c r="W46" s="11">
        <f t="shared" si="30"/>
        <v>0.33396298936002017</v>
      </c>
      <c r="X46" s="11">
        <f t="shared" si="31"/>
        <v>0.31973436440632513</v>
      </c>
      <c r="Y46" s="13">
        <f t="shared" si="32"/>
        <v>0.35234721721146961</v>
      </c>
    </row>
    <row r="47" spans="3:25" x14ac:dyDescent="0.4">
      <c r="C47" s="60" t="s">
        <v>20</v>
      </c>
      <c r="D47" s="22" t="s">
        <v>21</v>
      </c>
      <c r="E47" s="20">
        <f t="shared" ref="E47:J48" si="38">(E30+E13)/2</f>
        <v>15153.264500000001</v>
      </c>
      <c r="F47" s="20">
        <f t="shared" si="38"/>
        <v>20111.595500000003</v>
      </c>
      <c r="G47" s="20">
        <f t="shared" si="38"/>
        <v>18736.905500000001</v>
      </c>
      <c r="H47" s="20">
        <f t="shared" si="38"/>
        <v>12795.383000000002</v>
      </c>
      <c r="I47" s="20">
        <f t="shared" si="38"/>
        <v>9275.4465</v>
      </c>
      <c r="J47" s="20">
        <f t="shared" si="38"/>
        <v>11159.661</v>
      </c>
      <c r="K47" s="7">
        <f>SUM(E47:J47)</f>
        <v>87232.256000000023</v>
      </c>
      <c r="L47" s="20">
        <f t="shared" ref="L47:Q48" si="39">(L30+L13)/2</f>
        <v>3023.0190000000002</v>
      </c>
      <c r="M47" s="20">
        <f t="shared" si="39"/>
        <v>3906.6230000000005</v>
      </c>
      <c r="N47" s="20">
        <f t="shared" si="39"/>
        <v>3510.0449999999996</v>
      </c>
      <c r="O47" s="20">
        <f t="shared" si="39"/>
        <v>2373.5304999999998</v>
      </c>
      <c r="P47" s="20">
        <f t="shared" si="39"/>
        <v>1714.2065</v>
      </c>
      <c r="Q47" s="20">
        <f t="shared" si="39"/>
        <v>1952.8150000000001</v>
      </c>
      <c r="R47" s="7">
        <f>SUM(L47:Q47)</f>
        <v>16480.238999999998</v>
      </c>
      <c r="S47" s="11">
        <f t="shared" si="26"/>
        <v>0.19949622076483917</v>
      </c>
      <c r="T47" s="11">
        <f t="shared" si="27"/>
        <v>0.19424729380620248</v>
      </c>
      <c r="U47" s="11">
        <f t="shared" si="28"/>
        <v>0.18733322853125345</v>
      </c>
      <c r="V47" s="11">
        <f t="shared" si="29"/>
        <v>0.18549898037440532</v>
      </c>
      <c r="W47" s="11">
        <f t="shared" si="30"/>
        <v>0.18481121097512665</v>
      </c>
      <c r="X47" s="11">
        <f t="shared" si="31"/>
        <v>0.17498873845719867</v>
      </c>
      <c r="Y47" s="13">
        <f t="shared" si="32"/>
        <v>0.18892368208383828</v>
      </c>
    </row>
    <row r="48" spans="3:25" x14ac:dyDescent="0.4">
      <c r="C48" s="60" t="s">
        <v>22</v>
      </c>
      <c r="D48" s="83" t="s">
        <v>23</v>
      </c>
      <c r="E48" s="20">
        <f t="shared" si="38"/>
        <v>1.4750000000000001</v>
      </c>
      <c r="F48" s="20">
        <f t="shared" si="38"/>
        <v>0</v>
      </c>
      <c r="G48" s="20">
        <f t="shared" si="38"/>
        <v>0</v>
      </c>
      <c r="H48" s="20">
        <f t="shared" si="38"/>
        <v>8.4075000000000006</v>
      </c>
      <c r="I48" s="20">
        <f t="shared" si="38"/>
        <v>8.84</v>
      </c>
      <c r="J48" s="20">
        <f t="shared" si="38"/>
        <v>7.24</v>
      </c>
      <c r="K48" s="7">
        <f>SUM(E48:J48)</f>
        <v>25.962499999999999</v>
      </c>
      <c r="L48" s="20">
        <f t="shared" si="39"/>
        <v>0.45450000000000002</v>
      </c>
      <c r="M48" s="20">
        <f t="shared" si="39"/>
        <v>0</v>
      </c>
      <c r="N48" s="20">
        <f t="shared" si="39"/>
        <v>0</v>
      </c>
      <c r="O48" s="20">
        <f t="shared" si="39"/>
        <v>2.5905</v>
      </c>
      <c r="P48" s="20">
        <f t="shared" si="39"/>
        <v>2.2679999999999998</v>
      </c>
      <c r="Q48" s="20">
        <f t="shared" si="39"/>
        <v>0.97299999999999998</v>
      </c>
      <c r="R48" s="7">
        <f>SUM(L48:Q48)</f>
        <v>6.2859999999999996</v>
      </c>
      <c r="S48" s="11">
        <f t="shared" si="26"/>
        <v>0.30813559322033895</v>
      </c>
      <c r="T48" s="11" t="str">
        <f t="shared" si="27"/>
        <v>***</v>
      </c>
      <c r="U48" s="11" t="str">
        <f t="shared" si="28"/>
        <v>***</v>
      </c>
      <c r="V48" s="11">
        <f t="shared" si="29"/>
        <v>0.30811775200713648</v>
      </c>
      <c r="W48" s="11">
        <f t="shared" si="30"/>
        <v>0.25656108597285066</v>
      </c>
      <c r="X48" s="11">
        <f t="shared" si="31"/>
        <v>0.13439226519337016</v>
      </c>
      <c r="Y48" s="13">
        <f t="shared" si="32"/>
        <v>0.24211844005777564</v>
      </c>
    </row>
    <row r="49" spans="3:25" x14ac:dyDescent="0.4">
      <c r="C49" s="82" t="s">
        <v>24</v>
      </c>
      <c r="D49" s="83"/>
      <c r="E49" s="20">
        <f t="shared" ref="E49:J49" si="40">SUM(E47:E48)</f>
        <v>15154.739500000001</v>
      </c>
      <c r="F49" s="20">
        <f t="shared" si="40"/>
        <v>20111.595500000003</v>
      </c>
      <c r="G49" s="20">
        <f t="shared" si="40"/>
        <v>18736.905500000001</v>
      </c>
      <c r="H49" s="20">
        <f t="shared" si="40"/>
        <v>12803.790500000001</v>
      </c>
      <c r="I49" s="20">
        <f t="shared" si="40"/>
        <v>9284.2865000000002</v>
      </c>
      <c r="J49" s="20">
        <f t="shared" si="40"/>
        <v>11166.901</v>
      </c>
      <c r="K49" s="7">
        <f>SUM(E49:J49)</f>
        <v>87258.218500000003</v>
      </c>
      <c r="L49" s="20">
        <f t="shared" ref="L49:Q49" si="41">SUM(L47:L48)</f>
        <v>3023.4735000000001</v>
      </c>
      <c r="M49" s="20">
        <f t="shared" si="41"/>
        <v>3906.6230000000005</v>
      </c>
      <c r="N49" s="20">
        <f t="shared" si="41"/>
        <v>3510.0449999999996</v>
      </c>
      <c r="O49" s="20">
        <f t="shared" si="41"/>
        <v>2376.1209999999996</v>
      </c>
      <c r="P49" s="20">
        <f t="shared" si="41"/>
        <v>1716.4745</v>
      </c>
      <c r="Q49" s="20">
        <f t="shared" si="41"/>
        <v>1953.788</v>
      </c>
      <c r="R49" s="7">
        <f>SUM(L49:Q49)</f>
        <v>16486.524999999998</v>
      </c>
      <c r="S49" s="11">
        <f t="shared" si="26"/>
        <v>0.19950679455757056</v>
      </c>
      <c r="T49" s="11">
        <f t="shared" si="27"/>
        <v>0.19424729380620248</v>
      </c>
      <c r="U49" s="11">
        <f t="shared" si="28"/>
        <v>0.18733322853125345</v>
      </c>
      <c r="V49" s="11">
        <f t="shared" si="29"/>
        <v>0.18557949694662682</v>
      </c>
      <c r="W49" s="11">
        <f t="shared" si="30"/>
        <v>0.18487952736055699</v>
      </c>
      <c r="X49" s="11">
        <f t="shared" si="31"/>
        <v>0.17496241795284118</v>
      </c>
      <c r="Y49" s="13">
        <f t="shared" si="32"/>
        <v>0.18893950946293955</v>
      </c>
    </row>
    <row r="50" spans="3:25" x14ac:dyDescent="0.4">
      <c r="C50" s="53" t="s">
        <v>5</v>
      </c>
      <c r="D50" s="54"/>
      <c r="E50" s="8">
        <f t="shared" ref="E50:R50" si="42">E43+E46+E49</f>
        <v>39478.554000000004</v>
      </c>
      <c r="F50" s="8">
        <f t="shared" si="42"/>
        <v>40963.292000000001</v>
      </c>
      <c r="G50" s="8">
        <f t="shared" si="42"/>
        <v>35386.029500000004</v>
      </c>
      <c r="H50" s="8">
        <f t="shared" si="42"/>
        <v>26224.643000000004</v>
      </c>
      <c r="I50" s="8">
        <f t="shared" si="42"/>
        <v>26702.302499999998</v>
      </c>
      <c r="J50" s="8">
        <f t="shared" si="42"/>
        <v>43303.749499999998</v>
      </c>
      <c r="K50" s="64">
        <f t="shared" si="42"/>
        <v>212058.5705</v>
      </c>
      <c r="L50" s="8">
        <f t="shared" si="42"/>
        <v>10981.51</v>
      </c>
      <c r="M50" s="8">
        <f t="shared" si="42"/>
        <v>11744.1855</v>
      </c>
      <c r="N50" s="8">
        <f t="shared" si="42"/>
        <v>10022.9125</v>
      </c>
      <c r="O50" s="8">
        <f t="shared" si="42"/>
        <v>7736.1719999999987</v>
      </c>
      <c r="P50" s="8">
        <f t="shared" si="42"/>
        <v>7904.0955000000004</v>
      </c>
      <c r="Q50" s="8">
        <f t="shared" si="42"/>
        <v>12733.124</v>
      </c>
      <c r="R50" s="64">
        <f t="shared" si="42"/>
        <v>61121.999499999991</v>
      </c>
      <c r="S50" s="14">
        <f t="shared" si="26"/>
        <v>0.27816393680477758</v>
      </c>
      <c r="T50" s="14">
        <f t="shared" si="27"/>
        <v>0.28670023639701614</v>
      </c>
      <c r="U50" s="14">
        <f t="shared" si="28"/>
        <v>0.28324490318983087</v>
      </c>
      <c r="V50" s="14">
        <f t="shared" si="29"/>
        <v>0.29499627506845366</v>
      </c>
      <c r="W50" s="14">
        <f t="shared" si="30"/>
        <v>0.29600801279215533</v>
      </c>
      <c r="X50" s="14">
        <f t="shared" si="31"/>
        <v>0.29404206672680849</v>
      </c>
      <c r="Y50" s="16">
        <f t="shared" si="32"/>
        <v>0.28823168691500722</v>
      </c>
    </row>
    <row r="51" spans="3:25" x14ac:dyDescent="0.4">
      <c r="C51" s="74" t="s">
        <v>25</v>
      </c>
      <c r="D51" s="75"/>
      <c r="E51" s="98">
        <f t="shared" ref="E51:J51" si="43">(E34+E17)/2</f>
        <v>0</v>
      </c>
      <c r="F51" s="98">
        <f t="shared" si="43"/>
        <v>8671.2939999999999</v>
      </c>
      <c r="G51" s="98">
        <f t="shared" si="43"/>
        <v>0</v>
      </c>
      <c r="H51" s="98">
        <f t="shared" si="43"/>
        <v>0</v>
      </c>
      <c r="I51" s="98">
        <f t="shared" si="43"/>
        <v>0</v>
      </c>
      <c r="J51" s="98">
        <f t="shared" si="43"/>
        <v>0</v>
      </c>
      <c r="K51" s="103">
        <f>SUM(E51:J51)</f>
        <v>8671.2939999999999</v>
      </c>
      <c r="L51" s="98">
        <f t="shared" ref="L51:Q51" si="44">(L34+L17)/2</f>
        <v>0</v>
      </c>
      <c r="M51" s="98">
        <f t="shared" si="44"/>
        <v>3581.357</v>
      </c>
      <c r="N51" s="98">
        <f t="shared" si="44"/>
        <v>0</v>
      </c>
      <c r="O51" s="98">
        <f t="shared" si="44"/>
        <v>0</v>
      </c>
      <c r="P51" s="98">
        <f t="shared" si="44"/>
        <v>0</v>
      </c>
      <c r="Q51" s="98">
        <f t="shared" si="44"/>
        <v>0</v>
      </c>
      <c r="R51" s="103">
        <f>SUM(L51:Q51)</f>
        <v>3581.357</v>
      </c>
      <c r="S51" s="101" t="str">
        <f t="shared" si="26"/>
        <v>***</v>
      </c>
      <c r="T51" s="101">
        <f t="shared" si="27"/>
        <v>0.41301298283739429</v>
      </c>
      <c r="U51" s="101" t="str">
        <f t="shared" si="28"/>
        <v>***</v>
      </c>
      <c r="V51" s="101" t="str">
        <f t="shared" si="29"/>
        <v>***</v>
      </c>
      <c r="W51" s="101" t="str">
        <f t="shared" si="30"/>
        <v>***</v>
      </c>
      <c r="X51" s="101" t="str">
        <f t="shared" si="31"/>
        <v>***</v>
      </c>
      <c r="Y51" s="102">
        <f t="shared" si="32"/>
        <v>0.41301298283739429</v>
      </c>
    </row>
    <row r="52" spans="3:25" x14ac:dyDescent="0.4">
      <c r="E52" s="17"/>
      <c r="F52" s="17"/>
      <c r="G52" s="17"/>
      <c r="H52" s="17"/>
      <c r="I52" s="17"/>
      <c r="J52" s="17"/>
      <c r="K52" s="18"/>
      <c r="L52" s="17"/>
      <c r="M52" s="17"/>
      <c r="N52" s="17"/>
      <c r="O52" s="17"/>
      <c r="P52" s="17"/>
      <c r="Q52" s="17"/>
      <c r="R52" s="18"/>
      <c r="S52" s="19"/>
      <c r="T52" s="19"/>
      <c r="U52" s="19"/>
      <c r="V52" s="19"/>
      <c r="W52" s="19"/>
      <c r="X52" s="19"/>
      <c r="Y52" s="19"/>
    </row>
    <row r="53" spans="3:25" x14ac:dyDescent="0.4">
      <c r="C53" s="18" t="s">
        <v>28</v>
      </c>
    </row>
    <row r="54" spans="3:25" x14ac:dyDescent="0.4">
      <c r="C54" s="120"/>
      <c r="D54" s="119"/>
      <c r="E54" s="120" t="s">
        <v>2</v>
      </c>
      <c r="F54" s="118"/>
      <c r="G54" s="118"/>
      <c r="H54" s="118"/>
      <c r="I54" s="118"/>
      <c r="J54" s="118"/>
      <c r="K54" s="119"/>
      <c r="L54" s="117" t="s">
        <v>3</v>
      </c>
      <c r="M54" s="118"/>
      <c r="N54" s="118"/>
      <c r="O54" s="118"/>
      <c r="P54" s="118"/>
      <c r="Q54" s="118"/>
      <c r="R54" s="119"/>
      <c r="S54" s="117" t="s">
        <v>4</v>
      </c>
      <c r="T54" s="118"/>
      <c r="U54" s="118"/>
      <c r="V54" s="118"/>
      <c r="W54" s="118"/>
      <c r="X54" s="118"/>
      <c r="Y54" s="119"/>
    </row>
    <row r="55" spans="3:25" x14ac:dyDescent="0.4">
      <c r="C55" s="1"/>
      <c r="D55" s="21"/>
      <c r="E55" s="61">
        <v>46113</v>
      </c>
      <c r="F55" s="2">
        <v>46143</v>
      </c>
      <c r="G55" s="2">
        <v>46174</v>
      </c>
      <c r="H55" s="2">
        <v>46204</v>
      </c>
      <c r="I55" s="2">
        <v>46235</v>
      </c>
      <c r="J55" s="2">
        <v>46266</v>
      </c>
      <c r="K55" s="10" t="s">
        <v>5</v>
      </c>
      <c r="L55" s="95">
        <v>46113</v>
      </c>
      <c r="M55" s="2">
        <v>46143</v>
      </c>
      <c r="N55" s="2">
        <v>46174</v>
      </c>
      <c r="O55" s="2">
        <v>46204</v>
      </c>
      <c r="P55" s="2">
        <v>46235</v>
      </c>
      <c r="Q55" s="2">
        <v>46266</v>
      </c>
      <c r="R55" s="10" t="s">
        <v>5</v>
      </c>
      <c r="S55" s="95">
        <v>46113</v>
      </c>
      <c r="T55" s="2">
        <v>46143</v>
      </c>
      <c r="U55" s="2">
        <v>46174</v>
      </c>
      <c r="V55" s="2">
        <v>46204</v>
      </c>
      <c r="W55" s="2">
        <v>46235</v>
      </c>
      <c r="X55" s="2">
        <v>46266</v>
      </c>
      <c r="Y55" s="10" t="s">
        <v>5</v>
      </c>
    </row>
    <row r="56" spans="3:25" x14ac:dyDescent="0.4">
      <c r="C56" s="60" t="s">
        <v>6</v>
      </c>
      <c r="D56" s="22" t="s">
        <v>7</v>
      </c>
      <c r="E56" s="3">
        <v>8690</v>
      </c>
      <c r="F56" s="20">
        <v>4400</v>
      </c>
      <c r="G56" s="20">
        <v>2060</v>
      </c>
      <c r="H56" s="20">
        <v>2600</v>
      </c>
      <c r="I56" s="20">
        <v>5310</v>
      </c>
      <c r="J56" s="20">
        <v>8440</v>
      </c>
      <c r="K56" s="62">
        <f t="shared" ref="K56:K62" si="45">SUM(E56:J56)</f>
        <v>31500</v>
      </c>
      <c r="L56" s="20">
        <v>2370</v>
      </c>
      <c r="M56" s="4">
        <v>1310</v>
      </c>
      <c r="N56" s="4">
        <v>540</v>
      </c>
      <c r="O56" s="20">
        <v>590</v>
      </c>
      <c r="P56" s="4">
        <v>1460</v>
      </c>
      <c r="Q56" s="4">
        <v>1690</v>
      </c>
      <c r="R56" s="62">
        <f t="shared" ref="R56:R62" si="46">SUM(L56:Q56)</f>
        <v>7960</v>
      </c>
      <c r="S56" s="96">
        <f t="shared" ref="S56:S68" si="47">IF(E56=0,"***",L56/E56)</f>
        <v>0.27272727272727271</v>
      </c>
      <c r="T56" s="11">
        <f t="shared" ref="T56:T68" si="48">IF(F56=0,"***",M56/F56)</f>
        <v>0.29772727272727273</v>
      </c>
      <c r="U56" s="11">
        <f t="shared" ref="U56:U68" si="49">IF(G56=0,"***",N56/G56)</f>
        <v>0.26213592233009708</v>
      </c>
      <c r="V56" s="11">
        <f t="shared" ref="V56:V68" si="50">IF(H56=0,"***",O56/H56)</f>
        <v>0.22692307692307692</v>
      </c>
      <c r="W56" s="11">
        <f t="shared" ref="W56:W68" si="51">IF(I56=0,"***",P56/I56)</f>
        <v>0.27495291902071561</v>
      </c>
      <c r="X56" s="11">
        <f t="shared" ref="X56:X68" si="52">IF(J56=0,"***",Q56/J56)</f>
        <v>0.20023696682464456</v>
      </c>
      <c r="Y56" s="13">
        <f t="shared" ref="Y56:Y68" si="53">IF(K56=0,"***",R56/K56)</f>
        <v>0.2526984126984127</v>
      </c>
    </row>
    <row r="57" spans="3:25" x14ac:dyDescent="0.4">
      <c r="C57" s="60" t="s">
        <v>8</v>
      </c>
      <c r="D57" s="22" t="s">
        <v>9</v>
      </c>
      <c r="E57" s="3">
        <v>3810</v>
      </c>
      <c r="F57" s="20">
        <v>3300</v>
      </c>
      <c r="G57" s="20">
        <v>4690</v>
      </c>
      <c r="H57" s="20">
        <v>3660</v>
      </c>
      <c r="I57" s="20">
        <v>2900</v>
      </c>
      <c r="J57" s="20">
        <v>5110</v>
      </c>
      <c r="K57" s="62">
        <f t="shared" si="45"/>
        <v>23470</v>
      </c>
      <c r="L57" s="20">
        <v>1140</v>
      </c>
      <c r="M57" s="4">
        <v>990</v>
      </c>
      <c r="N57" s="4">
        <v>1410</v>
      </c>
      <c r="O57" s="20">
        <v>1100</v>
      </c>
      <c r="P57" s="4">
        <v>870</v>
      </c>
      <c r="Q57" s="4">
        <v>1530</v>
      </c>
      <c r="R57" s="62">
        <f t="shared" si="46"/>
        <v>7040</v>
      </c>
      <c r="S57" s="96">
        <f t="shared" si="47"/>
        <v>0.29921259842519687</v>
      </c>
      <c r="T57" s="11">
        <f t="shared" si="48"/>
        <v>0.3</v>
      </c>
      <c r="U57" s="11">
        <f t="shared" si="49"/>
        <v>0.3006396588486141</v>
      </c>
      <c r="V57" s="11">
        <f t="shared" si="50"/>
        <v>0.30054644808743169</v>
      </c>
      <c r="W57" s="11">
        <f t="shared" si="51"/>
        <v>0.3</v>
      </c>
      <c r="X57" s="11">
        <f t="shared" si="52"/>
        <v>0.299412915851272</v>
      </c>
      <c r="Y57" s="13">
        <f t="shared" si="53"/>
        <v>0.29995739241585001</v>
      </c>
    </row>
    <row r="58" spans="3:25" x14ac:dyDescent="0.4">
      <c r="C58" s="60" t="s">
        <v>10</v>
      </c>
      <c r="D58" s="22" t="s">
        <v>11</v>
      </c>
      <c r="E58" s="3">
        <v>580</v>
      </c>
      <c r="F58" s="20">
        <v>380</v>
      </c>
      <c r="G58" s="20">
        <v>50</v>
      </c>
      <c r="H58" s="20">
        <v>40</v>
      </c>
      <c r="I58" s="20">
        <v>600</v>
      </c>
      <c r="J58" s="20">
        <v>520</v>
      </c>
      <c r="K58" s="62">
        <f t="shared" si="45"/>
        <v>2170</v>
      </c>
      <c r="L58" s="20">
        <v>260</v>
      </c>
      <c r="M58" s="4">
        <v>170</v>
      </c>
      <c r="N58" s="4">
        <v>20</v>
      </c>
      <c r="O58" s="20">
        <v>20</v>
      </c>
      <c r="P58" s="4">
        <v>300</v>
      </c>
      <c r="Q58" s="4">
        <v>360</v>
      </c>
      <c r="R58" s="62">
        <f t="shared" si="46"/>
        <v>1130</v>
      </c>
      <c r="S58" s="96">
        <f t="shared" si="47"/>
        <v>0.44827586206896552</v>
      </c>
      <c r="T58" s="11">
        <f t="shared" si="48"/>
        <v>0.44736842105263158</v>
      </c>
      <c r="U58" s="11">
        <f t="shared" si="49"/>
        <v>0.4</v>
      </c>
      <c r="V58" s="11">
        <f t="shared" si="50"/>
        <v>0.5</v>
      </c>
      <c r="W58" s="11">
        <f t="shared" si="51"/>
        <v>0.5</v>
      </c>
      <c r="X58" s="11">
        <f t="shared" si="52"/>
        <v>0.69230769230769229</v>
      </c>
      <c r="Y58" s="13">
        <f t="shared" si="53"/>
        <v>0.52073732718894006</v>
      </c>
    </row>
    <row r="59" spans="3:25" x14ac:dyDescent="0.4">
      <c r="C59" s="60" t="s">
        <v>12</v>
      </c>
      <c r="D59" s="22" t="s">
        <v>13</v>
      </c>
      <c r="E59" s="3">
        <v>3680</v>
      </c>
      <c r="F59" s="20">
        <v>5200</v>
      </c>
      <c r="G59" s="20">
        <v>4720</v>
      </c>
      <c r="H59" s="20">
        <v>3850</v>
      </c>
      <c r="I59" s="20">
        <v>2300</v>
      </c>
      <c r="J59" s="20">
        <v>3540</v>
      </c>
      <c r="K59" s="62">
        <f t="shared" si="45"/>
        <v>23290</v>
      </c>
      <c r="L59" s="20">
        <v>1940</v>
      </c>
      <c r="M59" s="4">
        <v>2700</v>
      </c>
      <c r="N59" s="4">
        <v>1890</v>
      </c>
      <c r="O59" s="20">
        <v>1930</v>
      </c>
      <c r="P59" s="4">
        <v>1250</v>
      </c>
      <c r="Q59" s="4">
        <v>1770</v>
      </c>
      <c r="R59" s="62">
        <f t="shared" si="46"/>
        <v>11480</v>
      </c>
      <c r="S59" s="96">
        <f t="shared" si="47"/>
        <v>0.52717391304347827</v>
      </c>
      <c r="T59" s="11">
        <f t="shared" si="48"/>
        <v>0.51923076923076927</v>
      </c>
      <c r="U59" s="11">
        <f t="shared" si="49"/>
        <v>0.40042372881355931</v>
      </c>
      <c r="V59" s="11">
        <f t="shared" si="50"/>
        <v>0.50129870129870124</v>
      </c>
      <c r="W59" s="11">
        <f t="shared" si="51"/>
        <v>0.54347826086956519</v>
      </c>
      <c r="X59" s="11">
        <f t="shared" si="52"/>
        <v>0.5</v>
      </c>
      <c r="Y59" s="13">
        <f t="shared" si="53"/>
        <v>0.49291541434091884</v>
      </c>
    </row>
    <row r="60" spans="3:25" x14ac:dyDescent="0.4">
      <c r="C60" s="60" t="s">
        <v>14</v>
      </c>
      <c r="D60" s="22"/>
      <c r="E60" s="3">
        <f t="shared" ref="E60:J60" si="54">SUM(E56:E59)</f>
        <v>16760</v>
      </c>
      <c r="F60" s="4">
        <f t="shared" si="54"/>
        <v>13280</v>
      </c>
      <c r="G60" s="4">
        <f t="shared" si="54"/>
        <v>11520</v>
      </c>
      <c r="H60" s="4">
        <f t="shared" si="54"/>
        <v>10150</v>
      </c>
      <c r="I60" s="4">
        <f t="shared" si="54"/>
        <v>11110</v>
      </c>
      <c r="J60" s="4">
        <f t="shared" si="54"/>
        <v>17610</v>
      </c>
      <c r="K60" s="62">
        <f t="shared" si="45"/>
        <v>80430</v>
      </c>
      <c r="L60" s="3">
        <f t="shared" ref="L60:Q60" si="55">SUM(L56:L59)</f>
        <v>5710</v>
      </c>
      <c r="M60" s="4">
        <f t="shared" si="55"/>
        <v>5170</v>
      </c>
      <c r="N60" s="4">
        <f t="shared" si="55"/>
        <v>3860</v>
      </c>
      <c r="O60" s="4">
        <f t="shared" si="55"/>
        <v>3640</v>
      </c>
      <c r="P60" s="4">
        <f t="shared" si="55"/>
        <v>3880</v>
      </c>
      <c r="Q60" s="4">
        <f t="shared" si="55"/>
        <v>5350</v>
      </c>
      <c r="R60" s="62">
        <f t="shared" si="46"/>
        <v>27610</v>
      </c>
      <c r="S60" s="96">
        <f t="shared" si="47"/>
        <v>0.34069212410501193</v>
      </c>
      <c r="T60" s="11">
        <f t="shared" si="48"/>
        <v>0.38930722891566266</v>
      </c>
      <c r="U60" s="11">
        <f t="shared" si="49"/>
        <v>0.33506944444444442</v>
      </c>
      <c r="V60" s="11">
        <f t="shared" si="50"/>
        <v>0.35862068965517241</v>
      </c>
      <c r="W60" s="11">
        <f t="shared" si="51"/>
        <v>0.34923492349234925</v>
      </c>
      <c r="X60" s="11">
        <f t="shared" si="52"/>
        <v>0.3038046564452016</v>
      </c>
      <c r="Y60" s="13">
        <f t="shared" si="53"/>
        <v>0.34327987069501431</v>
      </c>
    </row>
    <row r="61" spans="3:25" x14ac:dyDescent="0.4">
      <c r="C61" s="60" t="s">
        <v>15</v>
      </c>
      <c r="D61" s="22" t="s">
        <v>16</v>
      </c>
      <c r="E61" s="3">
        <v>5500</v>
      </c>
      <c r="F61" s="20">
        <v>6400</v>
      </c>
      <c r="G61" s="20">
        <v>6700</v>
      </c>
      <c r="H61" s="20">
        <v>4800</v>
      </c>
      <c r="I61" s="20">
        <v>5700</v>
      </c>
      <c r="J61" s="20">
        <v>12500</v>
      </c>
      <c r="K61" s="62">
        <f t="shared" si="45"/>
        <v>41600</v>
      </c>
      <c r="L61" s="20">
        <v>1100</v>
      </c>
      <c r="M61" s="4">
        <v>1570</v>
      </c>
      <c r="N61" s="4">
        <v>1310</v>
      </c>
      <c r="O61" s="4">
        <v>750</v>
      </c>
      <c r="P61" s="4">
        <v>1090</v>
      </c>
      <c r="Q61" s="4">
        <v>2340</v>
      </c>
      <c r="R61" s="62">
        <f t="shared" si="46"/>
        <v>8160</v>
      </c>
      <c r="S61" s="96">
        <f t="shared" si="47"/>
        <v>0.2</v>
      </c>
      <c r="T61" s="11">
        <f t="shared" si="48"/>
        <v>0.24531249999999999</v>
      </c>
      <c r="U61" s="11">
        <f t="shared" si="49"/>
        <v>0.19552238805970149</v>
      </c>
      <c r="V61" s="11">
        <f t="shared" si="50"/>
        <v>0.15625</v>
      </c>
      <c r="W61" s="11">
        <f t="shared" si="51"/>
        <v>0.19122807017543861</v>
      </c>
      <c r="X61" s="11">
        <f t="shared" si="52"/>
        <v>0.18720000000000001</v>
      </c>
      <c r="Y61" s="13">
        <f t="shared" si="53"/>
        <v>0.19615384615384615</v>
      </c>
    </row>
    <row r="62" spans="3:25" x14ac:dyDescent="0.4">
      <c r="C62" s="60" t="s">
        <v>17</v>
      </c>
      <c r="D62" s="22" t="s">
        <v>18</v>
      </c>
      <c r="E62" s="3">
        <v>4110</v>
      </c>
      <c r="F62" s="20">
        <v>4540</v>
      </c>
      <c r="G62" s="20">
        <v>4100</v>
      </c>
      <c r="H62" s="20">
        <v>4410</v>
      </c>
      <c r="I62" s="20">
        <v>1540</v>
      </c>
      <c r="J62" s="20">
        <v>4950</v>
      </c>
      <c r="K62" s="62">
        <f t="shared" si="45"/>
        <v>23650</v>
      </c>
      <c r="L62" s="20">
        <v>2690</v>
      </c>
      <c r="M62" s="4">
        <v>2880</v>
      </c>
      <c r="N62" s="4">
        <v>2920</v>
      </c>
      <c r="O62" s="4">
        <v>3130</v>
      </c>
      <c r="P62" s="4">
        <v>1130</v>
      </c>
      <c r="Q62" s="4">
        <v>3120</v>
      </c>
      <c r="R62" s="62">
        <f t="shared" si="46"/>
        <v>15870</v>
      </c>
      <c r="S62" s="96">
        <f t="shared" si="47"/>
        <v>0.65450121654501214</v>
      </c>
      <c r="T62" s="11">
        <f t="shared" si="48"/>
        <v>0.63436123348017626</v>
      </c>
      <c r="U62" s="11">
        <f t="shared" si="49"/>
        <v>0.71219512195121948</v>
      </c>
      <c r="V62" s="11">
        <f t="shared" si="50"/>
        <v>0.70975056689342408</v>
      </c>
      <c r="W62" s="11">
        <f t="shared" si="51"/>
        <v>0.73376623376623373</v>
      </c>
      <c r="X62" s="11">
        <f t="shared" si="52"/>
        <v>0.63030303030303025</v>
      </c>
      <c r="Y62" s="13">
        <f t="shared" si="53"/>
        <v>0.67103594080338269</v>
      </c>
    </row>
    <row r="63" spans="3:25" x14ac:dyDescent="0.4">
      <c r="C63" s="60" t="s">
        <v>19</v>
      </c>
      <c r="D63" s="22"/>
      <c r="E63" s="3">
        <f t="shared" ref="E63:R63" si="56">SUM(E61:E62)</f>
        <v>9610</v>
      </c>
      <c r="F63" s="20">
        <f t="shared" si="56"/>
        <v>10940</v>
      </c>
      <c r="G63" s="20">
        <f t="shared" si="56"/>
        <v>10800</v>
      </c>
      <c r="H63" s="20">
        <f t="shared" si="56"/>
        <v>9210</v>
      </c>
      <c r="I63" s="20">
        <f t="shared" si="56"/>
        <v>7240</v>
      </c>
      <c r="J63" s="20">
        <f t="shared" si="56"/>
        <v>17450</v>
      </c>
      <c r="K63" s="62">
        <f t="shared" si="56"/>
        <v>65250</v>
      </c>
      <c r="L63" s="3">
        <f t="shared" si="56"/>
        <v>3790</v>
      </c>
      <c r="M63" s="20">
        <f t="shared" si="56"/>
        <v>4450</v>
      </c>
      <c r="N63" s="20">
        <f t="shared" si="56"/>
        <v>4230</v>
      </c>
      <c r="O63" s="20">
        <f t="shared" si="56"/>
        <v>3880</v>
      </c>
      <c r="P63" s="20">
        <f t="shared" si="56"/>
        <v>2220</v>
      </c>
      <c r="Q63" s="20">
        <f t="shared" si="56"/>
        <v>5460</v>
      </c>
      <c r="R63" s="62">
        <f t="shared" si="56"/>
        <v>24030</v>
      </c>
      <c r="S63" s="96">
        <f t="shared" si="47"/>
        <v>0.39438085327783556</v>
      </c>
      <c r="T63" s="11">
        <f t="shared" si="48"/>
        <v>0.40676416819012795</v>
      </c>
      <c r="U63" s="11">
        <f t="shared" si="49"/>
        <v>0.39166666666666666</v>
      </c>
      <c r="V63" s="11">
        <f t="shared" si="50"/>
        <v>0.42128121606948971</v>
      </c>
      <c r="W63" s="11">
        <f t="shared" si="51"/>
        <v>0.30662983425414364</v>
      </c>
      <c r="X63" s="11">
        <f t="shared" si="52"/>
        <v>0.31289398280802294</v>
      </c>
      <c r="Y63" s="13">
        <f t="shared" si="53"/>
        <v>0.36827586206896551</v>
      </c>
    </row>
    <row r="64" spans="3:25" x14ac:dyDescent="0.4">
      <c r="C64" s="60" t="s">
        <v>20</v>
      </c>
      <c r="D64" s="22" t="s">
        <v>21</v>
      </c>
      <c r="E64" s="3">
        <v>15310</v>
      </c>
      <c r="F64" s="20">
        <v>22000</v>
      </c>
      <c r="G64" s="20">
        <v>20240</v>
      </c>
      <c r="H64" s="20">
        <v>13600</v>
      </c>
      <c r="I64" s="20">
        <v>10200</v>
      </c>
      <c r="J64" s="20">
        <v>11000</v>
      </c>
      <c r="K64" s="62">
        <f>SUM(E64:J64)</f>
        <v>92350</v>
      </c>
      <c r="L64" s="20">
        <v>3890</v>
      </c>
      <c r="M64" s="20">
        <v>4990</v>
      </c>
      <c r="N64" s="20">
        <v>4250</v>
      </c>
      <c r="O64" s="20">
        <v>2720</v>
      </c>
      <c r="P64" s="20">
        <v>2040</v>
      </c>
      <c r="Q64" s="20">
        <v>2200</v>
      </c>
      <c r="R64" s="62">
        <f>SUM(L64:Q64)</f>
        <v>20090</v>
      </c>
      <c r="S64" s="96">
        <f t="shared" si="47"/>
        <v>0.25408229915088176</v>
      </c>
      <c r="T64" s="11">
        <f t="shared" si="48"/>
        <v>0.22681818181818181</v>
      </c>
      <c r="U64" s="11">
        <f t="shared" si="49"/>
        <v>0.20998023715415021</v>
      </c>
      <c r="V64" s="11">
        <f t="shared" si="50"/>
        <v>0.2</v>
      </c>
      <c r="W64" s="11">
        <f t="shared" si="51"/>
        <v>0.2</v>
      </c>
      <c r="X64" s="11">
        <f t="shared" si="52"/>
        <v>0.2</v>
      </c>
      <c r="Y64" s="13">
        <f t="shared" si="53"/>
        <v>0.21754195993502978</v>
      </c>
    </row>
    <row r="65" spans="3:25" x14ac:dyDescent="0.4">
      <c r="C65" s="60" t="s">
        <v>22</v>
      </c>
      <c r="D65" s="83" t="s">
        <v>23</v>
      </c>
      <c r="E65" s="88">
        <v>30</v>
      </c>
      <c r="F65" s="84">
        <v>30</v>
      </c>
      <c r="G65" s="84">
        <v>30</v>
      </c>
      <c r="H65" s="84">
        <v>30</v>
      </c>
      <c r="I65" s="84">
        <v>30</v>
      </c>
      <c r="J65" s="84">
        <v>30</v>
      </c>
      <c r="K65" s="89">
        <f>SUM(E65:J65)</f>
        <v>180</v>
      </c>
      <c r="L65" s="84">
        <v>10</v>
      </c>
      <c r="M65" s="84">
        <v>10</v>
      </c>
      <c r="N65" s="84">
        <v>10</v>
      </c>
      <c r="O65" s="84">
        <v>10</v>
      </c>
      <c r="P65" s="84">
        <v>10</v>
      </c>
      <c r="Q65" s="84">
        <v>10</v>
      </c>
      <c r="R65" s="62">
        <f>SUM(L65:Q65)</f>
        <v>60</v>
      </c>
      <c r="S65" s="96">
        <f t="shared" si="47"/>
        <v>0.33333333333333331</v>
      </c>
      <c r="T65" s="11">
        <f t="shared" si="48"/>
        <v>0.33333333333333331</v>
      </c>
      <c r="U65" s="11">
        <f t="shared" si="49"/>
        <v>0.33333333333333331</v>
      </c>
      <c r="V65" s="11">
        <f t="shared" si="50"/>
        <v>0.33333333333333331</v>
      </c>
      <c r="W65" s="11">
        <f t="shared" si="51"/>
        <v>0.33333333333333331</v>
      </c>
      <c r="X65" s="11">
        <f t="shared" si="52"/>
        <v>0.33333333333333331</v>
      </c>
      <c r="Y65" s="13">
        <f t="shared" si="53"/>
        <v>0.33333333333333331</v>
      </c>
    </row>
    <row r="66" spans="3:25" x14ac:dyDescent="0.4">
      <c r="C66" s="82" t="s">
        <v>24</v>
      </c>
      <c r="D66" s="83"/>
      <c r="E66" s="84">
        <f t="shared" ref="E66:J66" si="57">E64+E65</f>
        <v>15340</v>
      </c>
      <c r="F66" s="84">
        <f t="shared" si="57"/>
        <v>22030</v>
      </c>
      <c r="G66" s="84">
        <f t="shared" si="57"/>
        <v>20270</v>
      </c>
      <c r="H66" s="84">
        <f t="shared" si="57"/>
        <v>13630</v>
      </c>
      <c r="I66" s="84">
        <f t="shared" si="57"/>
        <v>10230</v>
      </c>
      <c r="J66" s="84">
        <f t="shared" si="57"/>
        <v>11030</v>
      </c>
      <c r="K66" s="62">
        <f>SUM(E66:J66)</f>
        <v>92530</v>
      </c>
      <c r="L66" s="84">
        <f t="shared" ref="L66:Q66" si="58">L64+L65</f>
        <v>3900</v>
      </c>
      <c r="M66" s="84">
        <f t="shared" si="58"/>
        <v>5000</v>
      </c>
      <c r="N66" s="84">
        <f t="shared" si="58"/>
        <v>4260</v>
      </c>
      <c r="O66" s="84">
        <f t="shared" si="58"/>
        <v>2730</v>
      </c>
      <c r="P66" s="84">
        <f t="shared" si="58"/>
        <v>2050</v>
      </c>
      <c r="Q66" s="84">
        <f t="shared" si="58"/>
        <v>2210</v>
      </c>
      <c r="R66" s="62">
        <f>SUM(L66:Q66)</f>
        <v>20150</v>
      </c>
      <c r="S66" s="65">
        <f t="shared" si="47"/>
        <v>0.25423728813559321</v>
      </c>
      <c r="T66" s="11">
        <f t="shared" si="48"/>
        <v>0.22696323195642307</v>
      </c>
      <c r="U66" s="11">
        <f t="shared" si="49"/>
        <v>0.21016280217069561</v>
      </c>
      <c r="V66" s="11">
        <f t="shared" si="50"/>
        <v>0.20029347028613353</v>
      </c>
      <c r="W66" s="11">
        <f t="shared" si="51"/>
        <v>0.20039100684261973</v>
      </c>
      <c r="X66" s="11">
        <f t="shared" si="52"/>
        <v>0.20036264732547598</v>
      </c>
      <c r="Y66" s="13">
        <f t="shared" si="53"/>
        <v>0.21776721063438884</v>
      </c>
    </row>
    <row r="67" spans="3:25" x14ac:dyDescent="0.4">
      <c r="C67" s="53" t="s">
        <v>5</v>
      </c>
      <c r="D67" s="54"/>
      <c r="E67" s="8">
        <f t="shared" ref="E67:R67" si="59">E60+E63+E66</f>
        <v>41710</v>
      </c>
      <c r="F67" s="8">
        <f t="shared" si="59"/>
        <v>46250</v>
      </c>
      <c r="G67" s="8">
        <f t="shared" si="59"/>
        <v>42590</v>
      </c>
      <c r="H67" s="8">
        <f t="shared" si="59"/>
        <v>32990</v>
      </c>
      <c r="I67" s="8">
        <f t="shared" si="59"/>
        <v>28580</v>
      </c>
      <c r="J67" s="8">
        <f t="shared" si="59"/>
        <v>46090</v>
      </c>
      <c r="K67" s="64">
        <f t="shared" si="59"/>
        <v>238210</v>
      </c>
      <c r="L67" s="8">
        <f t="shared" si="59"/>
        <v>13400</v>
      </c>
      <c r="M67" s="8">
        <f t="shared" si="59"/>
        <v>14620</v>
      </c>
      <c r="N67" s="8">
        <f t="shared" si="59"/>
        <v>12350</v>
      </c>
      <c r="O67" s="8">
        <f t="shared" si="59"/>
        <v>10250</v>
      </c>
      <c r="P67" s="8">
        <f t="shared" si="59"/>
        <v>8150</v>
      </c>
      <c r="Q67" s="8">
        <f t="shared" si="59"/>
        <v>13020</v>
      </c>
      <c r="R67" s="64">
        <f t="shared" si="59"/>
        <v>71790</v>
      </c>
      <c r="S67" s="91">
        <f t="shared" si="47"/>
        <v>0.32126588348117957</v>
      </c>
      <c r="T67" s="14">
        <f t="shared" si="48"/>
        <v>0.31610810810810813</v>
      </c>
      <c r="U67" s="14">
        <f t="shared" si="49"/>
        <v>0.2899741723409251</v>
      </c>
      <c r="V67" s="14">
        <f t="shared" si="50"/>
        <v>0.31070021218551075</v>
      </c>
      <c r="W67" s="14">
        <f t="shared" si="51"/>
        <v>0.28516445066480056</v>
      </c>
      <c r="X67" s="14">
        <f t="shared" si="52"/>
        <v>0.28249077891082663</v>
      </c>
      <c r="Y67" s="16">
        <f t="shared" si="53"/>
        <v>0.30137273834012007</v>
      </c>
    </row>
    <row r="68" spans="3:25" x14ac:dyDescent="0.4">
      <c r="C68" s="74" t="s">
        <v>25</v>
      </c>
      <c r="D68" s="75"/>
      <c r="E68" s="98">
        <f t="shared" ref="E68:J68" si="60">(E51+E34)/2</f>
        <v>0</v>
      </c>
      <c r="F68" s="98">
        <f t="shared" si="60"/>
        <v>8671.2939999999999</v>
      </c>
      <c r="G68" s="98">
        <f t="shared" si="60"/>
        <v>0</v>
      </c>
      <c r="H68" s="98">
        <f t="shared" si="60"/>
        <v>0</v>
      </c>
      <c r="I68" s="98">
        <f t="shared" si="60"/>
        <v>0</v>
      </c>
      <c r="J68" s="98">
        <f t="shared" si="60"/>
        <v>0</v>
      </c>
      <c r="K68" s="103">
        <f>SUM(E68:J68)</f>
        <v>8671.2939999999999</v>
      </c>
      <c r="L68" s="98">
        <f t="shared" ref="L68:Q68" si="61">(L51+L34)/2</f>
        <v>0</v>
      </c>
      <c r="M68" s="98">
        <f t="shared" si="61"/>
        <v>3581.357</v>
      </c>
      <c r="N68" s="98">
        <f t="shared" si="61"/>
        <v>0</v>
      </c>
      <c r="O68" s="98">
        <f t="shared" si="61"/>
        <v>0</v>
      </c>
      <c r="P68" s="98">
        <f t="shared" si="61"/>
        <v>0</v>
      </c>
      <c r="Q68" s="98">
        <f t="shared" si="61"/>
        <v>0</v>
      </c>
      <c r="R68" s="103">
        <f>SUM(L68:Q68)</f>
        <v>3581.357</v>
      </c>
      <c r="S68" s="101" t="str">
        <f t="shared" si="47"/>
        <v>***</v>
      </c>
      <c r="T68" s="101">
        <f t="shared" si="48"/>
        <v>0.41301298283739429</v>
      </c>
      <c r="U68" s="101" t="str">
        <f t="shared" si="49"/>
        <v>***</v>
      </c>
      <c r="V68" s="101" t="str">
        <f t="shared" si="50"/>
        <v>***</v>
      </c>
      <c r="W68" s="101" t="str">
        <f t="shared" si="51"/>
        <v>***</v>
      </c>
      <c r="X68" s="101" t="str">
        <f t="shared" si="52"/>
        <v>***</v>
      </c>
      <c r="Y68" s="102">
        <f t="shared" si="53"/>
        <v>0.41301298283739429</v>
      </c>
    </row>
    <row r="69" spans="3:25" x14ac:dyDescent="0.4">
      <c r="C69" s="18" t="s">
        <v>29</v>
      </c>
      <c r="E69" s="17"/>
      <c r="F69" s="17">
        <v>8671.2939999999999</v>
      </c>
      <c r="G69" s="17"/>
      <c r="H69" s="17"/>
      <c r="I69" s="17"/>
      <c r="J69" s="17"/>
      <c r="K69" s="18"/>
      <c r="L69" s="17"/>
      <c r="M69" s="17">
        <v>3581.357</v>
      </c>
      <c r="N69" s="17"/>
      <c r="O69" s="17"/>
      <c r="P69" s="17"/>
      <c r="Q69" s="17"/>
      <c r="R69" s="18"/>
      <c r="S69" s="19"/>
      <c r="T69" s="19"/>
      <c r="U69" s="19"/>
      <c r="V69" s="19"/>
      <c r="W69" s="19"/>
      <c r="X69" s="19"/>
      <c r="Y69" s="19"/>
    </row>
    <row r="70" spans="3:25" hidden="1" x14ac:dyDescent="0.4">
      <c r="C70" s="18" t="s">
        <v>30</v>
      </c>
    </row>
    <row r="71" spans="3:25" hidden="1" x14ac:dyDescent="0.4">
      <c r="C71" s="120"/>
      <c r="D71" s="119"/>
      <c r="E71" s="122" t="s">
        <v>2</v>
      </c>
      <c r="F71" s="118"/>
      <c r="G71" s="118"/>
      <c r="H71" s="118"/>
      <c r="I71" s="118"/>
      <c r="J71" s="118"/>
      <c r="K71" s="118"/>
      <c r="L71" s="121" t="s">
        <v>3</v>
      </c>
      <c r="M71" s="118"/>
      <c r="N71" s="118"/>
      <c r="O71" s="118"/>
      <c r="P71" s="118"/>
      <c r="Q71" s="118"/>
      <c r="R71" s="119"/>
      <c r="S71" s="117" t="s">
        <v>4</v>
      </c>
      <c r="T71" s="118"/>
      <c r="U71" s="118"/>
      <c r="V71" s="118"/>
      <c r="W71" s="118"/>
      <c r="X71" s="118"/>
      <c r="Y71" s="119"/>
    </row>
    <row r="72" spans="3:25" hidden="1" x14ac:dyDescent="0.4">
      <c r="C72" s="1"/>
      <c r="D72" s="21"/>
      <c r="E72" s="61">
        <v>46113</v>
      </c>
      <c r="F72" s="2">
        <v>46143</v>
      </c>
      <c r="G72" s="2">
        <v>46174</v>
      </c>
      <c r="H72" s="2">
        <v>46204</v>
      </c>
      <c r="I72" s="2">
        <v>46235</v>
      </c>
      <c r="J72" s="2">
        <v>46266</v>
      </c>
      <c r="K72" s="67" t="s">
        <v>5</v>
      </c>
      <c r="L72" s="61">
        <v>46113</v>
      </c>
      <c r="M72" s="2">
        <v>46143</v>
      </c>
      <c r="N72" s="2">
        <v>46174</v>
      </c>
      <c r="O72" s="2">
        <v>46204</v>
      </c>
      <c r="P72" s="2">
        <v>46235</v>
      </c>
      <c r="Q72" s="2">
        <v>46266</v>
      </c>
      <c r="R72" s="10" t="s">
        <v>5</v>
      </c>
      <c r="S72" s="95">
        <v>46113</v>
      </c>
      <c r="T72" s="2">
        <v>46143</v>
      </c>
      <c r="U72" s="2">
        <v>46174</v>
      </c>
      <c r="V72" s="2">
        <v>46204</v>
      </c>
      <c r="W72" s="2">
        <v>46235</v>
      </c>
      <c r="X72" s="2">
        <v>46266</v>
      </c>
      <c r="Y72" s="10" t="s">
        <v>5</v>
      </c>
    </row>
    <row r="73" spans="3:25" hidden="1" x14ac:dyDescent="0.4">
      <c r="C73" s="60" t="s">
        <v>6</v>
      </c>
      <c r="D73" s="22" t="s">
        <v>7</v>
      </c>
      <c r="E73" s="4">
        <f t="shared" ref="E73:J76" si="62">E56-E22</f>
        <v>-457.79600000000028</v>
      </c>
      <c r="F73" s="4">
        <f t="shared" si="62"/>
        <v>-44.471999999999753</v>
      </c>
      <c r="G73" s="4">
        <f t="shared" si="62"/>
        <v>-295.60199999999986</v>
      </c>
      <c r="H73" s="4">
        <f t="shared" si="62"/>
        <v>1058.316</v>
      </c>
      <c r="I73" s="4">
        <f t="shared" si="62"/>
        <v>2011.529</v>
      </c>
      <c r="J73" s="4">
        <f t="shared" si="62"/>
        <v>934.77000000000044</v>
      </c>
      <c r="K73" s="68">
        <f t="shared" ref="K73:K79" si="63">SUM(E73:J73)</f>
        <v>3206.7450000000008</v>
      </c>
      <c r="L73" s="3">
        <f t="shared" ref="L73:Q76" si="64">L56-L22</f>
        <v>562.2650000000001</v>
      </c>
      <c r="M73" s="4">
        <f t="shared" si="64"/>
        <v>330.26700000000005</v>
      </c>
      <c r="N73" s="4">
        <f t="shared" si="64"/>
        <v>-73.375999999999976</v>
      </c>
      <c r="O73" s="4">
        <f t="shared" si="64"/>
        <v>108.35399999999998</v>
      </c>
      <c r="P73" s="4">
        <f t="shared" si="64"/>
        <v>743.22399999999993</v>
      </c>
      <c r="Q73" s="4">
        <f t="shared" si="64"/>
        <v>150.31600000000003</v>
      </c>
      <c r="R73" s="62">
        <f t="shared" ref="R73:R79" si="65">SUM(L73:Q73)</f>
        <v>1821.0500000000002</v>
      </c>
      <c r="S73" s="96">
        <f t="shared" ref="S73:Y84" si="66">-S22</f>
        <v>-0.19761426686821612</v>
      </c>
      <c r="T73" s="11">
        <f t="shared" si="66"/>
        <v>-0.22043855828093867</v>
      </c>
      <c r="U73" s="11">
        <f t="shared" si="66"/>
        <v>-0.26039033758674002</v>
      </c>
      <c r="V73" s="11">
        <f t="shared" si="66"/>
        <v>-0.31241551446340499</v>
      </c>
      <c r="W73" s="11">
        <f t="shared" si="66"/>
        <v>-0.21730553338198216</v>
      </c>
      <c r="X73" s="11">
        <f t="shared" si="66"/>
        <v>-0.20514814336136269</v>
      </c>
      <c r="Y73" s="12">
        <f t="shared" si="66"/>
        <v>-0.21697574209824924</v>
      </c>
    </row>
    <row r="74" spans="3:25" hidden="1" x14ac:dyDescent="0.4">
      <c r="C74" s="60" t="s">
        <v>8</v>
      </c>
      <c r="D74" s="22" t="s">
        <v>9</v>
      </c>
      <c r="E74" s="4">
        <f t="shared" si="62"/>
        <v>3166.5879999999997</v>
      </c>
      <c r="F74" s="4">
        <f t="shared" si="62"/>
        <v>2616.5219999999999</v>
      </c>
      <c r="G74" s="4">
        <f t="shared" si="62"/>
        <v>2928.866</v>
      </c>
      <c r="H74" s="4">
        <f t="shared" si="62"/>
        <v>2.6599999999998545</v>
      </c>
      <c r="I74" s="4">
        <f t="shared" si="62"/>
        <v>1.1950000000001637</v>
      </c>
      <c r="J74" s="4">
        <f t="shared" si="62"/>
        <v>-8.3630000000002838</v>
      </c>
      <c r="K74" s="68">
        <f t="shared" si="63"/>
        <v>8707.4679999999971</v>
      </c>
      <c r="L74" s="3">
        <f t="shared" si="64"/>
        <v>965.36799999999994</v>
      </c>
      <c r="M74" s="4">
        <f t="shared" si="64"/>
        <v>742.90899999999999</v>
      </c>
      <c r="N74" s="4">
        <f t="shared" si="64"/>
        <v>662.10599999999999</v>
      </c>
      <c r="O74" s="4">
        <f t="shared" si="64"/>
        <v>-186.43200000000002</v>
      </c>
      <c r="P74" s="4">
        <f t="shared" si="64"/>
        <v>21.580000000000041</v>
      </c>
      <c r="Q74" s="4">
        <f t="shared" si="64"/>
        <v>-259.33200000000011</v>
      </c>
      <c r="R74" s="62">
        <f t="shared" si="65"/>
        <v>1946.1989999999998</v>
      </c>
      <c r="S74" s="96">
        <f t="shared" si="66"/>
        <v>-0.27141551603016417</v>
      </c>
      <c r="T74" s="11">
        <f t="shared" si="66"/>
        <v>-0.36152004892622736</v>
      </c>
      <c r="U74" s="11">
        <f t="shared" si="66"/>
        <v>-0.42466615260394724</v>
      </c>
      <c r="V74" s="11">
        <f t="shared" si="66"/>
        <v>-0.35173978902699776</v>
      </c>
      <c r="W74" s="11">
        <f t="shared" si="66"/>
        <v>-0.2926792247150119</v>
      </c>
      <c r="X74" s="11">
        <f t="shared" si="66"/>
        <v>-0.34959067967629492</v>
      </c>
      <c r="Y74" s="12">
        <f t="shared" si="66"/>
        <v>-0.3450492774545722</v>
      </c>
    </row>
    <row r="75" spans="3:25" hidden="1" x14ac:dyDescent="0.4">
      <c r="C75" s="60" t="s">
        <v>10</v>
      </c>
      <c r="D75" s="22" t="s">
        <v>11</v>
      </c>
      <c r="E75" s="4">
        <f t="shared" si="62"/>
        <v>-96.903999999999996</v>
      </c>
      <c r="F75" s="4">
        <f t="shared" si="62"/>
        <v>-41.593000000000018</v>
      </c>
      <c r="G75" s="4">
        <f t="shared" si="62"/>
        <v>-4.4819999999999993</v>
      </c>
      <c r="H75" s="4">
        <f t="shared" si="62"/>
        <v>3.2860000000000014</v>
      </c>
      <c r="I75" s="4">
        <f t="shared" si="62"/>
        <v>-288.85299999999995</v>
      </c>
      <c r="J75" s="4">
        <f t="shared" si="62"/>
        <v>-163.03200000000004</v>
      </c>
      <c r="K75" s="68">
        <f t="shared" si="63"/>
        <v>-591.57799999999997</v>
      </c>
      <c r="L75" s="3">
        <f t="shared" si="64"/>
        <v>-153.214</v>
      </c>
      <c r="M75" s="4">
        <f t="shared" si="64"/>
        <v>-100.70400000000001</v>
      </c>
      <c r="N75" s="4">
        <f t="shared" si="64"/>
        <v>-2.4810000000000016</v>
      </c>
      <c r="O75" s="4">
        <f t="shared" si="64"/>
        <v>3.1359999999999992</v>
      </c>
      <c r="P75" s="4">
        <f t="shared" si="64"/>
        <v>-417.35699999999997</v>
      </c>
      <c r="Q75" s="4">
        <f t="shared" si="64"/>
        <v>-157.26300000000003</v>
      </c>
      <c r="R75" s="62">
        <f t="shared" si="65"/>
        <v>-827.88300000000004</v>
      </c>
      <c r="S75" s="96">
        <f t="shared" si="66"/>
        <v>-0.61044697623296662</v>
      </c>
      <c r="T75" s="11">
        <f t="shared" si="66"/>
        <v>-0.64209794754656746</v>
      </c>
      <c r="U75" s="11">
        <f t="shared" si="66"/>
        <v>-0.41263169487170076</v>
      </c>
      <c r="V75" s="11">
        <f t="shared" si="66"/>
        <v>-0.45933431388571122</v>
      </c>
      <c r="W75" s="11">
        <f t="shared" si="66"/>
        <v>-0.80705921001560443</v>
      </c>
      <c r="X75" s="11">
        <f t="shared" si="66"/>
        <v>-0.75730419658229775</v>
      </c>
      <c r="Y75" s="12">
        <f t="shared" si="66"/>
        <v>-0.70897255120079894</v>
      </c>
    </row>
    <row r="76" spans="3:25" hidden="1" x14ac:dyDescent="0.4">
      <c r="C76" s="60" t="s">
        <v>12</v>
      </c>
      <c r="D76" s="22" t="s">
        <v>13</v>
      </c>
      <c r="E76" s="4">
        <f t="shared" si="62"/>
        <v>501.42000000000007</v>
      </c>
      <c r="F76" s="4">
        <f t="shared" si="62"/>
        <v>497.17199999999957</v>
      </c>
      <c r="G76" s="4">
        <f t="shared" si="62"/>
        <v>317.77900000000136</v>
      </c>
      <c r="H76" s="4">
        <f t="shared" si="62"/>
        <v>-148.11000000000013</v>
      </c>
      <c r="I76" s="4">
        <f t="shared" si="62"/>
        <v>374.38000000000011</v>
      </c>
      <c r="J76" s="4">
        <f t="shared" si="62"/>
        <v>-6.4710000000009131</v>
      </c>
      <c r="K76" s="68">
        <f t="shared" si="63"/>
        <v>1536.17</v>
      </c>
      <c r="L76" s="3">
        <f t="shared" si="64"/>
        <v>196.61899999999991</v>
      </c>
      <c r="M76" s="4">
        <f t="shared" si="64"/>
        <v>-64.777999999999793</v>
      </c>
      <c r="N76" s="4">
        <f t="shared" si="64"/>
        <v>-439.59999999999991</v>
      </c>
      <c r="O76" s="4">
        <f t="shared" si="64"/>
        <v>-111.6869999999999</v>
      </c>
      <c r="P76" s="4">
        <f t="shared" si="64"/>
        <v>305.00200000000018</v>
      </c>
      <c r="Q76" s="4">
        <f t="shared" si="64"/>
        <v>-179.43499999999995</v>
      </c>
      <c r="R76" s="62">
        <f t="shared" si="65"/>
        <v>-293.87899999999945</v>
      </c>
      <c r="S76" s="96">
        <f t="shared" si="66"/>
        <v>-0.54847793668871014</v>
      </c>
      <c r="T76" s="11">
        <f t="shared" si="66"/>
        <v>-0.58789689948260904</v>
      </c>
      <c r="U76" s="11">
        <f t="shared" si="66"/>
        <v>-0.52918742607424762</v>
      </c>
      <c r="V76" s="11">
        <f t="shared" si="66"/>
        <v>-0.5106630382855899</v>
      </c>
      <c r="W76" s="11">
        <f t="shared" si="66"/>
        <v>-0.49074999221030102</v>
      </c>
      <c r="X76" s="11">
        <f t="shared" si="66"/>
        <v>-0.54968305112321503</v>
      </c>
      <c r="Y76" s="12">
        <f t="shared" si="66"/>
        <v>-0.5412324634328759</v>
      </c>
    </row>
    <row r="77" spans="3:25" hidden="1" x14ac:dyDescent="0.4">
      <c r="C77" s="60" t="s">
        <v>14</v>
      </c>
      <c r="D77" s="22"/>
      <c r="E77" s="4">
        <f t="shared" ref="E77:J77" si="67">SUM(E73:E76)</f>
        <v>3113.3079999999995</v>
      </c>
      <c r="F77" s="4">
        <f t="shared" si="67"/>
        <v>3027.6289999999999</v>
      </c>
      <c r="G77" s="4">
        <f t="shared" si="67"/>
        <v>2946.5610000000015</v>
      </c>
      <c r="H77" s="4">
        <f t="shared" si="67"/>
        <v>916.15199999999982</v>
      </c>
      <c r="I77" s="4">
        <f t="shared" si="67"/>
        <v>2098.2510000000002</v>
      </c>
      <c r="J77" s="4">
        <f t="shared" si="67"/>
        <v>756.9039999999992</v>
      </c>
      <c r="K77" s="68">
        <f t="shared" si="63"/>
        <v>12858.805</v>
      </c>
      <c r="L77" s="3">
        <f t="shared" ref="L77:Q77" si="68">SUM(L73:L76)</f>
        <v>1571.038</v>
      </c>
      <c r="M77" s="4">
        <f t="shared" si="68"/>
        <v>907.69400000000019</v>
      </c>
      <c r="N77" s="4">
        <f t="shared" si="68"/>
        <v>146.64900000000011</v>
      </c>
      <c r="O77" s="4">
        <f t="shared" si="68"/>
        <v>-186.62899999999993</v>
      </c>
      <c r="P77" s="4">
        <f t="shared" si="68"/>
        <v>652.44900000000018</v>
      </c>
      <c r="Q77" s="4">
        <f t="shared" si="68"/>
        <v>-445.71400000000006</v>
      </c>
      <c r="R77" s="62">
        <f t="shared" si="65"/>
        <v>2645.4870000000005</v>
      </c>
      <c r="S77" s="96">
        <f t="shared" si="66"/>
        <v>-0.30329416095856787</v>
      </c>
      <c r="T77" s="11">
        <f t="shared" si="66"/>
        <v>-0.41573856427942374</v>
      </c>
      <c r="U77" s="11">
        <f t="shared" si="66"/>
        <v>-0.43312269440536061</v>
      </c>
      <c r="V77" s="11">
        <f t="shared" si="66"/>
        <v>-0.41441325436589382</v>
      </c>
      <c r="W77" s="11">
        <f t="shared" si="66"/>
        <v>-0.358149233850166</v>
      </c>
      <c r="X77" s="11">
        <f t="shared" si="66"/>
        <v>-0.34389610075205168</v>
      </c>
      <c r="Y77" s="12">
        <f t="shared" si="66"/>
        <v>-0.3694549578411333</v>
      </c>
    </row>
    <row r="78" spans="3:25" hidden="1" x14ac:dyDescent="0.4">
      <c r="C78" s="60" t="s">
        <v>15</v>
      </c>
      <c r="D78" s="22" t="s">
        <v>16</v>
      </c>
      <c r="E78" s="4">
        <f t="shared" ref="E78:J79" si="69">E61-E27</f>
        <v>-32.76299999999992</v>
      </c>
      <c r="F78" s="4">
        <f t="shared" si="69"/>
        <v>-204.03499999999985</v>
      </c>
      <c r="G78" s="4">
        <f t="shared" si="69"/>
        <v>-474.52599999999984</v>
      </c>
      <c r="H78" s="4">
        <f t="shared" si="69"/>
        <v>-286.63100000000031</v>
      </c>
      <c r="I78" s="4">
        <f t="shared" si="69"/>
        <v>-213.49799999999959</v>
      </c>
      <c r="J78" s="4">
        <f t="shared" si="69"/>
        <v>-36.988999999999578</v>
      </c>
      <c r="K78" s="68">
        <f t="shared" si="63"/>
        <v>-1248.4419999999991</v>
      </c>
      <c r="L78" s="3">
        <f t="shared" ref="L78:Q79" si="70">L61-L27</f>
        <v>-189.44599999999991</v>
      </c>
      <c r="M78" s="4">
        <f t="shared" si="70"/>
        <v>-57.409000000000106</v>
      </c>
      <c r="N78" s="4">
        <f t="shared" si="70"/>
        <v>-97.740999999999985</v>
      </c>
      <c r="O78" s="4">
        <f t="shared" si="70"/>
        <v>-200.38499999999999</v>
      </c>
      <c r="P78" s="4">
        <f t="shared" si="70"/>
        <v>-192.93100000000004</v>
      </c>
      <c r="Q78" s="4">
        <f t="shared" si="70"/>
        <v>-269.84700000000021</v>
      </c>
      <c r="R78" s="62">
        <f t="shared" si="65"/>
        <v>-1007.7590000000002</v>
      </c>
      <c r="S78" s="96">
        <f t="shared" si="66"/>
        <v>-0.23305643129843082</v>
      </c>
      <c r="T78" s="11">
        <f t="shared" si="66"/>
        <v>-0.24642646503236282</v>
      </c>
      <c r="U78" s="11">
        <f t="shared" si="66"/>
        <v>-0.19621379865373684</v>
      </c>
      <c r="V78" s="11">
        <f t="shared" si="66"/>
        <v>-0.18683977666160567</v>
      </c>
      <c r="W78" s="11">
        <f t="shared" si="66"/>
        <v>-0.21694959565387528</v>
      </c>
      <c r="X78" s="11">
        <f t="shared" si="66"/>
        <v>-0.20817175479694527</v>
      </c>
      <c r="Y78" s="12">
        <f t="shared" si="66"/>
        <v>-0.21395781438214251</v>
      </c>
    </row>
    <row r="79" spans="3:25" hidden="1" x14ac:dyDescent="0.4">
      <c r="C79" s="60" t="s">
        <v>17</v>
      </c>
      <c r="D79" s="22" t="s">
        <v>18</v>
      </c>
      <c r="E79" s="4">
        <f t="shared" si="69"/>
        <v>1333.5949999999998</v>
      </c>
      <c r="F79" s="4">
        <f t="shared" si="69"/>
        <v>655.31500000000096</v>
      </c>
      <c r="G79" s="4">
        <f t="shared" si="69"/>
        <v>-24.210000000000036</v>
      </c>
      <c r="H79" s="4">
        <f t="shared" si="69"/>
        <v>1733.8000000000002</v>
      </c>
      <c r="I79" s="4">
        <f t="shared" si="69"/>
        <v>93.204999999999927</v>
      </c>
      <c r="J79" s="4">
        <f t="shared" si="69"/>
        <v>379.40499999999975</v>
      </c>
      <c r="K79" s="68">
        <f t="shared" si="63"/>
        <v>4171.1100000000006</v>
      </c>
      <c r="L79" s="3">
        <f t="shared" si="70"/>
        <v>981.846</v>
      </c>
      <c r="M79" s="4">
        <f t="shared" si="70"/>
        <v>441.31700000000001</v>
      </c>
      <c r="N79" s="4">
        <f t="shared" si="70"/>
        <v>-687.46</v>
      </c>
      <c r="O79" s="4">
        <f t="shared" si="70"/>
        <v>920.80000000000018</v>
      </c>
      <c r="P79" s="4">
        <f t="shared" si="70"/>
        <v>-43.045000000000073</v>
      </c>
      <c r="Q79" s="4">
        <f t="shared" si="70"/>
        <v>20.858999999999924</v>
      </c>
      <c r="R79" s="62">
        <f t="shared" si="65"/>
        <v>1634.317</v>
      </c>
      <c r="S79" s="96">
        <f t="shared" si="66"/>
        <v>-0.61523949135662837</v>
      </c>
      <c r="T79" s="11">
        <f t="shared" si="66"/>
        <v>-0.62776853206888095</v>
      </c>
      <c r="U79" s="11">
        <f t="shared" si="66"/>
        <v>-0.87470327650628843</v>
      </c>
      <c r="V79" s="11">
        <f t="shared" si="66"/>
        <v>-0.82549884164113296</v>
      </c>
      <c r="W79" s="11">
        <f t="shared" si="66"/>
        <v>-0.81078867427659063</v>
      </c>
      <c r="X79" s="11">
        <f t="shared" si="66"/>
        <v>-0.67806073388694466</v>
      </c>
      <c r="Y79" s="12">
        <f t="shared" si="66"/>
        <v>-0.73082619184152686</v>
      </c>
    </row>
    <row r="80" spans="3:25" hidden="1" x14ac:dyDescent="0.4">
      <c r="C80" s="60" t="s">
        <v>19</v>
      </c>
      <c r="D80" s="22"/>
      <c r="E80" s="20">
        <f t="shared" ref="E80:R80" si="71">SUM(E78:E79)</f>
        <v>1300.8319999999999</v>
      </c>
      <c r="F80" s="20">
        <f t="shared" si="71"/>
        <v>451.28000000000111</v>
      </c>
      <c r="G80" s="20">
        <f t="shared" si="71"/>
        <v>-498.73599999999988</v>
      </c>
      <c r="H80" s="20">
        <f t="shared" si="71"/>
        <v>1447.1689999999999</v>
      </c>
      <c r="I80" s="20">
        <f t="shared" si="71"/>
        <v>-120.29299999999967</v>
      </c>
      <c r="J80" s="20">
        <f t="shared" si="71"/>
        <v>342.41600000000017</v>
      </c>
      <c r="K80" s="68">
        <f t="shared" si="71"/>
        <v>2922.6680000000015</v>
      </c>
      <c r="L80" s="3">
        <f t="shared" si="71"/>
        <v>792.40000000000009</v>
      </c>
      <c r="M80" s="20">
        <f t="shared" si="71"/>
        <v>383.9079999999999</v>
      </c>
      <c r="N80" s="20">
        <f t="shared" si="71"/>
        <v>-785.20100000000002</v>
      </c>
      <c r="O80" s="20">
        <f t="shared" si="71"/>
        <v>720.41500000000019</v>
      </c>
      <c r="P80" s="20">
        <f t="shared" si="71"/>
        <v>-235.97600000000011</v>
      </c>
      <c r="Q80" s="20">
        <f t="shared" si="71"/>
        <v>-248.98800000000028</v>
      </c>
      <c r="R80" s="62">
        <f t="shared" si="71"/>
        <v>626.55799999999977</v>
      </c>
      <c r="S80" s="96">
        <f t="shared" si="66"/>
        <v>-0.36075814088727054</v>
      </c>
      <c r="T80" s="11">
        <f t="shared" si="66"/>
        <v>-0.3876633183076677</v>
      </c>
      <c r="U80" s="11">
        <f t="shared" si="66"/>
        <v>-0.44387274824369732</v>
      </c>
      <c r="V80" s="11">
        <f t="shared" si="66"/>
        <v>-0.40701452859143783</v>
      </c>
      <c r="W80" s="11">
        <f t="shared" si="66"/>
        <v>-0.33367910761161279</v>
      </c>
      <c r="X80" s="11">
        <f t="shared" si="66"/>
        <v>-0.33371094363762882</v>
      </c>
      <c r="Y80" s="12">
        <f t="shared" si="66"/>
        <v>-0.37549244045934771</v>
      </c>
    </row>
    <row r="81" spans="3:25" hidden="1" x14ac:dyDescent="0.4">
      <c r="C81" s="60" t="s">
        <v>20</v>
      </c>
      <c r="D81" s="22" t="s">
        <v>21</v>
      </c>
      <c r="E81" s="20">
        <f t="shared" ref="E81:J82" si="72">E64-E30</f>
        <v>2444.8619999999992</v>
      </c>
      <c r="F81" s="20">
        <f t="shared" si="72"/>
        <v>-540.20400000000154</v>
      </c>
      <c r="G81" s="20">
        <f t="shared" si="72"/>
        <v>-9.1129999999975553</v>
      </c>
      <c r="H81" s="20">
        <f t="shared" si="72"/>
        <v>148.68199999999888</v>
      </c>
      <c r="I81" s="20">
        <f t="shared" si="72"/>
        <v>113.45499999999993</v>
      </c>
      <c r="J81" s="20">
        <f t="shared" si="72"/>
        <v>509.78999999999905</v>
      </c>
      <c r="K81" s="68">
        <f>SUM(E81:J81)</f>
        <v>2667.4719999999979</v>
      </c>
      <c r="L81" s="3">
        <f t="shared" ref="L81:Q82" si="73">L64-L30</f>
        <v>627.24400000000014</v>
      </c>
      <c r="M81" s="20">
        <f t="shared" si="73"/>
        <v>-129.27800000000025</v>
      </c>
      <c r="N81" s="20">
        <f t="shared" si="73"/>
        <v>-136.88199999999961</v>
      </c>
      <c r="O81" s="20">
        <f t="shared" si="73"/>
        <v>-115.14600000000019</v>
      </c>
      <c r="P81" s="20">
        <f t="shared" si="73"/>
        <v>-70.172000000000025</v>
      </c>
      <c r="Q81" s="20">
        <f t="shared" si="73"/>
        <v>60.099999999999909</v>
      </c>
      <c r="R81" s="62">
        <f>SUM(L81:Q81)</f>
        <v>235.86599999999999</v>
      </c>
      <c r="S81" s="96">
        <f t="shared" si="66"/>
        <v>-0.25361220377115268</v>
      </c>
      <c r="T81" s="11">
        <f t="shared" si="66"/>
        <v>-0.22711764276845053</v>
      </c>
      <c r="U81" s="11">
        <f t="shared" si="66"/>
        <v>-0.21664563776200962</v>
      </c>
      <c r="V81" s="11">
        <f t="shared" si="66"/>
        <v>-0.21077087018536028</v>
      </c>
      <c r="W81" s="11">
        <f t="shared" si="66"/>
        <v>-0.20920662129599382</v>
      </c>
      <c r="X81" s="11">
        <f t="shared" si="66"/>
        <v>-0.2039901965737578</v>
      </c>
      <c r="Y81" s="12">
        <f t="shared" si="66"/>
        <v>-0.22138240795353137</v>
      </c>
    </row>
    <row r="82" spans="3:25" hidden="1" x14ac:dyDescent="0.4">
      <c r="C82" s="60" t="s">
        <v>22</v>
      </c>
      <c r="D82" s="83" t="s">
        <v>23</v>
      </c>
      <c r="E82" s="84">
        <f t="shared" si="72"/>
        <v>27.05</v>
      </c>
      <c r="F82" s="84">
        <f t="shared" si="72"/>
        <v>30</v>
      </c>
      <c r="G82" s="84">
        <f t="shared" si="72"/>
        <v>30</v>
      </c>
      <c r="H82" s="84">
        <f t="shared" si="72"/>
        <v>13.184999999999999</v>
      </c>
      <c r="I82" s="84">
        <f t="shared" si="72"/>
        <v>12.32</v>
      </c>
      <c r="J82" s="84">
        <f t="shared" si="72"/>
        <v>15.52</v>
      </c>
      <c r="K82" s="68">
        <f>SUM(E82:J82)</f>
        <v>128.07500000000002</v>
      </c>
      <c r="L82" s="88">
        <f t="shared" si="73"/>
        <v>9.0909999999999993</v>
      </c>
      <c r="M82" s="84">
        <f t="shared" si="73"/>
        <v>10</v>
      </c>
      <c r="N82" s="84">
        <f t="shared" si="73"/>
        <v>10</v>
      </c>
      <c r="O82" s="84">
        <f t="shared" si="73"/>
        <v>4.819</v>
      </c>
      <c r="P82" s="84">
        <f t="shared" si="73"/>
        <v>5.4640000000000004</v>
      </c>
      <c r="Q82" s="84">
        <f t="shared" si="73"/>
        <v>8.0540000000000003</v>
      </c>
      <c r="R82" s="62">
        <f>SUM(L82:Q82)</f>
        <v>47.428000000000004</v>
      </c>
      <c r="S82" s="97">
        <f t="shared" si="66"/>
        <v>-0.30813559322033895</v>
      </c>
      <c r="T82" s="86" t="e">
        <f t="shared" si="66"/>
        <v>#VALUE!</v>
      </c>
      <c r="U82" s="86" t="e">
        <f t="shared" si="66"/>
        <v>#VALUE!</v>
      </c>
      <c r="V82" s="86">
        <f t="shared" si="66"/>
        <v>-0.30811775200713648</v>
      </c>
      <c r="W82" s="86">
        <f t="shared" si="66"/>
        <v>-0.25656108597285066</v>
      </c>
      <c r="X82" s="86">
        <f t="shared" si="66"/>
        <v>-0.13439226519337016</v>
      </c>
      <c r="Y82" s="87">
        <f t="shared" si="66"/>
        <v>-0.24211844005777564</v>
      </c>
    </row>
    <row r="83" spans="3:25" hidden="1" x14ac:dyDescent="0.4">
      <c r="C83" s="82" t="s">
        <v>24</v>
      </c>
      <c r="D83" s="83"/>
      <c r="E83" s="84">
        <f t="shared" ref="E83:J83" si="74">E81+E82</f>
        <v>2471.9119999999994</v>
      </c>
      <c r="F83" s="84">
        <f t="shared" si="74"/>
        <v>-510.20400000000154</v>
      </c>
      <c r="G83" s="84">
        <f t="shared" si="74"/>
        <v>20.887000000002445</v>
      </c>
      <c r="H83" s="84">
        <f t="shared" si="74"/>
        <v>161.86699999999888</v>
      </c>
      <c r="I83" s="84">
        <f t="shared" si="74"/>
        <v>125.77499999999992</v>
      </c>
      <c r="J83" s="84">
        <f t="shared" si="74"/>
        <v>525.30999999999904</v>
      </c>
      <c r="K83" s="68">
        <f>SUM(E83:J83)</f>
        <v>2795.5469999999982</v>
      </c>
      <c r="L83" s="88">
        <f t="shared" ref="L83:Q83" si="75">L81+L82</f>
        <v>636.33500000000015</v>
      </c>
      <c r="M83" s="84">
        <f t="shared" si="75"/>
        <v>-119.27800000000025</v>
      </c>
      <c r="N83" s="84">
        <f t="shared" si="75"/>
        <v>-126.88199999999961</v>
      </c>
      <c r="O83" s="84">
        <f t="shared" si="75"/>
        <v>-110.32700000000018</v>
      </c>
      <c r="P83" s="84">
        <f t="shared" si="75"/>
        <v>-64.708000000000027</v>
      </c>
      <c r="Q83" s="84">
        <f t="shared" si="75"/>
        <v>68.153999999999911</v>
      </c>
      <c r="R83" s="62">
        <f>SUM(L83:Q83)</f>
        <v>283.29399999999998</v>
      </c>
      <c r="S83" s="97">
        <f t="shared" si="66"/>
        <v>-0.25362470321931274</v>
      </c>
      <c r="T83" s="86">
        <f t="shared" si="66"/>
        <v>-0.22711764276845053</v>
      </c>
      <c r="U83" s="86">
        <f t="shared" si="66"/>
        <v>-0.21664563776200962</v>
      </c>
      <c r="V83" s="86">
        <f t="shared" si="66"/>
        <v>-0.21089240802715564</v>
      </c>
      <c r="W83" s="86">
        <f t="shared" si="66"/>
        <v>-0.20928948039062867</v>
      </c>
      <c r="X83" s="86">
        <f t="shared" si="66"/>
        <v>-0.2038942605636149</v>
      </c>
      <c r="Y83" s="87">
        <f t="shared" si="66"/>
        <v>-0.22139440689519777</v>
      </c>
    </row>
    <row r="84" spans="3:25" hidden="1" x14ac:dyDescent="0.4">
      <c r="C84" s="53" t="s">
        <v>5</v>
      </c>
      <c r="D84" s="54"/>
      <c r="E84" s="8">
        <f t="shared" ref="E84:R84" si="76">E77+E80+E83</f>
        <v>6886.0519999999988</v>
      </c>
      <c r="F84" s="8">
        <f t="shared" si="76"/>
        <v>2968.7049999999995</v>
      </c>
      <c r="G84" s="8">
        <f t="shared" si="76"/>
        <v>2468.7120000000041</v>
      </c>
      <c r="H84" s="8">
        <f t="shared" si="76"/>
        <v>2525.1879999999987</v>
      </c>
      <c r="I84" s="8">
        <f t="shared" si="76"/>
        <v>2103.7330000000006</v>
      </c>
      <c r="J84" s="8">
        <f t="shared" si="76"/>
        <v>1624.6299999999983</v>
      </c>
      <c r="K84" s="69">
        <f t="shared" si="76"/>
        <v>18577.02</v>
      </c>
      <c r="L84" s="63">
        <f t="shared" si="76"/>
        <v>2999.7730000000001</v>
      </c>
      <c r="M84" s="8">
        <f t="shared" si="76"/>
        <v>1172.3239999999998</v>
      </c>
      <c r="N84" s="8">
        <f t="shared" si="76"/>
        <v>-765.43399999999951</v>
      </c>
      <c r="O84" s="8">
        <f t="shared" si="76"/>
        <v>423.45900000000012</v>
      </c>
      <c r="P84" s="8">
        <f t="shared" si="76"/>
        <v>351.76500000000004</v>
      </c>
      <c r="Q84" s="8">
        <f t="shared" si="76"/>
        <v>-626.54800000000046</v>
      </c>
      <c r="R84" s="64">
        <f t="shared" si="76"/>
        <v>3555.3389999999999</v>
      </c>
      <c r="S84" s="91">
        <f t="shared" si="66"/>
        <v>-0.29865157735705317</v>
      </c>
      <c r="T84" s="14">
        <f t="shared" si="66"/>
        <v>-0.31070410439428858</v>
      </c>
      <c r="U84" s="14">
        <f t="shared" si="66"/>
        <v>-0.32689464007237251</v>
      </c>
      <c r="V84" s="14">
        <f t="shared" si="66"/>
        <v>-0.3225538040412001</v>
      </c>
      <c r="W84" s="14">
        <f t="shared" si="66"/>
        <v>-0.29453680158158252</v>
      </c>
      <c r="X84" s="14">
        <f t="shared" si="66"/>
        <v>-0.30690283247390049</v>
      </c>
      <c r="Y84" s="15">
        <f t="shared" si="66"/>
        <v>-0.31067584203428833</v>
      </c>
    </row>
    <row r="85" spans="3:25" hidden="1" x14ac:dyDescent="0.4">
      <c r="C85" s="18"/>
      <c r="E85" s="17"/>
      <c r="F85" s="17"/>
      <c r="G85" s="17"/>
      <c r="H85" s="17"/>
      <c r="I85" s="17"/>
      <c r="J85" s="17"/>
      <c r="K85" s="18"/>
      <c r="L85" s="17"/>
      <c r="M85" s="17"/>
      <c r="N85" s="17"/>
      <c r="O85" s="17"/>
      <c r="P85" s="17"/>
      <c r="Q85" s="17"/>
      <c r="R85" s="18"/>
      <c r="S85" s="19"/>
      <c r="T85" s="19"/>
      <c r="U85" s="19"/>
      <c r="V85" s="19"/>
      <c r="W85" s="19"/>
      <c r="X85" s="19"/>
      <c r="Y85" s="19"/>
    </row>
    <row r="86" spans="3:25" hidden="1" x14ac:dyDescent="0.4">
      <c r="C86" s="18" t="s">
        <v>31</v>
      </c>
    </row>
    <row r="87" spans="3:25" hidden="1" x14ac:dyDescent="0.4">
      <c r="C87" s="120"/>
      <c r="D87" s="119"/>
      <c r="E87" s="120" t="s">
        <v>2</v>
      </c>
      <c r="F87" s="118"/>
      <c r="G87" s="118"/>
      <c r="H87" s="118"/>
      <c r="I87" s="118"/>
      <c r="J87" s="118"/>
      <c r="K87" s="119"/>
      <c r="L87" s="117" t="s">
        <v>3</v>
      </c>
      <c r="M87" s="118"/>
      <c r="N87" s="118"/>
      <c r="O87" s="118"/>
      <c r="P87" s="118"/>
      <c r="Q87" s="118"/>
      <c r="R87" s="119"/>
      <c r="S87" s="117" t="s">
        <v>4</v>
      </c>
      <c r="T87" s="118"/>
      <c r="U87" s="118"/>
      <c r="V87" s="118"/>
      <c r="W87" s="118"/>
      <c r="X87" s="118"/>
      <c r="Y87" s="119"/>
    </row>
    <row r="88" spans="3:25" hidden="1" x14ac:dyDescent="0.4">
      <c r="C88" s="1"/>
      <c r="D88" s="21"/>
      <c r="E88" s="61">
        <v>46113</v>
      </c>
      <c r="F88" s="2">
        <v>46143</v>
      </c>
      <c r="G88" s="2">
        <v>46174</v>
      </c>
      <c r="H88" s="2">
        <v>46204</v>
      </c>
      <c r="I88" s="2">
        <v>46235</v>
      </c>
      <c r="J88" s="2">
        <v>46266</v>
      </c>
      <c r="K88" s="10" t="s">
        <v>5</v>
      </c>
      <c r="L88" s="95">
        <v>46113</v>
      </c>
      <c r="M88" s="2">
        <v>46143</v>
      </c>
      <c r="N88" s="2">
        <v>46174</v>
      </c>
      <c r="O88" s="2">
        <v>46204</v>
      </c>
      <c r="P88" s="2">
        <v>46235</v>
      </c>
      <c r="Q88" s="2">
        <v>46266</v>
      </c>
      <c r="R88" s="10" t="s">
        <v>5</v>
      </c>
      <c r="S88" s="95">
        <v>46113</v>
      </c>
      <c r="T88" s="2">
        <v>46143</v>
      </c>
      <c r="U88" s="2">
        <v>46174</v>
      </c>
      <c r="V88" s="2">
        <v>46204</v>
      </c>
      <c r="W88" s="2">
        <v>46235</v>
      </c>
      <c r="X88" s="2">
        <v>46266</v>
      </c>
      <c r="Y88" s="10" t="s">
        <v>5</v>
      </c>
    </row>
    <row r="89" spans="3:25" hidden="1" x14ac:dyDescent="0.4">
      <c r="C89" s="60" t="s">
        <v>6</v>
      </c>
      <c r="D89" s="22" t="s">
        <v>7</v>
      </c>
      <c r="E89" s="4">
        <f t="shared" ref="E89:J92" si="77">E56-E39</f>
        <v>206.2510000000002</v>
      </c>
      <c r="F89" s="4">
        <f t="shared" si="77"/>
        <v>-219.88500000000022</v>
      </c>
      <c r="G89" s="4">
        <f t="shared" si="77"/>
        <v>-0.255500000000211</v>
      </c>
      <c r="H89" s="4">
        <f t="shared" si="77"/>
        <v>909.31700000000001</v>
      </c>
      <c r="I89" s="4">
        <f t="shared" si="77"/>
        <v>1367.4014999999999</v>
      </c>
      <c r="J89" s="4">
        <f t="shared" si="77"/>
        <v>1126.8380000000006</v>
      </c>
      <c r="K89" s="7">
        <f t="shared" ref="K89:K95" si="78">SUM(E89:J89)</f>
        <v>3389.6670000000004</v>
      </c>
      <c r="L89" s="4">
        <f t="shared" ref="L89:Q92" si="79">L56-L39</f>
        <v>729.55099999999993</v>
      </c>
      <c r="M89" s="4">
        <f t="shared" si="79"/>
        <v>296.38049999999998</v>
      </c>
      <c r="N89" s="4">
        <f t="shared" si="79"/>
        <v>31.720500000000015</v>
      </c>
      <c r="O89" s="4">
        <f t="shared" si="79"/>
        <v>180.16249999999991</v>
      </c>
      <c r="P89" s="4">
        <f t="shared" si="79"/>
        <v>662.58349999999996</v>
      </c>
      <c r="Q89" s="4">
        <f t="shared" si="79"/>
        <v>286.37300000000005</v>
      </c>
      <c r="R89" s="7">
        <f t="shared" ref="R89:R95" si="80">SUM(L89:Q89)</f>
        <v>2186.7709999999997</v>
      </c>
      <c r="S89" s="11">
        <f t="shared" ref="S89:Y100" si="81">S56-S39</f>
        <v>7.9363584103292889E-2</v>
      </c>
      <c r="T89" s="11">
        <f t="shared" si="81"/>
        <v>7.8323651208555278E-2</v>
      </c>
      <c r="U89" s="11">
        <f t="shared" si="81"/>
        <v>1.5428899827305581E-2</v>
      </c>
      <c r="V89" s="11">
        <f t="shared" si="81"/>
        <v>-1.5486351692458988E-2</v>
      </c>
      <c r="W89" s="11">
        <f t="shared" si="81"/>
        <v>7.2696336211180212E-2</v>
      </c>
      <c r="X89" s="11">
        <f t="shared" si="81"/>
        <v>8.3053509244361279E-3</v>
      </c>
      <c r="Y89" s="12">
        <f t="shared" si="81"/>
        <v>4.732094527388947E-2</v>
      </c>
    </row>
    <row r="90" spans="3:25" hidden="1" x14ac:dyDescent="0.4">
      <c r="C90" s="60" t="s">
        <v>8</v>
      </c>
      <c r="D90" s="22" t="s">
        <v>9</v>
      </c>
      <c r="E90" s="4">
        <f t="shared" si="77"/>
        <v>2853.1264999999999</v>
      </c>
      <c r="F90" s="4">
        <f t="shared" si="77"/>
        <v>2412.8865000000001</v>
      </c>
      <c r="G90" s="4">
        <f t="shared" si="77"/>
        <v>3580.6644999999999</v>
      </c>
      <c r="H90" s="4">
        <f t="shared" si="77"/>
        <v>1493.5335</v>
      </c>
      <c r="I90" s="4">
        <f t="shared" si="77"/>
        <v>287.18199999999979</v>
      </c>
      <c r="J90" s="4">
        <f t="shared" si="77"/>
        <v>1240.6309999999999</v>
      </c>
      <c r="K90" s="7">
        <f t="shared" si="78"/>
        <v>11868.023999999999</v>
      </c>
      <c r="L90" s="4">
        <f t="shared" si="79"/>
        <v>804.79150000000004</v>
      </c>
      <c r="M90" s="4">
        <f t="shared" si="79"/>
        <v>673.553</v>
      </c>
      <c r="N90" s="4">
        <f t="shared" si="79"/>
        <v>953.84500000000003</v>
      </c>
      <c r="O90" s="4">
        <f t="shared" si="79"/>
        <v>330.32449999999994</v>
      </c>
      <c r="P90" s="4">
        <f t="shared" si="79"/>
        <v>58.931500000000028</v>
      </c>
      <c r="Q90" s="4">
        <f t="shared" si="79"/>
        <v>221.58599999999979</v>
      </c>
      <c r="R90" s="7">
        <f t="shared" si="80"/>
        <v>3043.0315000000001</v>
      </c>
      <c r="S90" s="11">
        <f t="shared" si="81"/>
        <v>-5.1103822710930336E-2</v>
      </c>
      <c r="T90" s="11">
        <f t="shared" si="81"/>
        <v>-5.6715347021548013E-2</v>
      </c>
      <c r="U90" s="11">
        <f t="shared" si="81"/>
        <v>-0.11055695389838627</v>
      </c>
      <c r="V90" s="11">
        <f t="shared" si="81"/>
        <v>-5.4721219333227711E-2</v>
      </c>
      <c r="W90" s="11">
        <f t="shared" si="81"/>
        <v>-1.0419057125295339E-2</v>
      </c>
      <c r="X90" s="11">
        <f t="shared" si="81"/>
        <v>-3.8733691515458912E-2</v>
      </c>
      <c r="Y90" s="12">
        <f t="shared" si="81"/>
        <v>-4.4550172502401841E-2</v>
      </c>
    </row>
    <row r="91" spans="3:25" hidden="1" x14ac:dyDescent="0.4">
      <c r="C91" s="60" t="s">
        <v>10</v>
      </c>
      <c r="D91" s="22" t="s">
        <v>11</v>
      </c>
      <c r="E91" s="4">
        <f t="shared" si="77"/>
        <v>27.197499999999991</v>
      </c>
      <c r="F91" s="4">
        <f t="shared" si="77"/>
        <v>43.454000000000008</v>
      </c>
      <c r="G91" s="4">
        <f t="shared" si="77"/>
        <v>0.14650000000000318</v>
      </c>
      <c r="H91" s="4">
        <f t="shared" si="77"/>
        <v>3.9655000000000058</v>
      </c>
      <c r="I91" s="4">
        <f t="shared" si="77"/>
        <v>0.59500000000002728</v>
      </c>
      <c r="J91" s="4">
        <f t="shared" si="77"/>
        <v>4.8315000000000055</v>
      </c>
      <c r="K91" s="7">
        <f t="shared" si="78"/>
        <v>80.19000000000004</v>
      </c>
      <c r="L91" s="4">
        <f t="shared" si="79"/>
        <v>7.1430000000000007</v>
      </c>
      <c r="M91" s="4">
        <f t="shared" si="79"/>
        <v>4.2330000000000041</v>
      </c>
      <c r="N91" s="4">
        <f t="shared" si="79"/>
        <v>2.0234999999999985</v>
      </c>
      <c r="O91" s="4">
        <f t="shared" si="79"/>
        <v>4.8294999999999995</v>
      </c>
      <c r="P91" s="4">
        <f t="shared" si="79"/>
        <v>-98.926999999999964</v>
      </c>
      <c r="Q91" s="4">
        <f t="shared" si="79"/>
        <v>8.5874999999999773</v>
      </c>
      <c r="R91" s="7">
        <f t="shared" si="80"/>
        <v>-72.110499999999988</v>
      </c>
      <c r="S91" s="11">
        <f t="shared" si="81"/>
        <v>-9.1334296762780043E-3</v>
      </c>
      <c r="T91" s="11">
        <f t="shared" si="81"/>
        <v>-4.5185345742992211E-2</v>
      </c>
      <c r="U91" s="11">
        <f t="shared" si="81"/>
        <v>3.941348150079732E-2</v>
      </c>
      <c r="V91" s="11">
        <f t="shared" si="81"/>
        <v>7.9000679903980797E-2</v>
      </c>
      <c r="W91" s="11">
        <f t="shared" si="81"/>
        <v>-0.1655383255061269</v>
      </c>
      <c r="X91" s="11">
        <f t="shared" si="81"/>
        <v>1.0176506103566796E-2</v>
      </c>
      <c r="Y91" s="12">
        <f t="shared" si="81"/>
        <v>-5.4487454011264758E-2</v>
      </c>
    </row>
    <row r="92" spans="3:25" hidden="1" x14ac:dyDescent="0.4">
      <c r="C92" s="60" t="s">
        <v>12</v>
      </c>
      <c r="D92" s="22" t="s">
        <v>13</v>
      </c>
      <c r="E92" s="4">
        <f t="shared" si="77"/>
        <v>146.51350000000002</v>
      </c>
      <c r="F92" s="4">
        <f t="shared" si="77"/>
        <v>86.169499999999971</v>
      </c>
      <c r="G92" s="4">
        <f t="shared" si="77"/>
        <v>1298.9325000000008</v>
      </c>
      <c r="H92" s="4">
        <f t="shared" si="77"/>
        <v>283.86700000000019</v>
      </c>
      <c r="I92" s="4">
        <f t="shared" si="77"/>
        <v>-1293.6799999999998</v>
      </c>
      <c r="J92" s="4">
        <f t="shared" si="77"/>
        <v>-1190.3355000000001</v>
      </c>
      <c r="K92" s="7">
        <f t="shared" si="78"/>
        <v>-668.53299999999899</v>
      </c>
      <c r="L92" s="4">
        <f t="shared" si="79"/>
        <v>58.420499999999947</v>
      </c>
      <c r="M92" s="4">
        <f t="shared" si="79"/>
        <v>5.6585000000000036</v>
      </c>
      <c r="N92" s="4">
        <f t="shared" si="79"/>
        <v>143.24299999999994</v>
      </c>
      <c r="O92" s="4">
        <f t="shared" si="79"/>
        <v>38.058500000000095</v>
      </c>
      <c r="P92" s="4">
        <f t="shared" si="79"/>
        <v>-702.83800000000019</v>
      </c>
      <c r="Q92" s="4">
        <f t="shared" si="79"/>
        <v>-923.23500000000058</v>
      </c>
      <c r="R92" s="7">
        <f t="shared" si="80"/>
        <v>-1380.6925000000008</v>
      </c>
      <c r="S92" s="11">
        <f t="shared" si="81"/>
        <v>-5.3255036091678365E-3</v>
      </c>
      <c r="T92" s="11">
        <f t="shared" si="81"/>
        <v>-7.6426772004333232E-3</v>
      </c>
      <c r="U92" s="11">
        <f t="shared" si="81"/>
        <v>-0.11016455978349421</v>
      </c>
      <c r="V92" s="11">
        <f t="shared" si="81"/>
        <v>-2.9231567763052801E-2</v>
      </c>
      <c r="W92" s="11">
        <f t="shared" si="81"/>
        <v>6.9276207602997353E-5</v>
      </c>
      <c r="X92" s="11">
        <f t="shared" si="81"/>
        <v>-6.9353907349700816E-2</v>
      </c>
      <c r="Y92" s="12">
        <f t="shared" si="81"/>
        <v>-4.3874233839961085E-2</v>
      </c>
    </row>
    <row r="93" spans="3:25" hidden="1" x14ac:dyDescent="0.4">
      <c r="C93" s="60" t="s">
        <v>14</v>
      </c>
      <c r="D93" s="22"/>
      <c r="E93" s="4">
        <f t="shared" ref="E93:J93" si="82">SUM(E89:E92)</f>
        <v>3233.0884999999998</v>
      </c>
      <c r="F93" s="4">
        <f t="shared" si="82"/>
        <v>2322.625</v>
      </c>
      <c r="G93" s="4">
        <f t="shared" si="82"/>
        <v>4879.4880000000003</v>
      </c>
      <c r="H93" s="4">
        <f t="shared" si="82"/>
        <v>2690.683</v>
      </c>
      <c r="I93" s="4">
        <f t="shared" si="82"/>
        <v>361.49849999999992</v>
      </c>
      <c r="J93" s="4">
        <f t="shared" si="82"/>
        <v>1181.9650000000001</v>
      </c>
      <c r="K93" s="7">
        <f t="shared" si="78"/>
        <v>14669.348</v>
      </c>
      <c r="L93" s="4">
        <f t="shared" ref="L93:Q93" si="83">SUM(L89:L92)</f>
        <v>1599.9059999999999</v>
      </c>
      <c r="M93" s="4">
        <f t="shared" si="83"/>
        <v>979.82500000000005</v>
      </c>
      <c r="N93" s="4">
        <f t="shared" si="83"/>
        <v>1130.8319999999999</v>
      </c>
      <c r="O93" s="4">
        <f t="shared" si="83"/>
        <v>553.375</v>
      </c>
      <c r="P93" s="4">
        <f t="shared" si="83"/>
        <v>-80.250000000000227</v>
      </c>
      <c r="Q93" s="4">
        <f t="shared" si="83"/>
        <v>-406.68850000000077</v>
      </c>
      <c r="R93" s="7">
        <f t="shared" si="80"/>
        <v>3776.9994999999994</v>
      </c>
      <c r="S93" s="11">
        <f t="shared" si="81"/>
        <v>3.6846416235924384E-2</v>
      </c>
      <c r="T93" s="11">
        <f t="shared" si="81"/>
        <v>6.9004024631592054E-3</v>
      </c>
      <c r="U93" s="11">
        <f t="shared" si="81"/>
        <v>-7.5918142054909876E-2</v>
      </c>
      <c r="V93" s="11">
        <f t="shared" si="81"/>
        <v>-5.5173897704501429E-2</v>
      </c>
      <c r="W93" s="11">
        <f t="shared" si="81"/>
        <v>-1.9211785102332513E-2</v>
      </c>
      <c r="X93" s="11">
        <f t="shared" si="81"/>
        <v>-4.661391156978012E-2</v>
      </c>
      <c r="Y93" s="12">
        <f t="shared" si="81"/>
        <v>-1.9140509504379066E-2</v>
      </c>
    </row>
    <row r="94" spans="3:25" hidden="1" x14ac:dyDescent="0.4">
      <c r="C94" s="60" t="s">
        <v>15</v>
      </c>
      <c r="D94" s="22" t="s">
        <v>16</v>
      </c>
      <c r="E94" s="4">
        <f t="shared" ref="E94:J95" si="84">E61-E44</f>
        <v>-1565.6455000000005</v>
      </c>
      <c r="F94" s="4">
        <f t="shared" si="84"/>
        <v>123.08600000000024</v>
      </c>
      <c r="G94" s="4">
        <f t="shared" si="84"/>
        <v>-243.67699999999968</v>
      </c>
      <c r="H94" s="4">
        <f t="shared" si="84"/>
        <v>801.64449999999988</v>
      </c>
      <c r="I94" s="4">
        <f t="shared" si="84"/>
        <v>498.15300000000025</v>
      </c>
      <c r="J94" s="4">
        <f t="shared" si="84"/>
        <v>1257.1915000000008</v>
      </c>
      <c r="K94" s="7">
        <f t="shared" si="78"/>
        <v>870.75250000000096</v>
      </c>
      <c r="L94" s="4">
        <f t="shared" ref="L94:Q95" si="85">L61-L44</f>
        <v>-452.41049999999996</v>
      </c>
      <c r="M94" s="4">
        <f t="shared" si="85"/>
        <v>186.48749999999995</v>
      </c>
      <c r="N94" s="4">
        <f t="shared" si="85"/>
        <v>65.828999999999951</v>
      </c>
      <c r="O94" s="4">
        <f t="shared" si="85"/>
        <v>51.222499999999968</v>
      </c>
      <c r="P94" s="4">
        <f t="shared" si="85"/>
        <v>22.671499999999924</v>
      </c>
      <c r="Q94" s="4">
        <f t="shared" si="85"/>
        <v>111.03549999999996</v>
      </c>
      <c r="R94" s="7">
        <f t="shared" si="80"/>
        <v>-15.164500000000203</v>
      </c>
      <c r="S94" s="11">
        <f t="shared" si="81"/>
        <v>-1.9712480621904921E-2</v>
      </c>
      <c r="T94" s="11">
        <f t="shared" si="81"/>
        <v>2.4899650628477599E-2</v>
      </c>
      <c r="U94" s="11">
        <f t="shared" si="81"/>
        <v>1.6341962472508992E-2</v>
      </c>
      <c r="V94" s="11">
        <f t="shared" si="81"/>
        <v>-1.8516225764567462E-2</v>
      </c>
      <c r="W94" s="11">
        <f t="shared" si="81"/>
        <v>-1.3954531312071528E-2</v>
      </c>
      <c r="X94" s="11">
        <f t="shared" si="81"/>
        <v>-1.1056912407607061E-2</v>
      </c>
      <c r="Y94" s="12">
        <f t="shared" si="81"/>
        <v>-4.5659068933959213E-3</v>
      </c>
    </row>
    <row r="95" spans="3:25" hidden="1" x14ac:dyDescent="0.4">
      <c r="C95" s="60" t="s">
        <v>17</v>
      </c>
      <c r="D95" s="22" t="s">
        <v>18</v>
      </c>
      <c r="E95" s="4">
        <f t="shared" si="84"/>
        <v>378.74250000000029</v>
      </c>
      <c r="F95" s="4">
        <f t="shared" si="84"/>
        <v>922.59250000000065</v>
      </c>
      <c r="G95" s="4">
        <f t="shared" si="84"/>
        <v>1035.0650000000001</v>
      </c>
      <c r="H95" s="4">
        <f t="shared" si="84"/>
        <v>2446.8200000000002</v>
      </c>
      <c r="I95" s="4">
        <f t="shared" si="84"/>
        <v>72.332499999999982</v>
      </c>
      <c r="J95" s="4">
        <f t="shared" si="84"/>
        <v>483.99499999999989</v>
      </c>
      <c r="K95" s="7">
        <f t="shared" si="78"/>
        <v>5339.5475000000015</v>
      </c>
      <c r="L95" s="4">
        <f t="shared" si="85"/>
        <v>394.46799999999985</v>
      </c>
      <c r="M95" s="4">
        <f t="shared" si="85"/>
        <v>616.125</v>
      </c>
      <c r="N95" s="4">
        <f t="shared" si="85"/>
        <v>380.47150000000011</v>
      </c>
      <c r="O95" s="4">
        <f t="shared" si="85"/>
        <v>1555.3515</v>
      </c>
      <c r="P95" s="4">
        <f t="shared" si="85"/>
        <v>-30.042500000000018</v>
      </c>
      <c r="Q95" s="4">
        <f t="shared" si="85"/>
        <v>326.31700000000001</v>
      </c>
      <c r="R95" s="7">
        <f t="shared" si="80"/>
        <v>3242.6905000000002</v>
      </c>
      <c r="S95" s="11">
        <f t="shared" si="81"/>
        <v>3.9284496712623129E-2</v>
      </c>
      <c r="T95" s="11">
        <f t="shared" si="81"/>
        <v>8.5332060876305293E-3</v>
      </c>
      <c r="U95" s="11">
        <f t="shared" si="81"/>
        <v>-0.11637987229825075</v>
      </c>
      <c r="V95" s="11">
        <f t="shared" si="81"/>
        <v>-9.2340173639792522E-2</v>
      </c>
      <c r="W95" s="11">
        <f t="shared" si="81"/>
        <v>-5.6632477113444435E-2</v>
      </c>
      <c r="X95" s="11">
        <f t="shared" si="81"/>
        <v>4.7589478400683616E-3</v>
      </c>
      <c r="Y95" s="12">
        <f t="shared" si="81"/>
        <v>-1.8587076432264538E-2</v>
      </c>
    </row>
    <row r="96" spans="3:25" hidden="1" x14ac:dyDescent="0.4">
      <c r="C96" s="60" t="s">
        <v>19</v>
      </c>
      <c r="D96" s="22"/>
      <c r="E96" s="20">
        <f t="shared" ref="E96:R96" si="86">SUM(E94:E95)</f>
        <v>-1186.9030000000002</v>
      </c>
      <c r="F96" s="20">
        <f t="shared" si="86"/>
        <v>1045.6785000000009</v>
      </c>
      <c r="G96" s="20">
        <f t="shared" si="86"/>
        <v>791.38800000000037</v>
      </c>
      <c r="H96" s="20">
        <f t="shared" si="86"/>
        <v>3248.4645</v>
      </c>
      <c r="I96" s="20">
        <f t="shared" si="86"/>
        <v>570.48550000000023</v>
      </c>
      <c r="J96" s="20">
        <f t="shared" si="86"/>
        <v>1741.1865000000007</v>
      </c>
      <c r="K96" s="7">
        <f t="shared" si="86"/>
        <v>6210.3000000000029</v>
      </c>
      <c r="L96" s="20">
        <f t="shared" si="86"/>
        <v>-57.942500000000109</v>
      </c>
      <c r="M96" s="20">
        <f t="shared" si="86"/>
        <v>802.61249999999995</v>
      </c>
      <c r="N96" s="20">
        <f t="shared" si="86"/>
        <v>446.30050000000006</v>
      </c>
      <c r="O96" s="20">
        <f t="shared" si="86"/>
        <v>1606.5740000000001</v>
      </c>
      <c r="P96" s="20">
        <f t="shared" si="86"/>
        <v>-7.3710000000000946</v>
      </c>
      <c r="Q96" s="20">
        <f t="shared" si="86"/>
        <v>437.35249999999996</v>
      </c>
      <c r="R96" s="7">
        <f t="shared" si="86"/>
        <v>3227.5259999999998</v>
      </c>
      <c r="S96" s="11">
        <f t="shared" si="81"/>
        <v>3.7987682013816637E-2</v>
      </c>
      <c r="T96" s="11">
        <f t="shared" si="81"/>
        <v>3.8129744899960905E-2</v>
      </c>
      <c r="U96" s="11">
        <f t="shared" si="81"/>
        <v>1.3622288485156564E-2</v>
      </c>
      <c r="V96" s="11">
        <f t="shared" si="81"/>
        <v>3.9932149205759715E-2</v>
      </c>
      <c r="W96" s="11">
        <f t="shared" si="81"/>
        <v>-2.7333155105876528E-2</v>
      </c>
      <c r="X96" s="11">
        <f t="shared" si="81"/>
        <v>-6.8403815983021921E-3</v>
      </c>
      <c r="Y96" s="12">
        <f t="shared" si="81"/>
        <v>1.5928644857495899E-2</v>
      </c>
    </row>
    <row r="97" spans="3:25" hidden="1" x14ac:dyDescent="0.4">
      <c r="C97" s="60" t="s">
        <v>20</v>
      </c>
      <c r="D97" s="22" t="s">
        <v>21</v>
      </c>
      <c r="E97" s="20">
        <f t="shared" ref="E97:J98" si="87">E64-E47</f>
        <v>156.73549999999886</v>
      </c>
      <c r="F97" s="20">
        <f t="shared" si="87"/>
        <v>1888.4044999999969</v>
      </c>
      <c r="G97" s="20">
        <f t="shared" si="87"/>
        <v>1503.0944999999992</v>
      </c>
      <c r="H97" s="20">
        <f t="shared" si="87"/>
        <v>804.61699999999837</v>
      </c>
      <c r="I97" s="20">
        <f t="shared" si="87"/>
        <v>924.55349999999999</v>
      </c>
      <c r="J97" s="20">
        <f t="shared" si="87"/>
        <v>-159.66100000000006</v>
      </c>
      <c r="K97" s="7">
        <f>SUM(E97:J97)</f>
        <v>5117.7439999999933</v>
      </c>
      <c r="L97" s="20">
        <f t="shared" ref="L97:Q98" si="88">L64-L47</f>
        <v>866.98099999999977</v>
      </c>
      <c r="M97" s="20">
        <f t="shared" si="88"/>
        <v>1083.3769999999995</v>
      </c>
      <c r="N97" s="20">
        <f t="shared" si="88"/>
        <v>739.95500000000038</v>
      </c>
      <c r="O97" s="20">
        <f t="shared" si="88"/>
        <v>346.46950000000015</v>
      </c>
      <c r="P97" s="20">
        <f t="shared" si="88"/>
        <v>325.79349999999999</v>
      </c>
      <c r="Q97" s="20">
        <f t="shared" si="88"/>
        <v>247.18499999999995</v>
      </c>
      <c r="R97" s="7">
        <f>SUM(L97:Q97)</f>
        <v>3609.761</v>
      </c>
      <c r="S97" s="11">
        <f t="shared" si="81"/>
        <v>5.4586078386042597E-2</v>
      </c>
      <c r="T97" s="11">
        <f t="shared" si="81"/>
        <v>3.2570888011979326E-2</v>
      </c>
      <c r="U97" s="11">
        <f t="shared" si="81"/>
        <v>2.2647008622896758E-2</v>
      </c>
      <c r="V97" s="11">
        <f t="shared" si="81"/>
        <v>1.4501019625594691E-2</v>
      </c>
      <c r="W97" s="11">
        <f t="shared" si="81"/>
        <v>1.5188789024873361E-2</v>
      </c>
      <c r="X97" s="11">
        <f t="shared" si="81"/>
        <v>2.5011261542801339E-2</v>
      </c>
      <c r="Y97" s="12">
        <f t="shared" si="81"/>
        <v>2.8618277851191504E-2</v>
      </c>
    </row>
    <row r="98" spans="3:25" hidden="1" x14ac:dyDescent="0.4">
      <c r="C98" s="60" t="s">
        <v>22</v>
      </c>
      <c r="D98" s="83" t="s">
        <v>23</v>
      </c>
      <c r="E98" s="20">
        <f t="shared" si="87"/>
        <v>28.524999999999999</v>
      </c>
      <c r="F98" s="20">
        <f t="shared" si="87"/>
        <v>30</v>
      </c>
      <c r="G98" s="20">
        <f t="shared" si="87"/>
        <v>30</v>
      </c>
      <c r="H98" s="20">
        <f t="shared" si="87"/>
        <v>21.592500000000001</v>
      </c>
      <c r="I98" s="20">
        <f t="shared" si="87"/>
        <v>21.16</v>
      </c>
      <c r="J98" s="20">
        <f t="shared" si="87"/>
        <v>22.759999999999998</v>
      </c>
      <c r="K98" s="7">
        <f>SUM(E98:J98)</f>
        <v>154.03749999999999</v>
      </c>
      <c r="L98" s="20">
        <f t="shared" si="88"/>
        <v>9.5455000000000005</v>
      </c>
      <c r="M98" s="20">
        <f t="shared" si="88"/>
        <v>10</v>
      </c>
      <c r="N98" s="20">
        <f t="shared" si="88"/>
        <v>10</v>
      </c>
      <c r="O98" s="20">
        <f t="shared" si="88"/>
        <v>7.4094999999999995</v>
      </c>
      <c r="P98" s="20">
        <f t="shared" si="88"/>
        <v>7.7320000000000002</v>
      </c>
      <c r="Q98" s="20">
        <f t="shared" si="88"/>
        <v>9.0269999999999992</v>
      </c>
      <c r="R98" s="7">
        <f>SUM(L98:Q98)</f>
        <v>53.713999999999999</v>
      </c>
      <c r="S98" s="11">
        <f t="shared" si="81"/>
        <v>2.519774011299436E-2</v>
      </c>
      <c r="T98" s="11" t="e">
        <f t="shared" si="81"/>
        <v>#VALUE!</v>
      </c>
      <c r="U98" s="11" t="e">
        <f t="shared" si="81"/>
        <v>#VALUE!</v>
      </c>
      <c r="V98" s="11">
        <f t="shared" si="81"/>
        <v>2.5215581326196834E-2</v>
      </c>
      <c r="W98" s="11">
        <f t="shared" si="81"/>
        <v>7.6772247360482659E-2</v>
      </c>
      <c r="X98" s="11">
        <f t="shared" si="81"/>
        <v>0.19894106813996315</v>
      </c>
      <c r="Y98" s="12">
        <f t="shared" si="81"/>
        <v>9.1214893275557679E-2</v>
      </c>
    </row>
    <row r="99" spans="3:25" hidden="1" x14ac:dyDescent="0.4">
      <c r="C99" s="82" t="s">
        <v>24</v>
      </c>
      <c r="D99" s="83"/>
      <c r="E99" s="20">
        <f t="shared" ref="E99:R99" si="89">SUM(E97:E98)</f>
        <v>185.26049999999887</v>
      </c>
      <c r="F99" s="20">
        <f t="shared" si="89"/>
        <v>1918.4044999999969</v>
      </c>
      <c r="G99" s="20">
        <f t="shared" si="89"/>
        <v>1533.0944999999992</v>
      </c>
      <c r="H99" s="20">
        <f t="shared" si="89"/>
        <v>826.20949999999834</v>
      </c>
      <c r="I99" s="20">
        <f t="shared" si="89"/>
        <v>945.71349999999995</v>
      </c>
      <c r="J99" s="20">
        <f t="shared" si="89"/>
        <v>-136.90100000000007</v>
      </c>
      <c r="K99" s="7">
        <f t="shared" si="89"/>
        <v>5271.7814999999937</v>
      </c>
      <c r="L99" s="20">
        <f t="shared" si="89"/>
        <v>876.52649999999971</v>
      </c>
      <c r="M99" s="20">
        <f t="shared" si="89"/>
        <v>1093.3769999999995</v>
      </c>
      <c r="N99" s="20">
        <f t="shared" si="89"/>
        <v>749.95500000000038</v>
      </c>
      <c r="O99" s="20">
        <f t="shared" si="89"/>
        <v>353.87900000000013</v>
      </c>
      <c r="P99" s="20">
        <f t="shared" si="89"/>
        <v>333.52550000000002</v>
      </c>
      <c r="Q99" s="20">
        <f t="shared" si="89"/>
        <v>256.21199999999993</v>
      </c>
      <c r="R99" s="7">
        <f t="shared" si="89"/>
        <v>3663.4749999999999</v>
      </c>
      <c r="S99" s="11">
        <f t="shared" si="81"/>
        <v>5.4730493578022649E-2</v>
      </c>
      <c r="T99" s="11">
        <f t="shared" si="81"/>
        <v>3.2715938150220586E-2</v>
      </c>
      <c r="U99" s="11">
        <f t="shared" si="81"/>
        <v>2.2829573639442158E-2</v>
      </c>
      <c r="V99" s="11">
        <f t="shared" si="81"/>
        <v>1.471397333950672E-2</v>
      </c>
      <c r="W99" s="11">
        <f t="shared" si="81"/>
        <v>1.5511479482062746E-2</v>
      </c>
      <c r="X99" s="11">
        <f t="shared" si="81"/>
        <v>2.5400229372634808E-2</v>
      </c>
      <c r="Y99" s="12">
        <f t="shared" si="81"/>
        <v>2.8827701171449283E-2</v>
      </c>
    </row>
    <row r="100" spans="3:25" hidden="1" x14ac:dyDescent="0.4">
      <c r="C100" s="53" t="s">
        <v>5</v>
      </c>
      <c r="D100" s="54"/>
      <c r="E100" s="8">
        <f t="shared" ref="E100:R100" si="90">E93+E96+E99</f>
        <v>2231.4459999999985</v>
      </c>
      <c r="F100" s="8">
        <f t="shared" si="90"/>
        <v>5286.7079999999978</v>
      </c>
      <c r="G100" s="8">
        <f t="shared" si="90"/>
        <v>7203.9704999999994</v>
      </c>
      <c r="H100" s="8">
        <f t="shared" si="90"/>
        <v>6765.3569999999982</v>
      </c>
      <c r="I100" s="8">
        <f t="shared" si="90"/>
        <v>1877.6975000000002</v>
      </c>
      <c r="J100" s="8">
        <f t="shared" si="90"/>
        <v>2786.250500000001</v>
      </c>
      <c r="K100" s="9">
        <f t="shared" si="90"/>
        <v>26151.429499999995</v>
      </c>
      <c r="L100" s="8">
        <f t="shared" si="90"/>
        <v>2418.4899999999998</v>
      </c>
      <c r="M100" s="8">
        <f t="shared" si="90"/>
        <v>2875.8144999999995</v>
      </c>
      <c r="N100" s="8">
        <f t="shared" si="90"/>
        <v>2327.0875000000005</v>
      </c>
      <c r="O100" s="8">
        <f t="shared" si="90"/>
        <v>2513.8280000000004</v>
      </c>
      <c r="P100" s="8">
        <f t="shared" si="90"/>
        <v>245.9044999999997</v>
      </c>
      <c r="Q100" s="8">
        <f t="shared" si="90"/>
        <v>286.87599999999912</v>
      </c>
      <c r="R100" s="9">
        <f t="shared" si="90"/>
        <v>10668.0005</v>
      </c>
      <c r="S100" s="14">
        <f t="shared" si="81"/>
        <v>4.3101946676401992E-2</v>
      </c>
      <c r="T100" s="14">
        <f t="shared" si="81"/>
        <v>2.9407871711091993E-2</v>
      </c>
      <c r="U100" s="14">
        <f t="shared" si="81"/>
        <v>6.7292691510942304E-3</v>
      </c>
      <c r="V100" s="14">
        <f t="shared" si="81"/>
        <v>1.5703937117057087E-2</v>
      </c>
      <c r="W100" s="14">
        <f t="shared" si="81"/>
        <v>-1.0843562127354767E-2</v>
      </c>
      <c r="X100" s="14">
        <f t="shared" si="81"/>
        <v>-1.1551287815981859E-2</v>
      </c>
      <c r="Y100" s="15">
        <f t="shared" si="81"/>
        <v>1.3141051425112849E-2</v>
      </c>
    </row>
    <row r="101" spans="3:25" hidden="1" x14ac:dyDescent="0.4">
      <c r="C101" s="18"/>
      <c r="E101" s="17"/>
      <c r="F101" s="17"/>
      <c r="G101" s="17"/>
      <c r="H101" s="17"/>
      <c r="I101" s="17"/>
      <c r="J101" s="17"/>
      <c r="K101" s="18"/>
      <c r="L101" s="17"/>
      <c r="M101" s="17"/>
      <c r="N101" s="17"/>
      <c r="O101" s="17"/>
      <c r="P101" s="17"/>
      <c r="Q101" s="17"/>
      <c r="R101" s="18"/>
      <c r="S101" s="19"/>
      <c r="T101" s="19"/>
      <c r="U101" s="19"/>
      <c r="V101" s="19"/>
      <c r="W101" s="19"/>
      <c r="X101" s="19"/>
      <c r="Y101" s="19"/>
    </row>
    <row r="102" spans="3:25" x14ac:dyDescent="0.4">
      <c r="C102" s="18" t="s">
        <v>32</v>
      </c>
    </row>
    <row r="103" spans="3:25" x14ac:dyDescent="0.4">
      <c r="C103" s="120"/>
      <c r="D103" s="119"/>
      <c r="E103" s="120" t="s">
        <v>2</v>
      </c>
      <c r="F103" s="118"/>
      <c r="G103" s="118"/>
      <c r="H103" s="118"/>
      <c r="I103" s="118"/>
      <c r="J103" s="118"/>
      <c r="K103" s="119"/>
      <c r="L103" s="117" t="s">
        <v>3</v>
      </c>
      <c r="M103" s="118"/>
      <c r="N103" s="118"/>
      <c r="O103" s="118"/>
      <c r="P103" s="118"/>
      <c r="Q103" s="118"/>
      <c r="R103" s="119"/>
      <c r="S103" s="117" t="s">
        <v>4</v>
      </c>
      <c r="T103" s="118"/>
      <c r="U103" s="118"/>
      <c r="V103" s="118"/>
      <c r="W103" s="118"/>
      <c r="X103" s="118"/>
      <c r="Y103" s="119"/>
    </row>
    <row r="104" spans="3:25" x14ac:dyDescent="0.4">
      <c r="C104" s="1"/>
      <c r="D104" s="21"/>
      <c r="E104" s="61">
        <v>46113</v>
      </c>
      <c r="F104" s="2">
        <v>46143</v>
      </c>
      <c r="G104" s="2">
        <v>46174</v>
      </c>
      <c r="H104" s="2">
        <v>46204</v>
      </c>
      <c r="I104" s="2">
        <v>46235</v>
      </c>
      <c r="J104" s="2">
        <v>46266</v>
      </c>
      <c r="K104" s="10" t="s">
        <v>5</v>
      </c>
      <c r="L104" s="95">
        <v>46113</v>
      </c>
      <c r="M104" s="2">
        <v>46143</v>
      </c>
      <c r="N104" s="2">
        <v>46174</v>
      </c>
      <c r="O104" s="2">
        <v>46204</v>
      </c>
      <c r="P104" s="2">
        <v>46235</v>
      </c>
      <c r="Q104" s="2">
        <v>46266</v>
      </c>
      <c r="R104" s="10" t="s">
        <v>5</v>
      </c>
      <c r="S104" s="95">
        <v>46113</v>
      </c>
      <c r="T104" s="2">
        <v>46143</v>
      </c>
      <c r="U104" s="2">
        <v>46174</v>
      </c>
      <c r="V104" s="2">
        <v>46204</v>
      </c>
      <c r="W104" s="2">
        <v>46235</v>
      </c>
      <c r="X104" s="2">
        <v>46266</v>
      </c>
      <c r="Y104" s="10" t="s">
        <v>5</v>
      </c>
    </row>
    <row r="105" spans="3:25" x14ac:dyDescent="0.4">
      <c r="C105" s="60" t="s">
        <v>6</v>
      </c>
      <c r="D105" s="22" t="s">
        <v>7</v>
      </c>
      <c r="E105" s="71">
        <f>全体!E105-機械!E105</f>
        <v>7295.7250000000004</v>
      </c>
      <c r="F105" s="71">
        <f>全体!F105-機械!F105</f>
        <v>5653.5230000000001</v>
      </c>
      <c r="G105" s="71">
        <f>全体!G105-機械!G105</f>
        <v>2372.4369999999999</v>
      </c>
      <c r="H105" s="71">
        <f>全体!H105-機械!H105</f>
        <v>1601.7429999999999</v>
      </c>
      <c r="I105" s="71">
        <f>全体!I105-機械!I105</f>
        <v>4563.5770000000002</v>
      </c>
      <c r="J105" s="71">
        <f>全体!J105-機械!J105</f>
        <v>10655.916999999999</v>
      </c>
      <c r="K105" s="72">
        <f t="shared" ref="K105:K111" si="91">SUM(E105:J105)</f>
        <v>32142.921999999999</v>
      </c>
      <c r="L105" s="71">
        <f>全体!L105-機械!L105</f>
        <v>1339.8480000000002</v>
      </c>
      <c r="M105" s="73">
        <f>全体!M105-機械!M105</f>
        <v>1042.5519999999999</v>
      </c>
      <c r="N105" s="73">
        <f>全体!N105-機械!N105</f>
        <v>426.52699999999999</v>
      </c>
      <c r="O105" s="73">
        <f>全体!O105-機械!O105</f>
        <v>286.41800000000001</v>
      </c>
      <c r="P105" s="73">
        <f>全体!P105-機械!P105</f>
        <v>737.38</v>
      </c>
      <c r="Q105" s="73">
        <f>全体!Q105-機械!Q105</f>
        <v>1732.0219999999999</v>
      </c>
      <c r="R105" s="7">
        <f t="shared" ref="R105:R111" si="92">SUM(L105:Q105)</f>
        <v>5564.7470000000003</v>
      </c>
      <c r="S105" s="11">
        <f t="shared" ref="S105:S113" si="93">IF(E105=0,"***",L105/E105)</f>
        <v>0.18364836942181895</v>
      </c>
      <c r="T105" s="11">
        <f t="shared" ref="T105:T113" si="94">IF(F105=0,"***",M105/F105)</f>
        <v>0.18440749246089561</v>
      </c>
      <c r="U105" s="11">
        <f t="shared" ref="U105:U113" si="95">IF(G105=0,"***",N105/G105)</f>
        <v>0.17978433147012965</v>
      </c>
      <c r="V105" s="11">
        <f t="shared" ref="V105:V113" si="96">IF(H105=0,"***",O105/H105)</f>
        <v>0.1788164518277901</v>
      </c>
      <c r="W105" s="11">
        <f t="shared" ref="W105:W113" si="97">IF(I105=0,"***",P105/I105)</f>
        <v>0.1615793926562431</v>
      </c>
      <c r="X105" s="11">
        <f t="shared" ref="X105:X113" si="98">IF(J105=0,"***",Q105/J105)</f>
        <v>0.16254086813926949</v>
      </c>
      <c r="Y105" s="12">
        <f t="shared" ref="Y105:Y113" si="99">IF(K105=0,"***",R105/K105)</f>
        <v>0.17312511289421667</v>
      </c>
    </row>
    <row r="106" spans="3:25" x14ac:dyDescent="0.4">
      <c r="C106" s="60" t="s">
        <v>8</v>
      </c>
      <c r="D106" s="22" t="s">
        <v>9</v>
      </c>
      <c r="E106" s="71">
        <f>全体!E106-機械!E106</f>
        <v>8504.6149999999998</v>
      </c>
      <c r="F106" s="71">
        <f>全体!F106-機械!F106</f>
        <v>10766.038</v>
      </c>
      <c r="G106" s="71">
        <f>全体!G106-機械!G106</f>
        <v>8785.3060000000005</v>
      </c>
      <c r="H106" s="71">
        <f>全体!H106-機械!H106</f>
        <v>5356.049</v>
      </c>
      <c r="I106" s="71">
        <f>全体!I106-機械!I106</f>
        <v>4693.6869999999999</v>
      </c>
      <c r="J106" s="71">
        <f>全体!J106-機械!J106</f>
        <v>7085.6530000000002</v>
      </c>
      <c r="K106" s="72">
        <f t="shared" si="91"/>
        <v>45191.347999999998</v>
      </c>
      <c r="L106" s="71">
        <f>全体!L106-機械!L106</f>
        <v>3249.3429999999998</v>
      </c>
      <c r="M106" s="71">
        <f>全体!M106-機械!M106</f>
        <v>4060.0940000000001</v>
      </c>
      <c r="N106" s="71">
        <f>全体!N106-機械!N106</f>
        <v>3064.8090000000002</v>
      </c>
      <c r="O106" s="71">
        <f>全体!O106-機械!O106</f>
        <v>1699.2950000000001</v>
      </c>
      <c r="P106" s="71">
        <f>全体!P106-機械!P106</f>
        <v>1571.4490000000001</v>
      </c>
      <c r="Q106" s="71">
        <f>全体!Q106-機械!Q106</f>
        <v>2641.4279999999999</v>
      </c>
      <c r="R106" s="7">
        <f t="shared" si="92"/>
        <v>16286.418</v>
      </c>
      <c r="S106" s="11">
        <f t="shared" si="93"/>
        <v>0.38206820649729589</v>
      </c>
      <c r="T106" s="11">
        <f t="shared" si="94"/>
        <v>0.37712053403489748</v>
      </c>
      <c r="U106" s="11">
        <f t="shared" si="95"/>
        <v>0.3488562606698048</v>
      </c>
      <c r="V106" s="11">
        <f t="shared" si="96"/>
        <v>0.31726651492546093</v>
      </c>
      <c r="W106" s="11">
        <f t="shared" si="97"/>
        <v>0.33480055231633471</v>
      </c>
      <c r="X106" s="11">
        <f t="shared" si="98"/>
        <v>0.37278540171244623</v>
      </c>
      <c r="Y106" s="12">
        <f t="shared" si="99"/>
        <v>0.36038796629832776</v>
      </c>
    </row>
    <row r="107" spans="3:25" x14ac:dyDescent="0.4">
      <c r="C107" s="60" t="s">
        <v>10</v>
      </c>
      <c r="D107" s="22" t="s">
        <v>11</v>
      </c>
      <c r="E107" s="71">
        <f>全体!E107-機械!E107</f>
        <v>706.80499999999995</v>
      </c>
      <c r="F107" s="71">
        <f>全体!F107-機械!F107</f>
        <v>528.39599999999996</v>
      </c>
      <c r="G107" s="71">
        <f>全体!G107-機械!G107</f>
        <v>69.48</v>
      </c>
      <c r="H107" s="71">
        <f>全体!H107-機械!H107</f>
        <v>41.976999999999997</v>
      </c>
      <c r="I107" s="71">
        <f>全体!I107-機械!I107</f>
        <v>891.601</v>
      </c>
      <c r="J107" s="71">
        <f>全体!J107-機械!J107</f>
        <v>845.51300000000003</v>
      </c>
      <c r="K107" s="72">
        <f t="shared" si="91"/>
        <v>3083.7719999999999</v>
      </c>
      <c r="L107" s="71">
        <f>全体!L107-機械!L107</f>
        <v>470.38</v>
      </c>
      <c r="M107" s="71">
        <f>全体!M107-機械!M107</f>
        <v>323.30799999999999</v>
      </c>
      <c r="N107" s="71">
        <f>全体!N107-機械!N107</f>
        <v>14.833</v>
      </c>
      <c r="O107" s="71">
        <f>全体!O107-機械!O107</f>
        <v>24.608000000000001</v>
      </c>
      <c r="P107" s="71">
        <f>全体!P107-機械!P107</f>
        <v>712.48099999999999</v>
      </c>
      <c r="Q107" s="71">
        <f>全体!Q107-機械!Q107</f>
        <v>609.22</v>
      </c>
      <c r="R107" s="7">
        <f t="shared" si="92"/>
        <v>2154.83</v>
      </c>
      <c r="S107" s="11">
        <f t="shared" si="93"/>
        <v>0.66550180035511919</v>
      </c>
      <c r="T107" s="11">
        <f t="shared" si="94"/>
        <v>0.6118668574326831</v>
      </c>
      <c r="U107" s="11">
        <f t="shared" si="95"/>
        <v>0.21348589522164652</v>
      </c>
      <c r="V107" s="11">
        <f t="shared" si="96"/>
        <v>0.58622579031374333</v>
      </c>
      <c r="W107" s="11">
        <f t="shared" si="97"/>
        <v>0.79910296197514363</v>
      </c>
      <c r="X107" s="11">
        <f t="shared" si="98"/>
        <v>0.72053297820376505</v>
      </c>
      <c r="Y107" s="12">
        <f t="shared" si="99"/>
        <v>0.69876437038795347</v>
      </c>
    </row>
    <row r="108" spans="3:25" x14ac:dyDescent="0.4">
      <c r="C108" s="60" t="s">
        <v>12</v>
      </c>
      <c r="D108" s="22" t="s">
        <v>13</v>
      </c>
      <c r="E108" s="71">
        <f>全体!E108-機械!E108</f>
        <v>3726.8890000000001</v>
      </c>
      <c r="F108" s="71">
        <f>全体!F108-機械!F108</f>
        <v>6281.7910000000002</v>
      </c>
      <c r="G108" s="71">
        <f>全体!G108-機械!G108</f>
        <v>5189.7830000000004</v>
      </c>
      <c r="H108" s="71">
        <f>全体!H108-機械!H108</f>
        <v>4966.143</v>
      </c>
      <c r="I108" s="71">
        <f>全体!I108-機械!I108</f>
        <v>1898.3430000000001</v>
      </c>
      <c r="J108" s="71">
        <f>全体!J108-機械!J108</f>
        <v>3221.203</v>
      </c>
      <c r="K108" s="72">
        <f t="shared" si="91"/>
        <v>25284.152000000002</v>
      </c>
      <c r="L108" s="71">
        <f>全体!L108-機械!L108</f>
        <v>1989.0070000000001</v>
      </c>
      <c r="M108" s="71">
        <f>全体!M108-機械!M108</f>
        <v>3436.7269999999999</v>
      </c>
      <c r="N108" s="71">
        <f>全体!N108-機械!N108</f>
        <v>2804.3440000000001</v>
      </c>
      <c r="O108" s="71">
        <f>全体!O108-機械!O108</f>
        <v>2588.3629999999998</v>
      </c>
      <c r="P108" s="71">
        <f>全体!P108-機械!P108</f>
        <v>1068.395</v>
      </c>
      <c r="Q108" s="71">
        <f>全体!Q108-機械!Q108</f>
        <v>1871.836</v>
      </c>
      <c r="R108" s="7">
        <f t="shared" si="92"/>
        <v>13758.672</v>
      </c>
      <c r="S108" s="11">
        <f t="shared" si="93"/>
        <v>0.53369096852629638</v>
      </c>
      <c r="T108" s="11">
        <f t="shared" si="94"/>
        <v>0.54709349610644475</v>
      </c>
      <c r="U108" s="11">
        <f t="shared" si="95"/>
        <v>0.54035862385768341</v>
      </c>
      <c r="V108" s="11">
        <f t="shared" si="96"/>
        <v>0.52120186631758281</v>
      </c>
      <c r="W108" s="11">
        <f t="shared" si="97"/>
        <v>0.56280398220974814</v>
      </c>
      <c r="X108" s="11">
        <f t="shared" si="98"/>
        <v>0.58109842813383694</v>
      </c>
      <c r="Y108" s="12">
        <f t="shared" si="99"/>
        <v>0.54416189239805235</v>
      </c>
    </row>
    <row r="109" spans="3:25" x14ac:dyDescent="0.4">
      <c r="C109" s="60" t="s">
        <v>14</v>
      </c>
      <c r="D109" s="22"/>
      <c r="E109" s="73">
        <f t="shared" ref="E109:J109" si="100">SUM(E105:E108)</f>
        <v>20234.034</v>
      </c>
      <c r="F109" s="73">
        <f t="shared" si="100"/>
        <v>23229.748000000003</v>
      </c>
      <c r="G109" s="73">
        <f t="shared" si="100"/>
        <v>16417.006000000001</v>
      </c>
      <c r="H109" s="73">
        <f t="shared" si="100"/>
        <v>11965.912</v>
      </c>
      <c r="I109" s="73">
        <f t="shared" si="100"/>
        <v>12047.208000000001</v>
      </c>
      <c r="J109" s="73">
        <f t="shared" si="100"/>
        <v>21808.286</v>
      </c>
      <c r="K109" s="72">
        <f t="shared" si="91"/>
        <v>105702.19400000002</v>
      </c>
      <c r="L109" s="73">
        <f t="shared" ref="L109:Q109" si="101">SUM(L105:L108)</f>
        <v>7048.5779999999995</v>
      </c>
      <c r="M109" s="73">
        <f t="shared" si="101"/>
        <v>8862.6810000000005</v>
      </c>
      <c r="N109" s="73">
        <f t="shared" si="101"/>
        <v>6310.5130000000008</v>
      </c>
      <c r="O109" s="73">
        <f t="shared" si="101"/>
        <v>4598.6840000000002</v>
      </c>
      <c r="P109" s="73">
        <f t="shared" si="101"/>
        <v>4089.7050000000004</v>
      </c>
      <c r="Q109" s="73">
        <f t="shared" si="101"/>
        <v>6854.5060000000003</v>
      </c>
      <c r="R109" s="7">
        <f t="shared" si="92"/>
        <v>37764.667000000001</v>
      </c>
      <c r="S109" s="11">
        <f t="shared" si="93"/>
        <v>0.34835258258437241</v>
      </c>
      <c r="T109" s="11">
        <f t="shared" si="94"/>
        <v>0.38152290760967356</v>
      </c>
      <c r="U109" s="11">
        <f t="shared" si="95"/>
        <v>0.38438878562875595</v>
      </c>
      <c r="V109" s="11">
        <f t="shared" si="96"/>
        <v>0.38431537855200676</v>
      </c>
      <c r="W109" s="11">
        <f t="shared" si="97"/>
        <v>0.3394732621865581</v>
      </c>
      <c r="X109" s="11">
        <f t="shared" si="98"/>
        <v>0.31430741508067167</v>
      </c>
      <c r="Y109" s="12">
        <f t="shared" si="99"/>
        <v>0.35727420189594167</v>
      </c>
    </row>
    <row r="110" spans="3:25" x14ac:dyDescent="0.4">
      <c r="C110" s="60" t="s">
        <v>15</v>
      </c>
      <c r="D110" s="22" t="s">
        <v>16</v>
      </c>
      <c r="E110" s="71">
        <f>全体!E110-機械!E110</f>
        <v>9581.9169999999995</v>
      </c>
      <c r="F110" s="71">
        <f>全体!F110-機械!F110</f>
        <v>8198.0889999999999</v>
      </c>
      <c r="G110" s="71">
        <f>全体!G110-機械!G110</f>
        <v>7791.6729999999998</v>
      </c>
      <c r="H110" s="71">
        <f>全体!H110-機械!H110</f>
        <v>4500.5889999999999</v>
      </c>
      <c r="I110" s="71">
        <f>全体!I110-機械!I110</f>
        <v>4458.26</v>
      </c>
      <c r="J110" s="71">
        <f>全体!J110-機械!J110</f>
        <v>11572.116999999998</v>
      </c>
      <c r="K110" s="72">
        <f t="shared" si="91"/>
        <v>46102.644999999997</v>
      </c>
      <c r="L110" s="71">
        <f>全体!L110-機械!L110</f>
        <v>2282.3220000000001</v>
      </c>
      <c r="M110" s="73">
        <f>全体!M110-機械!M110</f>
        <v>2022.106</v>
      </c>
      <c r="N110" s="73">
        <f>全体!N110-機械!N110</f>
        <v>1573.684</v>
      </c>
      <c r="O110" s="73">
        <f>全体!O110-機械!O110</f>
        <v>852.38699999999994</v>
      </c>
      <c r="P110" s="73">
        <f>全体!P110-機械!P110</f>
        <v>966.03500000000008</v>
      </c>
      <c r="Q110" s="73">
        <f>全体!Q110-機械!Q110</f>
        <v>2531.9699999999998</v>
      </c>
      <c r="R110" s="7">
        <f t="shared" si="92"/>
        <v>10228.503999999999</v>
      </c>
      <c r="S110" s="11">
        <f t="shared" si="93"/>
        <v>0.23819054162126432</v>
      </c>
      <c r="T110" s="11">
        <f t="shared" si="94"/>
        <v>0.24665577551060985</v>
      </c>
      <c r="U110" s="11">
        <f t="shared" si="95"/>
        <v>0.20196997486932525</v>
      </c>
      <c r="V110" s="11">
        <f t="shared" si="96"/>
        <v>0.18939454369194786</v>
      </c>
      <c r="W110" s="11">
        <f t="shared" si="97"/>
        <v>0.21668431181671774</v>
      </c>
      <c r="X110" s="11">
        <f t="shared" si="98"/>
        <v>0.21879920502013592</v>
      </c>
      <c r="Y110" s="12">
        <f t="shared" si="99"/>
        <v>0.22186371302557586</v>
      </c>
    </row>
    <row r="111" spans="3:25" x14ac:dyDescent="0.4">
      <c r="C111" s="60" t="s">
        <v>17</v>
      </c>
      <c r="D111" s="22" t="s">
        <v>18</v>
      </c>
      <c r="E111" s="71">
        <f>全体!E111-機械!E111</f>
        <v>4166.8850000000002</v>
      </c>
      <c r="F111" s="71">
        <f>全体!F111-機械!F111</f>
        <v>3870.5349999999999</v>
      </c>
      <c r="G111" s="71">
        <f>全体!G111-機械!G111</f>
        <v>2740.64</v>
      </c>
      <c r="H111" s="71">
        <f>全体!H111-機械!H111</f>
        <v>2087.9949999999999</v>
      </c>
      <c r="I111" s="71">
        <f>全体!I111-機械!I111</f>
        <v>1503.8150000000001</v>
      </c>
      <c r="J111" s="71">
        <f>全体!J111-機械!J111</f>
        <v>4028.6849999999999</v>
      </c>
      <c r="K111" s="72">
        <f t="shared" si="91"/>
        <v>18398.555</v>
      </c>
      <c r="L111" s="71">
        <f>全体!L111-機械!L111</f>
        <v>2513.384</v>
      </c>
      <c r="M111" s="71">
        <f>全体!M111-機械!M111</f>
        <v>2465.2489999999998</v>
      </c>
      <c r="N111" s="71">
        <f>全体!N111-機械!N111</f>
        <v>2267.056</v>
      </c>
      <c r="O111" s="71">
        <f>全体!O111-機械!O111</f>
        <v>1594.106</v>
      </c>
      <c r="P111" s="71">
        <f>全体!P111-機械!P111</f>
        <v>1173.421</v>
      </c>
      <c r="Q111" s="71">
        <f>全体!Q111-機械!Q111</f>
        <v>2585.018</v>
      </c>
      <c r="R111" s="7">
        <f t="shared" si="92"/>
        <v>12598.234</v>
      </c>
      <c r="S111" s="11">
        <f t="shared" si="93"/>
        <v>0.603180553339005</v>
      </c>
      <c r="T111" s="11">
        <f t="shared" si="94"/>
        <v>0.63692719481932081</v>
      </c>
      <c r="U111" s="11">
        <f t="shared" si="95"/>
        <v>0.82719948625138662</v>
      </c>
      <c r="V111" s="11">
        <f t="shared" si="96"/>
        <v>0.76346255618428205</v>
      </c>
      <c r="W111" s="11">
        <f t="shared" si="97"/>
        <v>0.78029611355120143</v>
      </c>
      <c r="X111" s="11">
        <f t="shared" si="98"/>
        <v>0.64165304559676417</v>
      </c>
      <c r="Y111" s="12">
        <f t="shared" si="99"/>
        <v>0.68474040488505761</v>
      </c>
    </row>
    <row r="112" spans="3:25" x14ac:dyDescent="0.4">
      <c r="C112" s="60" t="s">
        <v>19</v>
      </c>
      <c r="D112" s="22"/>
      <c r="E112" s="71">
        <f t="shared" ref="E112:R112" si="102">SUM(E110:E111)</f>
        <v>13748.802</v>
      </c>
      <c r="F112" s="71">
        <f t="shared" si="102"/>
        <v>12068.624</v>
      </c>
      <c r="G112" s="71">
        <f t="shared" si="102"/>
        <v>10532.313</v>
      </c>
      <c r="H112" s="71">
        <f t="shared" si="102"/>
        <v>6588.5839999999998</v>
      </c>
      <c r="I112" s="71">
        <f t="shared" si="102"/>
        <v>5962.0750000000007</v>
      </c>
      <c r="J112" s="71">
        <f t="shared" si="102"/>
        <v>15600.801999999998</v>
      </c>
      <c r="K112" s="72">
        <f t="shared" si="102"/>
        <v>64501.2</v>
      </c>
      <c r="L112" s="71">
        <f t="shared" si="102"/>
        <v>4795.7060000000001</v>
      </c>
      <c r="M112" s="71">
        <f t="shared" si="102"/>
        <v>4487.3549999999996</v>
      </c>
      <c r="N112" s="71">
        <f t="shared" si="102"/>
        <v>3840.74</v>
      </c>
      <c r="O112" s="71">
        <f t="shared" si="102"/>
        <v>2446.4929999999999</v>
      </c>
      <c r="P112" s="71">
        <f t="shared" si="102"/>
        <v>2139.4560000000001</v>
      </c>
      <c r="Q112" s="71">
        <f t="shared" si="102"/>
        <v>5116.9879999999994</v>
      </c>
      <c r="R112" s="7">
        <f t="shared" si="102"/>
        <v>22826.737999999998</v>
      </c>
      <c r="S112" s="11">
        <f t="shared" si="93"/>
        <v>0.34880900895947153</v>
      </c>
      <c r="T112" s="11">
        <f t="shared" si="94"/>
        <v>0.37181993572755268</v>
      </c>
      <c r="U112" s="11">
        <f t="shared" si="95"/>
        <v>0.36466253898834944</v>
      </c>
      <c r="V112" s="11">
        <f t="shared" si="96"/>
        <v>0.37132303390227706</v>
      </c>
      <c r="W112" s="11">
        <f t="shared" si="97"/>
        <v>0.35884419434508957</v>
      </c>
      <c r="X112" s="11">
        <f t="shared" si="98"/>
        <v>0.32799518896528523</v>
      </c>
      <c r="Y112" s="12">
        <f t="shared" si="99"/>
        <v>0.35389633061090336</v>
      </c>
    </row>
    <row r="113" spans="3:25" x14ac:dyDescent="0.4">
      <c r="C113" s="60" t="s">
        <v>20</v>
      </c>
      <c r="D113" s="22" t="s">
        <v>21</v>
      </c>
      <c r="E113" s="71">
        <f>全体!E113-機械!E113</f>
        <v>22141.302</v>
      </c>
      <c r="F113" s="71">
        <f>全体!F113-機械!F113</f>
        <v>19147.96</v>
      </c>
      <c r="G113" s="71">
        <f>全体!G113-機械!G113</f>
        <v>28899.131000000001</v>
      </c>
      <c r="H113" s="71">
        <f>全体!H113-機械!H113</f>
        <v>15278.221</v>
      </c>
      <c r="I113" s="71">
        <f>全体!I113-機械!I113</f>
        <v>14644.025</v>
      </c>
      <c r="J113" s="71">
        <f>全体!J113-機械!J113</f>
        <v>12735.556</v>
      </c>
      <c r="K113" s="72">
        <f>SUM(E113:J113)</f>
        <v>112846.19500000001</v>
      </c>
      <c r="L113" s="71">
        <f>全体!L113-機械!L113</f>
        <v>4913.0040000000008</v>
      </c>
      <c r="M113" s="73">
        <f>全体!M113-機械!M113</f>
        <v>4109.9579999999996</v>
      </c>
      <c r="N113" s="73">
        <f>全体!N113-機械!N113</f>
        <v>6204.2910000000002</v>
      </c>
      <c r="O113" s="73">
        <f>全体!O113-機械!O113</f>
        <v>2598.279</v>
      </c>
      <c r="P113" s="73">
        <f>全体!P113-機械!P113</f>
        <v>2538.0859999999998</v>
      </c>
      <c r="Q113" s="73">
        <f>全体!Q113-機械!Q113</f>
        <v>2199.259</v>
      </c>
      <c r="R113" s="7">
        <f>SUM(L113:Q113)</f>
        <v>22562.877</v>
      </c>
      <c r="S113" s="11">
        <f t="shared" si="93"/>
        <v>0.22189318405936564</v>
      </c>
      <c r="T113" s="11">
        <f t="shared" si="94"/>
        <v>0.21464208197635673</v>
      </c>
      <c r="U113" s="11">
        <f t="shared" si="95"/>
        <v>0.21468780497240555</v>
      </c>
      <c r="V113" s="11">
        <f t="shared" si="96"/>
        <v>0.17006423719096614</v>
      </c>
      <c r="W113" s="11">
        <f t="shared" si="97"/>
        <v>0.17331887920158562</v>
      </c>
      <c r="X113" s="11">
        <f t="shared" si="98"/>
        <v>0.1726865320995801</v>
      </c>
      <c r="Y113" s="12">
        <f t="shared" si="99"/>
        <v>0.1999436223791152</v>
      </c>
    </row>
    <row r="114" spans="3:25" x14ac:dyDescent="0.4">
      <c r="C114" s="60" t="s">
        <v>22</v>
      </c>
      <c r="D114" s="83" t="s">
        <v>23</v>
      </c>
      <c r="E114" s="71">
        <f>全体!E114-機械!E114</f>
        <v>0</v>
      </c>
      <c r="F114" s="92">
        <v>0</v>
      </c>
      <c r="G114" s="92">
        <f>全体!G114-機械!G114</f>
        <v>0</v>
      </c>
      <c r="H114" s="92">
        <f>全体!H114-機械!H114</f>
        <v>0</v>
      </c>
      <c r="I114" s="92">
        <f>全体!I114-機械!I114</f>
        <v>0</v>
      </c>
      <c r="J114" s="92">
        <f>全体!J114-機械!J114</f>
        <v>14.662000000000001</v>
      </c>
      <c r="K114" s="135">
        <f>SUM(E114:J114)</f>
        <v>14.662000000000001</v>
      </c>
      <c r="L114" s="71">
        <f>全体!L114-機械!L114</f>
        <v>0</v>
      </c>
      <c r="M114" s="94">
        <v>0</v>
      </c>
      <c r="N114" s="94">
        <f>全体!N114-機械!N114</f>
        <v>0</v>
      </c>
      <c r="O114" s="94">
        <f>全体!O114-機械!O114</f>
        <v>0</v>
      </c>
      <c r="P114" s="94">
        <f>全体!P114-機械!P114</f>
        <v>0</v>
      </c>
      <c r="Q114" s="94">
        <f>全体!Q114-機械!Q114</f>
        <v>3.9870000000000001</v>
      </c>
      <c r="R114" s="93">
        <f>SUM(L114:Q114)</f>
        <v>3.9870000000000001</v>
      </c>
      <c r="S114" s="11" t="str">
        <f t="shared" ref="S114:S115" si="103">IF(E114=0,"***",L114/E114)</f>
        <v>***</v>
      </c>
      <c r="T114" s="11" t="str">
        <f t="shared" ref="T114:T115" si="104">IF(F114=0,"***",M114/F114)</f>
        <v>***</v>
      </c>
      <c r="U114" s="11" t="str">
        <f t="shared" ref="U114:U115" si="105">IF(G114=0,"***",N114/G114)</f>
        <v>***</v>
      </c>
      <c r="V114" s="11" t="str">
        <f t="shared" ref="V114:V115" si="106">IF(H114=0,"***",O114/H114)</f>
        <v>***</v>
      </c>
      <c r="W114" s="11" t="str">
        <f t="shared" ref="W114:W115" si="107">IF(I114=0,"***",P114/I114)</f>
        <v>***</v>
      </c>
      <c r="X114" s="11">
        <f t="shared" ref="X114:X115" si="108">IF(J114=0,"***",Q114/J114)</f>
        <v>0.27192743145546311</v>
      </c>
      <c r="Y114" s="12">
        <f t="shared" ref="Y114:Y115" si="109">IF(K114=0,"***",R114/K114)</f>
        <v>0.27192743145546311</v>
      </c>
    </row>
    <row r="115" spans="3:25" x14ac:dyDescent="0.4">
      <c r="C115" s="82" t="s">
        <v>24</v>
      </c>
      <c r="D115" s="83"/>
      <c r="E115" s="20">
        <f t="shared" ref="E115:R115" si="110">SUM(E113:E114)</f>
        <v>22141.302</v>
      </c>
      <c r="F115" s="20">
        <f t="shared" si="110"/>
        <v>19147.96</v>
      </c>
      <c r="G115" s="20">
        <f t="shared" si="110"/>
        <v>28899.131000000001</v>
      </c>
      <c r="H115" s="20">
        <f t="shared" si="110"/>
        <v>15278.221</v>
      </c>
      <c r="I115" s="20">
        <f t="shared" si="110"/>
        <v>14644.025</v>
      </c>
      <c r="J115" s="20">
        <f t="shared" si="110"/>
        <v>12750.218000000001</v>
      </c>
      <c r="K115" s="7">
        <f t="shared" si="110"/>
        <v>112860.857</v>
      </c>
      <c r="L115" s="20">
        <f t="shared" si="110"/>
        <v>4913.0040000000008</v>
      </c>
      <c r="M115" s="20">
        <f t="shared" si="110"/>
        <v>4109.9579999999996</v>
      </c>
      <c r="N115" s="20">
        <f t="shared" si="110"/>
        <v>6204.2910000000002</v>
      </c>
      <c r="O115" s="20">
        <f t="shared" si="110"/>
        <v>2598.279</v>
      </c>
      <c r="P115" s="20">
        <f t="shared" si="110"/>
        <v>2538.0859999999998</v>
      </c>
      <c r="Q115" s="20">
        <f t="shared" si="110"/>
        <v>2203.2460000000001</v>
      </c>
      <c r="R115" s="7">
        <f t="shared" si="110"/>
        <v>22566.864000000001</v>
      </c>
      <c r="S115" s="11">
        <f t="shared" si="103"/>
        <v>0.22189318405936564</v>
      </c>
      <c r="T115" s="11">
        <f t="shared" si="104"/>
        <v>0.21464208197635673</v>
      </c>
      <c r="U115" s="11">
        <f t="shared" si="105"/>
        <v>0.21468780497240555</v>
      </c>
      <c r="V115" s="11">
        <f t="shared" si="106"/>
        <v>0.17006423719096614</v>
      </c>
      <c r="W115" s="11">
        <f t="shared" si="107"/>
        <v>0.17331887920158562</v>
      </c>
      <c r="X115" s="11">
        <f t="shared" si="108"/>
        <v>0.17280065329079078</v>
      </c>
      <c r="Y115" s="12">
        <f t="shared" si="109"/>
        <v>0.19995297395269646</v>
      </c>
    </row>
    <row r="116" spans="3:25" x14ac:dyDescent="0.4">
      <c r="C116" s="53" t="s">
        <v>5</v>
      </c>
      <c r="D116" s="54"/>
      <c r="E116" s="8">
        <f t="shared" ref="E116:R116" si="111">E109+E112+E115</f>
        <v>56124.137999999992</v>
      </c>
      <c r="F116" s="8">
        <f t="shared" si="111"/>
        <v>54446.332000000002</v>
      </c>
      <c r="G116" s="8">
        <f t="shared" si="111"/>
        <v>55848.450000000004</v>
      </c>
      <c r="H116" s="8">
        <f t="shared" si="111"/>
        <v>33832.716999999997</v>
      </c>
      <c r="I116" s="8">
        <f t="shared" si="111"/>
        <v>32653.308000000005</v>
      </c>
      <c r="J116" s="8">
        <f t="shared" si="111"/>
        <v>50159.305999999997</v>
      </c>
      <c r="K116" s="9">
        <f t="shared" si="111"/>
        <v>283064.25100000005</v>
      </c>
      <c r="L116" s="8">
        <f t="shared" si="111"/>
        <v>16757.288</v>
      </c>
      <c r="M116" s="8">
        <f t="shared" si="111"/>
        <v>17459.993999999999</v>
      </c>
      <c r="N116" s="8">
        <f t="shared" si="111"/>
        <v>16355.544000000002</v>
      </c>
      <c r="O116" s="8">
        <f t="shared" si="111"/>
        <v>9643.4560000000001</v>
      </c>
      <c r="P116" s="8">
        <f t="shared" si="111"/>
        <v>8767.2469999999994</v>
      </c>
      <c r="Q116" s="8">
        <f t="shared" si="111"/>
        <v>14174.739999999998</v>
      </c>
      <c r="R116" s="9">
        <f t="shared" si="111"/>
        <v>83158.269</v>
      </c>
      <c r="S116" s="14">
        <f t="shared" ref="S116:Y117" si="112">IF(E116=0,"***",L116/E116)</f>
        <v>0.29857541865498233</v>
      </c>
      <c r="T116" s="14">
        <f t="shared" si="112"/>
        <v>0.3206826494758177</v>
      </c>
      <c r="U116" s="14">
        <f t="shared" si="112"/>
        <v>0.29285582679555117</v>
      </c>
      <c r="V116" s="14">
        <f t="shared" si="112"/>
        <v>0.28503344854035817</v>
      </c>
      <c r="W116" s="14">
        <f t="shared" si="112"/>
        <v>0.26849491022471594</v>
      </c>
      <c r="X116" s="14">
        <f t="shared" si="112"/>
        <v>0.28259442026570303</v>
      </c>
      <c r="Y116" s="15">
        <f t="shared" si="112"/>
        <v>0.29377877533535657</v>
      </c>
    </row>
    <row r="117" spans="3:25" x14ac:dyDescent="0.4">
      <c r="C117" s="74" t="s">
        <v>25</v>
      </c>
      <c r="D117" s="75"/>
      <c r="E117" s="111">
        <f>全体!E117-機械!E117</f>
        <v>6468.2619999999997</v>
      </c>
      <c r="F117" s="112">
        <f>全体!F117-機械!F117</f>
        <v>8671.2939999999999</v>
      </c>
      <c r="G117" s="112">
        <f>全体!G117-機械!G117</f>
        <v>7118.5910000000003</v>
      </c>
      <c r="H117" s="113"/>
      <c r="I117" s="113"/>
      <c r="J117" s="113"/>
      <c r="K117" s="114"/>
      <c r="L117" s="112">
        <f>全体!L117-機械!L117</f>
        <v>2590.049</v>
      </c>
      <c r="M117" s="112">
        <f>全体!M117-機械!M117</f>
        <v>3581.357</v>
      </c>
      <c r="N117" s="112">
        <f>全体!N117-機械!N117</f>
        <v>2702.93</v>
      </c>
      <c r="O117" s="113"/>
      <c r="P117" s="113"/>
      <c r="Q117" s="113"/>
      <c r="R117" s="77">
        <f>SUM(L117:Q117)</f>
        <v>8874.3359999999993</v>
      </c>
      <c r="S117" s="79">
        <f t="shared" si="112"/>
        <v>0.40042425616031013</v>
      </c>
      <c r="T117" s="80">
        <f t="shared" si="112"/>
        <v>0.41301298283739429</v>
      </c>
      <c r="U117" s="80">
        <f t="shared" si="112"/>
        <v>0.37970014009794911</v>
      </c>
      <c r="V117" s="80" t="str">
        <f t="shared" si="112"/>
        <v>***</v>
      </c>
      <c r="W117" s="80" t="str">
        <f t="shared" si="112"/>
        <v>***</v>
      </c>
      <c r="X117" s="80" t="str">
        <f t="shared" si="112"/>
        <v>***</v>
      </c>
      <c r="Y117" s="81" t="str">
        <f t="shared" si="112"/>
        <v>***</v>
      </c>
    </row>
    <row r="118" spans="3:25" x14ac:dyDescent="0.4">
      <c r="C118" s="18"/>
      <c r="E118" s="17"/>
      <c r="F118" s="17"/>
      <c r="G118" s="17"/>
      <c r="H118" s="17"/>
      <c r="I118" s="17"/>
      <c r="J118" s="17"/>
      <c r="K118" s="18"/>
      <c r="L118" s="17"/>
      <c r="M118" s="17"/>
      <c r="N118" s="17"/>
      <c r="O118" s="17"/>
      <c r="P118" s="17"/>
      <c r="Q118" s="17"/>
      <c r="R118" s="18"/>
      <c r="S118" s="19"/>
      <c r="T118" s="19"/>
      <c r="U118" s="19"/>
      <c r="V118" s="19"/>
      <c r="W118" s="19"/>
      <c r="X118" s="19"/>
      <c r="Y118" s="19"/>
    </row>
    <row r="119" spans="3:25" x14ac:dyDescent="0.4">
      <c r="C119" s="18" t="s">
        <v>33</v>
      </c>
    </row>
    <row r="120" spans="3:25" x14ac:dyDescent="0.4">
      <c r="C120" s="120"/>
      <c r="D120" s="119"/>
      <c r="E120" s="120" t="s">
        <v>2</v>
      </c>
      <c r="F120" s="118"/>
      <c r="G120" s="118"/>
      <c r="H120" s="118"/>
      <c r="I120" s="118"/>
      <c r="J120" s="118"/>
      <c r="K120" s="119"/>
      <c r="L120" s="117" t="s">
        <v>3</v>
      </c>
      <c r="M120" s="118"/>
      <c r="N120" s="118"/>
      <c r="O120" s="118"/>
      <c r="P120" s="118"/>
      <c r="Q120" s="118"/>
      <c r="R120" s="119"/>
      <c r="S120" s="117" t="s">
        <v>4</v>
      </c>
      <c r="T120" s="118"/>
      <c r="U120" s="118"/>
      <c r="V120" s="118"/>
      <c r="W120" s="118"/>
      <c r="X120" s="118"/>
      <c r="Y120" s="119"/>
    </row>
    <row r="121" spans="3:25" x14ac:dyDescent="0.4">
      <c r="C121" s="1"/>
      <c r="D121" s="21"/>
      <c r="E121" s="61">
        <v>46113</v>
      </c>
      <c r="F121" s="2">
        <v>46143</v>
      </c>
      <c r="G121" s="2">
        <v>46174</v>
      </c>
      <c r="H121" s="2">
        <v>46204</v>
      </c>
      <c r="I121" s="2">
        <v>46235</v>
      </c>
      <c r="J121" s="2">
        <v>46266</v>
      </c>
      <c r="K121" s="10" t="s">
        <v>5</v>
      </c>
      <c r="L121" s="95">
        <v>46113</v>
      </c>
      <c r="M121" s="2">
        <v>46143</v>
      </c>
      <c r="N121" s="2">
        <v>46174</v>
      </c>
      <c r="O121" s="2">
        <v>46204</v>
      </c>
      <c r="P121" s="2">
        <v>46235</v>
      </c>
      <c r="Q121" s="2">
        <v>46266</v>
      </c>
      <c r="R121" s="10" t="s">
        <v>5</v>
      </c>
      <c r="S121" s="95">
        <v>46113</v>
      </c>
      <c r="T121" s="2">
        <v>46143</v>
      </c>
      <c r="U121" s="2">
        <v>46174</v>
      </c>
      <c r="V121" s="2">
        <v>46204</v>
      </c>
      <c r="W121" s="2">
        <v>46235</v>
      </c>
      <c r="X121" s="2">
        <v>46266</v>
      </c>
      <c r="Y121" s="10" t="s">
        <v>5</v>
      </c>
    </row>
    <row r="122" spans="3:25" x14ac:dyDescent="0.4">
      <c r="C122" s="60" t="s">
        <v>6</v>
      </c>
      <c r="D122" s="22" t="s">
        <v>7</v>
      </c>
      <c r="E122" s="20">
        <f t="shared" ref="E122:J125" si="113">E105-E56</f>
        <v>-1394.2749999999996</v>
      </c>
      <c r="F122" s="20">
        <f t="shared" si="113"/>
        <v>1253.5230000000001</v>
      </c>
      <c r="G122" s="109">
        <f t="shared" si="113"/>
        <v>312.4369999999999</v>
      </c>
      <c r="H122" s="20">
        <f t="shared" si="113"/>
        <v>-998.25700000000006</v>
      </c>
      <c r="I122" s="20">
        <f t="shared" si="113"/>
        <v>-746.42299999999977</v>
      </c>
      <c r="J122" s="20">
        <f t="shared" si="113"/>
        <v>2215.9169999999995</v>
      </c>
      <c r="K122" s="7">
        <f t="shared" ref="K122:K128" si="114">SUM(E122:J122)</f>
        <v>642.92200000000003</v>
      </c>
      <c r="L122" s="20">
        <f t="shared" ref="L122:Q125" si="115">L105-L56</f>
        <v>-1030.1519999999998</v>
      </c>
      <c r="M122" s="4">
        <f t="shared" si="115"/>
        <v>-267.44800000000009</v>
      </c>
      <c r="N122" s="110">
        <f t="shared" si="115"/>
        <v>-113.47300000000001</v>
      </c>
      <c r="O122" s="4">
        <f t="shared" si="115"/>
        <v>-303.58199999999999</v>
      </c>
      <c r="P122" s="4">
        <f t="shared" si="115"/>
        <v>-722.62</v>
      </c>
      <c r="Q122" s="4">
        <f t="shared" si="115"/>
        <v>42.021999999999935</v>
      </c>
      <c r="R122" s="7">
        <f t="shared" ref="R122:R128" si="116">SUM(L122:Q122)</f>
        <v>-2395.2529999999997</v>
      </c>
      <c r="S122" s="11">
        <f t="shared" ref="S122:S133" si="117">IF(E122=0,"***",L122/E122)</f>
        <v>0.73884420218393076</v>
      </c>
      <c r="T122" s="11">
        <f t="shared" ref="T122:T133" si="118">IF(F122=0,"***",M122/F122)</f>
        <v>-0.21335707442145063</v>
      </c>
      <c r="U122" s="11">
        <f t="shared" ref="U122:U133" si="119">IF(G122=0,"***",N122/G122)</f>
        <v>-0.3631868184626022</v>
      </c>
      <c r="V122" s="11">
        <f t="shared" ref="V122:V133" si="120">IF(H122=0,"***",O122/H122)</f>
        <v>0.30411206733336205</v>
      </c>
      <c r="W122" s="11">
        <f t="shared" ref="W122:W133" si="121">IF(I122=0,"***",P122/I122)</f>
        <v>0.96811057537080214</v>
      </c>
      <c r="X122" s="11">
        <f t="shared" ref="X122:X133" si="122">IF(J122=0,"***",Q122/J122)</f>
        <v>1.8963706673128976E-2</v>
      </c>
      <c r="Y122" s="12">
        <f t="shared" ref="Y122:Y133" si="123">Y105-Y56</f>
        <v>-7.9573299804196029E-2</v>
      </c>
    </row>
    <row r="123" spans="3:25" x14ac:dyDescent="0.4">
      <c r="C123" s="60" t="s">
        <v>8</v>
      </c>
      <c r="D123" s="22" t="s">
        <v>9</v>
      </c>
      <c r="E123" s="20">
        <f t="shared" si="113"/>
        <v>4694.6149999999998</v>
      </c>
      <c r="F123" s="20">
        <f t="shared" si="113"/>
        <v>7466.0380000000005</v>
      </c>
      <c r="G123" s="109">
        <f t="shared" si="113"/>
        <v>4095.3060000000005</v>
      </c>
      <c r="H123" s="20">
        <f t="shared" si="113"/>
        <v>1696.049</v>
      </c>
      <c r="I123" s="20">
        <f t="shared" si="113"/>
        <v>1793.6869999999999</v>
      </c>
      <c r="J123" s="20">
        <f t="shared" si="113"/>
        <v>1975.6530000000002</v>
      </c>
      <c r="K123" s="7">
        <f t="shared" si="114"/>
        <v>21721.347999999998</v>
      </c>
      <c r="L123" s="20">
        <f t="shared" si="115"/>
        <v>2109.3429999999998</v>
      </c>
      <c r="M123" s="20">
        <f t="shared" si="115"/>
        <v>3070.0940000000001</v>
      </c>
      <c r="N123" s="109">
        <f t="shared" si="115"/>
        <v>1654.8090000000002</v>
      </c>
      <c r="O123" s="20">
        <f t="shared" si="115"/>
        <v>599.29500000000007</v>
      </c>
      <c r="P123" s="20">
        <f t="shared" si="115"/>
        <v>701.44900000000007</v>
      </c>
      <c r="Q123" s="20">
        <f t="shared" si="115"/>
        <v>1111.4279999999999</v>
      </c>
      <c r="R123" s="7">
        <f t="shared" si="116"/>
        <v>9246.4179999999997</v>
      </c>
      <c r="S123" s="11">
        <f t="shared" si="117"/>
        <v>0.44931117887196287</v>
      </c>
      <c r="T123" s="11">
        <f t="shared" si="118"/>
        <v>0.41120792581018206</v>
      </c>
      <c r="U123" s="11">
        <f t="shared" si="119"/>
        <v>0.40407456732170927</v>
      </c>
      <c r="V123" s="11">
        <f t="shared" si="120"/>
        <v>0.35334769219521373</v>
      </c>
      <c r="W123" s="11">
        <f t="shared" si="121"/>
        <v>0.3910654422984613</v>
      </c>
      <c r="X123" s="11">
        <f t="shared" si="122"/>
        <v>0.56256235280183298</v>
      </c>
      <c r="Y123" s="12">
        <f t="shared" si="123"/>
        <v>6.0430573882477745E-2</v>
      </c>
    </row>
    <row r="124" spans="3:25" x14ac:dyDescent="0.4">
      <c r="C124" s="60" t="s">
        <v>10</v>
      </c>
      <c r="D124" s="22" t="s">
        <v>11</v>
      </c>
      <c r="E124" s="20">
        <f t="shared" si="113"/>
        <v>126.80499999999995</v>
      </c>
      <c r="F124" s="20">
        <f t="shared" si="113"/>
        <v>148.39599999999996</v>
      </c>
      <c r="G124" s="109">
        <f t="shared" si="113"/>
        <v>19.480000000000004</v>
      </c>
      <c r="H124" s="20">
        <f t="shared" si="113"/>
        <v>1.9769999999999968</v>
      </c>
      <c r="I124" s="20">
        <f t="shared" si="113"/>
        <v>291.601</v>
      </c>
      <c r="J124" s="20">
        <f t="shared" si="113"/>
        <v>325.51300000000003</v>
      </c>
      <c r="K124" s="7">
        <f t="shared" si="114"/>
        <v>913.77199999999993</v>
      </c>
      <c r="L124" s="20">
        <f t="shared" si="115"/>
        <v>210.38</v>
      </c>
      <c r="M124" s="20">
        <f t="shared" si="115"/>
        <v>153.30799999999999</v>
      </c>
      <c r="N124" s="109">
        <f t="shared" si="115"/>
        <v>-5.1669999999999998</v>
      </c>
      <c r="O124" s="20">
        <f t="shared" si="115"/>
        <v>4.6080000000000005</v>
      </c>
      <c r="P124" s="20">
        <f t="shared" si="115"/>
        <v>412.48099999999999</v>
      </c>
      <c r="Q124" s="20">
        <f t="shared" si="115"/>
        <v>249.22000000000003</v>
      </c>
      <c r="R124" s="7">
        <f t="shared" si="116"/>
        <v>1024.83</v>
      </c>
      <c r="S124" s="11">
        <f t="shared" si="117"/>
        <v>1.6590828437364464</v>
      </c>
      <c r="T124" s="11">
        <f t="shared" si="118"/>
        <v>1.0331006226582928</v>
      </c>
      <c r="U124" s="11">
        <f t="shared" si="119"/>
        <v>-0.26524640657084181</v>
      </c>
      <c r="V124" s="11">
        <f t="shared" si="120"/>
        <v>2.3308042488619161</v>
      </c>
      <c r="W124" s="11">
        <f t="shared" si="121"/>
        <v>1.4145390447906556</v>
      </c>
      <c r="X124" s="11">
        <f t="shared" si="122"/>
        <v>0.76562226393415933</v>
      </c>
      <c r="Y124" s="12">
        <f t="shared" si="123"/>
        <v>0.17802704319901341</v>
      </c>
    </row>
    <row r="125" spans="3:25" x14ac:dyDescent="0.4">
      <c r="C125" s="60" t="s">
        <v>12</v>
      </c>
      <c r="D125" s="22" t="s">
        <v>13</v>
      </c>
      <c r="E125" s="20">
        <f t="shared" si="113"/>
        <v>46.889000000000124</v>
      </c>
      <c r="F125" s="20">
        <f t="shared" si="113"/>
        <v>1081.7910000000002</v>
      </c>
      <c r="G125" s="109">
        <f t="shared" si="113"/>
        <v>469.78300000000036</v>
      </c>
      <c r="H125" s="20">
        <f t="shared" si="113"/>
        <v>1116.143</v>
      </c>
      <c r="I125" s="20">
        <f t="shared" si="113"/>
        <v>-401.65699999999993</v>
      </c>
      <c r="J125" s="20">
        <f t="shared" si="113"/>
        <v>-318.79700000000003</v>
      </c>
      <c r="K125" s="7">
        <f t="shared" si="114"/>
        <v>1994.1520000000005</v>
      </c>
      <c r="L125" s="20">
        <f t="shared" si="115"/>
        <v>49.007000000000062</v>
      </c>
      <c r="M125" s="20">
        <f t="shared" si="115"/>
        <v>736.72699999999986</v>
      </c>
      <c r="N125" s="109">
        <f t="shared" si="115"/>
        <v>914.34400000000005</v>
      </c>
      <c r="O125" s="20">
        <f t="shared" si="115"/>
        <v>658.36299999999983</v>
      </c>
      <c r="P125" s="20">
        <f t="shared" si="115"/>
        <v>-181.60500000000002</v>
      </c>
      <c r="Q125" s="20">
        <f t="shared" si="115"/>
        <v>101.83600000000001</v>
      </c>
      <c r="R125" s="7">
        <f t="shared" si="116"/>
        <v>2278.6719999999996</v>
      </c>
      <c r="S125" s="11">
        <f t="shared" si="117"/>
        <v>1.0451705090746215</v>
      </c>
      <c r="T125" s="11">
        <f t="shared" si="118"/>
        <v>0.68102526273559283</v>
      </c>
      <c r="U125" s="11">
        <f t="shared" si="119"/>
        <v>1.9463113820636322</v>
      </c>
      <c r="V125" s="11">
        <f t="shared" si="120"/>
        <v>0.58985542175151373</v>
      </c>
      <c r="W125" s="11">
        <f t="shared" si="121"/>
        <v>0.45213951207124498</v>
      </c>
      <c r="X125" s="11">
        <f t="shared" si="122"/>
        <v>-0.31943838869249086</v>
      </c>
      <c r="Y125" s="12">
        <f t="shared" si="123"/>
        <v>5.1246478057133504E-2</v>
      </c>
    </row>
    <row r="126" spans="3:25" x14ac:dyDescent="0.4">
      <c r="C126" s="60" t="s">
        <v>14</v>
      </c>
      <c r="D126" s="22"/>
      <c r="E126" s="4">
        <f t="shared" ref="E126:J126" si="124">SUM(E122:E125)</f>
        <v>3474.0340000000001</v>
      </c>
      <c r="F126" s="4">
        <f t="shared" si="124"/>
        <v>9949.7480000000032</v>
      </c>
      <c r="G126" s="110">
        <f t="shared" si="124"/>
        <v>4897.0060000000003</v>
      </c>
      <c r="H126" s="4">
        <f t="shared" si="124"/>
        <v>1815.9119999999998</v>
      </c>
      <c r="I126" s="4">
        <f t="shared" si="124"/>
        <v>937.20800000000031</v>
      </c>
      <c r="J126" s="4">
        <f t="shared" si="124"/>
        <v>4198.2860000000001</v>
      </c>
      <c r="K126" s="7">
        <f t="shared" si="114"/>
        <v>25272.194000000003</v>
      </c>
      <c r="L126" s="4">
        <f t="shared" ref="L126:Q126" si="125">SUM(L122:L125)</f>
        <v>1338.578</v>
      </c>
      <c r="M126" s="4">
        <f t="shared" si="125"/>
        <v>3692.6809999999996</v>
      </c>
      <c r="N126" s="110">
        <f t="shared" si="125"/>
        <v>2450.5130000000004</v>
      </c>
      <c r="O126" s="4">
        <f t="shared" si="125"/>
        <v>958.68399999999997</v>
      </c>
      <c r="P126" s="4">
        <f t="shared" si="125"/>
        <v>209.70500000000004</v>
      </c>
      <c r="Q126" s="4">
        <f t="shared" si="125"/>
        <v>1504.5059999999999</v>
      </c>
      <c r="R126" s="7">
        <f t="shared" si="116"/>
        <v>10154.666999999999</v>
      </c>
      <c r="S126" s="11">
        <f t="shared" si="117"/>
        <v>0.38530941263096447</v>
      </c>
      <c r="T126" s="11">
        <f t="shared" si="118"/>
        <v>0.37113311814530364</v>
      </c>
      <c r="U126" s="11">
        <f t="shared" si="119"/>
        <v>0.50041045487793978</v>
      </c>
      <c r="V126" s="11">
        <f t="shared" si="120"/>
        <v>0.52793527439655674</v>
      </c>
      <c r="W126" s="11">
        <f t="shared" si="121"/>
        <v>0.22375502556529603</v>
      </c>
      <c r="X126" s="11">
        <f t="shared" si="122"/>
        <v>0.35836196009514354</v>
      </c>
      <c r="Y126" s="12">
        <f t="shared" si="123"/>
        <v>1.3994331200927357E-2</v>
      </c>
    </row>
    <row r="127" spans="3:25" x14ac:dyDescent="0.4">
      <c r="C127" s="60" t="s">
        <v>15</v>
      </c>
      <c r="D127" s="22" t="s">
        <v>16</v>
      </c>
      <c r="E127" s="20">
        <f t="shared" ref="E127:J128" si="126">E110-E61</f>
        <v>4081.9169999999995</v>
      </c>
      <c r="F127" s="20">
        <f t="shared" si="126"/>
        <v>1798.0889999999999</v>
      </c>
      <c r="G127" s="109">
        <f t="shared" si="126"/>
        <v>1091.6729999999998</v>
      </c>
      <c r="H127" s="20">
        <f t="shared" si="126"/>
        <v>-299.41100000000006</v>
      </c>
      <c r="I127" s="20">
        <f t="shared" si="126"/>
        <v>-1241.7399999999998</v>
      </c>
      <c r="J127" s="20">
        <f t="shared" si="126"/>
        <v>-927.88300000000163</v>
      </c>
      <c r="K127" s="7">
        <f t="shared" si="114"/>
        <v>4502.6449999999977</v>
      </c>
      <c r="L127" s="20">
        <f t="shared" ref="L127:Q128" si="127">L110-L61</f>
        <v>1182.3220000000001</v>
      </c>
      <c r="M127" s="4">
        <f t="shared" si="127"/>
        <v>452.10599999999999</v>
      </c>
      <c r="N127" s="110">
        <f t="shared" si="127"/>
        <v>263.68399999999997</v>
      </c>
      <c r="O127" s="4">
        <f t="shared" si="127"/>
        <v>102.38699999999994</v>
      </c>
      <c r="P127" s="4">
        <f t="shared" si="127"/>
        <v>-123.96499999999992</v>
      </c>
      <c r="Q127" s="4">
        <f t="shared" si="127"/>
        <v>191.9699999999998</v>
      </c>
      <c r="R127" s="7">
        <f t="shared" si="116"/>
        <v>2068.5039999999999</v>
      </c>
      <c r="S127" s="11">
        <f t="shared" si="117"/>
        <v>0.28964871162250488</v>
      </c>
      <c r="T127" s="11">
        <f t="shared" si="118"/>
        <v>0.25143694222032392</v>
      </c>
      <c r="U127" s="11">
        <f t="shared" si="119"/>
        <v>0.24154119411215633</v>
      </c>
      <c r="V127" s="11">
        <f t="shared" si="120"/>
        <v>-0.34196138418428157</v>
      </c>
      <c r="W127" s="11">
        <f t="shared" si="121"/>
        <v>9.9831687792935678E-2</v>
      </c>
      <c r="X127" s="11">
        <f t="shared" si="122"/>
        <v>-0.20689030836861916</v>
      </c>
      <c r="Y127" s="12">
        <f t="shared" si="123"/>
        <v>2.5709866871729714E-2</v>
      </c>
    </row>
    <row r="128" spans="3:25" x14ac:dyDescent="0.4">
      <c r="C128" s="60" t="s">
        <v>17</v>
      </c>
      <c r="D128" s="22" t="s">
        <v>18</v>
      </c>
      <c r="E128" s="20">
        <f t="shared" si="126"/>
        <v>56.885000000000218</v>
      </c>
      <c r="F128" s="20">
        <f t="shared" si="126"/>
        <v>-669.46500000000015</v>
      </c>
      <c r="G128" s="109">
        <f t="shared" si="126"/>
        <v>-1359.3600000000001</v>
      </c>
      <c r="H128" s="20">
        <f t="shared" si="126"/>
        <v>-2322.0050000000001</v>
      </c>
      <c r="I128" s="20">
        <f t="shared" si="126"/>
        <v>-36.184999999999945</v>
      </c>
      <c r="J128" s="20">
        <f t="shared" si="126"/>
        <v>-921.31500000000005</v>
      </c>
      <c r="K128" s="7">
        <f t="shared" si="114"/>
        <v>-5251.4449999999997</v>
      </c>
      <c r="L128" s="20">
        <f t="shared" si="127"/>
        <v>-176.61599999999999</v>
      </c>
      <c r="M128" s="20">
        <f t="shared" si="127"/>
        <v>-414.7510000000002</v>
      </c>
      <c r="N128" s="109">
        <f t="shared" si="127"/>
        <v>-652.94399999999996</v>
      </c>
      <c r="O128" s="20">
        <f t="shared" si="127"/>
        <v>-1535.894</v>
      </c>
      <c r="P128" s="20">
        <f t="shared" si="127"/>
        <v>43.421000000000049</v>
      </c>
      <c r="Q128" s="20">
        <f t="shared" si="127"/>
        <v>-534.98199999999997</v>
      </c>
      <c r="R128" s="7">
        <f t="shared" si="116"/>
        <v>-3271.7659999999996</v>
      </c>
      <c r="S128" s="11">
        <f t="shared" si="117"/>
        <v>-3.1047903665289498</v>
      </c>
      <c r="T128" s="11">
        <f t="shared" si="118"/>
        <v>0.61952603944941131</v>
      </c>
      <c r="U128" s="11">
        <f t="shared" si="119"/>
        <v>0.48033192090395471</v>
      </c>
      <c r="V128" s="11">
        <f t="shared" si="120"/>
        <v>0.66145163339441559</v>
      </c>
      <c r="W128" s="11">
        <f t="shared" si="121"/>
        <v>-1.199972364239329</v>
      </c>
      <c r="X128" s="11">
        <f t="shared" si="122"/>
        <v>0.58067219137862724</v>
      </c>
      <c r="Y128" s="12">
        <f t="shared" si="123"/>
        <v>1.3704464081674916E-2</v>
      </c>
    </row>
    <row r="129" spans="3:25" x14ac:dyDescent="0.4">
      <c r="C129" s="60" t="s">
        <v>19</v>
      </c>
      <c r="D129" s="22"/>
      <c r="E129" s="20">
        <f t="shared" ref="E129:R129" si="128">SUM(E127:E128)</f>
        <v>4138.8019999999997</v>
      </c>
      <c r="F129" s="20">
        <f t="shared" si="128"/>
        <v>1128.6239999999998</v>
      </c>
      <c r="G129" s="109">
        <f t="shared" si="128"/>
        <v>-267.68700000000035</v>
      </c>
      <c r="H129" s="20">
        <f t="shared" si="128"/>
        <v>-2621.4160000000002</v>
      </c>
      <c r="I129" s="20">
        <f t="shared" si="128"/>
        <v>-1277.9249999999997</v>
      </c>
      <c r="J129" s="20">
        <f t="shared" si="128"/>
        <v>-1849.1980000000017</v>
      </c>
      <c r="K129" s="7">
        <f t="shared" si="128"/>
        <v>-748.800000000002</v>
      </c>
      <c r="L129" s="20">
        <f t="shared" si="128"/>
        <v>1005.7060000000001</v>
      </c>
      <c r="M129" s="20">
        <f t="shared" si="128"/>
        <v>37.354999999999791</v>
      </c>
      <c r="N129" s="109">
        <f t="shared" si="128"/>
        <v>-389.26</v>
      </c>
      <c r="O129" s="20">
        <f t="shared" si="128"/>
        <v>-1433.5070000000001</v>
      </c>
      <c r="P129" s="20">
        <f t="shared" si="128"/>
        <v>-80.543999999999869</v>
      </c>
      <c r="Q129" s="20">
        <f t="shared" si="128"/>
        <v>-343.01200000000017</v>
      </c>
      <c r="R129" s="7">
        <f t="shared" si="128"/>
        <v>-1203.2619999999997</v>
      </c>
      <c r="S129" s="11">
        <f t="shared" si="117"/>
        <v>0.24299447038055944</v>
      </c>
      <c r="T129" s="11">
        <f t="shared" si="118"/>
        <v>3.3097825316491407E-2</v>
      </c>
      <c r="U129" s="11">
        <f t="shared" si="119"/>
        <v>1.4541610164109555</v>
      </c>
      <c r="V129" s="11">
        <f t="shared" si="120"/>
        <v>0.54684452982662801</v>
      </c>
      <c r="W129" s="11">
        <f t="shared" si="121"/>
        <v>6.3027172956159311E-2</v>
      </c>
      <c r="X129" s="11">
        <f t="shared" si="122"/>
        <v>0.18549230531289773</v>
      </c>
      <c r="Y129" s="12">
        <f t="shared" si="123"/>
        <v>-1.4379531458062145E-2</v>
      </c>
    </row>
    <row r="130" spans="3:25" x14ac:dyDescent="0.4">
      <c r="C130" s="60" t="s">
        <v>20</v>
      </c>
      <c r="D130" s="22" t="s">
        <v>21</v>
      </c>
      <c r="E130" s="20">
        <f t="shared" ref="E130:J131" si="129">E113-E64</f>
        <v>6831.3019999999997</v>
      </c>
      <c r="F130" s="20">
        <f t="shared" si="129"/>
        <v>-2852.0400000000009</v>
      </c>
      <c r="G130" s="109">
        <f t="shared" si="129"/>
        <v>8659.1310000000012</v>
      </c>
      <c r="H130" s="20">
        <f t="shared" si="129"/>
        <v>1678.2209999999995</v>
      </c>
      <c r="I130" s="20">
        <f t="shared" si="129"/>
        <v>4444.0249999999996</v>
      </c>
      <c r="J130" s="20">
        <f t="shared" si="129"/>
        <v>1735.5560000000005</v>
      </c>
      <c r="K130" s="7">
        <f>SUM(E130:J130)</f>
        <v>20496.195</v>
      </c>
      <c r="L130" s="20">
        <f t="shared" ref="L130:Q131" si="130">L113-L64</f>
        <v>1023.0040000000008</v>
      </c>
      <c r="M130" s="4">
        <f t="shared" si="130"/>
        <v>-880.04200000000037</v>
      </c>
      <c r="N130" s="110">
        <f t="shared" si="130"/>
        <v>1954.2910000000002</v>
      </c>
      <c r="O130" s="4">
        <f t="shared" si="130"/>
        <v>-121.721</v>
      </c>
      <c r="P130" s="4">
        <f t="shared" si="130"/>
        <v>498.08599999999979</v>
      </c>
      <c r="Q130" s="4">
        <f t="shared" si="130"/>
        <v>-0.74099999999998545</v>
      </c>
      <c r="R130" s="7">
        <f>SUM(L130:Q130)</f>
        <v>2472.8770000000004</v>
      </c>
      <c r="S130" s="11">
        <f t="shared" si="117"/>
        <v>0.14975241908497106</v>
      </c>
      <c r="T130" s="11">
        <f t="shared" si="118"/>
        <v>0.3085657985161499</v>
      </c>
      <c r="U130" s="11">
        <f t="shared" si="119"/>
        <v>0.2256913540169331</v>
      </c>
      <c r="V130" s="11">
        <f t="shared" si="120"/>
        <v>-7.252978004684725E-2</v>
      </c>
      <c r="W130" s="11">
        <f t="shared" si="121"/>
        <v>0.11207992754316184</v>
      </c>
      <c r="X130" s="11">
        <f t="shared" si="122"/>
        <v>-4.2695251550510917E-4</v>
      </c>
      <c r="Y130" s="12">
        <f t="shared" si="123"/>
        <v>-1.7598337555914584E-2</v>
      </c>
    </row>
    <row r="131" spans="3:25" x14ac:dyDescent="0.4">
      <c r="C131" s="60" t="s">
        <v>22</v>
      </c>
      <c r="D131" s="83" t="s">
        <v>23</v>
      </c>
      <c r="E131" s="20">
        <f t="shared" si="129"/>
        <v>-30</v>
      </c>
      <c r="F131" s="20">
        <f t="shared" si="129"/>
        <v>-30</v>
      </c>
      <c r="G131" s="109">
        <f t="shared" si="129"/>
        <v>-30</v>
      </c>
      <c r="H131" s="20">
        <f t="shared" si="129"/>
        <v>-30</v>
      </c>
      <c r="I131" s="20">
        <f t="shared" si="129"/>
        <v>-30</v>
      </c>
      <c r="J131" s="20">
        <f t="shared" si="129"/>
        <v>-15.337999999999999</v>
      </c>
      <c r="K131" s="7">
        <f>SUM(E131:J131)</f>
        <v>-165.33799999999999</v>
      </c>
      <c r="L131" s="20">
        <f t="shared" si="130"/>
        <v>-10</v>
      </c>
      <c r="M131" s="4">
        <f t="shared" si="130"/>
        <v>-10</v>
      </c>
      <c r="N131" s="110">
        <f t="shared" si="130"/>
        <v>-10</v>
      </c>
      <c r="O131" s="4">
        <f t="shared" si="130"/>
        <v>-10</v>
      </c>
      <c r="P131" s="4">
        <f t="shared" si="130"/>
        <v>-10</v>
      </c>
      <c r="Q131" s="4">
        <f t="shared" si="130"/>
        <v>-6.0129999999999999</v>
      </c>
      <c r="R131" s="7">
        <f>SUM(L131:Q131)</f>
        <v>-56.012999999999998</v>
      </c>
      <c r="S131" s="11">
        <f t="shared" si="117"/>
        <v>0.33333333333333331</v>
      </c>
      <c r="T131" s="11">
        <f t="shared" si="118"/>
        <v>0.33333333333333331</v>
      </c>
      <c r="U131" s="11">
        <f t="shared" si="119"/>
        <v>0.33333333333333331</v>
      </c>
      <c r="V131" s="11">
        <f t="shared" si="120"/>
        <v>0.33333333333333331</v>
      </c>
      <c r="W131" s="11">
        <f t="shared" si="121"/>
        <v>0.33333333333333331</v>
      </c>
      <c r="X131" s="11">
        <f t="shared" si="122"/>
        <v>0.39203285956448036</v>
      </c>
      <c r="Y131" s="12">
        <f t="shared" si="123"/>
        <v>-6.1405901877870206E-2</v>
      </c>
    </row>
    <row r="132" spans="3:25" x14ac:dyDescent="0.4">
      <c r="C132" s="82" t="s">
        <v>24</v>
      </c>
      <c r="D132" s="83"/>
      <c r="E132" s="20">
        <f t="shared" ref="E132:R132" si="131">SUM(E130:E131)</f>
        <v>6801.3019999999997</v>
      </c>
      <c r="F132" s="20">
        <f t="shared" si="131"/>
        <v>-2882.0400000000009</v>
      </c>
      <c r="G132" s="109">
        <f t="shared" si="131"/>
        <v>8629.1310000000012</v>
      </c>
      <c r="H132" s="20">
        <f t="shared" si="131"/>
        <v>1648.2209999999995</v>
      </c>
      <c r="I132" s="20">
        <f t="shared" si="131"/>
        <v>4414.0249999999996</v>
      </c>
      <c r="J132" s="20">
        <f t="shared" si="131"/>
        <v>1720.2180000000005</v>
      </c>
      <c r="K132" s="7">
        <f t="shared" si="131"/>
        <v>20330.857</v>
      </c>
      <c r="L132" s="20">
        <f t="shared" si="131"/>
        <v>1013.0040000000008</v>
      </c>
      <c r="M132" s="20">
        <f t="shared" si="131"/>
        <v>-890.04200000000037</v>
      </c>
      <c r="N132" s="109">
        <f t="shared" si="131"/>
        <v>1944.2910000000002</v>
      </c>
      <c r="O132" s="20">
        <f t="shared" si="131"/>
        <v>-131.721</v>
      </c>
      <c r="P132" s="20">
        <f t="shared" si="131"/>
        <v>488.08599999999979</v>
      </c>
      <c r="Q132" s="20">
        <f t="shared" si="131"/>
        <v>-6.7539999999999853</v>
      </c>
      <c r="R132" s="7">
        <f t="shared" si="131"/>
        <v>2416.8640000000005</v>
      </c>
      <c r="S132" s="86">
        <f t="shared" si="117"/>
        <v>0.14894265833218417</v>
      </c>
      <c r="T132" s="86">
        <f t="shared" si="118"/>
        <v>0.30882361105328177</v>
      </c>
      <c r="U132" s="86">
        <f t="shared" si="119"/>
        <v>0.22531712637112589</v>
      </c>
      <c r="V132" s="86">
        <f t="shared" si="120"/>
        <v>-7.9917074227303278E-2</v>
      </c>
      <c r="W132" s="86">
        <f t="shared" si="121"/>
        <v>0.11057617480644079</v>
      </c>
      <c r="X132" s="86">
        <f t="shared" si="122"/>
        <v>-3.9262465571224016E-3</v>
      </c>
      <c r="Y132" s="87">
        <f t="shared" si="123"/>
        <v>-1.781423668169238E-2</v>
      </c>
    </row>
    <row r="133" spans="3:25" x14ac:dyDescent="0.4">
      <c r="C133" s="53" t="s">
        <v>5</v>
      </c>
      <c r="D133" s="54"/>
      <c r="E133" s="8">
        <f t="shared" ref="E133:R133" si="132">E126+E129+E132</f>
        <v>14414.137999999999</v>
      </c>
      <c r="F133" s="8">
        <f t="shared" si="132"/>
        <v>8196.3320000000022</v>
      </c>
      <c r="G133" s="8">
        <f t="shared" si="132"/>
        <v>13258.45</v>
      </c>
      <c r="H133" s="8">
        <f t="shared" si="132"/>
        <v>842.71699999999919</v>
      </c>
      <c r="I133" s="8">
        <f t="shared" si="132"/>
        <v>4073.308</v>
      </c>
      <c r="J133" s="8">
        <f t="shared" si="132"/>
        <v>4069.3059999999987</v>
      </c>
      <c r="K133" s="9">
        <f t="shared" si="132"/>
        <v>44854.251000000004</v>
      </c>
      <c r="L133" s="8">
        <f t="shared" si="132"/>
        <v>3357.2880000000009</v>
      </c>
      <c r="M133" s="8">
        <f t="shared" si="132"/>
        <v>2839.9939999999988</v>
      </c>
      <c r="N133" s="8">
        <f t="shared" si="132"/>
        <v>4005.5440000000008</v>
      </c>
      <c r="O133" s="8">
        <f t="shared" si="132"/>
        <v>-606.5440000000001</v>
      </c>
      <c r="P133" s="8">
        <f t="shared" si="132"/>
        <v>617.24699999999996</v>
      </c>
      <c r="Q133" s="8">
        <f t="shared" si="132"/>
        <v>1154.7399999999998</v>
      </c>
      <c r="R133" s="9">
        <f t="shared" si="132"/>
        <v>11368.269</v>
      </c>
      <c r="S133" s="14">
        <f t="shared" si="117"/>
        <v>0.23291632146160951</v>
      </c>
      <c r="T133" s="14">
        <f t="shared" si="118"/>
        <v>0.346495725160962</v>
      </c>
      <c r="U133" s="14">
        <f t="shared" si="119"/>
        <v>0.30211253955024914</v>
      </c>
      <c r="V133" s="14">
        <f t="shared" si="120"/>
        <v>-0.71974814795477093</v>
      </c>
      <c r="W133" s="14">
        <f t="shared" si="121"/>
        <v>0.15153457582878582</v>
      </c>
      <c r="X133" s="14">
        <f t="shared" si="122"/>
        <v>0.28376828874505877</v>
      </c>
      <c r="Y133" s="15">
        <f t="shared" si="123"/>
        <v>-7.5939630047635043E-3</v>
      </c>
    </row>
    <row r="134" spans="3:25" x14ac:dyDescent="0.4">
      <c r="C134" s="18"/>
      <c r="E134" s="17"/>
      <c r="F134" s="17"/>
      <c r="G134" s="17"/>
      <c r="H134" s="17"/>
      <c r="I134" s="17"/>
      <c r="J134" s="17"/>
      <c r="K134" s="18"/>
      <c r="L134" s="17"/>
      <c r="M134" s="17"/>
      <c r="N134" s="17"/>
      <c r="O134" s="17"/>
      <c r="P134" s="17"/>
      <c r="Q134" s="17"/>
      <c r="R134" s="18"/>
      <c r="S134" s="19"/>
      <c r="T134" s="19"/>
      <c r="U134" s="19"/>
      <c r="V134" s="19"/>
      <c r="W134" s="19"/>
      <c r="X134" s="19"/>
      <c r="Y134" s="19"/>
    </row>
    <row r="135" spans="3:25" x14ac:dyDescent="0.4">
      <c r="C135" s="18" t="s">
        <v>34</v>
      </c>
    </row>
    <row r="136" spans="3:25" x14ac:dyDescent="0.4">
      <c r="C136" s="120"/>
      <c r="D136" s="119"/>
      <c r="E136" s="120" t="s">
        <v>2</v>
      </c>
      <c r="F136" s="118"/>
      <c r="G136" s="118"/>
      <c r="H136" s="118"/>
      <c r="I136" s="118"/>
      <c r="J136" s="118"/>
      <c r="K136" s="119"/>
      <c r="L136" s="117" t="s">
        <v>3</v>
      </c>
      <c r="M136" s="118"/>
      <c r="N136" s="118"/>
      <c r="O136" s="118"/>
      <c r="P136" s="118"/>
      <c r="Q136" s="118"/>
      <c r="R136" s="119"/>
      <c r="S136" s="117" t="s">
        <v>4</v>
      </c>
      <c r="T136" s="118"/>
      <c r="U136" s="118"/>
      <c r="V136" s="118"/>
      <c r="W136" s="118"/>
      <c r="X136" s="118"/>
      <c r="Y136" s="119"/>
    </row>
    <row r="137" spans="3:25" x14ac:dyDescent="0.4">
      <c r="C137" s="1"/>
      <c r="D137" s="21"/>
      <c r="E137" s="61">
        <v>46113</v>
      </c>
      <c r="F137" s="2">
        <v>46143</v>
      </c>
      <c r="G137" s="2">
        <v>46174</v>
      </c>
      <c r="H137" s="2">
        <v>46204</v>
      </c>
      <c r="I137" s="2">
        <v>46235</v>
      </c>
      <c r="J137" s="2">
        <v>46266</v>
      </c>
      <c r="K137" s="10" t="s">
        <v>5</v>
      </c>
      <c r="L137" s="95">
        <v>46113</v>
      </c>
      <c r="M137" s="2">
        <v>46143</v>
      </c>
      <c r="N137" s="2">
        <v>46174</v>
      </c>
      <c r="O137" s="2">
        <v>46204</v>
      </c>
      <c r="P137" s="2">
        <v>46235</v>
      </c>
      <c r="Q137" s="2">
        <v>46266</v>
      </c>
      <c r="R137" s="10" t="s">
        <v>5</v>
      </c>
      <c r="S137" s="95">
        <v>46113</v>
      </c>
      <c r="T137" s="2">
        <v>46143</v>
      </c>
      <c r="U137" s="2">
        <v>46174</v>
      </c>
      <c r="V137" s="2">
        <v>46204</v>
      </c>
      <c r="W137" s="2">
        <v>46235</v>
      </c>
      <c r="X137" s="2">
        <v>46266</v>
      </c>
      <c r="Y137" s="10" t="s">
        <v>5</v>
      </c>
    </row>
    <row r="138" spans="3:25" x14ac:dyDescent="0.4">
      <c r="C138" s="60" t="s">
        <v>6</v>
      </c>
      <c r="D138" s="22" t="s">
        <v>7</v>
      </c>
      <c r="E138" s="20">
        <f t="shared" ref="E138:J141" si="133">E105-E22</f>
        <v>-1852.0709999999999</v>
      </c>
      <c r="F138" s="20">
        <f t="shared" si="133"/>
        <v>1209.0510000000004</v>
      </c>
      <c r="G138" s="109">
        <f t="shared" si="133"/>
        <v>16.835000000000036</v>
      </c>
      <c r="H138" s="20">
        <f t="shared" si="133"/>
        <v>60.058999999999969</v>
      </c>
      <c r="I138" s="20">
        <f t="shared" si="133"/>
        <v>1265.1060000000002</v>
      </c>
      <c r="J138" s="20">
        <f t="shared" si="133"/>
        <v>3150.6869999999999</v>
      </c>
      <c r="K138" s="7">
        <f t="shared" ref="K138:K144" si="134">SUM(E138:J138)</f>
        <v>3849.6670000000004</v>
      </c>
      <c r="L138" s="20">
        <f t="shared" ref="L138:Q141" si="135">L105-L22</f>
        <v>-467.88699999999972</v>
      </c>
      <c r="M138" s="4">
        <f t="shared" si="135"/>
        <v>62.81899999999996</v>
      </c>
      <c r="N138" s="110">
        <f t="shared" si="135"/>
        <v>-186.84899999999999</v>
      </c>
      <c r="O138" s="4">
        <f t="shared" si="135"/>
        <v>-195.22800000000001</v>
      </c>
      <c r="P138" s="4">
        <f t="shared" si="135"/>
        <v>20.603999999999928</v>
      </c>
      <c r="Q138" s="4">
        <f t="shared" si="135"/>
        <v>192.33799999999997</v>
      </c>
      <c r="R138" s="7">
        <f t="shared" ref="R138:R144" si="136">SUM(L138:Q138)</f>
        <v>-574.20299999999986</v>
      </c>
      <c r="S138" s="11">
        <f t="shared" ref="S138:S149" si="137">IF(E138=0,"***",L138/E138)</f>
        <v>0.25262908387421418</v>
      </c>
      <c r="T138" s="11">
        <f t="shared" ref="T138:T149" si="138">IF(F138=0,"***",M138/F138)</f>
        <v>5.1957278890634007E-2</v>
      </c>
      <c r="U138" s="11">
        <f t="shared" ref="U138:U149" si="139">IF(G138=0,"***",N138/G138)</f>
        <v>-11.098841698841674</v>
      </c>
      <c r="V138" s="11">
        <f t="shared" ref="V138:V149" si="140">IF(H138=0,"***",O138/H138)</f>
        <v>-3.250603573153068</v>
      </c>
      <c r="W138" s="11">
        <f t="shared" ref="W138:W149" si="141">IF(I138=0,"***",P138/I138)</f>
        <v>1.6286382326856346E-2</v>
      </c>
      <c r="X138" s="11">
        <f t="shared" ref="X138:X149" si="142">IF(J138=0,"***",Q138/J138)</f>
        <v>6.1046368617384071E-2</v>
      </c>
      <c r="Y138" s="12">
        <f t="shared" ref="Y138:Y149" si="143">Y105-Y22</f>
        <v>-4.3850629204032571E-2</v>
      </c>
    </row>
    <row r="139" spans="3:25" x14ac:dyDescent="0.4">
      <c r="C139" s="60" t="s">
        <v>8</v>
      </c>
      <c r="D139" s="22" t="s">
        <v>9</v>
      </c>
      <c r="E139" s="20">
        <f t="shared" si="133"/>
        <v>7861.2029999999995</v>
      </c>
      <c r="F139" s="20">
        <f t="shared" si="133"/>
        <v>10082.560000000001</v>
      </c>
      <c r="G139" s="109">
        <f t="shared" si="133"/>
        <v>7024.1720000000005</v>
      </c>
      <c r="H139" s="20">
        <f t="shared" si="133"/>
        <v>1698.7089999999998</v>
      </c>
      <c r="I139" s="20">
        <f t="shared" si="133"/>
        <v>1794.8820000000001</v>
      </c>
      <c r="J139" s="20">
        <f t="shared" si="133"/>
        <v>1967.29</v>
      </c>
      <c r="K139" s="7">
        <f t="shared" si="134"/>
        <v>30428.815999999999</v>
      </c>
      <c r="L139" s="20">
        <f t="shared" si="135"/>
        <v>3074.7109999999998</v>
      </c>
      <c r="M139" s="20">
        <f t="shared" si="135"/>
        <v>3813.0030000000002</v>
      </c>
      <c r="N139" s="109">
        <f t="shared" si="135"/>
        <v>2316.915</v>
      </c>
      <c r="O139" s="20">
        <f t="shared" si="135"/>
        <v>412.86300000000006</v>
      </c>
      <c r="P139" s="20">
        <f t="shared" si="135"/>
        <v>723.02900000000011</v>
      </c>
      <c r="Q139" s="20">
        <f t="shared" si="135"/>
        <v>852.09599999999978</v>
      </c>
      <c r="R139" s="7">
        <f t="shared" si="136"/>
        <v>11192.617</v>
      </c>
      <c r="S139" s="11">
        <f t="shared" si="137"/>
        <v>0.39112474261254926</v>
      </c>
      <c r="T139" s="11">
        <f t="shared" si="138"/>
        <v>0.37817806192078202</v>
      </c>
      <c r="U139" s="11">
        <f t="shared" si="139"/>
        <v>0.32984884197027065</v>
      </c>
      <c r="V139" s="11">
        <f t="shared" si="140"/>
        <v>0.24304515958884076</v>
      </c>
      <c r="W139" s="11">
        <f t="shared" si="141"/>
        <v>0.40282815249136161</v>
      </c>
      <c r="X139" s="11">
        <f t="shared" si="142"/>
        <v>0.43313187176267848</v>
      </c>
      <c r="Y139" s="12">
        <f t="shared" si="143"/>
        <v>1.5338688843755555E-2</v>
      </c>
    </row>
    <row r="140" spans="3:25" x14ac:dyDescent="0.4">
      <c r="C140" s="60" t="s">
        <v>10</v>
      </c>
      <c r="D140" s="22" t="s">
        <v>11</v>
      </c>
      <c r="E140" s="20">
        <f t="shared" si="133"/>
        <v>29.900999999999954</v>
      </c>
      <c r="F140" s="20">
        <f t="shared" si="133"/>
        <v>106.80299999999994</v>
      </c>
      <c r="G140" s="109">
        <f t="shared" si="133"/>
        <v>14.998000000000005</v>
      </c>
      <c r="H140" s="20">
        <f t="shared" si="133"/>
        <v>5.2629999999999981</v>
      </c>
      <c r="I140" s="20">
        <f t="shared" si="133"/>
        <v>2.7480000000000473</v>
      </c>
      <c r="J140" s="20">
        <f t="shared" si="133"/>
        <v>162.48099999999999</v>
      </c>
      <c r="K140" s="7">
        <f t="shared" si="134"/>
        <v>322.19399999999996</v>
      </c>
      <c r="L140" s="20">
        <f t="shared" si="135"/>
        <v>57.165999999999997</v>
      </c>
      <c r="M140" s="20">
        <f t="shared" si="135"/>
        <v>52.603999999999985</v>
      </c>
      <c r="N140" s="109">
        <f t="shared" si="135"/>
        <v>-7.6480000000000015</v>
      </c>
      <c r="O140" s="20">
        <f t="shared" si="135"/>
        <v>7.7439999999999998</v>
      </c>
      <c r="P140" s="20">
        <f t="shared" si="135"/>
        <v>-4.8759999999999764</v>
      </c>
      <c r="Q140" s="20">
        <f t="shared" si="135"/>
        <v>91.956999999999994</v>
      </c>
      <c r="R140" s="7">
        <f t="shared" si="136"/>
        <v>196.947</v>
      </c>
      <c r="S140" s="11">
        <f t="shared" si="137"/>
        <v>1.9118424132972169</v>
      </c>
      <c r="T140" s="11">
        <f t="shared" si="138"/>
        <v>0.49253298128329742</v>
      </c>
      <c r="U140" s="11">
        <f t="shared" si="139"/>
        <v>-0.50993465795439386</v>
      </c>
      <c r="V140" s="11">
        <f t="shared" si="140"/>
        <v>1.4714041421242643</v>
      </c>
      <c r="W140" s="11">
        <f t="shared" si="141"/>
        <v>-1.774381368267792</v>
      </c>
      <c r="X140" s="11">
        <f t="shared" si="142"/>
        <v>0.5659554040164696</v>
      </c>
      <c r="Y140" s="12">
        <f t="shared" si="143"/>
        <v>-1.0208180812845469E-2</v>
      </c>
    </row>
    <row r="141" spans="3:25" x14ac:dyDescent="0.4">
      <c r="C141" s="60" t="s">
        <v>12</v>
      </c>
      <c r="D141" s="22" t="s">
        <v>13</v>
      </c>
      <c r="E141" s="20">
        <f t="shared" si="133"/>
        <v>548.3090000000002</v>
      </c>
      <c r="F141" s="20">
        <f t="shared" si="133"/>
        <v>1578.9629999999997</v>
      </c>
      <c r="G141" s="109">
        <f t="shared" si="133"/>
        <v>787.56200000000172</v>
      </c>
      <c r="H141" s="20">
        <f t="shared" si="133"/>
        <v>968.0329999999999</v>
      </c>
      <c r="I141" s="20">
        <f t="shared" si="133"/>
        <v>-27.276999999999816</v>
      </c>
      <c r="J141" s="20">
        <f t="shared" si="133"/>
        <v>-325.26800000000094</v>
      </c>
      <c r="K141" s="7">
        <f t="shared" si="134"/>
        <v>3530.322000000001</v>
      </c>
      <c r="L141" s="20">
        <f t="shared" si="135"/>
        <v>245.62599999999998</v>
      </c>
      <c r="M141" s="20">
        <f t="shared" si="135"/>
        <v>671.94900000000007</v>
      </c>
      <c r="N141" s="109">
        <f t="shared" si="135"/>
        <v>474.74400000000014</v>
      </c>
      <c r="O141" s="20">
        <f t="shared" si="135"/>
        <v>546.67599999999993</v>
      </c>
      <c r="P141" s="20">
        <f t="shared" si="135"/>
        <v>123.39700000000016</v>
      </c>
      <c r="Q141" s="20">
        <f t="shared" si="135"/>
        <v>-77.598999999999933</v>
      </c>
      <c r="R141" s="7">
        <f t="shared" si="136"/>
        <v>1984.7930000000003</v>
      </c>
      <c r="S141" s="11">
        <f t="shared" si="137"/>
        <v>0.44797003149683828</v>
      </c>
      <c r="T141" s="11">
        <f t="shared" si="138"/>
        <v>0.42556348692147961</v>
      </c>
      <c r="U141" s="11">
        <f t="shared" si="139"/>
        <v>0.60280206510725387</v>
      </c>
      <c r="V141" s="11">
        <f t="shared" si="140"/>
        <v>0.56472868177014623</v>
      </c>
      <c r="W141" s="11">
        <f t="shared" si="141"/>
        <v>-4.523847930490926</v>
      </c>
      <c r="X141" s="11">
        <f t="shared" si="142"/>
        <v>0.23856942582731688</v>
      </c>
      <c r="Y141" s="12">
        <f t="shared" si="143"/>
        <v>2.9294289651764505E-3</v>
      </c>
    </row>
    <row r="142" spans="3:25" x14ac:dyDescent="0.4">
      <c r="C142" s="60" t="s">
        <v>14</v>
      </c>
      <c r="D142" s="22"/>
      <c r="E142" s="4">
        <f t="shared" ref="E142:J142" si="144">SUM(E138:E141)</f>
        <v>6587.3419999999996</v>
      </c>
      <c r="F142" s="4">
        <f t="shared" si="144"/>
        <v>12977.377</v>
      </c>
      <c r="G142" s="110">
        <f t="shared" si="144"/>
        <v>7843.5670000000018</v>
      </c>
      <c r="H142" s="4">
        <f t="shared" si="144"/>
        <v>2732.0639999999994</v>
      </c>
      <c r="I142" s="4">
        <f t="shared" si="144"/>
        <v>3035.4590000000007</v>
      </c>
      <c r="J142" s="4">
        <f t="shared" si="144"/>
        <v>4955.1899999999987</v>
      </c>
      <c r="K142" s="7">
        <f t="shared" si="134"/>
        <v>38130.998999999996</v>
      </c>
      <c r="L142" s="4">
        <f t="shared" ref="L142:Q142" si="145">SUM(L138:L141)</f>
        <v>2909.616</v>
      </c>
      <c r="M142" s="4">
        <f t="shared" si="145"/>
        <v>4600.375</v>
      </c>
      <c r="N142" s="110">
        <f t="shared" si="145"/>
        <v>2597.1619999999998</v>
      </c>
      <c r="O142" s="4">
        <f t="shared" si="145"/>
        <v>772.05499999999995</v>
      </c>
      <c r="P142" s="4">
        <f t="shared" si="145"/>
        <v>862.15400000000022</v>
      </c>
      <c r="Q142" s="4">
        <f t="shared" si="145"/>
        <v>1058.7919999999997</v>
      </c>
      <c r="R142" s="7">
        <f t="shared" si="136"/>
        <v>12800.154</v>
      </c>
      <c r="S142" s="11">
        <f t="shared" si="137"/>
        <v>0.44169803237785438</v>
      </c>
      <c r="T142" s="11">
        <f t="shared" si="138"/>
        <v>0.35449189770783418</v>
      </c>
      <c r="U142" s="11">
        <f t="shared" si="139"/>
        <v>0.33112001210673653</v>
      </c>
      <c r="V142" s="11">
        <f t="shared" si="140"/>
        <v>0.28259037855628572</v>
      </c>
      <c r="W142" s="11">
        <f t="shared" si="141"/>
        <v>0.28402755563491389</v>
      </c>
      <c r="X142" s="11">
        <f t="shared" si="142"/>
        <v>0.21367334047735809</v>
      </c>
      <c r="Y142" s="12">
        <f t="shared" si="143"/>
        <v>-1.2180755945191635E-2</v>
      </c>
    </row>
    <row r="143" spans="3:25" x14ac:dyDescent="0.4">
      <c r="C143" s="60" t="s">
        <v>15</v>
      </c>
      <c r="D143" s="22" t="s">
        <v>16</v>
      </c>
      <c r="E143" s="20">
        <f t="shared" ref="E143:J144" si="146">E110-E27</f>
        <v>4049.1539999999995</v>
      </c>
      <c r="F143" s="20">
        <f t="shared" si="146"/>
        <v>1594.0540000000001</v>
      </c>
      <c r="G143" s="109">
        <f t="shared" si="146"/>
        <v>617.14699999999993</v>
      </c>
      <c r="H143" s="20">
        <f t="shared" si="146"/>
        <v>-586.04200000000037</v>
      </c>
      <c r="I143" s="20">
        <f t="shared" si="146"/>
        <v>-1455.2379999999994</v>
      </c>
      <c r="J143" s="20">
        <f t="shared" si="146"/>
        <v>-964.87200000000121</v>
      </c>
      <c r="K143" s="7">
        <f t="shared" si="134"/>
        <v>3254.2029999999986</v>
      </c>
      <c r="L143" s="20">
        <f t="shared" ref="L143:Q144" si="147">L110-L27</f>
        <v>992.8760000000002</v>
      </c>
      <c r="M143" s="4">
        <f t="shared" si="147"/>
        <v>394.69699999999989</v>
      </c>
      <c r="N143" s="110">
        <f t="shared" si="147"/>
        <v>165.94299999999998</v>
      </c>
      <c r="O143" s="4">
        <f t="shared" si="147"/>
        <v>-97.998000000000047</v>
      </c>
      <c r="P143" s="4">
        <f t="shared" si="147"/>
        <v>-316.89599999999996</v>
      </c>
      <c r="Q143" s="4">
        <f t="shared" si="147"/>
        <v>-77.877000000000407</v>
      </c>
      <c r="R143" s="7">
        <f t="shared" si="136"/>
        <v>1060.7449999999997</v>
      </c>
      <c r="S143" s="11">
        <f t="shared" si="137"/>
        <v>0.2452057886659782</v>
      </c>
      <c r="T143" s="11">
        <f t="shared" si="138"/>
        <v>0.24760579001715116</v>
      </c>
      <c r="U143" s="11">
        <f t="shared" si="139"/>
        <v>0.26888731533978127</v>
      </c>
      <c r="V143" s="11">
        <f t="shared" si="140"/>
        <v>0.16722009685312655</v>
      </c>
      <c r="W143" s="11">
        <f t="shared" si="141"/>
        <v>0.21776231791638212</v>
      </c>
      <c r="X143" s="11">
        <f t="shared" si="142"/>
        <v>8.0712260279083972E-2</v>
      </c>
      <c r="Y143" s="12">
        <f t="shared" si="143"/>
        <v>7.9058986434333567E-3</v>
      </c>
    </row>
    <row r="144" spans="3:25" x14ac:dyDescent="0.4">
      <c r="C144" s="60" t="s">
        <v>17</v>
      </c>
      <c r="D144" s="22" t="s">
        <v>18</v>
      </c>
      <c r="E144" s="20">
        <f t="shared" si="146"/>
        <v>1390.48</v>
      </c>
      <c r="F144" s="20">
        <f t="shared" si="146"/>
        <v>-14.149999999999181</v>
      </c>
      <c r="G144" s="109">
        <f t="shared" si="146"/>
        <v>-1383.5700000000002</v>
      </c>
      <c r="H144" s="20">
        <f t="shared" si="146"/>
        <v>-588.20499999999993</v>
      </c>
      <c r="I144" s="20">
        <f t="shared" si="146"/>
        <v>57.019999999999982</v>
      </c>
      <c r="J144" s="20">
        <f t="shared" si="146"/>
        <v>-541.91000000000031</v>
      </c>
      <c r="K144" s="7">
        <f t="shared" si="134"/>
        <v>-1080.3349999999996</v>
      </c>
      <c r="L144" s="20">
        <f t="shared" si="147"/>
        <v>805.23</v>
      </c>
      <c r="M144" s="20">
        <f t="shared" si="147"/>
        <v>26.565999999999804</v>
      </c>
      <c r="N144" s="109">
        <f t="shared" si="147"/>
        <v>-1340.404</v>
      </c>
      <c r="O144" s="20">
        <f t="shared" si="147"/>
        <v>-615.09399999999982</v>
      </c>
      <c r="P144" s="20">
        <f t="shared" si="147"/>
        <v>0.37599999999997635</v>
      </c>
      <c r="Q144" s="20">
        <f t="shared" si="147"/>
        <v>-514.12300000000005</v>
      </c>
      <c r="R144" s="7">
        <f t="shared" si="136"/>
        <v>-1637.4490000000001</v>
      </c>
      <c r="S144" s="11">
        <f t="shared" si="137"/>
        <v>0.57910218054197116</v>
      </c>
      <c r="T144" s="11">
        <f t="shared" si="138"/>
        <v>-1.8774558303887874</v>
      </c>
      <c r="U144" s="11">
        <f t="shared" si="139"/>
        <v>0.96880100031079008</v>
      </c>
      <c r="V144" s="11">
        <f t="shared" si="140"/>
        <v>1.045713654253194</v>
      </c>
      <c r="W144" s="11">
        <f t="shared" si="141"/>
        <v>6.5941774815849964E-3</v>
      </c>
      <c r="X144" s="11">
        <f t="shared" si="142"/>
        <v>0.94872395785277952</v>
      </c>
      <c r="Y144" s="12">
        <f t="shared" si="143"/>
        <v>-4.6085786956469255E-2</v>
      </c>
    </row>
    <row r="145" spans="3:25" x14ac:dyDescent="0.4">
      <c r="C145" s="60" t="s">
        <v>19</v>
      </c>
      <c r="D145" s="22"/>
      <c r="E145" s="20">
        <f t="shared" ref="E145:R145" si="148">SUM(E143:E144)</f>
        <v>5439.634</v>
      </c>
      <c r="F145" s="20">
        <f t="shared" si="148"/>
        <v>1579.9040000000009</v>
      </c>
      <c r="G145" s="109">
        <f t="shared" si="148"/>
        <v>-766.42300000000023</v>
      </c>
      <c r="H145" s="20">
        <f t="shared" si="148"/>
        <v>-1174.2470000000003</v>
      </c>
      <c r="I145" s="20">
        <f t="shared" si="148"/>
        <v>-1398.2179999999994</v>
      </c>
      <c r="J145" s="20">
        <f t="shared" si="148"/>
        <v>-1506.7820000000015</v>
      </c>
      <c r="K145" s="7">
        <f t="shared" si="148"/>
        <v>2173.867999999999</v>
      </c>
      <c r="L145" s="20">
        <f t="shared" si="148"/>
        <v>1798.1060000000002</v>
      </c>
      <c r="M145" s="20">
        <f t="shared" si="148"/>
        <v>421.26299999999969</v>
      </c>
      <c r="N145" s="109">
        <f t="shared" si="148"/>
        <v>-1174.461</v>
      </c>
      <c r="O145" s="20">
        <f t="shared" si="148"/>
        <v>-713.09199999999987</v>
      </c>
      <c r="P145" s="20">
        <f t="shared" si="148"/>
        <v>-316.52</v>
      </c>
      <c r="Q145" s="20">
        <f t="shared" si="148"/>
        <v>-592.00000000000045</v>
      </c>
      <c r="R145" s="7">
        <f t="shared" si="148"/>
        <v>-576.70400000000041</v>
      </c>
      <c r="S145" s="11">
        <f t="shared" si="137"/>
        <v>0.33055643081869113</v>
      </c>
      <c r="T145" s="11">
        <f t="shared" si="138"/>
        <v>0.26663835271003772</v>
      </c>
      <c r="U145" s="11">
        <f t="shared" si="139"/>
        <v>1.532392686545158</v>
      </c>
      <c r="V145" s="11">
        <f t="shared" si="140"/>
        <v>0.60727598196972166</v>
      </c>
      <c r="W145" s="11">
        <f t="shared" si="141"/>
        <v>0.22637385586510839</v>
      </c>
      <c r="X145" s="11">
        <f t="shared" si="142"/>
        <v>0.39289027875299803</v>
      </c>
      <c r="Y145" s="12">
        <f t="shared" si="143"/>
        <v>-2.1596109848444345E-2</v>
      </c>
    </row>
    <row r="146" spans="3:25" x14ac:dyDescent="0.4">
      <c r="C146" s="60" t="s">
        <v>20</v>
      </c>
      <c r="D146" s="22" t="s">
        <v>21</v>
      </c>
      <c r="E146" s="20">
        <f t="shared" ref="E146:J147" si="149">E113-E30</f>
        <v>9276.1639999999989</v>
      </c>
      <c r="F146" s="20">
        <f t="shared" si="149"/>
        <v>-3392.2440000000024</v>
      </c>
      <c r="G146" s="109">
        <f t="shared" si="149"/>
        <v>8650.0180000000037</v>
      </c>
      <c r="H146" s="20">
        <f t="shared" si="149"/>
        <v>1826.9029999999984</v>
      </c>
      <c r="I146" s="20">
        <f t="shared" si="149"/>
        <v>4557.4799999999996</v>
      </c>
      <c r="J146" s="20">
        <f t="shared" si="149"/>
        <v>2245.3459999999995</v>
      </c>
      <c r="K146" s="7">
        <f>SUM(E146:J146)</f>
        <v>23163.666999999994</v>
      </c>
      <c r="L146" s="20">
        <f t="shared" ref="L146:Q147" si="150">L113-L30</f>
        <v>1650.248000000001</v>
      </c>
      <c r="M146" s="4">
        <f t="shared" si="150"/>
        <v>-1009.3200000000006</v>
      </c>
      <c r="N146" s="110">
        <f t="shared" si="150"/>
        <v>1817.4090000000006</v>
      </c>
      <c r="O146" s="4">
        <f t="shared" si="150"/>
        <v>-236.86700000000019</v>
      </c>
      <c r="P146" s="4">
        <f t="shared" si="150"/>
        <v>427.91399999999976</v>
      </c>
      <c r="Q146" s="4">
        <f t="shared" si="150"/>
        <v>59.358999999999924</v>
      </c>
      <c r="R146" s="7">
        <f>SUM(L146:Q146)</f>
        <v>2708.7430000000004</v>
      </c>
      <c r="S146" s="11">
        <f t="shared" si="137"/>
        <v>0.17790198620895462</v>
      </c>
      <c r="T146" s="11">
        <f t="shared" si="138"/>
        <v>0.29753755920859465</v>
      </c>
      <c r="U146" s="11">
        <f t="shared" si="139"/>
        <v>0.21010464949321489</v>
      </c>
      <c r="V146" s="11">
        <f t="shared" si="140"/>
        <v>-0.12965494062903196</v>
      </c>
      <c r="W146" s="11">
        <f t="shared" si="141"/>
        <v>9.3892677532320445E-2</v>
      </c>
      <c r="X146" s="11">
        <f t="shared" si="142"/>
        <v>2.6436460126857925E-2</v>
      </c>
      <c r="Y146" s="12">
        <f t="shared" si="143"/>
        <v>-2.1438785574416169E-2</v>
      </c>
    </row>
    <row r="147" spans="3:25" x14ac:dyDescent="0.4">
      <c r="C147" s="60" t="s">
        <v>22</v>
      </c>
      <c r="D147" s="83" t="s">
        <v>23</v>
      </c>
      <c r="E147" s="20">
        <f t="shared" si="149"/>
        <v>-2.95</v>
      </c>
      <c r="F147" s="20">
        <f t="shared" si="149"/>
        <v>0</v>
      </c>
      <c r="G147" s="109">
        <f t="shared" si="149"/>
        <v>0</v>
      </c>
      <c r="H147" s="20">
        <f t="shared" si="149"/>
        <v>-16.815000000000001</v>
      </c>
      <c r="I147" s="20">
        <f t="shared" si="149"/>
        <v>-17.68</v>
      </c>
      <c r="J147" s="20">
        <f t="shared" si="149"/>
        <v>0.18200000000000038</v>
      </c>
      <c r="K147" s="7">
        <f>SUM(E147:J147)</f>
        <v>-37.262999999999998</v>
      </c>
      <c r="L147" s="20">
        <f t="shared" si="150"/>
        <v>-0.90900000000000003</v>
      </c>
      <c r="M147" s="4">
        <f t="shared" si="150"/>
        <v>0</v>
      </c>
      <c r="N147" s="110">
        <f t="shared" si="150"/>
        <v>0</v>
      </c>
      <c r="O147" s="4">
        <f t="shared" si="150"/>
        <v>-5.181</v>
      </c>
      <c r="P147" s="4">
        <f t="shared" si="150"/>
        <v>-4.5359999999999996</v>
      </c>
      <c r="Q147" s="4">
        <f t="shared" si="150"/>
        <v>2.0410000000000004</v>
      </c>
      <c r="R147" s="7">
        <f>SUM(L147:Q147)</f>
        <v>-8.5849999999999991</v>
      </c>
      <c r="S147" s="86">
        <f t="shared" si="137"/>
        <v>0.30813559322033895</v>
      </c>
      <c r="T147" s="86" t="str">
        <f t="shared" si="138"/>
        <v>***</v>
      </c>
      <c r="U147" s="86" t="str">
        <f t="shared" si="139"/>
        <v>***</v>
      </c>
      <c r="V147" s="86">
        <f t="shared" si="140"/>
        <v>0.30811775200713648</v>
      </c>
      <c r="W147" s="86">
        <f t="shared" si="141"/>
        <v>0.25656108597285066</v>
      </c>
      <c r="X147" s="86">
        <f t="shared" si="142"/>
        <v>11.214285714285692</v>
      </c>
      <c r="Y147" s="87">
        <f t="shared" si="143"/>
        <v>2.9808991397687473E-2</v>
      </c>
    </row>
    <row r="148" spans="3:25" x14ac:dyDescent="0.4">
      <c r="C148" s="82" t="s">
        <v>24</v>
      </c>
      <c r="D148" s="83"/>
      <c r="E148" s="20">
        <f t="shared" ref="E148:R148" si="151">SUM(E146:E147)</f>
        <v>9273.2139999999981</v>
      </c>
      <c r="F148" s="20">
        <f t="shared" si="151"/>
        <v>-3392.2440000000024</v>
      </c>
      <c r="G148" s="109">
        <f t="shared" si="151"/>
        <v>8650.0180000000037</v>
      </c>
      <c r="H148" s="20">
        <f t="shared" si="151"/>
        <v>1810.0879999999984</v>
      </c>
      <c r="I148" s="20">
        <f t="shared" si="151"/>
        <v>4539.7999999999993</v>
      </c>
      <c r="J148" s="20">
        <f t="shared" si="151"/>
        <v>2245.5279999999993</v>
      </c>
      <c r="K148" s="7">
        <f t="shared" si="151"/>
        <v>23126.403999999995</v>
      </c>
      <c r="L148" s="20">
        <f t="shared" si="151"/>
        <v>1649.3390000000009</v>
      </c>
      <c r="M148" s="20">
        <f t="shared" si="151"/>
        <v>-1009.3200000000006</v>
      </c>
      <c r="N148" s="109">
        <f t="shared" si="151"/>
        <v>1817.4090000000006</v>
      </c>
      <c r="O148" s="20">
        <f t="shared" si="151"/>
        <v>-242.0480000000002</v>
      </c>
      <c r="P148" s="20">
        <f t="shared" si="151"/>
        <v>423.37799999999976</v>
      </c>
      <c r="Q148" s="20">
        <f t="shared" si="151"/>
        <v>61.39999999999992</v>
      </c>
      <c r="R148" s="7">
        <f t="shared" si="151"/>
        <v>2700.1580000000004</v>
      </c>
      <c r="S148" s="86">
        <f t="shared" si="137"/>
        <v>0.17786055622139219</v>
      </c>
      <c r="T148" s="86">
        <f t="shared" si="138"/>
        <v>0.29753755920859465</v>
      </c>
      <c r="U148" s="86">
        <f t="shared" si="139"/>
        <v>0.21010464949321489</v>
      </c>
      <c r="V148" s="86">
        <f t="shared" si="140"/>
        <v>-0.13372167541025654</v>
      </c>
      <c r="W148" s="86">
        <f t="shared" si="141"/>
        <v>9.32591744129697E-2</v>
      </c>
      <c r="X148" s="86">
        <f t="shared" si="142"/>
        <v>2.7343235087694269E-2</v>
      </c>
      <c r="Y148" s="87">
        <f t="shared" si="143"/>
        <v>-2.1441432942501309E-2</v>
      </c>
    </row>
    <row r="149" spans="3:25" x14ac:dyDescent="0.4">
      <c r="C149" s="53" t="s">
        <v>5</v>
      </c>
      <c r="D149" s="54"/>
      <c r="E149" s="8">
        <f t="shared" ref="E149:R149" si="152">E142+E145+E148</f>
        <v>21300.189999999995</v>
      </c>
      <c r="F149" s="8">
        <f t="shared" si="152"/>
        <v>11165.036999999998</v>
      </c>
      <c r="G149" s="8">
        <f t="shared" si="152"/>
        <v>15727.162000000006</v>
      </c>
      <c r="H149" s="8">
        <f t="shared" si="152"/>
        <v>3367.9049999999975</v>
      </c>
      <c r="I149" s="8">
        <f t="shared" si="152"/>
        <v>6177.0410000000011</v>
      </c>
      <c r="J149" s="8">
        <f t="shared" si="152"/>
        <v>5693.9359999999961</v>
      </c>
      <c r="K149" s="9">
        <f t="shared" si="152"/>
        <v>63431.270999999993</v>
      </c>
      <c r="L149" s="8">
        <f t="shared" si="152"/>
        <v>6357.0610000000006</v>
      </c>
      <c r="M149" s="8">
        <f t="shared" si="152"/>
        <v>4012.3179999999993</v>
      </c>
      <c r="N149" s="8">
        <f t="shared" si="152"/>
        <v>3240.1100000000006</v>
      </c>
      <c r="O149" s="8">
        <f t="shared" si="152"/>
        <v>-183.08500000000012</v>
      </c>
      <c r="P149" s="8">
        <f t="shared" si="152"/>
        <v>969.01199999999994</v>
      </c>
      <c r="Q149" s="8">
        <f t="shared" si="152"/>
        <v>528.1919999999991</v>
      </c>
      <c r="R149" s="9">
        <f t="shared" si="152"/>
        <v>14923.608</v>
      </c>
      <c r="S149" s="14">
        <f t="shared" si="137"/>
        <v>0.2984509058369903</v>
      </c>
      <c r="T149" s="14">
        <f t="shared" si="138"/>
        <v>0.35936450546469301</v>
      </c>
      <c r="U149" s="14">
        <f t="shared" si="139"/>
        <v>0.20602000538940207</v>
      </c>
      <c r="V149" s="14">
        <f t="shared" si="140"/>
        <v>-5.4361687755444484E-2</v>
      </c>
      <c r="W149" s="14">
        <f t="shared" si="141"/>
        <v>0.15687316953214325</v>
      </c>
      <c r="X149" s="14">
        <f t="shared" si="142"/>
        <v>9.2763950982237858E-2</v>
      </c>
      <c r="Y149" s="15">
        <f t="shared" si="143"/>
        <v>-1.6897066698931762E-2</v>
      </c>
    </row>
  </sheetData>
  <mergeCells count="36">
    <mergeCell ref="C136:D136"/>
    <mergeCell ref="L54:R54"/>
    <mergeCell ref="C87:D8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S37:Y37"/>
    <mergeCell ref="C37:D37"/>
    <mergeCell ref="S87:Y87"/>
    <mergeCell ref="S103:Y103"/>
    <mergeCell ref="L20:R20"/>
    <mergeCell ref="C20:D20"/>
    <mergeCell ref="E37:K37"/>
    <mergeCell ref="C3:D3"/>
    <mergeCell ref="C54:D54"/>
    <mergeCell ref="C103:D103"/>
    <mergeCell ref="E3:K3"/>
    <mergeCell ref="E71:K71"/>
    <mergeCell ref="S136:Y136"/>
    <mergeCell ref="E120:K120"/>
    <mergeCell ref="S20:Y20"/>
    <mergeCell ref="E54:K54"/>
    <mergeCell ref="E136:K136"/>
    <mergeCell ref="S54:Y54"/>
    <mergeCell ref="L120:R120"/>
    <mergeCell ref="L103:R103"/>
    <mergeCell ref="S71:Y71"/>
    <mergeCell ref="L37:R37"/>
    <mergeCell ref="L136:R136"/>
  </mergeCells>
  <phoneticPr fontId="2"/>
  <printOptions horizontalCentered="1" verticalCentered="1"/>
  <pageMargins left="0.70866141732283472" right="0.70866141732283472" top="0.74803149606299213" bottom="0.74803149606299213" header="0.31496062992125978" footer="0.31496062992125978"/>
  <pageSetup paperSize="8" scale="46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1:Y149"/>
  <sheetViews>
    <sheetView topLeftCell="B1" workbookViewId="0">
      <pane xSplit="3" ySplit="1" topLeftCell="E135" activePane="bottomRight" state="frozen"/>
      <selection activeCell="E155" sqref="E155"/>
      <selection pane="topRight" activeCell="E155" sqref="E155"/>
      <selection pane="bottomLeft" activeCell="E155" sqref="E155"/>
      <selection pane="bottomRight" activeCell="K147" sqref="K147"/>
    </sheetView>
  </sheetViews>
  <sheetFormatPr defaultRowHeight="18.75" x14ac:dyDescent="0.4"/>
  <cols>
    <col min="3" max="3" width="9.75" style="108" bestFit="1" customWidth="1"/>
    <col min="5" max="25" width="10.125" style="108" customWidth="1"/>
  </cols>
  <sheetData>
    <row r="1" spans="3:25" ht="24" customHeight="1" x14ac:dyDescent="0.4">
      <c r="C1" s="24" t="s">
        <v>36</v>
      </c>
    </row>
    <row r="2" spans="3:25" x14ac:dyDescent="0.4">
      <c r="C2" t="s">
        <v>1</v>
      </c>
    </row>
    <row r="3" spans="3:25" x14ac:dyDescent="0.4">
      <c r="C3" s="120"/>
      <c r="D3" s="119"/>
      <c r="E3" s="120" t="s">
        <v>2</v>
      </c>
      <c r="F3" s="118"/>
      <c r="G3" s="118"/>
      <c r="H3" s="118"/>
      <c r="I3" s="118"/>
      <c r="J3" s="118"/>
      <c r="K3" s="119"/>
      <c r="L3" s="121" t="s">
        <v>3</v>
      </c>
      <c r="M3" s="118"/>
      <c r="N3" s="118"/>
      <c r="O3" s="118"/>
      <c r="P3" s="118"/>
      <c r="Q3" s="118"/>
      <c r="R3" s="119"/>
      <c r="S3" s="121" t="s">
        <v>4</v>
      </c>
      <c r="T3" s="118"/>
      <c r="U3" s="118"/>
      <c r="V3" s="118"/>
      <c r="W3" s="118"/>
      <c r="X3" s="118"/>
      <c r="Y3" s="119"/>
    </row>
    <row r="4" spans="3:25" x14ac:dyDescent="0.4">
      <c r="C4" s="1"/>
      <c r="D4" s="21"/>
      <c r="E4" s="2">
        <v>45383</v>
      </c>
      <c r="F4" s="2">
        <v>45413</v>
      </c>
      <c r="G4" s="2">
        <v>45444</v>
      </c>
      <c r="H4" s="2">
        <v>45474</v>
      </c>
      <c r="I4" s="2">
        <v>45505</v>
      </c>
      <c r="J4" s="2">
        <v>45536</v>
      </c>
      <c r="K4" s="67" t="s">
        <v>5</v>
      </c>
      <c r="L4" s="61">
        <v>45383</v>
      </c>
      <c r="M4" s="2">
        <v>45413</v>
      </c>
      <c r="N4" s="2">
        <v>45444</v>
      </c>
      <c r="O4" s="2">
        <v>45474</v>
      </c>
      <c r="P4" s="2">
        <v>45505</v>
      </c>
      <c r="Q4" s="2">
        <v>45536</v>
      </c>
      <c r="R4" s="10" t="s">
        <v>5</v>
      </c>
      <c r="S4" s="61">
        <v>45383</v>
      </c>
      <c r="T4" s="2">
        <v>45413</v>
      </c>
      <c r="U4" s="2">
        <v>45444</v>
      </c>
      <c r="V4" s="2">
        <v>45474</v>
      </c>
      <c r="W4" s="2">
        <v>45505</v>
      </c>
      <c r="X4" s="2">
        <v>45536</v>
      </c>
      <c r="Y4" s="10" t="s">
        <v>5</v>
      </c>
    </row>
    <row r="5" spans="3:25" x14ac:dyDescent="0.4">
      <c r="C5" s="60" t="s">
        <v>6</v>
      </c>
      <c r="D5" s="22" t="s">
        <v>7</v>
      </c>
      <c r="E5" s="4"/>
      <c r="F5" s="4"/>
      <c r="G5" s="4"/>
      <c r="H5" s="4">
        <v>2131.8000000000002</v>
      </c>
      <c r="I5" s="4"/>
      <c r="J5" s="4"/>
      <c r="K5" s="7">
        <f>SUM(E5:J5)</f>
        <v>2131.8000000000002</v>
      </c>
      <c r="L5" s="4"/>
      <c r="M5" s="4"/>
      <c r="N5" s="4"/>
      <c r="O5" s="4">
        <v>428.4</v>
      </c>
      <c r="P5" s="4"/>
      <c r="Q5" s="4"/>
      <c r="R5" s="7">
        <f>SUM(L5:Q5)</f>
        <v>428.4</v>
      </c>
      <c r="S5" s="11" t="str">
        <f t="shared" ref="S5:S17" si="0">IF(E5=0,"***",L5/E5)</f>
        <v>***</v>
      </c>
      <c r="T5" s="11" t="str">
        <f t="shared" ref="T5:T17" si="1">IF(F5=0,"***",M5/F5)</f>
        <v>***</v>
      </c>
      <c r="U5" s="11" t="str">
        <f t="shared" ref="U5:U17" si="2">IF(G5=0,"***",N5/G5)</f>
        <v>***</v>
      </c>
      <c r="V5" s="11">
        <f t="shared" ref="V5:V17" si="3">IF(H5=0,"***",O5/H5)</f>
        <v>0.20095693779904303</v>
      </c>
      <c r="W5" s="11" t="str">
        <f t="shared" ref="W5:W17" si="4">IF(I5=0,"***",P5/I5)</f>
        <v>***</v>
      </c>
      <c r="X5" s="11" t="str">
        <f t="shared" ref="X5:X17" si="5">IF(J5=0,"***",Q5/J5)</f>
        <v>***</v>
      </c>
      <c r="Y5" s="13">
        <f t="shared" ref="Y5:Y17" si="6">IF(K5=0,"***",R5/K5)</f>
        <v>0.20095693779904303</v>
      </c>
    </row>
    <row r="6" spans="3:25" x14ac:dyDescent="0.4">
      <c r="C6" s="60" t="s">
        <v>8</v>
      </c>
      <c r="D6" s="22" t="s">
        <v>9</v>
      </c>
      <c r="E6" s="4"/>
      <c r="F6" s="4"/>
      <c r="G6" s="4"/>
      <c r="H6" s="4"/>
      <c r="I6" s="4"/>
      <c r="J6" s="4"/>
      <c r="K6" s="7">
        <f>SUM(E6:J6)</f>
        <v>0</v>
      </c>
      <c r="L6" s="4"/>
      <c r="M6" s="4"/>
      <c r="N6" s="4"/>
      <c r="O6" s="4"/>
      <c r="P6" s="4"/>
      <c r="Q6" s="4"/>
      <c r="R6" s="7">
        <f>SUM(L6:Q6)</f>
        <v>0</v>
      </c>
      <c r="S6" s="11" t="str">
        <f t="shared" si="0"/>
        <v>***</v>
      </c>
      <c r="T6" s="11" t="str">
        <f t="shared" si="1"/>
        <v>***</v>
      </c>
      <c r="U6" s="11" t="str">
        <f t="shared" si="2"/>
        <v>***</v>
      </c>
      <c r="V6" s="11" t="str">
        <f t="shared" si="3"/>
        <v>***</v>
      </c>
      <c r="W6" s="11" t="str">
        <f t="shared" si="4"/>
        <v>***</v>
      </c>
      <c r="X6" s="11" t="str">
        <f t="shared" si="5"/>
        <v>***</v>
      </c>
      <c r="Y6" s="13" t="str">
        <f t="shared" si="6"/>
        <v>***</v>
      </c>
    </row>
    <row r="7" spans="3:25" x14ac:dyDescent="0.4">
      <c r="C7" s="60" t="s">
        <v>10</v>
      </c>
      <c r="D7" s="22" t="s">
        <v>11</v>
      </c>
      <c r="E7" s="4"/>
      <c r="F7" s="4"/>
      <c r="G7" s="4"/>
      <c r="H7" s="4"/>
      <c r="I7" s="4"/>
      <c r="J7" s="4"/>
      <c r="K7" s="7">
        <f>SUM(E7:J7)</f>
        <v>0</v>
      </c>
      <c r="L7" s="4"/>
      <c r="M7" s="4"/>
      <c r="N7" s="4"/>
      <c r="O7" s="4"/>
      <c r="P7" s="4"/>
      <c r="Q7" s="4"/>
      <c r="R7" s="7">
        <f>SUM(L7:Q7)</f>
        <v>0</v>
      </c>
      <c r="S7" s="11" t="str">
        <f t="shared" si="0"/>
        <v>***</v>
      </c>
      <c r="T7" s="11" t="str">
        <f t="shared" si="1"/>
        <v>***</v>
      </c>
      <c r="U7" s="11" t="str">
        <f t="shared" si="2"/>
        <v>***</v>
      </c>
      <c r="V7" s="11" t="str">
        <f t="shared" si="3"/>
        <v>***</v>
      </c>
      <c r="W7" s="11" t="str">
        <f t="shared" si="4"/>
        <v>***</v>
      </c>
      <c r="X7" s="11" t="str">
        <f t="shared" si="5"/>
        <v>***</v>
      </c>
      <c r="Y7" s="13" t="str">
        <f t="shared" si="6"/>
        <v>***</v>
      </c>
    </row>
    <row r="8" spans="3:25" x14ac:dyDescent="0.4">
      <c r="C8" s="60" t="s">
        <v>12</v>
      </c>
      <c r="D8" s="22" t="s">
        <v>13</v>
      </c>
      <c r="E8" s="4"/>
      <c r="F8" s="4"/>
      <c r="G8" s="4"/>
      <c r="H8" s="4"/>
      <c r="I8" s="4"/>
      <c r="J8" s="4"/>
      <c r="K8" s="7">
        <f>SUM(E8:J8)</f>
        <v>0</v>
      </c>
      <c r="L8" s="4"/>
      <c r="M8" s="4"/>
      <c r="N8" s="4"/>
      <c r="O8" s="4"/>
      <c r="P8" s="4"/>
      <c r="Q8" s="4"/>
      <c r="R8" s="7">
        <f>SUM(L8:Q8)</f>
        <v>0</v>
      </c>
      <c r="S8" s="11" t="str">
        <f t="shared" si="0"/>
        <v>***</v>
      </c>
      <c r="T8" s="11" t="str">
        <f t="shared" si="1"/>
        <v>***</v>
      </c>
      <c r="U8" s="11" t="str">
        <f t="shared" si="2"/>
        <v>***</v>
      </c>
      <c r="V8" s="11" t="str">
        <f t="shared" si="3"/>
        <v>***</v>
      </c>
      <c r="W8" s="11" t="str">
        <f t="shared" si="4"/>
        <v>***</v>
      </c>
      <c r="X8" s="11" t="str">
        <f t="shared" si="5"/>
        <v>***</v>
      </c>
      <c r="Y8" s="13" t="str">
        <f t="shared" si="6"/>
        <v>***</v>
      </c>
    </row>
    <row r="9" spans="3:25" x14ac:dyDescent="0.4">
      <c r="C9" s="60" t="s">
        <v>14</v>
      </c>
      <c r="D9" s="22"/>
      <c r="E9" s="4">
        <f t="shared" ref="E9:R9" si="7">SUM(E5:E8)</f>
        <v>0</v>
      </c>
      <c r="F9" s="4">
        <f t="shared" si="7"/>
        <v>0</v>
      </c>
      <c r="G9" s="4">
        <f t="shared" si="7"/>
        <v>0</v>
      </c>
      <c r="H9" s="4">
        <f t="shared" si="7"/>
        <v>2131.8000000000002</v>
      </c>
      <c r="I9" s="4">
        <f t="shared" si="7"/>
        <v>0</v>
      </c>
      <c r="J9" s="4">
        <f t="shared" si="7"/>
        <v>0</v>
      </c>
      <c r="K9" s="7">
        <f t="shared" si="7"/>
        <v>2131.8000000000002</v>
      </c>
      <c r="L9" s="4">
        <f t="shared" si="7"/>
        <v>0</v>
      </c>
      <c r="M9" s="4">
        <f t="shared" si="7"/>
        <v>0</v>
      </c>
      <c r="N9" s="4">
        <f t="shared" si="7"/>
        <v>0</v>
      </c>
      <c r="O9" s="4">
        <f t="shared" si="7"/>
        <v>428.4</v>
      </c>
      <c r="P9" s="4">
        <f t="shared" si="7"/>
        <v>0</v>
      </c>
      <c r="Q9" s="4">
        <f t="shared" si="7"/>
        <v>0</v>
      </c>
      <c r="R9" s="7">
        <f t="shared" si="7"/>
        <v>428.4</v>
      </c>
      <c r="S9" s="11" t="str">
        <f t="shared" si="0"/>
        <v>***</v>
      </c>
      <c r="T9" s="11" t="str">
        <f t="shared" si="1"/>
        <v>***</v>
      </c>
      <c r="U9" s="11" t="str">
        <f t="shared" si="2"/>
        <v>***</v>
      </c>
      <c r="V9" s="11">
        <f t="shared" si="3"/>
        <v>0.20095693779904303</v>
      </c>
      <c r="W9" s="11" t="str">
        <f t="shared" si="4"/>
        <v>***</v>
      </c>
      <c r="X9" s="11" t="str">
        <f t="shared" si="5"/>
        <v>***</v>
      </c>
      <c r="Y9" s="13">
        <f t="shared" si="6"/>
        <v>0.20095693779904303</v>
      </c>
    </row>
    <row r="10" spans="3:25" x14ac:dyDescent="0.4">
      <c r="C10" s="60" t="s">
        <v>15</v>
      </c>
      <c r="D10" s="22" t="s">
        <v>16</v>
      </c>
      <c r="E10" s="4"/>
      <c r="F10" s="4"/>
      <c r="G10" s="4"/>
      <c r="H10" s="4"/>
      <c r="I10" s="4"/>
      <c r="J10" s="4"/>
      <c r="K10" s="7">
        <f>SUM(E10:J10)</f>
        <v>0</v>
      </c>
      <c r="L10" s="4"/>
      <c r="M10" s="4"/>
      <c r="N10" s="4"/>
      <c r="O10" s="4"/>
      <c r="P10" s="4"/>
      <c r="Q10" s="4"/>
      <c r="R10" s="7">
        <f>SUM(L10:Q10)</f>
        <v>0</v>
      </c>
      <c r="S10" s="11" t="str">
        <f t="shared" si="0"/>
        <v>***</v>
      </c>
      <c r="T10" s="11" t="str">
        <f t="shared" si="1"/>
        <v>***</v>
      </c>
      <c r="U10" s="11" t="str">
        <f t="shared" si="2"/>
        <v>***</v>
      </c>
      <c r="V10" s="11" t="str">
        <f t="shared" si="3"/>
        <v>***</v>
      </c>
      <c r="W10" s="11" t="str">
        <f t="shared" si="4"/>
        <v>***</v>
      </c>
      <c r="X10" s="11" t="str">
        <f t="shared" si="5"/>
        <v>***</v>
      </c>
      <c r="Y10" s="13" t="str">
        <f t="shared" si="6"/>
        <v>***</v>
      </c>
    </row>
    <row r="11" spans="3:25" x14ac:dyDescent="0.4">
      <c r="C11" s="60" t="s">
        <v>17</v>
      </c>
      <c r="D11" s="22" t="s">
        <v>18</v>
      </c>
      <c r="E11" s="4"/>
      <c r="F11" s="4"/>
      <c r="G11" s="4"/>
      <c r="H11" s="4"/>
      <c r="I11" s="4"/>
      <c r="J11" s="4"/>
      <c r="K11" s="7">
        <f>SUM(E11:J11)</f>
        <v>0</v>
      </c>
      <c r="L11" s="4"/>
      <c r="M11" s="4"/>
      <c r="N11" s="4"/>
      <c r="O11" s="4"/>
      <c r="P11" s="4"/>
      <c r="Q11" s="4"/>
      <c r="R11" s="7">
        <f>SUM(L11:Q11)</f>
        <v>0</v>
      </c>
      <c r="S11" s="11" t="str">
        <f t="shared" si="0"/>
        <v>***</v>
      </c>
      <c r="T11" s="11" t="str">
        <f t="shared" si="1"/>
        <v>***</v>
      </c>
      <c r="U11" s="11" t="str">
        <f t="shared" si="2"/>
        <v>***</v>
      </c>
      <c r="V11" s="11" t="str">
        <f t="shared" si="3"/>
        <v>***</v>
      </c>
      <c r="W11" s="11" t="str">
        <f t="shared" si="4"/>
        <v>***</v>
      </c>
      <c r="X11" s="11" t="str">
        <f t="shared" si="5"/>
        <v>***</v>
      </c>
      <c r="Y11" s="13" t="str">
        <f t="shared" si="6"/>
        <v>***</v>
      </c>
    </row>
    <row r="12" spans="3:25" x14ac:dyDescent="0.4">
      <c r="C12" s="60" t="s">
        <v>19</v>
      </c>
      <c r="D12" s="22"/>
      <c r="E12" s="20">
        <f t="shared" ref="E12:R12" si="8">E10+E11</f>
        <v>0</v>
      </c>
      <c r="F12" s="20">
        <f t="shared" si="8"/>
        <v>0</v>
      </c>
      <c r="G12" s="20">
        <f t="shared" si="8"/>
        <v>0</v>
      </c>
      <c r="H12" s="20">
        <f t="shared" si="8"/>
        <v>0</v>
      </c>
      <c r="I12" s="20">
        <f t="shared" si="8"/>
        <v>0</v>
      </c>
      <c r="J12" s="20">
        <f t="shared" si="8"/>
        <v>0</v>
      </c>
      <c r="K12" s="7">
        <f t="shared" si="8"/>
        <v>0</v>
      </c>
      <c r="L12" s="20">
        <f t="shared" si="8"/>
        <v>0</v>
      </c>
      <c r="M12" s="20">
        <f t="shared" si="8"/>
        <v>0</v>
      </c>
      <c r="N12" s="20">
        <f t="shared" si="8"/>
        <v>0</v>
      </c>
      <c r="O12" s="20">
        <f t="shared" si="8"/>
        <v>0</v>
      </c>
      <c r="P12" s="20">
        <f t="shared" si="8"/>
        <v>0</v>
      </c>
      <c r="Q12" s="20">
        <f t="shared" si="8"/>
        <v>0</v>
      </c>
      <c r="R12" s="7">
        <f t="shared" si="8"/>
        <v>0</v>
      </c>
      <c r="S12" s="11" t="str">
        <f t="shared" si="0"/>
        <v>***</v>
      </c>
      <c r="T12" s="11" t="str">
        <f t="shared" si="1"/>
        <v>***</v>
      </c>
      <c r="U12" s="11" t="str">
        <f t="shared" si="2"/>
        <v>***</v>
      </c>
      <c r="V12" s="11" t="str">
        <f t="shared" si="3"/>
        <v>***</v>
      </c>
      <c r="W12" s="11" t="str">
        <f t="shared" si="4"/>
        <v>***</v>
      </c>
      <c r="X12" s="11" t="str">
        <f t="shared" si="5"/>
        <v>***</v>
      </c>
      <c r="Y12" s="13" t="str">
        <f t="shared" si="6"/>
        <v>***</v>
      </c>
    </row>
    <row r="13" spans="3:25" x14ac:dyDescent="0.4">
      <c r="C13" s="60" t="s">
        <v>20</v>
      </c>
      <c r="D13" s="22" t="s">
        <v>21</v>
      </c>
      <c r="E13" s="20">
        <v>22</v>
      </c>
      <c r="F13" s="20">
        <v>28</v>
      </c>
      <c r="G13" s="20">
        <v>39</v>
      </c>
      <c r="H13" s="20">
        <v>90.76</v>
      </c>
      <c r="I13" s="20">
        <v>124.2</v>
      </c>
      <c r="J13" s="20">
        <v>22</v>
      </c>
      <c r="K13" s="7">
        <f>SUM(E13:J13)</f>
        <v>325.95999999999998</v>
      </c>
      <c r="L13" s="20">
        <v>2.2000000000000002</v>
      </c>
      <c r="M13" s="20">
        <v>2.7</v>
      </c>
      <c r="N13" s="20">
        <v>3.8</v>
      </c>
      <c r="O13" s="20">
        <v>12.265000000000001</v>
      </c>
      <c r="P13" s="20">
        <v>17.16</v>
      </c>
      <c r="Q13" s="20">
        <v>2.2000000000000002</v>
      </c>
      <c r="R13" s="7">
        <f>SUM(L13:Q13)</f>
        <v>40.325000000000003</v>
      </c>
      <c r="S13" s="11">
        <f t="shared" si="0"/>
        <v>0.1</v>
      </c>
      <c r="T13" s="11">
        <f t="shared" si="1"/>
        <v>9.6428571428571433E-2</v>
      </c>
      <c r="U13" s="11">
        <f t="shared" si="2"/>
        <v>9.7435897435897437E-2</v>
      </c>
      <c r="V13" s="11">
        <f t="shared" si="3"/>
        <v>0.13513662406346408</v>
      </c>
      <c r="W13" s="11">
        <f t="shared" si="4"/>
        <v>0.13816425120772946</v>
      </c>
      <c r="X13" s="11">
        <f t="shared" si="5"/>
        <v>0.1</v>
      </c>
      <c r="Y13" s="13">
        <f t="shared" si="6"/>
        <v>0.12371149834335503</v>
      </c>
    </row>
    <row r="14" spans="3:25" x14ac:dyDescent="0.4">
      <c r="C14" s="60" t="s">
        <v>22</v>
      </c>
      <c r="D14" s="83" t="s">
        <v>23</v>
      </c>
      <c r="E14" s="84"/>
      <c r="F14" s="84"/>
      <c r="G14" s="84"/>
      <c r="H14" s="84"/>
      <c r="I14" s="84"/>
      <c r="J14" s="84"/>
      <c r="K14" s="7">
        <f>SUM(E14:J14)</f>
        <v>0</v>
      </c>
      <c r="L14" s="84"/>
      <c r="M14" s="84"/>
      <c r="N14" s="84"/>
      <c r="O14" s="84"/>
      <c r="P14" s="84"/>
      <c r="Q14" s="84"/>
      <c r="R14" s="7">
        <f>SUM(L14:Q14)</f>
        <v>0</v>
      </c>
      <c r="S14" s="11" t="str">
        <f t="shared" si="0"/>
        <v>***</v>
      </c>
      <c r="T14" s="11" t="str">
        <f t="shared" si="1"/>
        <v>***</v>
      </c>
      <c r="U14" s="11" t="str">
        <f t="shared" si="2"/>
        <v>***</v>
      </c>
      <c r="V14" s="11" t="str">
        <f t="shared" si="3"/>
        <v>***</v>
      </c>
      <c r="W14" s="11" t="str">
        <f t="shared" si="4"/>
        <v>***</v>
      </c>
      <c r="X14" s="11" t="str">
        <f t="shared" si="5"/>
        <v>***</v>
      </c>
      <c r="Y14" s="13" t="str">
        <f t="shared" si="6"/>
        <v>***</v>
      </c>
    </row>
    <row r="15" spans="3:25" x14ac:dyDescent="0.4">
      <c r="C15" s="82" t="s">
        <v>24</v>
      </c>
      <c r="D15" s="83"/>
      <c r="E15" s="84">
        <f t="shared" ref="E15:R15" si="9">E13+E14</f>
        <v>22</v>
      </c>
      <c r="F15" s="84">
        <f t="shared" si="9"/>
        <v>28</v>
      </c>
      <c r="G15" s="84">
        <f t="shared" si="9"/>
        <v>39</v>
      </c>
      <c r="H15" s="84">
        <f t="shared" si="9"/>
        <v>90.76</v>
      </c>
      <c r="I15" s="84">
        <f t="shared" si="9"/>
        <v>124.2</v>
      </c>
      <c r="J15" s="84">
        <f t="shared" si="9"/>
        <v>22</v>
      </c>
      <c r="K15" s="85">
        <f t="shared" si="9"/>
        <v>325.95999999999998</v>
      </c>
      <c r="L15" s="84">
        <f t="shared" si="9"/>
        <v>2.2000000000000002</v>
      </c>
      <c r="M15" s="84">
        <f t="shared" si="9"/>
        <v>2.7</v>
      </c>
      <c r="N15" s="84">
        <f t="shared" si="9"/>
        <v>3.8</v>
      </c>
      <c r="O15" s="84">
        <f t="shared" si="9"/>
        <v>12.265000000000001</v>
      </c>
      <c r="P15" s="84">
        <f t="shared" si="9"/>
        <v>17.16</v>
      </c>
      <c r="Q15" s="84">
        <f t="shared" si="9"/>
        <v>2.2000000000000002</v>
      </c>
      <c r="R15" s="85">
        <f t="shared" si="9"/>
        <v>40.325000000000003</v>
      </c>
      <c r="S15" s="11">
        <f t="shared" si="0"/>
        <v>0.1</v>
      </c>
      <c r="T15" s="11">
        <f t="shared" si="1"/>
        <v>9.6428571428571433E-2</v>
      </c>
      <c r="U15" s="11">
        <f t="shared" si="2"/>
        <v>9.7435897435897437E-2</v>
      </c>
      <c r="V15" s="11">
        <f t="shared" si="3"/>
        <v>0.13513662406346408</v>
      </c>
      <c r="W15" s="11">
        <f t="shared" si="4"/>
        <v>0.13816425120772946</v>
      </c>
      <c r="X15" s="11">
        <f t="shared" si="5"/>
        <v>0.1</v>
      </c>
      <c r="Y15" s="13">
        <f t="shared" si="6"/>
        <v>0.12371149834335503</v>
      </c>
    </row>
    <row r="16" spans="3:25" x14ac:dyDescent="0.4">
      <c r="C16" s="53" t="s">
        <v>5</v>
      </c>
      <c r="D16" s="54"/>
      <c r="E16" s="8">
        <f t="shared" ref="E16:R16" si="10">E9+E12+E15</f>
        <v>22</v>
      </c>
      <c r="F16" s="8">
        <f t="shared" si="10"/>
        <v>28</v>
      </c>
      <c r="G16" s="8">
        <f t="shared" si="10"/>
        <v>39</v>
      </c>
      <c r="H16" s="8">
        <f t="shared" si="10"/>
        <v>2222.5600000000004</v>
      </c>
      <c r="I16" s="8">
        <f t="shared" si="10"/>
        <v>124.2</v>
      </c>
      <c r="J16" s="8">
        <f t="shared" si="10"/>
        <v>22</v>
      </c>
      <c r="K16" s="9">
        <f t="shared" si="10"/>
        <v>2457.7600000000002</v>
      </c>
      <c r="L16" s="8">
        <f t="shared" si="10"/>
        <v>2.2000000000000002</v>
      </c>
      <c r="M16" s="8">
        <f t="shared" si="10"/>
        <v>2.7</v>
      </c>
      <c r="N16" s="8">
        <f t="shared" si="10"/>
        <v>3.8</v>
      </c>
      <c r="O16" s="8">
        <f t="shared" si="10"/>
        <v>440.66499999999996</v>
      </c>
      <c r="P16" s="8">
        <f t="shared" si="10"/>
        <v>17.16</v>
      </c>
      <c r="Q16" s="8">
        <f t="shared" si="10"/>
        <v>2.2000000000000002</v>
      </c>
      <c r="R16" s="9">
        <f t="shared" si="10"/>
        <v>468.72499999999997</v>
      </c>
      <c r="S16" s="14">
        <f t="shared" si="0"/>
        <v>0.1</v>
      </c>
      <c r="T16" s="14">
        <f t="shared" si="1"/>
        <v>9.6428571428571433E-2</v>
      </c>
      <c r="U16" s="14">
        <f t="shared" si="2"/>
        <v>9.7435897435897437E-2</v>
      </c>
      <c r="V16" s="14">
        <f t="shared" si="3"/>
        <v>0.19826911309480955</v>
      </c>
      <c r="W16" s="14">
        <f t="shared" si="4"/>
        <v>0.13816425120772946</v>
      </c>
      <c r="X16" s="14">
        <f t="shared" si="5"/>
        <v>0.1</v>
      </c>
      <c r="Y16" s="16">
        <f t="shared" si="6"/>
        <v>0.19071227459149792</v>
      </c>
    </row>
    <row r="17" spans="3:25" x14ac:dyDescent="0.4">
      <c r="C17" s="74" t="s">
        <v>25</v>
      </c>
      <c r="D17" s="75"/>
      <c r="E17" s="98"/>
      <c r="F17" s="98"/>
      <c r="G17" s="98"/>
      <c r="H17" s="98"/>
      <c r="I17" s="98"/>
      <c r="J17" s="98"/>
      <c r="K17" s="103">
        <f>SUM(E17:J17)</f>
        <v>0</v>
      </c>
      <c r="L17" s="98"/>
      <c r="M17" s="98"/>
      <c r="N17" s="98"/>
      <c r="O17" s="98"/>
      <c r="P17" s="98"/>
      <c r="Q17" s="98"/>
      <c r="R17" s="103">
        <f>SUM(L17:Q17)</f>
        <v>0</v>
      </c>
      <c r="S17" s="101" t="str">
        <f t="shared" si="0"/>
        <v>***</v>
      </c>
      <c r="T17" s="101" t="str">
        <f t="shared" si="1"/>
        <v>***</v>
      </c>
      <c r="U17" s="101" t="str">
        <f t="shared" si="2"/>
        <v>***</v>
      </c>
      <c r="V17" s="101" t="str">
        <f t="shared" si="3"/>
        <v>***</v>
      </c>
      <c r="W17" s="101" t="str">
        <f t="shared" si="4"/>
        <v>***</v>
      </c>
      <c r="X17" s="101" t="str">
        <f t="shared" si="5"/>
        <v>***</v>
      </c>
      <c r="Y17" s="102" t="str">
        <f t="shared" si="6"/>
        <v>***</v>
      </c>
    </row>
    <row r="18" spans="3:25" ht="22.5" customHeight="1" x14ac:dyDescent="0.4">
      <c r="C18" s="18"/>
      <c r="E18" s="17"/>
      <c r="F18" s="17"/>
      <c r="G18" s="17"/>
      <c r="H18" s="17"/>
      <c r="I18" s="17"/>
      <c r="J18" s="17"/>
      <c r="K18" s="18"/>
      <c r="L18" s="17"/>
      <c r="M18" s="17"/>
      <c r="N18" s="17"/>
      <c r="O18" s="17"/>
      <c r="P18" s="17"/>
      <c r="Q18" s="17"/>
      <c r="R18" s="18"/>
      <c r="S18" s="19"/>
      <c r="T18" s="19"/>
      <c r="U18" s="19"/>
      <c r="V18" s="19"/>
      <c r="W18" s="19"/>
      <c r="X18" s="19"/>
      <c r="Y18" s="19"/>
    </row>
    <row r="19" spans="3:25" x14ac:dyDescent="0.4">
      <c r="C19" s="18" t="s">
        <v>26</v>
      </c>
    </row>
    <row r="20" spans="3:25" x14ac:dyDescent="0.4">
      <c r="C20" s="120"/>
      <c r="D20" s="119"/>
      <c r="E20" s="120" t="s">
        <v>2</v>
      </c>
      <c r="F20" s="118"/>
      <c r="G20" s="118"/>
      <c r="H20" s="118"/>
      <c r="I20" s="118"/>
      <c r="J20" s="118"/>
      <c r="K20" s="119"/>
      <c r="L20" s="121" t="s">
        <v>3</v>
      </c>
      <c r="M20" s="118"/>
      <c r="N20" s="118"/>
      <c r="O20" s="118"/>
      <c r="P20" s="118"/>
      <c r="Q20" s="118"/>
      <c r="R20" s="119"/>
      <c r="S20" s="121" t="s">
        <v>4</v>
      </c>
      <c r="T20" s="118"/>
      <c r="U20" s="118"/>
      <c r="V20" s="118"/>
      <c r="W20" s="118"/>
      <c r="X20" s="118"/>
      <c r="Y20" s="119"/>
    </row>
    <row r="21" spans="3:25" x14ac:dyDescent="0.4">
      <c r="C21" s="1"/>
      <c r="D21" s="21"/>
      <c r="E21" s="61">
        <v>45748</v>
      </c>
      <c r="F21" s="2">
        <v>45778</v>
      </c>
      <c r="G21" s="2">
        <v>45809</v>
      </c>
      <c r="H21" s="2">
        <v>45839</v>
      </c>
      <c r="I21" s="2">
        <v>45870</v>
      </c>
      <c r="J21" s="2">
        <v>45901</v>
      </c>
      <c r="K21" s="10" t="s">
        <v>5</v>
      </c>
      <c r="L21" s="61">
        <v>45748</v>
      </c>
      <c r="M21" s="2">
        <v>45778</v>
      </c>
      <c r="N21" s="2">
        <v>45809</v>
      </c>
      <c r="O21" s="2">
        <v>45839</v>
      </c>
      <c r="P21" s="2">
        <v>45870</v>
      </c>
      <c r="Q21" s="2">
        <v>45901</v>
      </c>
      <c r="R21" s="10" t="s">
        <v>5</v>
      </c>
      <c r="S21" s="61">
        <v>45748</v>
      </c>
      <c r="T21" s="2">
        <v>45778</v>
      </c>
      <c r="U21" s="2">
        <v>45809</v>
      </c>
      <c r="V21" s="2">
        <v>45839</v>
      </c>
      <c r="W21" s="2">
        <v>45870</v>
      </c>
      <c r="X21" s="2">
        <v>45901</v>
      </c>
      <c r="Y21" s="10" t="s">
        <v>5</v>
      </c>
    </row>
    <row r="22" spans="3:25" x14ac:dyDescent="0.4">
      <c r="C22" s="60" t="s">
        <v>6</v>
      </c>
      <c r="D22" s="22" t="s">
        <v>7</v>
      </c>
      <c r="E22" s="3"/>
      <c r="F22" s="4"/>
      <c r="G22" s="4"/>
      <c r="H22" s="4">
        <v>16</v>
      </c>
      <c r="I22" s="4"/>
      <c r="J22" s="4"/>
      <c r="K22" s="62">
        <f t="shared" ref="K22:K28" si="11">SUM(E22:J22)</f>
        <v>16</v>
      </c>
      <c r="L22" s="3"/>
      <c r="M22" s="4"/>
      <c r="N22" s="4"/>
      <c r="O22" s="4">
        <v>16</v>
      </c>
      <c r="P22" s="4"/>
      <c r="Q22" s="4"/>
      <c r="R22" s="62">
        <f t="shared" ref="R22:R28" si="12">SUM(L22:Q22)</f>
        <v>16</v>
      </c>
      <c r="S22" s="65" t="str">
        <f t="shared" ref="S22:S34" si="13">IF(E22=0,"***",L22/E22)</f>
        <v>***</v>
      </c>
      <c r="T22" s="11" t="str">
        <f t="shared" ref="T22:T34" si="14">IF(F22=0,"***",M22/F22)</f>
        <v>***</v>
      </c>
      <c r="U22" s="11" t="str">
        <f t="shared" ref="U22:U34" si="15">IF(G22=0,"***",N22/G22)</f>
        <v>***</v>
      </c>
      <c r="V22" s="11">
        <f t="shared" ref="V22:V34" si="16">IF(H22=0,"***",O22/H22)</f>
        <v>1</v>
      </c>
      <c r="W22" s="11" t="str">
        <f t="shared" ref="W22:W34" si="17">IF(I22=0,"***",P22/I22)</f>
        <v>***</v>
      </c>
      <c r="X22" s="11" t="str">
        <f t="shared" ref="X22:X34" si="18">IF(J22=0,"***",Q22/J22)</f>
        <v>***</v>
      </c>
      <c r="Y22" s="13">
        <f t="shared" ref="Y22:Y34" si="19">IF(K22=0,"***",R22/K22)</f>
        <v>1</v>
      </c>
    </row>
    <row r="23" spans="3:25" x14ac:dyDescent="0.4">
      <c r="C23" s="60" t="s">
        <v>8</v>
      </c>
      <c r="D23" s="22" t="s">
        <v>9</v>
      </c>
      <c r="E23" s="3"/>
      <c r="F23" s="4">
        <v>110</v>
      </c>
      <c r="G23" s="4"/>
      <c r="H23" s="4"/>
      <c r="I23" s="4"/>
      <c r="J23" s="4"/>
      <c r="K23" s="62">
        <f t="shared" si="11"/>
        <v>110</v>
      </c>
      <c r="L23" s="3"/>
      <c r="M23" s="4">
        <v>27</v>
      </c>
      <c r="N23" s="4"/>
      <c r="O23" s="4"/>
      <c r="P23" s="4"/>
      <c r="Q23" s="4"/>
      <c r="R23" s="62">
        <f t="shared" si="12"/>
        <v>27</v>
      </c>
      <c r="S23" s="65" t="str">
        <f t="shared" si="13"/>
        <v>***</v>
      </c>
      <c r="T23" s="11">
        <f t="shared" si="14"/>
        <v>0.24545454545454545</v>
      </c>
      <c r="U23" s="11" t="str">
        <f t="shared" si="15"/>
        <v>***</v>
      </c>
      <c r="V23" s="11" t="str">
        <f t="shared" si="16"/>
        <v>***</v>
      </c>
      <c r="W23" s="11" t="str">
        <f t="shared" si="17"/>
        <v>***</v>
      </c>
      <c r="X23" s="11" t="str">
        <f t="shared" si="18"/>
        <v>***</v>
      </c>
      <c r="Y23" s="13">
        <f t="shared" si="19"/>
        <v>0.24545454545454545</v>
      </c>
    </row>
    <row r="24" spans="3:25" x14ac:dyDescent="0.4">
      <c r="C24" s="60" t="s">
        <v>10</v>
      </c>
      <c r="D24" s="22" t="s">
        <v>11</v>
      </c>
      <c r="E24" s="3"/>
      <c r="F24" s="4"/>
      <c r="G24" s="4"/>
      <c r="H24" s="4"/>
      <c r="I24" s="4"/>
      <c r="J24" s="4"/>
      <c r="K24" s="62">
        <f t="shared" si="11"/>
        <v>0</v>
      </c>
      <c r="L24" s="3"/>
      <c r="M24" s="4"/>
      <c r="N24" s="4"/>
      <c r="O24" s="4"/>
      <c r="P24" s="4"/>
      <c r="Q24" s="4"/>
      <c r="R24" s="62">
        <f t="shared" si="12"/>
        <v>0</v>
      </c>
      <c r="S24" s="65" t="str">
        <f t="shared" si="13"/>
        <v>***</v>
      </c>
      <c r="T24" s="11" t="str">
        <f t="shared" si="14"/>
        <v>***</v>
      </c>
      <c r="U24" s="11" t="str">
        <f t="shared" si="15"/>
        <v>***</v>
      </c>
      <c r="V24" s="11" t="str">
        <f t="shared" si="16"/>
        <v>***</v>
      </c>
      <c r="W24" s="11" t="str">
        <f t="shared" si="17"/>
        <v>***</v>
      </c>
      <c r="X24" s="11" t="str">
        <f t="shared" si="18"/>
        <v>***</v>
      </c>
      <c r="Y24" s="13" t="str">
        <f t="shared" si="19"/>
        <v>***</v>
      </c>
    </row>
    <row r="25" spans="3:25" x14ac:dyDescent="0.4">
      <c r="C25" s="60" t="s">
        <v>12</v>
      </c>
      <c r="D25" s="22" t="s">
        <v>13</v>
      </c>
      <c r="E25" s="3"/>
      <c r="F25" s="4"/>
      <c r="G25" s="4"/>
      <c r="H25" s="4"/>
      <c r="I25" s="4"/>
      <c r="J25" s="4"/>
      <c r="K25" s="62">
        <f t="shared" si="11"/>
        <v>0</v>
      </c>
      <c r="L25" s="3"/>
      <c r="M25" s="4"/>
      <c r="N25" s="4"/>
      <c r="O25" s="4"/>
      <c r="P25" s="4"/>
      <c r="Q25" s="4"/>
      <c r="R25" s="62">
        <f t="shared" si="12"/>
        <v>0</v>
      </c>
      <c r="S25" s="65" t="str">
        <f t="shared" si="13"/>
        <v>***</v>
      </c>
      <c r="T25" s="11" t="str">
        <f t="shared" si="14"/>
        <v>***</v>
      </c>
      <c r="U25" s="11" t="str">
        <f t="shared" si="15"/>
        <v>***</v>
      </c>
      <c r="V25" s="11" t="str">
        <f t="shared" si="16"/>
        <v>***</v>
      </c>
      <c r="W25" s="11" t="str">
        <f t="shared" si="17"/>
        <v>***</v>
      </c>
      <c r="X25" s="11" t="str">
        <f t="shared" si="18"/>
        <v>***</v>
      </c>
      <c r="Y25" s="13" t="str">
        <f t="shared" si="19"/>
        <v>***</v>
      </c>
    </row>
    <row r="26" spans="3:25" x14ac:dyDescent="0.4">
      <c r="C26" s="60" t="s">
        <v>14</v>
      </c>
      <c r="D26" s="22"/>
      <c r="E26" s="3">
        <f t="shared" ref="E26:J26" si="20">SUM(E22:E25)</f>
        <v>0</v>
      </c>
      <c r="F26" s="4">
        <f t="shared" si="20"/>
        <v>110</v>
      </c>
      <c r="G26" s="4">
        <f t="shared" si="20"/>
        <v>0</v>
      </c>
      <c r="H26" s="4">
        <f t="shared" si="20"/>
        <v>16</v>
      </c>
      <c r="I26" s="4">
        <f t="shared" si="20"/>
        <v>0</v>
      </c>
      <c r="J26" s="4">
        <f t="shared" si="20"/>
        <v>0</v>
      </c>
      <c r="K26" s="62">
        <f t="shared" si="11"/>
        <v>126</v>
      </c>
      <c r="L26" s="3">
        <f t="shared" ref="L26:Q26" si="21">SUM(L22:L25)</f>
        <v>0</v>
      </c>
      <c r="M26" s="4">
        <f t="shared" si="21"/>
        <v>27</v>
      </c>
      <c r="N26" s="4">
        <f t="shared" si="21"/>
        <v>0</v>
      </c>
      <c r="O26" s="4">
        <f t="shared" si="21"/>
        <v>16</v>
      </c>
      <c r="P26" s="4">
        <f t="shared" si="21"/>
        <v>0</v>
      </c>
      <c r="Q26" s="4">
        <f t="shared" si="21"/>
        <v>0</v>
      </c>
      <c r="R26" s="62">
        <f t="shared" si="12"/>
        <v>43</v>
      </c>
      <c r="S26" s="65" t="str">
        <f t="shared" si="13"/>
        <v>***</v>
      </c>
      <c r="T26" s="11">
        <f t="shared" si="14"/>
        <v>0.24545454545454545</v>
      </c>
      <c r="U26" s="11" t="str">
        <f t="shared" si="15"/>
        <v>***</v>
      </c>
      <c r="V26" s="11">
        <f t="shared" si="16"/>
        <v>1</v>
      </c>
      <c r="W26" s="11" t="str">
        <f t="shared" si="17"/>
        <v>***</v>
      </c>
      <c r="X26" s="11" t="str">
        <f t="shared" si="18"/>
        <v>***</v>
      </c>
      <c r="Y26" s="13">
        <f t="shared" si="19"/>
        <v>0.34126984126984128</v>
      </c>
    </row>
    <row r="27" spans="3:25" x14ac:dyDescent="0.4">
      <c r="C27" s="60" t="s">
        <v>15</v>
      </c>
      <c r="D27" s="22" t="s">
        <v>16</v>
      </c>
      <c r="E27" s="3"/>
      <c r="F27" s="4"/>
      <c r="G27" s="4"/>
      <c r="H27" s="4"/>
      <c r="I27" s="4"/>
      <c r="J27" s="4"/>
      <c r="K27" s="62">
        <f t="shared" si="11"/>
        <v>0</v>
      </c>
      <c r="L27" s="3"/>
      <c r="M27" s="4"/>
      <c r="N27" s="4"/>
      <c r="O27" s="4"/>
      <c r="P27" s="4"/>
      <c r="Q27" s="4"/>
      <c r="R27" s="62">
        <f t="shared" si="12"/>
        <v>0</v>
      </c>
      <c r="S27" s="65" t="str">
        <f t="shared" si="13"/>
        <v>***</v>
      </c>
      <c r="T27" s="11" t="str">
        <f t="shared" si="14"/>
        <v>***</v>
      </c>
      <c r="U27" s="11" t="str">
        <f t="shared" si="15"/>
        <v>***</v>
      </c>
      <c r="V27" s="11" t="str">
        <f t="shared" si="16"/>
        <v>***</v>
      </c>
      <c r="W27" s="11" t="str">
        <f t="shared" si="17"/>
        <v>***</v>
      </c>
      <c r="X27" s="11" t="str">
        <f t="shared" si="18"/>
        <v>***</v>
      </c>
      <c r="Y27" s="13" t="str">
        <f t="shared" si="19"/>
        <v>***</v>
      </c>
    </row>
    <row r="28" spans="3:25" x14ac:dyDescent="0.4">
      <c r="C28" s="60" t="s">
        <v>17</v>
      </c>
      <c r="D28" s="22" t="s">
        <v>18</v>
      </c>
      <c r="E28" s="3"/>
      <c r="F28" s="4"/>
      <c r="G28" s="4"/>
      <c r="H28" s="4"/>
      <c r="I28" s="4"/>
      <c r="J28" s="4"/>
      <c r="K28" s="62">
        <f t="shared" si="11"/>
        <v>0</v>
      </c>
      <c r="L28" s="3"/>
      <c r="M28" s="4"/>
      <c r="N28" s="4"/>
      <c r="O28" s="4"/>
      <c r="P28" s="4"/>
      <c r="Q28" s="4"/>
      <c r="R28" s="62">
        <f t="shared" si="12"/>
        <v>0</v>
      </c>
      <c r="S28" s="65" t="str">
        <f t="shared" si="13"/>
        <v>***</v>
      </c>
      <c r="T28" s="11" t="str">
        <f t="shared" si="14"/>
        <v>***</v>
      </c>
      <c r="U28" s="11" t="str">
        <f t="shared" si="15"/>
        <v>***</v>
      </c>
      <c r="V28" s="11" t="str">
        <f t="shared" si="16"/>
        <v>***</v>
      </c>
      <c r="W28" s="11" t="str">
        <f t="shared" si="17"/>
        <v>***</v>
      </c>
      <c r="X28" s="11" t="str">
        <f t="shared" si="18"/>
        <v>***</v>
      </c>
      <c r="Y28" s="13" t="str">
        <f t="shared" si="19"/>
        <v>***</v>
      </c>
    </row>
    <row r="29" spans="3:25" x14ac:dyDescent="0.4">
      <c r="C29" s="60" t="s">
        <v>19</v>
      </c>
      <c r="D29" s="22"/>
      <c r="E29" s="3">
        <f t="shared" ref="E29:R29" si="22">SUM(E27:E28)</f>
        <v>0</v>
      </c>
      <c r="F29" s="20">
        <f t="shared" si="22"/>
        <v>0</v>
      </c>
      <c r="G29" s="20">
        <f t="shared" si="22"/>
        <v>0</v>
      </c>
      <c r="H29" s="20">
        <f t="shared" si="22"/>
        <v>0</v>
      </c>
      <c r="I29" s="20">
        <f t="shared" si="22"/>
        <v>0</v>
      </c>
      <c r="J29" s="20">
        <f t="shared" si="22"/>
        <v>0</v>
      </c>
      <c r="K29" s="62">
        <f t="shared" si="22"/>
        <v>0</v>
      </c>
      <c r="L29" s="3">
        <f t="shared" si="22"/>
        <v>0</v>
      </c>
      <c r="M29" s="20">
        <f t="shared" si="22"/>
        <v>0</v>
      </c>
      <c r="N29" s="20">
        <f t="shared" si="22"/>
        <v>0</v>
      </c>
      <c r="O29" s="20">
        <f t="shared" si="22"/>
        <v>0</v>
      </c>
      <c r="P29" s="20">
        <f t="shared" si="22"/>
        <v>0</v>
      </c>
      <c r="Q29" s="20">
        <f t="shared" si="22"/>
        <v>0</v>
      </c>
      <c r="R29" s="62">
        <f t="shared" si="22"/>
        <v>0</v>
      </c>
      <c r="S29" s="65" t="str">
        <f t="shared" si="13"/>
        <v>***</v>
      </c>
      <c r="T29" s="11" t="str">
        <f t="shared" si="14"/>
        <v>***</v>
      </c>
      <c r="U29" s="11" t="str">
        <f t="shared" si="15"/>
        <v>***</v>
      </c>
      <c r="V29" s="11" t="str">
        <f t="shared" si="16"/>
        <v>***</v>
      </c>
      <c r="W29" s="11" t="str">
        <f t="shared" si="17"/>
        <v>***</v>
      </c>
      <c r="X29" s="11" t="str">
        <f t="shared" si="18"/>
        <v>***</v>
      </c>
      <c r="Y29" s="13" t="str">
        <f t="shared" si="19"/>
        <v>***</v>
      </c>
    </row>
    <row r="30" spans="3:25" x14ac:dyDescent="0.4">
      <c r="C30" s="60" t="s">
        <v>20</v>
      </c>
      <c r="D30" s="22" t="s">
        <v>21</v>
      </c>
      <c r="E30" s="3">
        <v>296.05</v>
      </c>
      <c r="F30" s="20">
        <v>78.5</v>
      </c>
      <c r="G30" s="20">
        <v>49.2</v>
      </c>
      <c r="H30" s="20">
        <v>60.3</v>
      </c>
      <c r="I30" s="20">
        <v>90.48</v>
      </c>
      <c r="J30" s="20">
        <v>206.32599999999999</v>
      </c>
      <c r="K30" s="62">
        <f>SUM(E30:J30)</f>
        <v>780.85599999999999</v>
      </c>
      <c r="L30" s="3">
        <v>44.57</v>
      </c>
      <c r="M30" s="20">
        <v>18.899999999999999</v>
      </c>
      <c r="N30" s="20">
        <v>6.5</v>
      </c>
      <c r="O30" s="20">
        <v>8.6999999999999993</v>
      </c>
      <c r="P30" s="20">
        <v>5.48</v>
      </c>
      <c r="Q30" s="20">
        <v>47.344999999999999</v>
      </c>
      <c r="R30" s="62">
        <f>SUM(L30:Q30)</f>
        <v>131.495</v>
      </c>
      <c r="S30" s="65">
        <f t="shared" si="13"/>
        <v>0.15054889376794459</v>
      </c>
      <c r="T30" s="11">
        <f t="shared" si="14"/>
        <v>0.24076433121019106</v>
      </c>
      <c r="U30" s="11">
        <f t="shared" si="15"/>
        <v>0.13211382113821138</v>
      </c>
      <c r="V30" s="11">
        <f t="shared" si="16"/>
        <v>0.14427860696517411</v>
      </c>
      <c r="W30" s="11">
        <f t="shared" si="17"/>
        <v>6.0565870910698497E-2</v>
      </c>
      <c r="X30" s="11">
        <f t="shared" si="18"/>
        <v>0.22946696005350756</v>
      </c>
      <c r="Y30" s="13">
        <f t="shared" si="19"/>
        <v>0.16839852674500805</v>
      </c>
    </row>
    <row r="31" spans="3:25" x14ac:dyDescent="0.4">
      <c r="C31" s="60" t="s">
        <v>22</v>
      </c>
      <c r="D31" s="83" t="s">
        <v>23</v>
      </c>
      <c r="E31" s="88"/>
      <c r="F31" s="84"/>
      <c r="G31" s="84"/>
      <c r="H31" s="84"/>
      <c r="I31" s="84"/>
      <c r="J31" s="84"/>
      <c r="K31" s="62">
        <f>SUM(E31:J31)</f>
        <v>0</v>
      </c>
      <c r="L31" s="88"/>
      <c r="M31" s="84"/>
      <c r="N31" s="84"/>
      <c r="O31" s="84"/>
      <c r="P31" s="84"/>
      <c r="Q31" s="84"/>
      <c r="R31" s="62">
        <f>SUM(L31:Q31)</f>
        <v>0</v>
      </c>
      <c r="S31" s="65" t="str">
        <f t="shared" si="13"/>
        <v>***</v>
      </c>
      <c r="T31" s="11" t="str">
        <f t="shared" si="14"/>
        <v>***</v>
      </c>
      <c r="U31" s="11" t="str">
        <f t="shared" si="15"/>
        <v>***</v>
      </c>
      <c r="V31" s="11" t="str">
        <f t="shared" si="16"/>
        <v>***</v>
      </c>
      <c r="W31" s="11" t="str">
        <f t="shared" si="17"/>
        <v>***</v>
      </c>
      <c r="X31" s="11" t="str">
        <f t="shared" si="18"/>
        <v>***</v>
      </c>
      <c r="Y31" s="13" t="str">
        <f t="shared" si="19"/>
        <v>***</v>
      </c>
    </row>
    <row r="32" spans="3:25" x14ac:dyDescent="0.4">
      <c r="C32" s="82" t="s">
        <v>24</v>
      </c>
      <c r="D32" s="83"/>
      <c r="E32" s="84">
        <f t="shared" ref="E32:J32" si="23">E30+E31</f>
        <v>296.05</v>
      </c>
      <c r="F32" s="84">
        <f t="shared" si="23"/>
        <v>78.5</v>
      </c>
      <c r="G32" s="84">
        <f t="shared" si="23"/>
        <v>49.2</v>
      </c>
      <c r="H32" s="84">
        <f t="shared" si="23"/>
        <v>60.3</v>
      </c>
      <c r="I32" s="84">
        <f t="shared" si="23"/>
        <v>90.48</v>
      </c>
      <c r="J32" s="84">
        <f t="shared" si="23"/>
        <v>206.32599999999999</v>
      </c>
      <c r="K32" s="62">
        <f>SUM(E32:J32)</f>
        <v>780.85599999999999</v>
      </c>
      <c r="L32" s="84">
        <f t="shared" ref="L32:Q32" si="24">L30+L31</f>
        <v>44.57</v>
      </c>
      <c r="M32" s="84">
        <f t="shared" si="24"/>
        <v>18.899999999999999</v>
      </c>
      <c r="N32" s="84">
        <f t="shared" si="24"/>
        <v>6.5</v>
      </c>
      <c r="O32" s="84">
        <f t="shared" si="24"/>
        <v>8.6999999999999993</v>
      </c>
      <c r="P32" s="84">
        <f t="shared" si="24"/>
        <v>5.48</v>
      </c>
      <c r="Q32" s="84">
        <f t="shared" si="24"/>
        <v>47.344999999999999</v>
      </c>
      <c r="R32" s="62">
        <f>SUM(L32:Q32)</f>
        <v>131.495</v>
      </c>
      <c r="S32" s="65">
        <f t="shared" si="13"/>
        <v>0.15054889376794459</v>
      </c>
      <c r="T32" s="11">
        <f t="shared" si="14"/>
        <v>0.24076433121019106</v>
      </c>
      <c r="U32" s="11">
        <f t="shared" si="15"/>
        <v>0.13211382113821138</v>
      </c>
      <c r="V32" s="11">
        <f t="shared" si="16"/>
        <v>0.14427860696517411</v>
      </c>
      <c r="W32" s="11">
        <f t="shared" si="17"/>
        <v>6.0565870910698497E-2</v>
      </c>
      <c r="X32" s="11">
        <f t="shared" si="18"/>
        <v>0.22946696005350756</v>
      </c>
      <c r="Y32" s="13">
        <f t="shared" si="19"/>
        <v>0.16839852674500805</v>
      </c>
    </row>
    <row r="33" spans="3:25" x14ac:dyDescent="0.4">
      <c r="C33" s="53" t="s">
        <v>5</v>
      </c>
      <c r="D33" s="54"/>
      <c r="E33" s="8">
        <f t="shared" ref="E33:R33" si="25">E26+E29+E32</f>
        <v>296.05</v>
      </c>
      <c r="F33" s="8">
        <f t="shared" si="25"/>
        <v>188.5</v>
      </c>
      <c r="G33" s="8">
        <f t="shared" si="25"/>
        <v>49.2</v>
      </c>
      <c r="H33" s="8">
        <f t="shared" si="25"/>
        <v>76.3</v>
      </c>
      <c r="I33" s="8">
        <f t="shared" si="25"/>
        <v>90.48</v>
      </c>
      <c r="J33" s="8">
        <f t="shared" si="25"/>
        <v>206.32599999999999</v>
      </c>
      <c r="K33" s="64">
        <f t="shared" si="25"/>
        <v>906.85599999999999</v>
      </c>
      <c r="L33" s="8">
        <f t="shared" si="25"/>
        <v>44.57</v>
      </c>
      <c r="M33" s="8">
        <f t="shared" si="25"/>
        <v>45.9</v>
      </c>
      <c r="N33" s="8">
        <f t="shared" si="25"/>
        <v>6.5</v>
      </c>
      <c r="O33" s="8">
        <f t="shared" si="25"/>
        <v>24.7</v>
      </c>
      <c r="P33" s="8">
        <f t="shared" si="25"/>
        <v>5.48</v>
      </c>
      <c r="Q33" s="8">
        <f t="shared" si="25"/>
        <v>47.344999999999999</v>
      </c>
      <c r="R33" s="64">
        <f t="shared" si="25"/>
        <v>174.495</v>
      </c>
      <c r="S33" s="66">
        <f t="shared" si="13"/>
        <v>0.15054889376794459</v>
      </c>
      <c r="T33" s="14">
        <f t="shared" si="14"/>
        <v>0.24350132625994694</v>
      </c>
      <c r="U33" s="14">
        <f t="shared" si="15"/>
        <v>0.13211382113821138</v>
      </c>
      <c r="V33" s="14">
        <f t="shared" si="16"/>
        <v>0.32372214941022281</v>
      </c>
      <c r="W33" s="14">
        <f t="shared" si="17"/>
        <v>6.0565870910698497E-2</v>
      </c>
      <c r="X33" s="14">
        <f t="shared" si="18"/>
        <v>0.22946696005350756</v>
      </c>
      <c r="Y33" s="16">
        <f t="shared" si="19"/>
        <v>0.19241753927856242</v>
      </c>
    </row>
    <row r="34" spans="3:25" x14ac:dyDescent="0.4">
      <c r="C34" s="74" t="s">
        <v>25</v>
      </c>
      <c r="D34" s="75"/>
      <c r="E34" s="98"/>
      <c r="F34" s="98"/>
      <c r="G34" s="98"/>
      <c r="H34" s="98"/>
      <c r="I34" s="98"/>
      <c r="J34" s="98"/>
      <c r="K34" s="103">
        <f>SUM(E34:J34)</f>
        <v>0</v>
      </c>
      <c r="L34" s="98"/>
      <c r="M34" s="98"/>
      <c r="N34" s="98"/>
      <c r="O34" s="98"/>
      <c r="P34" s="98"/>
      <c r="Q34" s="98"/>
      <c r="R34" s="103">
        <f>SUM(L34:Q34)</f>
        <v>0</v>
      </c>
      <c r="S34" s="101" t="str">
        <f t="shared" si="13"/>
        <v>***</v>
      </c>
      <c r="T34" s="101" t="str">
        <f t="shared" si="14"/>
        <v>***</v>
      </c>
      <c r="U34" s="101" t="str">
        <f t="shared" si="15"/>
        <v>***</v>
      </c>
      <c r="V34" s="101" t="str">
        <f t="shared" si="16"/>
        <v>***</v>
      </c>
      <c r="W34" s="101" t="str">
        <f t="shared" si="17"/>
        <v>***</v>
      </c>
      <c r="X34" s="101" t="str">
        <f t="shared" si="18"/>
        <v>***</v>
      </c>
      <c r="Y34" s="102" t="str">
        <f t="shared" si="19"/>
        <v>***</v>
      </c>
    </row>
    <row r="35" spans="3:25" x14ac:dyDescent="0.4">
      <c r="C35" s="18"/>
      <c r="E35" s="17"/>
      <c r="F35" s="17"/>
      <c r="G35" s="17"/>
      <c r="H35" s="17"/>
      <c r="I35" s="17"/>
      <c r="J35" s="17"/>
      <c r="K35" s="18"/>
      <c r="L35" s="17"/>
      <c r="M35" s="17"/>
      <c r="N35" s="17"/>
      <c r="O35" s="17"/>
      <c r="P35" s="17"/>
      <c r="Q35" s="17"/>
      <c r="R35" s="18"/>
      <c r="S35" s="19"/>
      <c r="T35" s="19"/>
      <c r="U35" s="19"/>
      <c r="V35" s="19"/>
      <c r="W35" s="19"/>
      <c r="X35" s="19"/>
      <c r="Y35" s="19"/>
    </row>
    <row r="36" spans="3:25" x14ac:dyDescent="0.4">
      <c r="C36" s="18" t="s">
        <v>27</v>
      </c>
    </row>
    <row r="37" spans="3:25" x14ac:dyDescent="0.4">
      <c r="C37" s="120"/>
      <c r="D37" s="119"/>
      <c r="E37" s="122" t="s">
        <v>2</v>
      </c>
      <c r="F37" s="118"/>
      <c r="G37" s="118"/>
      <c r="H37" s="118"/>
      <c r="I37" s="118"/>
      <c r="J37" s="118"/>
      <c r="K37" s="118"/>
      <c r="L37" s="121" t="s">
        <v>3</v>
      </c>
      <c r="M37" s="118"/>
      <c r="N37" s="118"/>
      <c r="O37" s="118"/>
      <c r="P37" s="118"/>
      <c r="Q37" s="118"/>
      <c r="R37" s="119"/>
      <c r="S37" s="121" t="s">
        <v>4</v>
      </c>
      <c r="T37" s="118"/>
      <c r="U37" s="118"/>
      <c r="V37" s="118"/>
      <c r="W37" s="118"/>
      <c r="X37" s="118"/>
      <c r="Y37" s="119"/>
    </row>
    <row r="38" spans="3:25" x14ac:dyDescent="0.4">
      <c r="C38" s="1"/>
      <c r="D38" s="21"/>
      <c r="E38" s="61">
        <v>45748</v>
      </c>
      <c r="F38" s="2">
        <v>45778</v>
      </c>
      <c r="G38" s="2">
        <v>45809</v>
      </c>
      <c r="H38" s="2">
        <v>45839</v>
      </c>
      <c r="I38" s="2">
        <v>45870</v>
      </c>
      <c r="J38" s="2">
        <v>45901</v>
      </c>
      <c r="K38" s="10" t="s">
        <v>5</v>
      </c>
      <c r="L38" s="61">
        <v>45748</v>
      </c>
      <c r="M38" s="2">
        <v>45778</v>
      </c>
      <c r="N38" s="2">
        <v>45809</v>
      </c>
      <c r="O38" s="2">
        <v>45839</v>
      </c>
      <c r="P38" s="2">
        <v>45870</v>
      </c>
      <c r="Q38" s="2">
        <v>45901</v>
      </c>
      <c r="R38" s="10" t="s">
        <v>5</v>
      </c>
      <c r="S38" s="61">
        <v>45748</v>
      </c>
      <c r="T38" s="2">
        <v>45778</v>
      </c>
      <c r="U38" s="2">
        <v>45809</v>
      </c>
      <c r="V38" s="2">
        <v>45839</v>
      </c>
      <c r="W38" s="2">
        <v>45870</v>
      </c>
      <c r="X38" s="2">
        <v>45901</v>
      </c>
      <c r="Y38" s="10" t="s">
        <v>5</v>
      </c>
    </row>
    <row r="39" spans="3:25" x14ac:dyDescent="0.4">
      <c r="C39" s="60" t="s">
        <v>6</v>
      </c>
      <c r="D39" s="22" t="s">
        <v>7</v>
      </c>
      <c r="E39" s="4">
        <f t="shared" ref="E39:J42" si="26">(E22+E5)/2</f>
        <v>0</v>
      </c>
      <c r="F39" s="4">
        <f t="shared" si="26"/>
        <v>0</v>
      </c>
      <c r="G39" s="4">
        <f t="shared" si="26"/>
        <v>0</v>
      </c>
      <c r="H39" s="4">
        <f t="shared" si="26"/>
        <v>1073.9000000000001</v>
      </c>
      <c r="I39" s="4">
        <f t="shared" si="26"/>
        <v>0</v>
      </c>
      <c r="J39" s="4">
        <f t="shared" si="26"/>
        <v>0</v>
      </c>
      <c r="K39" s="7">
        <f t="shared" ref="K39:K45" si="27">SUM(E39:J39)</f>
        <v>1073.9000000000001</v>
      </c>
      <c r="L39" s="4">
        <f t="shared" ref="L39:Q42" si="28">(L22+L5)/2</f>
        <v>0</v>
      </c>
      <c r="M39" s="4">
        <f t="shared" si="28"/>
        <v>0</v>
      </c>
      <c r="N39" s="4">
        <f t="shared" si="28"/>
        <v>0</v>
      </c>
      <c r="O39" s="4">
        <f t="shared" si="28"/>
        <v>222.2</v>
      </c>
      <c r="P39" s="4">
        <f t="shared" si="28"/>
        <v>0</v>
      </c>
      <c r="Q39" s="4">
        <f t="shared" si="28"/>
        <v>0</v>
      </c>
      <c r="R39" s="7">
        <f t="shared" ref="R39:R45" si="29">SUM(L39:Q39)</f>
        <v>222.2</v>
      </c>
      <c r="S39" s="11" t="str">
        <f t="shared" ref="S39:S51" si="30">IF(E39=0,"***",L39/E39)</f>
        <v>***</v>
      </c>
      <c r="T39" s="11" t="str">
        <f t="shared" ref="T39:T51" si="31">IF(F39=0,"***",M39/F39)</f>
        <v>***</v>
      </c>
      <c r="U39" s="11" t="str">
        <f t="shared" ref="U39:U51" si="32">IF(G39=0,"***",N39/G39)</f>
        <v>***</v>
      </c>
      <c r="V39" s="11">
        <f t="shared" ref="V39:V51" si="33">IF(H39=0,"***",O39/H39)</f>
        <v>0.20690939566067601</v>
      </c>
      <c r="W39" s="11" t="str">
        <f t="shared" ref="W39:W51" si="34">IF(I39=0,"***",P39/I39)</f>
        <v>***</v>
      </c>
      <c r="X39" s="11" t="str">
        <f t="shared" ref="X39:X51" si="35">IF(J39=0,"***",Q39/J39)</f>
        <v>***</v>
      </c>
      <c r="Y39" s="13">
        <f t="shared" ref="Y39:Y51" si="36">IF(K39=0,"***",R39/K39)</f>
        <v>0.20690939566067601</v>
      </c>
    </row>
    <row r="40" spans="3:25" x14ac:dyDescent="0.4">
      <c r="C40" s="60" t="s">
        <v>8</v>
      </c>
      <c r="D40" s="22" t="s">
        <v>9</v>
      </c>
      <c r="E40" s="4">
        <f t="shared" si="26"/>
        <v>0</v>
      </c>
      <c r="F40" s="4">
        <f t="shared" si="26"/>
        <v>55</v>
      </c>
      <c r="G40" s="4">
        <f t="shared" si="26"/>
        <v>0</v>
      </c>
      <c r="H40" s="4">
        <f t="shared" si="26"/>
        <v>0</v>
      </c>
      <c r="I40" s="4">
        <f t="shared" si="26"/>
        <v>0</v>
      </c>
      <c r="J40" s="4">
        <f t="shared" si="26"/>
        <v>0</v>
      </c>
      <c r="K40" s="7">
        <f t="shared" si="27"/>
        <v>55</v>
      </c>
      <c r="L40" s="4">
        <f t="shared" si="28"/>
        <v>0</v>
      </c>
      <c r="M40" s="4">
        <f t="shared" si="28"/>
        <v>13.5</v>
      </c>
      <c r="N40" s="4">
        <f t="shared" si="28"/>
        <v>0</v>
      </c>
      <c r="O40" s="4">
        <f t="shared" si="28"/>
        <v>0</v>
      </c>
      <c r="P40" s="4">
        <f t="shared" si="28"/>
        <v>0</v>
      </c>
      <c r="Q40" s="4">
        <f t="shared" si="28"/>
        <v>0</v>
      </c>
      <c r="R40" s="7">
        <f t="shared" si="29"/>
        <v>13.5</v>
      </c>
      <c r="S40" s="11" t="str">
        <f t="shared" si="30"/>
        <v>***</v>
      </c>
      <c r="T40" s="11">
        <f t="shared" si="31"/>
        <v>0.24545454545454545</v>
      </c>
      <c r="U40" s="11" t="str">
        <f t="shared" si="32"/>
        <v>***</v>
      </c>
      <c r="V40" s="11" t="str">
        <f t="shared" si="33"/>
        <v>***</v>
      </c>
      <c r="W40" s="11" t="str">
        <f t="shared" si="34"/>
        <v>***</v>
      </c>
      <c r="X40" s="11" t="str">
        <f t="shared" si="35"/>
        <v>***</v>
      </c>
      <c r="Y40" s="13">
        <f t="shared" si="36"/>
        <v>0.24545454545454545</v>
      </c>
    </row>
    <row r="41" spans="3:25" x14ac:dyDescent="0.4">
      <c r="C41" s="60" t="s">
        <v>10</v>
      </c>
      <c r="D41" s="22" t="s">
        <v>11</v>
      </c>
      <c r="E41" s="4">
        <f t="shared" si="26"/>
        <v>0</v>
      </c>
      <c r="F41" s="4">
        <f t="shared" si="26"/>
        <v>0</v>
      </c>
      <c r="G41" s="4">
        <f t="shared" si="26"/>
        <v>0</v>
      </c>
      <c r="H41" s="4">
        <f t="shared" si="26"/>
        <v>0</v>
      </c>
      <c r="I41" s="4">
        <f t="shared" si="26"/>
        <v>0</v>
      </c>
      <c r="J41" s="4">
        <f t="shared" si="26"/>
        <v>0</v>
      </c>
      <c r="K41" s="7">
        <f t="shared" si="27"/>
        <v>0</v>
      </c>
      <c r="L41" s="4">
        <f t="shared" si="28"/>
        <v>0</v>
      </c>
      <c r="M41" s="4">
        <f t="shared" si="28"/>
        <v>0</v>
      </c>
      <c r="N41" s="4">
        <f t="shared" si="28"/>
        <v>0</v>
      </c>
      <c r="O41" s="4">
        <f t="shared" si="28"/>
        <v>0</v>
      </c>
      <c r="P41" s="4">
        <f t="shared" si="28"/>
        <v>0</v>
      </c>
      <c r="Q41" s="4">
        <f t="shared" si="28"/>
        <v>0</v>
      </c>
      <c r="R41" s="7">
        <f t="shared" si="29"/>
        <v>0</v>
      </c>
      <c r="S41" s="11" t="str">
        <f t="shared" si="30"/>
        <v>***</v>
      </c>
      <c r="T41" s="11" t="str">
        <f t="shared" si="31"/>
        <v>***</v>
      </c>
      <c r="U41" s="11" t="str">
        <f t="shared" si="32"/>
        <v>***</v>
      </c>
      <c r="V41" s="11" t="str">
        <f t="shared" si="33"/>
        <v>***</v>
      </c>
      <c r="W41" s="11" t="str">
        <f t="shared" si="34"/>
        <v>***</v>
      </c>
      <c r="X41" s="11" t="str">
        <f t="shared" si="35"/>
        <v>***</v>
      </c>
      <c r="Y41" s="13" t="str">
        <f t="shared" si="36"/>
        <v>***</v>
      </c>
    </row>
    <row r="42" spans="3:25" x14ac:dyDescent="0.4">
      <c r="C42" s="60" t="s">
        <v>12</v>
      </c>
      <c r="D42" s="22" t="s">
        <v>13</v>
      </c>
      <c r="E42" s="4">
        <f t="shared" si="26"/>
        <v>0</v>
      </c>
      <c r="F42" s="4">
        <f t="shared" si="26"/>
        <v>0</v>
      </c>
      <c r="G42" s="4">
        <f t="shared" si="26"/>
        <v>0</v>
      </c>
      <c r="H42" s="4">
        <f t="shared" si="26"/>
        <v>0</v>
      </c>
      <c r="I42" s="4">
        <f t="shared" si="26"/>
        <v>0</v>
      </c>
      <c r="J42" s="4">
        <f t="shared" si="26"/>
        <v>0</v>
      </c>
      <c r="K42" s="7">
        <f t="shared" si="27"/>
        <v>0</v>
      </c>
      <c r="L42" s="4">
        <f t="shared" si="28"/>
        <v>0</v>
      </c>
      <c r="M42" s="4">
        <f t="shared" si="28"/>
        <v>0</v>
      </c>
      <c r="N42" s="4">
        <f t="shared" si="28"/>
        <v>0</v>
      </c>
      <c r="O42" s="4">
        <f t="shared" si="28"/>
        <v>0</v>
      </c>
      <c r="P42" s="4">
        <f t="shared" si="28"/>
        <v>0</v>
      </c>
      <c r="Q42" s="4">
        <f t="shared" si="28"/>
        <v>0</v>
      </c>
      <c r="R42" s="7">
        <f t="shared" si="29"/>
        <v>0</v>
      </c>
      <c r="S42" s="11" t="str">
        <f t="shared" si="30"/>
        <v>***</v>
      </c>
      <c r="T42" s="11" t="str">
        <f t="shared" si="31"/>
        <v>***</v>
      </c>
      <c r="U42" s="11" t="str">
        <f t="shared" si="32"/>
        <v>***</v>
      </c>
      <c r="V42" s="11" t="str">
        <f t="shared" si="33"/>
        <v>***</v>
      </c>
      <c r="W42" s="11" t="str">
        <f t="shared" si="34"/>
        <v>***</v>
      </c>
      <c r="X42" s="11" t="str">
        <f t="shared" si="35"/>
        <v>***</v>
      </c>
      <c r="Y42" s="13" t="str">
        <f t="shared" si="36"/>
        <v>***</v>
      </c>
    </row>
    <row r="43" spans="3:25" x14ac:dyDescent="0.4">
      <c r="C43" s="60" t="s">
        <v>14</v>
      </c>
      <c r="D43" s="22"/>
      <c r="E43" s="4">
        <f t="shared" ref="E43:J43" si="37">SUM(E39:E42)</f>
        <v>0</v>
      </c>
      <c r="F43" s="4">
        <f t="shared" si="37"/>
        <v>55</v>
      </c>
      <c r="G43" s="4">
        <f t="shared" si="37"/>
        <v>0</v>
      </c>
      <c r="H43" s="4">
        <f t="shared" si="37"/>
        <v>1073.9000000000001</v>
      </c>
      <c r="I43" s="4">
        <f t="shared" si="37"/>
        <v>0</v>
      </c>
      <c r="J43" s="4">
        <f t="shared" si="37"/>
        <v>0</v>
      </c>
      <c r="K43" s="7">
        <f t="shared" si="27"/>
        <v>1128.9000000000001</v>
      </c>
      <c r="L43" s="4">
        <f t="shared" ref="L43:Q43" si="38">SUM(L39:L42)</f>
        <v>0</v>
      </c>
      <c r="M43" s="4">
        <f t="shared" si="38"/>
        <v>13.5</v>
      </c>
      <c r="N43" s="4">
        <f t="shared" si="38"/>
        <v>0</v>
      </c>
      <c r="O43" s="4">
        <f t="shared" si="38"/>
        <v>222.2</v>
      </c>
      <c r="P43" s="4">
        <f t="shared" si="38"/>
        <v>0</v>
      </c>
      <c r="Q43" s="4">
        <f t="shared" si="38"/>
        <v>0</v>
      </c>
      <c r="R43" s="7">
        <f t="shared" si="29"/>
        <v>235.7</v>
      </c>
      <c r="S43" s="11" t="str">
        <f t="shared" si="30"/>
        <v>***</v>
      </c>
      <c r="T43" s="11">
        <f t="shared" si="31"/>
        <v>0.24545454545454545</v>
      </c>
      <c r="U43" s="11" t="str">
        <f t="shared" si="32"/>
        <v>***</v>
      </c>
      <c r="V43" s="11">
        <f t="shared" si="33"/>
        <v>0.20690939566067601</v>
      </c>
      <c r="W43" s="11" t="str">
        <f t="shared" si="34"/>
        <v>***</v>
      </c>
      <c r="X43" s="11" t="str">
        <f t="shared" si="35"/>
        <v>***</v>
      </c>
      <c r="Y43" s="13">
        <f t="shared" si="36"/>
        <v>0.20878731508548143</v>
      </c>
    </row>
    <row r="44" spans="3:25" x14ac:dyDescent="0.4">
      <c r="C44" s="60" t="s">
        <v>15</v>
      </c>
      <c r="D44" s="22" t="s">
        <v>16</v>
      </c>
      <c r="E44" s="4">
        <f t="shared" ref="E44:J45" si="39">(E27+E10)/2</f>
        <v>0</v>
      </c>
      <c r="F44" s="4">
        <f t="shared" si="39"/>
        <v>0</v>
      </c>
      <c r="G44" s="4">
        <f t="shared" si="39"/>
        <v>0</v>
      </c>
      <c r="H44" s="4">
        <f t="shared" si="39"/>
        <v>0</v>
      </c>
      <c r="I44" s="4">
        <f t="shared" si="39"/>
        <v>0</v>
      </c>
      <c r="J44" s="4">
        <f t="shared" si="39"/>
        <v>0</v>
      </c>
      <c r="K44" s="7">
        <f t="shared" si="27"/>
        <v>0</v>
      </c>
      <c r="L44" s="4">
        <f t="shared" ref="L44:Q45" si="40">(L27+L10)/2</f>
        <v>0</v>
      </c>
      <c r="M44" s="4">
        <f t="shared" si="40"/>
        <v>0</v>
      </c>
      <c r="N44" s="4">
        <f t="shared" si="40"/>
        <v>0</v>
      </c>
      <c r="O44" s="4">
        <f t="shared" si="40"/>
        <v>0</v>
      </c>
      <c r="P44" s="4">
        <f t="shared" si="40"/>
        <v>0</v>
      </c>
      <c r="Q44" s="4">
        <f t="shared" si="40"/>
        <v>0</v>
      </c>
      <c r="R44" s="7">
        <f t="shared" si="29"/>
        <v>0</v>
      </c>
      <c r="S44" s="11" t="str">
        <f t="shared" si="30"/>
        <v>***</v>
      </c>
      <c r="T44" s="11" t="str">
        <f t="shared" si="31"/>
        <v>***</v>
      </c>
      <c r="U44" s="11" t="str">
        <f t="shared" si="32"/>
        <v>***</v>
      </c>
      <c r="V44" s="11" t="str">
        <f t="shared" si="33"/>
        <v>***</v>
      </c>
      <c r="W44" s="11" t="str">
        <f t="shared" si="34"/>
        <v>***</v>
      </c>
      <c r="X44" s="11" t="str">
        <f t="shared" si="35"/>
        <v>***</v>
      </c>
      <c r="Y44" s="13" t="str">
        <f t="shared" si="36"/>
        <v>***</v>
      </c>
    </row>
    <row r="45" spans="3:25" x14ac:dyDescent="0.4">
      <c r="C45" s="60" t="s">
        <v>17</v>
      </c>
      <c r="D45" s="22" t="s">
        <v>18</v>
      </c>
      <c r="E45" s="4">
        <f t="shared" si="39"/>
        <v>0</v>
      </c>
      <c r="F45" s="4">
        <f t="shared" si="39"/>
        <v>0</v>
      </c>
      <c r="G45" s="4">
        <f t="shared" si="39"/>
        <v>0</v>
      </c>
      <c r="H45" s="4">
        <f t="shared" si="39"/>
        <v>0</v>
      </c>
      <c r="I45" s="4">
        <f t="shared" si="39"/>
        <v>0</v>
      </c>
      <c r="J45" s="4">
        <f t="shared" si="39"/>
        <v>0</v>
      </c>
      <c r="K45" s="7">
        <f t="shared" si="27"/>
        <v>0</v>
      </c>
      <c r="L45" s="4">
        <f t="shared" si="40"/>
        <v>0</v>
      </c>
      <c r="M45" s="4">
        <f t="shared" si="40"/>
        <v>0</v>
      </c>
      <c r="N45" s="4">
        <f t="shared" si="40"/>
        <v>0</v>
      </c>
      <c r="O45" s="4">
        <f t="shared" si="40"/>
        <v>0</v>
      </c>
      <c r="P45" s="4">
        <f t="shared" si="40"/>
        <v>0</v>
      </c>
      <c r="Q45" s="4">
        <f t="shared" si="40"/>
        <v>0</v>
      </c>
      <c r="R45" s="7">
        <f t="shared" si="29"/>
        <v>0</v>
      </c>
      <c r="S45" s="11" t="str">
        <f t="shared" si="30"/>
        <v>***</v>
      </c>
      <c r="T45" s="11" t="str">
        <f t="shared" si="31"/>
        <v>***</v>
      </c>
      <c r="U45" s="11" t="str">
        <f t="shared" si="32"/>
        <v>***</v>
      </c>
      <c r="V45" s="11" t="str">
        <f t="shared" si="33"/>
        <v>***</v>
      </c>
      <c r="W45" s="11" t="str">
        <f t="shared" si="34"/>
        <v>***</v>
      </c>
      <c r="X45" s="11" t="str">
        <f t="shared" si="35"/>
        <v>***</v>
      </c>
      <c r="Y45" s="13" t="str">
        <f t="shared" si="36"/>
        <v>***</v>
      </c>
    </row>
    <row r="46" spans="3:25" x14ac:dyDescent="0.4">
      <c r="C46" s="60" t="s">
        <v>19</v>
      </c>
      <c r="D46" s="22"/>
      <c r="E46" s="20">
        <f t="shared" ref="E46:R46" si="41">SUM(E44:E45)</f>
        <v>0</v>
      </c>
      <c r="F46" s="20">
        <f t="shared" si="41"/>
        <v>0</v>
      </c>
      <c r="G46" s="20">
        <f t="shared" si="41"/>
        <v>0</v>
      </c>
      <c r="H46" s="20">
        <f t="shared" si="41"/>
        <v>0</v>
      </c>
      <c r="I46" s="20">
        <f t="shared" si="41"/>
        <v>0</v>
      </c>
      <c r="J46" s="20">
        <f t="shared" si="41"/>
        <v>0</v>
      </c>
      <c r="K46" s="7">
        <f t="shared" si="41"/>
        <v>0</v>
      </c>
      <c r="L46" s="20">
        <f t="shared" si="41"/>
        <v>0</v>
      </c>
      <c r="M46" s="20">
        <f t="shared" si="41"/>
        <v>0</v>
      </c>
      <c r="N46" s="20">
        <f t="shared" si="41"/>
        <v>0</v>
      </c>
      <c r="O46" s="20">
        <f t="shared" si="41"/>
        <v>0</v>
      </c>
      <c r="P46" s="20">
        <f t="shared" si="41"/>
        <v>0</v>
      </c>
      <c r="Q46" s="20">
        <f t="shared" si="41"/>
        <v>0</v>
      </c>
      <c r="R46" s="7">
        <f t="shared" si="41"/>
        <v>0</v>
      </c>
      <c r="S46" s="11" t="str">
        <f t="shared" si="30"/>
        <v>***</v>
      </c>
      <c r="T46" s="11" t="str">
        <f t="shared" si="31"/>
        <v>***</v>
      </c>
      <c r="U46" s="11" t="str">
        <f t="shared" si="32"/>
        <v>***</v>
      </c>
      <c r="V46" s="11" t="str">
        <f t="shared" si="33"/>
        <v>***</v>
      </c>
      <c r="W46" s="11" t="str">
        <f t="shared" si="34"/>
        <v>***</v>
      </c>
      <c r="X46" s="11" t="str">
        <f t="shared" si="35"/>
        <v>***</v>
      </c>
      <c r="Y46" s="13" t="str">
        <f t="shared" si="36"/>
        <v>***</v>
      </c>
    </row>
    <row r="47" spans="3:25" x14ac:dyDescent="0.4">
      <c r="C47" s="60" t="s">
        <v>20</v>
      </c>
      <c r="D47" s="22" t="s">
        <v>21</v>
      </c>
      <c r="E47" s="20">
        <f t="shared" ref="E47:J48" si="42">(E30+E13)/2</f>
        <v>159.02500000000001</v>
      </c>
      <c r="F47" s="20">
        <f t="shared" si="42"/>
        <v>53.25</v>
      </c>
      <c r="G47" s="20">
        <f t="shared" si="42"/>
        <v>44.1</v>
      </c>
      <c r="H47" s="20">
        <f t="shared" si="42"/>
        <v>75.53</v>
      </c>
      <c r="I47" s="20">
        <f t="shared" si="42"/>
        <v>107.34</v>
      </c>
      <c r="J47" s="20">
        <f t="shared" si="42"/>
        <v>114.163</v>
      </c>
      <c r="K47" s="7">
        <f>SUM(E47:J47)</f>
        <v>553.40800000000002</v>
      </c>
      <c r="L47" s="20">
        <f t="shared" ref="L47:Q48" si="43">(L30+L13)/2</f>
        <v>23.385000000000002</v>
      </c>
      <c r="M47" s="20">
        <f t="shared" si="43"/>
        <v>10.799999999999999</v>
      </c>
      <c r="N47" s="20">
        <f t="shared" si="43"/>
        <v>5.15</v>
      </c>
      <c r="O47" s="20">
        <f t="shared" si="43"/>
        <v>10.4825</v>
      </c>
      <c r="P47" s="20">
        <f t="shared" si="43"/>
        <v>11.32</v>
      </c>
      <c r="Q47" s="20">
        <f t="shared" si="43"/>
        <v>24.772500000000001</v>
      </c>
      <c r="R47" s="7">
        <f>SUM(L47:Q47)</f>
        <v>85.91</v>
      </c>
      <c r="S47" s="11">
        <f t="shared" si="30"/>
        <v>0.14705235025939317</v>
      </c>
      <c r="T47" s="11">
        <f t="shared" si="31"/>
        <v>0.20281690140845068</v>
      </c>
      <c r="U47" s="11">
        <f t="shared" si="32"/>
        <v>0.11678004535147393</v>
      </c>
      <c r="V47" s="11">
        <f t="shared" si="33"/>
        <v>0.13878591288229841</v>
      </c>
      <c r="W47" s="11">
        <f t="shared" si="34"/>
        <v>0.10545928824296627</v>
      </c>
      <c r="X47" s="11">
        <f t="shared" si="35"/>
        <v>0.21699237055788653</v>
      </c>
      <c r="Y47" s="13">
        <f t="shared" si="36"/>
        <v>0.15523808835434252</v>
      </c>
    </row>
    <row r="48" spans="3:25" x14ac:dyDescent="0.4">
      <c r="C48" s="60" t="s">
        <v>22</v>
      </c>
      <c r="D48" s="83" t="s">
        <v>23</v>
      </c>
      <c r="E48" s="20">
        <f t="shared" si="42"/>
        <v>0</v>
      </c>
      <c r="F48" s="20">
        <f t="shared" si="42"/>
        <v>0</v>
      </c>
      <c r="G48" s="20">
        <f t="shared" si="42"/>
        <v>0</v>
      </c>
      <c r="H48" s="20">
        <f t="shared" si="42"/>
        <v>0</v>
      </c>
      <c r="I48" s="20">
        <f t="shared" si="42"/>
        <v>0</v>
      </c>
      <c r="J48" s="20">
        <f t="shared" si="42"/>
        <v>0</v>
      </c>
      <c r="K48" s="7">
        <f>SUM(E48:J48)</f>
        <v>0</v>
      </c>
      <c r="L48" s="20">
        <f t="shared" si="43"/>
        <v>0</v>
      </c>
      <c r="M48" s="20">
        <f t="shared" si="43"/>
        <v>0</v>
      </c>
      <c r="N48" s="20">
        <f t="shared" si="43"/>
        <v>0</v>
      </c>
      <c r="O48" s="20">
        <f t="shared" si="43"/>
        <v>0</v>
      </c>
      <c r="P48" s="20">
        <f t="shared" si="43"/>
        <v>0</v>
      </c>
      <c r="Q48" s="20">
        <f t="shared" si="43"/>
        <v>0</v>
      </c>
      <c r="R48" s="7">
        <f>SUM(L48:Q48)</f>
        <v>0</v>
      </c>
      <c r="S48" s="11" t="str">
        <f t="shared" si="30"/>
        <v>***</v>
      </c>
      <c r="T48" s="11" t="str">
        <f t="shared" si="31"/>
        <v>***</v>
      </c>
      <c r="U48" s="11" t="str">
        <f t="shared" si="32"/>
        <v>***</v>
      </c>
      <c r="V48" s="11" t="str">
        <f t="shared" si="33"/>
        <v>***</v>
      </c>
      <c r="W48" s="11" t="str">
        <f t="shared" si="34"/>
        <v>***</v>
      </c>
      <c r="X48" s="11" t="str">
        <f t="shared" si="35"/>
        <v>***</v>
      </c>
      <c r="Y48" s="13" t="str">
        <f t="shared" si="36"/>
        <v>***</v>
      </c>
    </row>
    <row r="49" spans="3:25" x14ac:dyDescent="0.4">
      <c r="C49" s="82" t="s">
        <v>24</v>
      </c>
      <c r="D49" s="83"/>
      <c r="E49" s="20">
        <f t="shared" ref="E49:J49" si="44">SUM(E47:E48)</f>
        <v>159.02500000000001</v>
      </c>
      <c r="F49" s="20">
        <f t="shared" si="44"/>
        <v>53.25</v>
      </c>
      <c r="G49" s="20">
        <f t="shared" si="44"/>
        <v>44.1</v>
      </c>
      <c r="H49" s="20">
        <f t="shared" si="44"/>
        <v>75.53</v>
      </c>
      <c r="I49" s="20">
        <f t="shared" si="44"/>
        <v>107.34</v>
      </c>
      <c r="J49" s="20">
        <f t="shared" si="44"/>
        <v>114.163</v>
      </c>
      <c r="K49" s="7">
        <f>SUM(E49:J49)</f>
        <v>553.40800000000002</v>
      </c>
      <c r="L49" s="20">
        <f t="shared" ref="L49:Q49" si="45">SUM(L47:L48)</f>
        <v>23.385000000000002</v>
      </c>
      <c r="M49" s="20">
        <f t="shared" si="45"/>
        <v>10.799999999999999</v>
      </c>
      <c r="N49" s="20">
        <f t="shared" si="45"/>
        <v>5.15</v>
      </c>
      <c r="O49" s="20">
        <f t="shared" si="45"/>
        <v>10.4825</v>
      </c>
      <c r="P49" s="20">
        <f t="shared" si="45"/>
        <v>11.32</v>
      </c>
      <c r="Q49" s="20">
        <f t="shared" si="45"/>
        <v>24.772500000000001</v>
      </c>
      <c r="R49" s="7">
        <f>SUM(L49:Q49)</f>
        <v>85.91</v>
      </c>
      <c r="S49" s="11">
        <f t="shared" si="30"/>
        <v>0.14705235025939317</v>
      </c>
      <c r="T49" s="11">
        <f t="shared" si="31"/>
        <v>0.20281690140845068</v>
      </c>
      <c r="U49" s="11">
        <f t="shared" si="32"/>
        <v>0.11678004535147393</v>
      </c>
      <c r="V49" s="11">
        <f t="shared" si="33"/>
        <v>0.13878591288229841</v>
      </c>
      <c r="W49" s="11">
        <f t="shared" si="34"/>
        <v>0.10545928824296627</v>
      </c>
      <c r="X49" s="11">
        <f t="shared" si="35"/>
        <v>0.21699237055788653</v>
      </c>
      <c r="Y49" s="13">
        <f t="shared" si="36"/>
        <v>0.15523808835434252</v>
      </c>
    </row>
    <row r="50" spans="3:25" x14ac:dyDescent="0.4">
      <c r="C50" s="53" t="s">
        <v>5</v>
      </c>
      <c r="D50" s="54"/>
      <c r="E50" s="8">
        <f t="shared" ref="E50:R50" si="46">E43+E46+E49</f>
        <v>159.02500000000001</v>
      </c>
      <c r="F50" s="8">
        <f t="shared" si="46"/>
        <v>108.25</v>
      </c>
      <c r="G50" s="8">
        <f t="shared" si="46"/>
        <v>44.1</v>
      </c>
      <c r="H50" s="8">
        <f t="shared" si="46"/>
        <v>1149.43</v>
      </c>
      <c r="I50" s="8">
        <f t="shared" si="46"/>
        <v>107.34</v>
      </c>
      <c r="J50" s="8">
        <f t="shared" si="46"/>
        <v>114.163</v>
      </c>
      <c r="K50" s="64">
        <f t="shared" si="46"/>
        <v>1682.308</v>
      </c>
      <c r="L50" s="8">
        <f t="shared" si="46"/>
        <v>23.385000000000002</v>
      </c>
      <c r="M50" s="8">
        <f t="shared" si="46"/>
        <v>24.299999999999997</v>
      </c>
      <c r="N50" s="8">
        <f t="shared" si="46"/>
        <v>5.15</v>
      </c>
      <c r="O50" s="8">
        <f t="shared" si="46"/>
        <v>232.68249999999998</v>
      </c>
      <c r="P50" s="8">
        <f t="shared" si="46"/>
        <v>11.32</v>
      </c>
      <c r="Q50" s="8">
        <f t="shared" si="46"/>
        <v>24.772500000000001</v>
      </c>
      <c r="R50" s="64">
        <f t="shared" si="46"/>
        <v>321.61</v>
      </c>
      <c r="S50" s="14">
        <f t="shared" si="30"/>
        <v>0.14705235025939317</v>
      </c>
      <c r="T50" s="14">
        <f t="shared" si="31"/>
        <v>0.22448036951501152</v>
      </c>
      <c r="U50" s="14">
        <f t="shared" si="32"/>
        <v>0.11678004535147393</v>
      </c>
      <c r="V50" s="14">
        <f t="shared" si="33"/>
        <v>0.20243294502492537</v>
      </c>
      <c r="W50" s="14">
        <f t="shared" si="34"/>
        <v>0.10545928824296627</v>
      </c>
      <c r="X50" s="14">
        <f t="shared" si="35"/>
        <v>0.21699237055788653</v>
      </c>
      <c r="Y50" s="16">
        <f t="shared" si="36"/>
        <v>0.19117189004629356</v>
      </c>
    </row>
    <row r="51" spans="3:25" x14ac:dyDescent="0.4">
      <c r="C51" s="74" t="s">
        <v>25</v>
      </c>
      <c r="D51" s="75"/>
      <c r="E51" s="98">
        <f t="shared" ref="E51:J51" si="47">(E34+E17)/2</f>
        <v>0</v>
      </c>
      <c r="F51" s="98">
        <f t="shared" si="47"/>
        <v>0</v>
      </c>
      <c r="G51" s="98">
        <f t="shared" si="47"/>
        <v>0</v>
      </c>
      <c r="H51" s="98">
        <f t="shared" si="47"/>
        <v>0</v>
      </c>
      <c r="I51" s="98">
        <f t="shared" si="47"/>
        <v>0</v>
      </c>
      <c r="J51" s="98">
        <f t="shared" si="47"/>
        <v>0</v>
      </c>
      <c r="K51" s="103">
        <f>SUM(E51:J51)</f>
        <v>0</v>
      </c>
      <c r="L51" s="98">
        <f t="shared" ref="L51:Q51" si="48">(L34+L17)/2</f>
        <v>0</v>
      </c>
      <c r="M51" s="98">
        <f t="shared" si="48"/>
        <v>0</v>
      </c>
      <c r="N51" s="98">
        <f t="shared" si="48"/>
        <v>0</v>
      </c>
      <c r="O51" s="98">
        <f t="shared" si="48"/>
        <v>0</v>
      </c>
      <c r="P51" s="98">
        <f t="shared" si="48"/>
        <v>0</v>
      </c>
      <c r="Q51" s="98">
        <f t="shared" si="48"/>
        <v>0</v>
      </c>
      <c r="R51" s="103">
        <f>SUM(L51:Q51)</f>
        <v>0</v>
      </c>
      <c r="S51" s="101" t="str">
        <f t="shared" si="30"/>
        <v>***</v>
      </c>
      <c r="T51" s="101" t="str">
        <f t="shared" si="31"/>
        <v>***</v>
      </c>
      <c r="U51" s="101" t="str">
        <f t="shared" si="32"/>
        <v>***</v>
      </c>
      <c r="V51" s="101" t="str">
        <f t="shared" si="33"/>
        <v>***</v>
      </c>
      <c r="W51" s="101" t="str">
        <f t="shared" si="34"/>
        <v>***</v>
      </c>
      <c r="X51" s="101" t="str">
        <f t="shared" si="35"/>
        <v>***</v>
      </c>
      <c r="Y51" s="102" t="str">
        <f t="shared" si="36"/>
        <v>***</v>
      </c>
    </row>
    <row r="52" spans="3:25" x14ac:dyDescent="0.4">
      <c r="E52" s="17"/>
      <c r="F52" s="17"/>
      <c r="G52" s="17"/>
      <c r="H52" s="17"/>
      <c r="I52" s="17"/>
      <c r="J52" s="17"/>
      <c r="K52" s="18"/>
      <c r="L52" s="17"/>
      <c r="M52" s="17"/>
      <c r="N52" s="17"/>
      <c r="O52" s="17"/>
      <c r="P52" s="17"/>
      <c r="Q52" s="17"/>
      <c r="R52" s="18"/>
      <c r="S52" s="19"/>
      <c r="T52" s="19"/>
      <c r="U52" s="19"/>
      <c r="V52" s="19"/>
      <c r="W52" s="19"/>
      <c r="X52" s="19"/>
      <c r="Y52" s="19"/>
    </row>
    <row r="53" spans="3:25" x14ac:dyDescent="0.4">
      <c r="C53" s="18" t="s">
        <v>28</v>
      </c>
    </row>
    <row r="54" spans="3:25" x14ac:dyDescent="0.4">
      <c r="C54" s="120"/>
      <c r="D54" s="119"/>
      <c r="E54" s="120" t="s">
        <v>2</v>
      </c>
      <c r="F54" s="118"/>
      <c r="G54" s="118"/>
      <c r="H54" s="118"/>
      <c r="I54" s="118"/>
      <c r="J54" s="118"/>
      <c r="K54" s="119"/>
      <c r="L54" s="117" t="s">
        <v>3</v>
      </c>
      <c r="M54" s="118"/>
      <c r="N54" s="118"/>
      <c r="O54" s="118"/>
      <c r="P54" s="118"/>
      <c r="Q54" s="118"/>
      <c r="R54" s="119"/>
      <c r="S54" s="117" t="s">
        <v>4</v>
      </c>
      <c r="T54" s="118"/>
      <c r="U54" s="118"/>
      <c r="V54" s="118"/>
      <c r="W54" s="118"/>
      <c r="X54" s="118"/>
      <c r="Y54" s="119"/>
    </row>
    <row r="55" spans="3:25" x14ac:dyDescent="0.4">
      <c r="C55" s="1"/>
      <c r="D55" s="21"/>
      <c r="E55" s="61">
        <v>46113</v>
      </c>
      <c r="F55" s="2">
        <v>46143</v>
      </c>
      <c r="G55" s="2">
        <v>46174</v>
      </c>
      <c r="H55" s="2">
        <v>46204</v>
      </c>
      <c r="I55" s="2">
        <v>46235</v>
      </c>
      <c r="J55" s="2">
        <v>46266</v>
      </c>
      <c r="K55" s="10" t="s">
        <v>5</v>
      </c>
      <c r="L55" s="95">
        <v>46113</v>
      </c>
      <c r="M55" s="2">
        <v>46143</v>
      </c>
      <c r="N55" s="2">
        <v>46174</v>
      </c>
      <c r="O55" s="2">
        <v>46204</v>
      </c>
      <c r="P55" s="2">
        <v>46235</v>
      </c>
      <c r="Q55" s="2">
        <v>46266</v>
      </c>
      <c r="R55" s="10" t="s">
        <v>5</v>
      </c>
      <c r="S55" s="95">
        <v>46113</v>
      </c>
      <c r="T55" s="2">
        <v>46143</v>
      </c>
      <c r="U55" s="2">
        <v>46174</v>
      </c>
      <c r="V55" s="2">
        <v>46204</v>
      </c>
      <c r="W55" s="2">
        <v>46235</v>
      </c>
      <c r="X55" s="2">
        <v>46266</v>
      </c>
      <c r="Y55" s="10" t="s">
        <v>5</v>
      </c>
    </row>
    <row r="56" spans="3:25" x14ac:dyDescent="0.4">
      <c r="C56" s="60" t="s">
        <v>6</v>
      </c>
      <c r="D56" s="22" t="s">
        <v>7</v>
      </c>
      <c r="E56" s="3"/>
      <c r="F56" s="4"/>
      <c r="G56" s="4"/>
      <c r="H56" s="4">
        <v>300</v>
      </c>
      <c r="I56" s="4"/>
      <c r="J56" s="4"/>
      <c r="K56" s="62">
        <f t="shared" ref="K56:K62" si="49">SUM(E56:J56)</f>
        <v>300</v>
      </c>
      <c r="L56" s="20"/>
      <c r="M56" s="4"/>
      <c r="N56" s="4"/>
      <c r="O56" s="4">
        <v>60</v>
      </c>
      <c r="P56" s="4"/>
      <c r="Q56" s="4"/>
      <c r="R56" s="62">
        <f t="shared" ref="R56:R62" si="50">SUM(L56:Q56)</f>
        <v>60</v>
      </c>
      <c r="S56" s="96" t="str">
        <f t="shared" ref="S56:S64" si="51">IF(E56=0,"***",L56/E56)</f>
        <v>***</v>
      </c>
      <c r="T56" s="11" t="str">
        <f t="shared" ref="T56:T64" si="52">IF(F56=0,"***",M56/F56)</f>
        <v>***</v>
      </c>
      <c r="U56" s="11" t="str">
        <f t="shared" ref="U56:U64" si="53">IF(G56=0,"***",N56/G56)</f>
        <v>***</v>
      </c>
      <c r="V56" s="11">
        <f t="shared" ref="V56:V64" si="54">IF(H56=0,"***",O56/H56)</f>
        <v>0.2</v>
      </c>
      <c r="W56" s="11" t="str">
        <f t="shared" ref="W56:W64" si="55">IF(I56=0,"***",P56/I56)</f>
        <v>***</v>
      </c>
      <c r="X56" s="11" t="str">
        <f t="shared" ref="X56:X64" si="56">IF(J56=0,"***",Q56/J56)</f>
        <v>***</v>
      </c>
      <c r="Y56" s="13">
        <f t="shared" ref="Y56:Y64" si="57">IF(K56=0,"***",R56/K56)</f>
        <v>0.2</v>
      </c>
    </row>
    <row r="57" spans="3:25" x14ac:dyDescent="0.4">
      <c r="C57" s="60" t="s">
        <v>8</v>
      </c>
      <c r="D57" s="22" t="s">
        <v>9</v>
      </c>
      <c r="E57" s="3"/>
      <c r="F57" s="4"/>
      <c r="G57" s="4"/>
      <c r="H57" s="4"/>
      <c r="I57" s="4"/>
      <c r="J57" s="4"/>
      <c r="K57" s="62">
        <f t="shared" si="49"/>
        <v>0</v>
      </c>
      <c r="L57" s="20"/>
      <c r="M57" s="4"/>
      <c r="N57" s="4"/>
      <c r="O57" s="4"/>
      <c r="P57" s="4"/>
      <c r="Q57" s="4"/>
      <c r="R57" s="62">
        <f t="shared" si="50"/>
        <v>0</v>
      </c>
      <c r="S57" s="96" t="str">
        <f t="shared" si="51"/>
        <v>***</v>
      </c>
      <c r="T57" s="11" t="str">
        <f t="shared" si="52"/>
        <v>***</v>
      </c>
      <c r="U57" s="11" t="str">
        <f t="shared" si="53"/>
        <v>***</v>
      </c>
      <c r="V57" s="11" t="str">
        <f t="shared" si="54"/>
        <v>***</v>
      </c>
      <c r="W57" s="11" t="str">
        <f t="shared" si="55"/>
        <v>***</v>
      </c>
      <c r="X57" s="11" t="str">
        <f t="shared" si="56"/>
        <v>***</v>
      </c>
      <c r="Y57" s="13" t="str">
        <f t="shared" si="57"/>
        <v>***</v>
      </c>
    </row>
    <row r="58" spans="3:25" x14ac:dyDescent="0.4">
      <c r="C58" s="60" t="s">
        <v>10</v>
      </c>
      <c r="D58" s="22" t="s">
        <v>11</v>
      </c>
      <c r="E58" s="3"/>
      <c r="F58" s="4"/>
      <c r="G58" s="4"/>
      <c r="H58" s="4"/>
      <c r="I58" s="4"/>
      <c r="J58" s="4"/>
      <c r="K58" s="62">
        <f t="shared" si="49"/>
        <v>0</v>
      </c>
      <c r="L58" s="20"/>
      <c r="M58" s="4"/>
      <c r="N58" s="4"/>
      <c r="O58" s="4"/>
      <c r="P58" s="4"/>
      <c r="Q58" s="4"/>
      <c r="R58" s="62">
        <f t="shared" si="50"/>
        <v>0</v>
      </c>
      <c r="S58" s="96" t="str">
        <f t="shared" si="51"/>
        <v>***</v>
      </c>
      <c r="T58" s="11" t="str">
        <f t="shared" si="52"/>
        <v>***</v>
      </c>
      <c r="U58" s="11" t="str">
        <f t="shared" si="53"/>
        <v>***</v>
      </c>
      <c r="V58" s="11" t="str">
        <f t="shared" si="54"/>
        <v>***</v>
      </c>
      <c r="W58" s="11" t="str">
        <f t="shared" si="55"/>
        <v>***</v>
      </c>
      <c r="X58" s="11" t="str">
        <f t="shared" si="56"/>
        <v>***</v>
      </c>
      <c r="Y58" s="13" t="str">
        <f t="shared" si="57"/>
        <v>***</v>
      </c>
    </row>
    <row r="59" spans="3:25" x14ac:dyDescent="0.4">
      <c r="C59" s="60" t="s">
        <v>12</v>
      </c>
      <c r="D59" s="22" t="s">
        <v>13</v>
      </c>
      <c r="E59" s="3"/>
      <c r="F59" s="4"/>
      <c r="G59" s="4"/>
      <c r="H59" s="4"/>
      <c r="I59" s="4"/>
      <c r="J59" s="4"/>
      <c r="K59" s="62">
        <f t="shared" si="49"/>
        <v>0</v>
      </c>
      <c r="L59" s="20"/>
      <c r="M59" s="4"/>
      <c r="N59" s="4"/>
      <c r="O59" s="4"/>
      <c r="P59" s="4"/>
      <c r="Q59" s="4"/>
      <c r="R59" s="62">
        <f t="shared" si="50"/>
        <v>0</v>
      </c>
      <c r="S59" s="96" t="str">
        <f t="shared" si="51"/>
        <v>***</v>
      </c>
      <c r="T59" s="11" t="str">
        <f t="shared" si="52"/>
        <v>***</v>
      </c>
      <c r="U59" s="11" t="str">
        <f t="shared" si="53"/>
        <v>***</v>
      </c>
      <c r="V59" s="11" t="str">
        <f t="shared" si="54"/>
        <v>***</v>
      </c>
      <c r="W59" s="11" t="str">
        <f t="shared" si="55"/>
        <v>***</v>
      </c>
      <c r="X59" s="11" t="str">
        <f t="shared" si="56"/>
        <v>***</v>
      </c>
      <c r="Y59" s="13" t="str">
        <f t="shared" si="57"/>
        <v>***</v>
      </c>
    </row>
    <row r="60" spans="3:25" x14ac:dyDescent="0.4">
      <c r="C60" s="60" t="s">
        <v>14</v>
      </c>
      <c r="D60" s="22"/>
      <c r="E60" s="3">
        <f t="shared" ref="E60:J60" si="58">SUM(E56:E59)</f>
        <v>0</v>
      </c>
      <c r="F60" s="4">
        <f t="shared" si="58"/>
        <v>0</v>
      </c>
      <c r="G60" s="4">
        <f t="shared" si="58"/>
        <v>0</v>
      </c>
      <c r="H60" s="4">
        <f t="shared" si="58"/>
        <v>300</v>
      </c>
      <c r="I60" s="4">
        <f t="shared" si="58"/>
        <v>0</v>
      </c>
      <c r="J60" s="4">
        <f t="shared" si="58"/>
        <v>0</v>
      </c>
      <c r="K60" s="62">
        <f t="shared" si="49"/>
        <v>300</v>
      </c>
      <c r="L60" s="20">
        <f t="shared" ref="L60:Q60" si="59">SUM(L56:L59)</f>
        <v>0</v>
      </c>
      <c r="M60" s="4">
        <f t="shared" si="59"/>
        <v>0</v>
      </c>
      <c r="N60" s="4">
        <f t="shared" si="59"/>
        <v>0</v>
      </c>
      <c r="O60" s="4">
        <f t="shared" si="59"/>
        <v>60</v>
      </c>
      <c r="P60" s="4">
        <f t="shared" si="59"/>
        <v>0</v>
      </c>
      <c r="Q60" s="4">
        <f t="shared" si="59"/>
        <v>0</v>
      </c>
      <c r="R60" s="62">
        <f t="shared" si="50"/>
        <v>60</v>
      </c>
      <c r="S60" s="96" t="str">
        <f t="shared" si="51"/>
        <v>***</v>
      </c>
      <c r="T60" s="11" t="str">
        <f t="shared" si="52"/>
        <v>***</v>
      </c>
      <c r="U60" s="11" t="str">
        <f t="shared" si="53"/>
        <v>***</v>
      </c>
      <c r="V60" s="11">
        <f t="shared" si="54"/>
        <v>0.2</v>
      </c>
      <c r="W60" s="11" t="str">
        <f t="shared" si="55"/>
        <v>***</v>
      </c>
      <c r="X60" s="11" t="str">
        <f t="shared" si="56"/>
        <v>***</v>
      </c>
      <c r="Y60" s="13">
        <f t="shared" si="57"/>
        <v>0.2</v>
      </c>
    </row>
    <row r="61" spans="3:25" x14ac:dyDescent="0.4">
      <c r="C61" s="60" t="s">
        <v>15</v>
      </c>
      <c r="D61" s="22" t="s">
        <v>16</v>
      </c>
      <c r="E61" s="3"/>
      <c r="F61" s="4"/>
      <c r="G61" s="4"/>
      <c r="H61" s="4"/>
      <c r="I61" s="4"/>
      <c r="J61" s="4"/>
      <c r="K61" s="62">
        <f t="shared" si="49"/>
        <v>0</v>
      </c>
      <c r="L61" s="20"/>
      <c r="M61" s="4"/>
      <c r="N61" s="4"/>
      <c r="O61" s="4"/>
      <c r="P61" s="4"/>
      <c r="Q61" s="4"/>
      <c r="R61" s="62">
        <f t="shared" si="50"/>
        <v>0</v>
      </c>
      <c r="S61" s="96" t="str">
        <f t="shared" si="51"/>
        <v>***</v>
      </c>
      <c r="T61" s="11" t="str">
        <f t="shared" si="52"/>
        <v>***</v>
      </c>
      <c r="U61" s="11" t="str">
        <f t="shared" si="53"/>
        <v>***</v>
      </c>
      <c r="V61" s="11" t="str">
        <f t="shared" si="54"/>
        <v>***</v>
      </c>
      <c r="W61" s="11" t="str">
        <f t="shared" si="55"/>
        <v>***</v>
      </c>
      <c r="X61" s="11" t="str">
        <f t="shared" si="56"/>
        <v>***</v>
      </c>
      <c r="Y61" s="13" t="str">
        <f t="shared" si="57"/>
        <v>***</v>
      </c>
    </row>
    <row r="62" spans="3:25" x14ac:dyDescent="0.4">
      <c r="C62" s="60" t="s">
        <v>17</v>
      </c>
      <c r="D62" s="22" t="s">
        <v>18</v>
      </c>
      <c r="E62" s="3"/>
      <c r="F62" s="4"/>
      <c r="G62" s="4"/>
      <c r="H62" s="4"/>
      <c r="I62" s="4"/>
      <c r="J62" s="4"/>
      <c r="K62" s="62">
        <f t="shared" si="49"/>
        <v>0</v>
      </c>
      <c r="L62" s="20"/>
      <c r="M62" s="4"/>
      <c r="N62" s="4"/>
      <c r="O62" s="4"/>
      <c r="P62" s="4"/>
      <c r="Q62" s="4"/>
      <c r="R62" s="62">
        <f t="shared" si="50"/>
        <v>0</v>
      </c>
      <c r="S62" s="96" t="str">
        <f t="shared" si="51"/>
        <v>***</v>
      </c>
      <c r="T62" s="11" t="str">
        <f t="shared" si="52"/>
        <v>***</v>
      </c>
      <c r="U62" s="11" t="str">
        <f t="shared" si="53"/>
        <v>***</v>
      </c>
      <c r="V62" s="11" t="str">
        <f t="shared" si="54"/>
        <v>***</v>
      </c>
      <c r="W62" s="11" t="str">
        <f t="shared" si="55"/>
        <v>***</v>
      </c>
      <c r="X62" s="11" t="str">
        <f t="shared" si="56"/>
        <v>***</v>
      </c>
      <c r="Y62" s="13" t="str">
        <f t="shared" si="57"/>
        <v>***</v>
      </c>
    </row>
    <row r="63" spans="3:25" x14ac:dyDescent="0.4">
      <c r="C63" s="60" t="s">
        <v>19</v>
      </c>
      <c r="D63" s="22"/>
      <c r="E63" s="3">
        <f t="shared" ref="E63:R63" si="60">SUM(E61:E62)</f>
        <v>0</v>
      </c>
      <c r="F63" s="20">
        <f t="shared" si="60"/>
        <v>0</v>
      </c>
      <c r="G63" s="20">
        <f t="shared" si="60"/>
        <v>0</v>
      </c>
      <c r="H63" s="20">
        <f t="shared" si="60"/>
        <v>0</v>
      </c>
      <c r="I63" s="20">
        <f t="shared" si="60"/>
        <v>0</v>
      </c>
      <c r="J63" s="20">
        <f t="shared" si="60"/>
        <v>0</v>
      </c>
      <c r="K63" s="62">
        <f t="shared" si="60"/>
        <v>0</v>
      </c>
      <c r="L63" s="20">
        <f t="shared" si="60"/>
        <v>0</v>
      </c>
      <c r="M63" s="20">
        <f t="shared" si="60"/>
        <v>0</v>
      </c>
      <c r="N63" s="20">
        <f t="shared" si="60"/>
        <v>0</v>
      </c>
      <c r="O63" s="20">
        <f t="shared" si="60"/>
        <v>0</v>
      </c>
      <c r="P63" s="20">
        <f t="shared" si="60"/>
        <v>0</v>
      </c>
      <c r="Q63" s="20">
        <f t="shared" si="60"/>
        <v>0</v>
      </c>
      <c r="R63" s="62">
        <f t="shared" si="60"/>
        <v>0</v>
      </c>
      <c r="S63" s="96" t="str">
        <f t="shared" si="51"/>
        <v>***</v>
      </c>
      <c r="T63" s="11" t="str">
        <f t="shared" si="52"/>
        <v>***</v>
      </c>
      <c r="U63" s="11" t="str">
        <f t="shared" si="53"/>
        <v>***</v>
      </c>
      <c r="V63" s="11" t="str">
        <f t="shared" si="54"/>
        <v>***</v>
      </c>
      <c r="W63" s="11" t="str">
        <f t="shared" si="55"/>
        <v>***</v>
      </c>
      <c r="X63" s="11" t="str">
        <f t="shared" si="56"/>
        <v>***</v>
      </c>
      <c r="Y63" s="13" t="str">
        <f t="shared" si="57"/>
        <v>***</v>
      </c>
    </row>
    <row r="64" spans="3:25" x14ac:dyDescent="0.4">
      <c r="C64" s="60" t="s">
        <v>20</v>
      </c>
      <c r="D64" s="22" t="s">
        <v>21</v>
      </c>
      <c r="E64" s="3">
        <v>90</v>
      </c>
      <c r="F64" s="20">
        <v>90</v>
      </c>
      <c r="G64" s="20">
        <v>90</v>
      </c>
      <c r="H64" s="20">
        <v>90</v>
      </c>
      <c r="I64" s="20">
        <v>90</v>
      </c>
      <c r="J64" s="20">
        <v>90</v>
      </c>
      <c r="K64" s="62">
        <f>SUM(E64:J64)</f>
        <v>540</v>
      </c>
      <c r="L64" s="20">
        <v>20</v>
      </c>
      <c r="M64" s="20">
        <v>20</v>
      </c>
      <c r="N64" s="20">
        <v>20</v>
      </c>
      <c r="O64" s="20">
        <v>20</v>
      </c>
      <c r="P64" s="20">
        <v>20</v>
      </c>
      <c r="Q64" s="20">
        <v>20</v>
      </c>
      <c r="R64" s="62">
        <f>SUM(L64:Q64)</f>
        <v>120</v>
      </c>
      <c r="S64" s="96">
        <f t="shared" si="51"/>
        <v>0.22222222222222221</v>
      </c>
      <c r="T64" s="11">
        <f t="shared" si="52"/>
        <v>0.22222222222222221</v>
      </c>
      <c r="U64" s="11">
        <f t="shared" si="53"/>
        <v>0.22222222222222221</v>
      </c>
      <c r="V64" s="11">
        <f t="shared" si="54"/>
        <v>0.22222222222222221</v>
      </c>
      <c r="W64" s="11">
        <f t="shared" si="55"/>
        <v>0.22222222222222221</v>
      </c>
      <c r="X64" s="11">
        <f t="shared" si="56"/>
        <v>0.22222222222222221</v>
      </c>
      <c r="Y64" s="13">
        <f t="shared" si="57"/>
        <v>0.22222222222222221</v>
      </c>
    </row>
    <row r="65" spans="3:25" x14ac:dyDescent="0.4">
      <c r="C65" s="60" t="s">
        <v>22</v>
      </c>
      <c r="D65" s="83" t="s">
        <v>23</v>
      </c>
      <c r="E65" s="88"/>
      <c r="F65" s="84"/>
      <c r="G65" s="84"/>
      <c r="H65" s="84"/>
      <c r="I65" s="84"/>
      <c r="J65" s="84"/>
      <c r="K65" s="89"/>
      <c r="L65" s="84"/>
      <c r="M65" s="84"/>
      <c r="N65" s="84"/>
      <c r="O65" s="84"/>
      <c r="P65" s="84"/>
      <c r="Q65" s="84"/>
      <c r="R65" s="89"/>
      <c r="S65" s="97"/>
      <c r="T65" s="86"/>
      <c r="U65" s="86"/>
      <c r="V65" s="86"/>
      <c r="W65" s="86"/>
      <c r="X65" s="86"/>
      <c r="Y65" s="90"/>
    </row>
    <row r="66" spans="3:25" x14ac:dyDescent="0.4">
      <c r="C66" s="82" t="s">
        <v>24</v>
      </c>
      <c r="D66" s="83"/>
      <c r="E66" s="84">
        <f t="shared" ref="E66:J66" si="61">E64+E65</f>
        <v>90</v>
      </c>
      <c r="F66" s="84">
        <f t="shared" si="61"/>
        <v>90</v>
      </c>
      <c r="G66" s="84">
        <f t="shared" si="61"/>
        <v>90</v>
      </c>
      <c r="H66" s="84">
        <f t="shared" si="61"/>
        <v>90</v>
      </c>
      <c r="I66" s="84">
        <f t="shared" si="61"/>
        <v>90</v>
      </c>
      <c r="J66" s="84">
        <f t="shared" si="61"/>
        <v>90</v>
      </c>
      <c r="K66" s="62">
        <f>SUM(E66:J66)</f>
        <v>540</v>
      </c>
      <c r="L66" s="84">
        <f t="shared" ref="L66:Q66" si="62">L64+L65</f>
        <v>20</v>
      </c>
      <c r="M66" s="84">
        <f t="shared" si="62"/>
        <v>20</v>
      </c>
      <c r="N66" s="84">
        <f t="shared" si="62"/>
        <v>20</v>
      </c>
      <c r="O66" s="84">
        <f t="shared" si="62"/>
        <v>20</v>
      </c>
      <c r="P66" s="84">
        <f t="shared" si="62"/>
        <v>20</v>
      </c>
      <c r="Q66" s="84">
        <f t="shared" si="62"/>
        <v>20</v>
      </c>
      <c r="R66" s="62">
        <f>SUM(L66:Q66)</f>
        <v>120</v>
      </c>
      <c r="S66" s="65">
        <f t="shared" ref="S66:Y68" si="63">IF(E66=0,"***",L66/E66)</f>
        <v>0.22222222222222221</v>
      </c>
      <c r="T66" s="11">
        <f t="shared" si="63"/>
        <v>0.22222222222222221</v>
      </c>
      <c r="U66" s="11">
        <f t="shared" si="63"/>
        <v>0.22222222222222221</v>
      </c>
      <c r="V66" s="11">
        <f t="shared" si="63"/>
        <v>0.22222222222222221</v>
      </c>
      <c r="W66" s="11">
        <f t="shared" si="63"/>
        <v>0.22222222222222221</v>
      </c>
      <c r="X66" s="11">
        <f t="shared" si="63"/>
        <v>0.22222222222222221</v>
      </c>
      <c r="Y66" s="13">
        <f t="shared" si="63"/>
        <v>0.22222222222222221</v>
      </c>
    </row>
    <row r="67" spans="3:25" x14ac:dyDescent="0.4">
      <c r="C67" s="53" t="s">
        <v>5</v>
      </c>
      <c r="D67" s="54"/>
      <c r="E67" s="8">
        <f t="shared" ref="E67:R67" si="64">E60+E63+E66</f>
        <v>90</v>
      </c>
      <c r="F67" s="8">
        <f t="shared" si="64"/>
        <v>90</v>
      </c>
      <c r="G67" s="8">
        <f t="shared" si="64"/>
        <v>90</v>
      </c>
      <c r="H67" s="8">
        <f t="shared" si="64"/>
        <v>390</v>
      </c>
      <c r="I67" s="8">
        <f t="shared" si="64"/>
        <v>90</v>
      </c>
      <c r="J67" s="8">
        <f t="shared" si="64"/>
        <v>90</v>
      </c>
      <c r="K67" s="64">
        <f t="shared" si="64"/>
        <v>840</v>
      </c>
      <c r="L67" s="8">
        <f t="shared" si="64"/>
        <v>20</v>
      </c>
      <c r="M67" s="8">
        <f t="shared" si="64"/>
        <v>20</v>
      </c>
      <c r="N67" s="8">
        <f t="shared" si="64"/>
        <v>20</v>
      </c>
      <c r="O67" s="8">
        <f t="shared" si="64"/>
        <v>80</v>
      </c>
      <c r="P67" s="8">
        <f t="shared" si="64"/>
        <v>20</v>
      </c>
      <c r="Q67" s="8">
        <f t="shared" si="64"/>
        <v>20</v>
      </c>
      <c r="R67" s="64">
        <f t="shared" si="64"/>
        <v>180</v>
      </c>
      <c r="S67" s="91">
        <f t="shared" si="63"/>
        <v>0.22222222222222221</v>
      </c>
      <c r="T67" s="14">
        <f t="shared" si="63"/>
        <v>0.22222222222222221</v>
      </c>
      <c r="U67" s="14">
        <f t="shared" si="63"/>
        <v>0.22222222222222221</v>
      </c>
      <c r="V67" s="14">
        <f t="shared" si="63"/>
        <v>0.20512820512820512</v>
      </c>
      <c r="W67" s="14">
        <f t="shared" si="63"/>
        <v>0.22222222222222221</v>
      </c>
      <c r="X67" s="14">
        <f t="shared" si="63"/>
        <v>0.22222222222222221</v>
      </c>
      <c r="Y67" s="16">
        <f t="shared" si="63"/>
        <v>0.21428571428571427</v>
      </c>
    </row>
    <row r="68" spans="3:25" x14ac:dyDescent="0.4">
      <c r="C68" s="74" t="s">
        <v>25</v>
      </c>
      <c r="D68" s="75"/>
      <c r="E68" s="98">
        <f t="shared" ref="E68:J68" si="65">(E51+E34)/2</f>
        <v>0</v>
      </c>
      <c r="F68" s="98">
        <f t="shared" si="65"/>
        <v>0</v>
      </c>
      <c r="G68" s="98">
        <f t="shared" si="65"/>
        <v>0</v>
      </c>
      <c r="H68" s="98">
        <f t="shared" si="65"/>
        <v>0</v>
      </c>
      <c r="I68" s="98">
        <f t="shared" si="65"/>
        <v>0</v>
      </c>
      <c r="J68" s="98">
        <f t="shared" si="65"/>
        <v>0</v>
      </c>
      <c r="K68" s="103">
        <f>SUM(E68:J68)</f>
        <v>0</v>
      </c>
      <c r="L68" s="98">
        <f t="shared" ref="L68:Q68" si="66">(L51+L34)/2</f>
        <v>0</v>
      </c>
      <c r="M68" s="98">
        <f t="shared" si="66"/>
        <v>0</v>
      </c>
      <c r="N68" s="98">
        <f t="shared" si="66"/>
        <v>0</v>
      </c>
      <c r="O68" s="98">
        <f t="shared" si="66"/>
        <v>0</v>
      </c>
      <c r="P68" s="98">
        <f t="shared" si="66"/>
        <v>0</v>
      </c>
      <c r="Q68" s="98">
        <f t="shared" si="66"/>
        <v>0</v>
      </c>
      <c r="R68" s="103">
        <f>SUM(L68:Q68)</f>
        <v>0</v>
      </c>
      <c r="S68" s="101" t="str">
        <f t="shared" si="63"/>
        <v>***</v>
      </c>
      <c r="T68" s="101" t="str">
        <f t="shared" si="63"/>
        <v>***</v>
      </c>
      <c r="U68" s="101" t="str">
        <f t="shared" si="63"/>
        <v>***</v>
      </c>
      <c r="V68" s="101" t="str">
        <f t="shared" si="63"/>
        <v>***</v>
      </c>
      <c r="W68" s="101" t="str">
        <f t="shared" si="63"/>
        <v>***</v>
      </c>
      <c r="X68" s="101" t="str">
        <f t="shared" si="63"/>
        <v>***</v>
      </c>
      <c r="Y68" s="102" t="str">
        <f t="shared" si="63"/>
        <v>***</v>
      </c>
    </row>
    <row r="69" spans="3:25" x14ac:dyDescent="0.4">
      <c r="C69" s="18" t="s">
        <v>29</v>
      </c>
      <c r="E69" s="17"/>
      <c r="F69" s="17"/>
      <c r="G69" s="17"/>
      <c r="H69" s="17"/>
      <c r="I69" s="17"/>
      <c r="J69" s="17"/>
      <c r="K69" s="18"/>
      <c r="L69" s="17"/>
      <c r="M69" s="17"/>
      <c r="N69" s="17"/>
      <c r="O69" s="17"/>
      <c r="P69" s="17"/>
      <c r="Q69" s="17"/>
      <c r="R69" s="18"/>
      <c r="S69" s="19"/>
      <c r="T69" s="19"/>
      <c r="U69" s="19"/>
      <c r="V69" s="19"/>
      <c r="W69" s="19"/>
      <c r="X69" s="19"/>
      <c r="Y69" s="19"/>
    </row>
    <row r="70" spans="3:25" hidden="1" x14ac:dyDescent="0.4">
      <c r="C70" s="18" t="s">
        <v>30</v>
      </c>
    </row>
    <row r="71" spans="3:25" hidden="1" x14ac:dyDescent="0.4">
      <c r="C71" s="120"/>
      <c r="D71" s="119"/>
      <c r="E71" s="122" t="s">
        <v>2</v>
      </c>
      <c r="F71" s="118"/>
      <c r="G71" s="118"/>
      <c r="H71" s="118"/>
      <c r="I71" s="118"/>
      <c r="J71" s="118"/>
      <c r="K71" s="118"/>
      <c r="L71" s="121" t="s">
        <v>3</v>
      </c>
      <c r="M71" s="118"/>
      <c r="N71" s="118"/>
      <c r="O71" s="118"/>
      <c r="P71" s="118"/>
      <c r="Q71" s="118"/>
      <c r="R71" s="119"/>
      <c r="S71" s="117" t="s">
        <v>4</v>
      </c>
      <c r="T71" s="118"/>
      <c r="U71" s="118"/>
      <c r="V71" s="118"/>
      <c r="W71" s="118"/>
      <c r="X71" s="118"/>
      <c r="Y71" s="119"/>
    </row>
    <row r="72" spans="3:25" hidden="1" x14ac:dyDescent="0.4">
      <c r="C72" s="1"/>
      <c r="D72" s="21"/>
      <c r="E72" s="61">
        <v>46113</v>
      </c>
      <c r="F72" s="2">
        <v>46143</v>
      </c>
      <c r="G72" s="2">
        <v>46174</v>
      </c>
      <c r="H72" s="2">
        <v>46204</v>
      </c>
      <c r="I72" s="2">
        <v>46235</v>
      </c>
      <c r="J72" s="2">
        <v>46266</v>
      </c>
      <c r="K72" s="67" t="s">
        <v>5</v>
      </c>
      <c r="L72" s="61">
        <v>46113</v>
      </c>
      <c r="M72" s="2">
        <v>46143</v>
      </c>
      <c r="N72" s="2">
        <v>46174</v>
      </c>
      <c r="O72" s="2">
        <v>46204</v>
      </c>
      <c r="P72" s="2">
        <v>46235</v>
      </c>
      <c r="Q72" s="2">
        <v>46266</v>
      </c>
      <c r="R72" s="10" t="s">
        <v>5</v>
      </c>
      <c r="S72" s="95">
        <v>46113</v>
      </c>
      <c r="T72" s="2">
        <v>46143</v>
      </c>
      <c r="U72" s="2">
        <v>46174</v>
      </c>
      <c r="V72" s="2">
        <v>46204</v>
      </c>
      <c r="W72" s="2">
        <v>46235</v>
      </c>
      <c r="X72" s="2">
        <v>46266</v>
      </c>
      <c r="Y72" s="10" t="s">
        <v>5</v>
      </c>
    </row>
    <row r="73" spans="3:25" hidden="1" x14ac:dyDescent="0.4">
      <c r="C73" s="60" t="s">
        <v>6</v>
      </c>
      <c r="D73" s="22" t="s">
        <v>7</v>
      </c>
      <c r="E73" s="4">
        <f t="shared" ref="E73:J76" si="67">E56-E22</f>
        <v>0</v>
      </c>
      <c r="F73" s="4">
        <f t="shared" si="67"/>
        <v>0</v>
      </c>
      <c r="G73" s="4">
        <f t="shared" si="67"/>
        <v>0</v>
      </c>
      <c r="H73" s="4">
        <f t="shared" si="67"/>
        <v>284</v>
      </c>
      <c r="I73" s="4">
        <f t="shared" si="67"/>
        <v>0</v>
      </c>
      <c r="J73" s="4">
        <f t="shared" si="67"/>
        <v>0</v>
      </c>
      <c r="K73" s="68">
        <f t="shared" ref="K73:K79" si="68">SUM(E73:J73)</f>
        <v>284</v>
      </c>
      <c r="L73" s="3">
        <f t="shared" ref="L73:Q76" si="69">L56-L22</f>
        <v>0</v>
      </c>
      <c r="M73" s="4">
        <f t="shared" si="69"/>
        <v>0</v>
      </c>
      <c r="N73" s="4">
        <f t="shared" si="69"/>
        <v>0</v>
      </c>
      <c r="O73" s="4">
        <f t="shared" si="69"/>
        <v>44</v>
      </c>
      <c r="P73" s="4">
        <f t="shared" si="69"/>
        <v>0</v>
      </c>
      <c r="Q73" s="4">
        <f t="shared" si="69"/>
        <v>0</v>
      </c>
      <c r="R73" s="62">
        <f t="shared" ref="R73:R79" si="70">SUM(L73:Q73)</f>
        <v>44</v>
      </c>
      <c r="S73" s="96" t="e">
        <f t="shared" ref="S73:Y84" si="71">-S22</f>
        <v>#VALUE!</v>
      </c>
      <c r="T73" s="11" t="e">
        <f t="shared" si="71"/>
        <v>#VALUE!</v>
      </c>
      <c r="U73" s="11" t="e">
        <f t="shared" si="71"/>
        <v>#VALUE!</v>
      </c>
      <c r="V73" s="11">
        <f t="shared" si="71"/>
        <v>-1</v>
      </c>
      <c r="W73" s="11" t="e">
        <f t="shared" si="71"/>
        <v>#VALUE!</v>
      </c>
      <c r="X73" s="11" t="e">
        <f t="shared" si="71"/>
        <v>#VALUE!</v>
      </c>
      <c r="Y73" s="12">
        <f t="shared" si="71"/>
        <v>-1</v>
      </c>
    </row>
    <row r="74" spans="3:25" hidden="1" x14ac:dyDescent="0.4">
      <c r="C74" s="60" t="s">
        <v>8</v>
      </c>
      <c r="D74" s="22" t="s">
        <v>9</v>
      </c>
      <c r="E74" s="4">
        <f t="shared" si="67"/>
        <v>0</v>
      </c>
      <c r="F74" s="4">
        <f t="shared" si="67"/>
        <v>-110</v>
      </c>
      <c r="G74" s="4">
        <f t="shared" si="67"/>
        <v>0</v>
      </c>
      <c r="H74" s="4">
        <f t="shared" si="67"/>
        <v>0</v>
      </c>
      <c r="I74" s="4">
        <f t="shared" si="67"/>
        <v>0</v>
      </c>
      <c r="J74" s="4">
        <f t="shared" si="67"/>
        <v>0</v>
      </c>
      <c r="K74" s="68">
        <f t="shared" si="68"/>
        <v>-110</v>
      </c>
      <c r="L74" s="3">
        <f t="shared" si="69"/>
        <v>0</v>
      </c>
      <c r="M74" s="4">
        <f t="shared" si="69"/>
        <v>-27</v>
      </c>
      <c r="N74" s="4">
        <f t="shared" si="69"/>
        <v>0</v>
      </c>
      <c r="O74" s="4">
        <f t="shared" si="69"/>
        <v>0</v>
      </c>
      <c r="P74" s="4">
        <f t="shared" si="69"/>
        <v>0</v>
      </c>
      <c r="Q74" s="4">
        <f t="shared" si="69"/>
        <v>0</v>
      </c>
      <c r="R74" s="62">
        <f t="shared" si="70"/>
        <v>-27</v>
      </c>
      <c r="S74" s="96" t="e">
        <f t="shared" si="71"/>
        <v>#VALUE!</v>
      </c>
      <c r="T74" s="11">
        <f t="shared" si="71"/>
        <v>-0.24545454545454545</v>
      </c>
      <c r="U74" s="11" t="e">
        <f t="shared" si="71"/>
        <v>#VALUE!</v>
      </c>
      <c r="V74" s="11" t="e">
        <f t="shared" si="71"/>
        <v>#VALUE!</v>
      </c>
      <c r="W74" s="11" t="e">
        <f t="shared" si="71"/>
        <v>#VALUE!</v>
      </c>
      <c r="X74" s="11" t="e">
        <f t="shared" si="71"/>
        <v>#VALUE!</v>
      </c>
      <c r="Y74" s="12">
        <f t="shared" si="71"/>
        <v>-0.24545454545454545</v>
      </c>
    </row>
    <row r="75" spans="3:25" hidden="1" x14ac:dyDescent="0.4">
      <c r="C75" s="60" t="s">
        <v>10</v>
      </c>
      <c r="D75" s="22" t="s">
        <v>11</v>
      </c>
      <c r="E75" s="4">
        <f t="shared" si="67"/>
        <v>0</v>
      </c>
      <c r="F75" s="4">
        <f t="shared" si="67"/>
        <v>0</v>
      </c>
      <c r="G75" s="4">
        <f t="shared" si="67"/>
        <v>0</v>
      </c>
      <c r="H75" s="4">
        <f t="shared" si="67"/>
        <v>0</v>
      </c>
      <c r="I75" s="4">
        <f t="shared" si="67"/>
        <v>0</v>
      </c>
      <c r="J75" s="4">
        <f t="shared" si="67"/>
        <v>0</v>
      </c>
      <c r="K75" s="68">
        <f t="shared" si="68"/>
        <v>0</v>
      </c>
      <c r="L75" s="3">
        <f t="shared" si="69"/>
        <v>0</v>
      </c>
      <c r="M75" s="4">
        <f t="shared" si="69"/>
        <v>0</v>
      </c>
      <c r="N75" s="4">
        <f t="shared" si="69"/>
        <v>0</v>
      </c>
      <c r="O75" s="4">
        <f t="shared" si="69"/>
        <v>0</v>
      </c>
      <c r="P75" s="4">
        <f t="shared" si="69"/>
        <v>0</v>
      </c>
      <c r="Q75" s="4">
        <f t="shared" si="69"/>
        <v>0</v>
      </c>
      <c r="R75" s="62">
        <f t="shared" si="70"/>
        <v>0</v>
      </c>
      <c r="S75" s="96" t="e">
        <f t="shared" si="71"/>
        <v>#VALUE!</v>
      </c>
      <c r="T75" s="11" t="e">
        <f t="shared" si="71"/>
        <v>#VALUE!</v>
      </c>
      <c r="U75" s="11" t="e">
        <f t="shared" si="71"/>
        <v>#VALUE!</v>
      </c>
      <c r="V75" s="11" t="e">
        <f t="shared" si="71"/>
        <v>#VALUE!</v>
      </c>
      <c r="W75" s="11" t="e">
        <f t="shared" si="71"/>
        <v>#VALUE!</v>
      </c>
      <c r="X75" s="11" t="e">
        <f t="shared" si="71"/>
        <v>#VALUE!</v>
      </c>
      <c r="Y75" s="12" t="e">
        <f t="shared" si="71"/>
        <v>#VALUE!</v>
      </c>
    </row>
    <row r="76" spans="3:25" hidden="1" x14ac:dyDescent="0.4">
      <c r="C76" s="60" t="s">
        <v>12</v>
      </c>
      <c r="D76" s="22" t="s">
        <v>13</v>
      </c>
      <c r="E76" s="4">
        <f t="shared" si="67"/>
        <v>0</v>
      </c>
      <c r="F76" s="4">
        <f t="shared" si="67"/>
        <v>0</v>
      </c>
      <c r="G76" s="4">
        <f t="shared" si="67"/>
        <v>0</v>
      </c>
      <c r="H76" s="4">
        <f t="shared" si="67"/>
        <v>0</v>
      </c>
      <c r="I76" s="4">
        <f t="shared" si="67"/>
        <v>0</v>
      </c>
      <c r="J76" s="4">
        <f t="shared" si="67"/>
        <v>0</v>
      </c>
      <c r="K76" s="68">
        <f t="shared" si="68"/>
        <v>0</v>
      </c>
      <c r="L76" s="3">
        <f t="shared" si="69"/>
        <v>0</v>
      </c>
      <c r="M76" s="4">
        <f t="shared" si="69"/>
        <v>0</v>
      </c>
      <c r="N76" s="4">
        <f t="shared" si="69"/>
        <v>0</v>
      </c>
      <c r="O76" s="4">
        <f t="shared" si="69"/>
        <v>0</v>
      </c>
      <c r="P76" s="4">
        <f t="shared" si="69"/>
        <v>0</v>
      </c>
      <c r="Q76" s="4">
        <f t="shared" si="69"/>
        <v>0</v>
      </c>
      <c r="R76" s="62">
        <f t="shared" si="70"/>
        <v>0</v>
      </c>
      <c r="S76" s="96" t="e">
        <f t="shared" si="71"/>
        <v>#VALUE!</v>
      </c>
      <c r="T76" s="11" t="e">
        <f t="shared" si="71"/>
        <v>#VALUE!</v>
      </c>
      <c r="U76" s="11" t="e">
        <f t="shared" si="71"/>
        <v>#VALUE!</v>
      </c>
      <c r="V76" s="11" t="e">
        <f t="shared" si="71"/>
        <v>#VALUE!</v>
      </c>
      <c r="W76" s="11" t="e">
        <f t="shared" si="71"/>
        <v>#VALUE!</v>
      </c>
      <c r="X76" s="11" t="e">
        <f t="shared" si="71"/>
        <v>#VALUE!</v>
      </c>
      <c r="Y76" s="12" t="e">
        <f t="shared" si="71"/>
        <v>#VALUE!</v>
      </c>
    </row>
    <row r="77" spans="3:25" hidden="1" x14ac:dyDescent="0.4">
      <c r="C77" s="60" t="s">
        <v>14</v>
      </c>
      <c r="D77" s="22"/>
      <c r="E77" s="4">
        <f t="shared" ref="E77:J77" si="72">SUM(E73:E76)</f>
        <v>0</v>
      </c>
      <c r="F77" s="4">
        <f t="shared" si="72"/>
        <v>-110</v>
      </c>
      <c r="G77" s="4">
        <f t="shared" si="72"/>
        <v>0</v>
      </c>
      <c r="H77" s="4">
        <f t="shared" si="72"/>
        <v>284</v>
      </c>
      <c r="I77" s="4">
        <f t="shared" si="72"/>
        <v>0</v>
      </c>
      <c r="J77" s="4">
        <f t="shared" si="72"/>
        <v>0</v>
      </c>
      <c r="K77" s="68">
        <f t="shared" si="68"/>
        <v>174</v>
      </c>
      <c r="L77" s="3">
        <f t="shared" ref="L77:Q77" si="73">SUM(L73:L76)</f>
        <v>0</v>
      </c>
      <c r="M77" s="4">
        <f t="shared" si="73"/>
        <v>-27</v>
      </c>
      <c r="N77" s="4">
        <f t="shared" si="73"/>
        <v>0</v>
      </c>
      <c r="O77" s="4">
        <f t="shared" si="73"/>
        <v>44</v>
      </c>
      <c r="P77" s="4">
        <f t="shared" si="73"/>
        <v>0</v>
      </c>
      <c r="Q77" s="4">
        <f t="shared" si="73"/>
        <v>0</v>
      </c>
      <c r="R77" s="62">
        <f t="shared" si="70"/>
        <v>17</v>
      </c>
      <c r="S77" s="96" t="e">
        <f t="shared" si="71"/>
        <v>#VALUE!</v>
      </c>
      <c r="T77" s="11">
        <f t="shared" si="71"/>
        <v>-0.24545454545454545</v>
      </c>
      <c r="U77" s="11" t="e">
        <f t="shared" si="71"/>
        <v>#VALUE!</v>
      </c>
      <c r="V77" s="11">
        <f t="shared" si="71"/>
        <v>-1</v>
      </c>
      <c r="W77" s="11" t="e">
        <f t="shared" si="71"/>
        <v>#VALUE!</v>
      </c>
      <c r="X77" s="11" t="e">
        <f t="shared" si="71"/>
        <v>#VALUE!</v>
      </c>
      <c r="Y77" s="12">
        <f t="shared" si="71"/>
        <v>-0.34126984126984128</v>
      </c>
    </row>
    <row r="78" spans="3:25" hidden="1" x14ac:dyDescent="0.4">
      <c r="C78" s="60" t="s">
        <v>15</v>
      </c>
      <c r="D78" s="22" t="s">
        <v>16</v>
      </c>
      <c r="E78" s="4">
        <f t="shared" ref="E78:J79" si="74">E61-E27</f>
        <v>0</v>
      </c>
      <c r="F78" s="4">
        <f t="shared" si="74"/>
        <v>0</v>
      </c>
      <c r="G78" s="4">
        <f t="shared" si="74"/>
        <v>0</v>
      </c>
      <c r="H78" s="4">
        <f t="shared" si="74"/>
        <v>0</v>
      </c>
      <c r="I78" s="4">
        <f t="shared" si="74"/>
        <v>0</v>
      </c>
      <c r="J78" s="4">
        <f t="shared" si="74"/>
        <v>0</v>
      </c>
      <c r="K78" s="68">
        <f t="shared" si="68"/>
        <v>0</v>
      </c>
      <c r="L78" s="3">
        <f t="shared" ref="L78:Q79" si="75">L61-L27</f>
        <v>0</v>
      </c>
      <c r="M78" s="4">
        <f t="shared" si="75"/>
        <v>0</v>
      </c>
      <c r="N78" s="4">
        <f t="shared" si="75"/>
        <v>0</v>
      </c>
      <c r="O78" s="4">
        <f t="shared" si="75"/>
        <v>0</v>
      </c>
      <c r="P78" s="4">
        <f t="shared" si="75"/>
        <v>0</v>
      </c>
      <c r="Q78" s="4">
        <f t="shared" si="75"/>
        <v>0</v>
      </c>
      <c r="R78" s="62">
        <f t="shared" si="70"/>
        <v>0</v>
      </c>
      <c r="S78" s="96" t="e">
        <f t="shared" si="71"/>
        <v>#VALUE!</v>
      </c>
      <c r="T78" s="11" t="e">
        <f t="shared" si="71"/>
        <v>#VALUE!</v>
      </c>
      <c r="U78" s="11" t="e">
        <f t="shared" si="71"/>
        <v>#VALUE!</v>
      </c>
      <c r="V78" s="11" t="e">
        <f t="shared" si="71"/>
        <v>#VALUE!</v>
      </c>
      <c r="W78" s="11" t="e">
        <f t="shared" si="71"/>
        <v>#VALUE!</v>
      </c>
      <c r="X78" s="11" t="e">
        <f t="shared" si="71"/>
        <v>#VALUE!</v>
      </c>
      <c r="Y78" s="12" t="e">
        <f t="shared" si="71"/>
        <v>#VALUE!</v>
      </c>
    </row>
    <row r="79" spans="3:25" hidden="1" x14ac:dyDescent="0.4">
      <c r="C79" s="60" t="s">
        <v>17</v>
      </c>
      <c r="D79" s="22" t="s">
        <v>18</v>
      </c>
      <c r="E79" s="4">
        <f t="shared" si="74"/>
        <v>0</v>
      </c>
      <c r="F79" s="4">
        <f t="shared" si="74"/>
        <v>0</v>
      </c>
      <c r="G79" s="4">
        <f t="shared" si="74"/>
        <v>0</v>
      </c>
      <c r="H79" s="4">
        <f t="shared" si="74"/>
        <v>0</v>
      </c>
      <c r="I79" s="4">
        <f t="shared" si="74"/>
        <v>0</v>
      </c>
      <c r="J79" s="4">
        <f t="shared" si="74"/>
        <v>0</v>
      </c>
      <c r="K79" s="68">
        <f t="shared" si="68"/>
        <v>0</v>
      </c>
      <c r="L79" s="3">
        <f t="shared" si="75"/>
        <v>0</v>
      </c>
      <c r="M79" s="4">
        <f t="shared" si="75"/>
        <v>0</v>
      </c>
      <c r="N79" s="4">
        <f t="shared" si="75"/>
        <v>0</v>
      </c>
      <c r="O79" s="4">
        <f t="shared" si="75"/>
        <v>0</v>
      </c>
      <c r="P79" s="4">
        <f t="shared" si="75"/>
        <v>0</v>
      </c>
      <c r="Q79" s="4">
        <f t="shared" si="75"/>
        <v>0</v>
      </c>
      <c r="R79" s="62">
        <f t="shared" si="70"/>
        <v>0</v>
      </c>
      <c r="S79" s="96" t="e">
        <f t="shared" si="71"/>
        <v>#VALUE!</v>
      </c>
      <c r="T79" s="11" t="e">
        <f t="shared" si="71"/>
        <v>#VALUE!</v>
      </c>
      <c r="U79" s="11" t="e">
        <f t="shared" si="71"/>
        <v>#VALUE!</v>
      </c>
      <c r="V79" s="11" t="e">
        <f t="shared" si="71"/>
        <v>#VALUE!</v>
      </c>
      <c r="W79" s="11" t="e">
        <f t="shared" si="71"/>
        <v>#VALUE!</v>
      </c>
      <c r="X79" s="11" t="e">
        <f t="shared" si="71"/>
        <v>#VALUE!</v>
      </c>
      <c r="Y79" s="12" t="e">
        <f t="shared" si="71"/>
        <v>#VALUE!</v>
      </c>
    </row>
    <row r="80" spans="3:25" hidden="1" x14ac:dyDescent="0.4">
      <c r="C80" s="60" t="s">
        <v>19</v>
      </c>
      <c r="D80" s="22"/>
      <c r="E80" s="20">
        <f t="shared" ref="E80:R80" si="76">SUM(E78:E79)</f>
        <v>0</v>
      </c>
      <c r="F80" s="20">
        <f t="shared" si="76"/>
        <v>0</v>
      </c>
      <c r="G80" s="20">
        <f t="shared" si="76"/>
        <v>0</v>
      </c>
      <c r="H80" s="20">
        <f t="shared" si="76"/>
        <v>0</v>
      </c>
      <c r="I80" s="20">
        <f t="shared" si="76"/>
        <v>0</v>
      </c>
      <c r="J80" s="20">
        <f t="shared" si="76"/>
        <v>0</v>
      </c>
      <c r="K80" s="68">
        <f t="shared" si="76"/>
        <v>0</v>
      </c>
      <c r="L80" s="3">
        <f t="shared" si="76"/>
        <v>0</v>
      </c>
      <c r="M80" s="20">
        <f t="shared" si="76"/>
        <v>0</v>
      </c>
      <c r="N80" s="20">
        <f t="shared" si="76"/>
        <v>0</v>
      </c>
      <c r="O80" s="20">
        <f t="shared" si="76"/>
        <v>0</v>
      </c>
      <c r="P80" s="20">
        <f t="shared" si="76"/>
        <v>0</v>
      </c>
      <c r="Q80" s="20">
        <f t="shared" si="76"/>
        <v>0</v>
      </c>
      <c r="R80" s="62">
        <f t="shared" si="76"/>
        <v>0</v>
      </c>
      <c r="S80" s="96" t="e">
        <f t="shared" si="71"/>
        <v>#VALUE!</v>
      </c>
      <c r="T80" s="11" t="e">
        <f t="shared" si="71"/>
        <v>#VALUE!</v>
      </c>
      <c r="U80" s="11" t="e">
        <f t="shared" si="71"/>
        <v>#VALUE!</v>
      </c>
      <c r="V80" s="11" t="e">
        <f t="shared" si="71"/>
        <v>#VALUE!</v>
      </c>
      <c r="W80" s="11" t="e">
        <f t="shared" si="71"/>
        <v>#VALUE!</v>
      </c>
      <c r="X80" s="11" t="e">
        <f t="shared" si="71"/>
        <v>#VALUE!</v>
      </c>
      <c r="Y80" s="12" t="e">
        <f t="shared" si="71"/>
        <v>#VALUE!</v>
      </c>
    </row>
    <row r="81" spans="3:25" hidden="1" x14ac:dyDescent="0.4">
      <c r="C81" s="60" t="s">
        <v>20</v>
      </c>
      <c r="D81" s="22" t="s">
        <v>21</v>
      </c>
      <c r="E81" s="20">
        <f t="shared" ref="E81:J82" si="77">E64-E30</f>
        <v>-206.05</v>
      </c>
      <c r="F81" s="20">
        <f t="shared" si="77"/>
        <v>11.5</v>
      </c>
      <c r="G81" s="20">
        <f t="shared" si="77"/>
        <v>40.799999999999997</v>
      </c>
      <c r="H81" s="20">
        <f t="shared" si="77"/>
        <v>29.700000000000003</v>
      </c>
      <c r="I81" s="20">
        <f t="shared" si="77"/>
        <v>-0.48000000000000398</v>
      </c>
      <c r="J81" s="20">
        <f t="shared" si="77"/>
        <v>-116.32599999999999</v>
      </c>
      <c r="K81" s="68">
        <f>SUM(E81:J81)</f>
        <v>-240.85599999999999</v>
      </c>
      <c r="L81" s="3">
        <f t="shared" ref="L81:Q82" si="78">L64-L30</f>
        <v>-24.57</v>
      </c>
      <c r="M81" s="20">
        <f t="shared" si="78"/>
        <v>1.1000000000000014</v>
      </c>
      <c r="N81" s="20">
        <f t="shared" si="78"/>
        <v>13.5</v>
      </c>
      <c r="O81" s="20">
        <f t="shared" si="78"/>
        <v>11.3</v>
      </c>
      <c r="P81" s="20">
        <f t="shared" si="78"/>
        <v>14.52</v>
      </c>
      <c r="Q81" s="20">
        <f t="shared" si="78"/>
        <v>-27.344999999999999</v>
      </c>
      <c r="R81" s="62">
        <f>SUM(L81:Q81)</f>
        <v>-11.494999999999997</v>
      </c>
      <c r="S81" s="96">
        <f t="shared" si="71"/>
        <v>-0.15054889376794459</v>
      </c>
      <c r="T81" s="11">
        <f t="shared" si="71"/>
        <v>-0.24076433121019106</v>
      </c>
      <c r="U81" s="11">
        <f t="shared" si="71"/>
        <v>-0.13211382113821138</v>
      </c>
      <c r="V81" s="11">
        <f t="shared" si="71"/>
        <v>-0.14427860696517411</v>
      </c>
      <c r="W81" s="11">
        <f t="shared" si="71"/>
        <v>-6.0565870910698497E-2</v>
      </c>
      <c r="X81" s="11">
        <f t="shared" si="71"/>
        <v>-0.22946696005350756</v>
      </c>
      <c r="Y81" s="12">
        <f t="shared" si="71"/>
        <v>-0.16839852674500805</v>
      </c>
    </row>
    <row r="82" spans="3:25" hidden="1" x14ac:dyDescent="0.4">
      <c r="C82" s="60" t="s">
        <v>22</v>
      </c>
      <c r="D82" s="83" t="s">
        <v>23</v>
      </c>
      <c r="E82" s="84">
        <f t="shared" si="77"/>
        <v>0</v>
      </c>
      <c r="F82" s="84">
        <f t="shared" si="77"/>
        <v>0</v>
      </c>
      <c r="G82" s="84">
        <f t="shared" si="77"/>
        <v>0</v>
      </c>
      <c r="H82" s="84">
        <f t="shared" si="77"/>
        <v>0</v>
      </c>
      <c r="I82" s="84">
        <f t="shared" si="77"/>
        <v>0</v>
      </c>
      <c r="J82" s="84">
        <f t="shared" si="77"/>
        <v>0</v>
      </c>
      <c r="K82" s="68">
        <f>SUM(E82:J82)</f>
        <v>0</v>
      </c>
      <c r="L82" s="88">
        <f t="shared" si="78"/>
        <v>0</v>
      </c>
      <c r="M82" s="84">
        <f t="shared" si="78"/>
        <v>0</v>
      </c>
      <c r="N82" s="84">
        <f t="shared" si="78"/>
        <v>0</v>
      </c>
      <c r="O82" s="84">
        <f t="shared" si="78"/>
        <v>0</v>
      </c>
      <c r="P82" s="84">
        <f t="shared" si="78"/>
        <v>0</v>
      </c>
      <c r="Q82" s="84">
        <f t="shared" si="78"/>
        <v>0</v>
      </c>
      <c r="R82" s="62">
        <f>SUM(L82:Q82)</f>
        <v>0</v>
      </c>
      <c r="S82" s="97" t="e">
        <f t="shared" si="71"/>
        <v>#VALUE!</v>
      </c>
      <c r="T82" s="86" t="e">
        <f t="shared" si="71"/>
        <v>#VALUE!</v>
      </c>
      <c r="U82" s="86" t="e">
        <f t="shared" si="71"/>
        <v>#VALUE!</v>
      </c>
      <c r="V82" s="86" t="e">
        <f t="shared" si="71"/>
        <v>#VALUE!</v>
      </c>
      <c r="W82" s="86" t="e">
        <f t="shared" si="71"/>
        <v>#VALUE!</v>
      </c>
      <c r="X82" s="86" t="e">
        <f t="shared" si="71"/>
        <v>#VALUE!</v>
      </c>
      <c r="Y82" s="87" t="e">
        <f t="shared" si="71"/>
        <v>#VALUE!</v>
      </c>
    </row>
    <row r="83" spans="3:25" hidden="1" x14ac:dyDescent="0.4">
      <c r="C83" s="82" t="s">
        <v>24</v>
      </c>
      <c r="D83" s="83"/>
      <c r="E83" s="84">
        <f t="shared" ref="E83:J83" si="79">E81+E82</f>
        <v>-206.05</v>
      </c>
      <c r="F83" s="84">
        <f t="shared" si="79"/>
        <v>11.5</v>
      </c>
      <c r="G83" s="84">
        <f t="shared" si="79"/>
        <v>40.799999999999997</v>
      </c>
      <c r="H83" s="84">
        <f t="shared" si="79"/>
        <v>29.700000000000003</v>
      </c>
      <c r="I83" s="84">
        <f t="shared" si="79"/>
        <v>-0.48000000000000398</v>
      </c>
      <c r="J83" s="84">
        <f t="shared" si="79"/>
        <v>-116.32599999999999</v>
      </c>
      <c r="K83" s="68">
        <f>SUM(E83:J83)</f>
        <v>-240.85599999999999</v>
      </c>
      <c r="L83" s="88">
        <f t="shared" ref="L83:Q83" si="80">L81+L82</f>
        <v>-24.57</v>
      </c>
      <c r="M83" s="84">
        <f t="shared" si="80"/>
        <v>1.1000000000000014</v>
      </c>
      <c r="N83" s="84">
        <f t="shared" si="80"/>
        <v>13.5</v>
      </c>
      <c r="O83" s="84">
        <f t="shared" si="80"/>
        <v>11.3</v>
      </c>
      <c r="P83" s="84">
        <f t="shared" si="80"/>
        <v>14.52</v>
      </c>
      <c r="Q83" s="84">
        <f t="shared" si="80"/>
        <v>-27.344999999999999</v>
      </c>
      <c r="R83" s="62">
        <f>SUM(L83:Q83)</f>
        <v>-11.494999999999997</v>
      </c>
      <c r="S83" s="97">
        <f t="shared" si="71"/>
        <v>-0.15054889376794459</v>
      </c>
      <c r="T83" s="86">
        <f t="shared" si="71"/>
        <v>-0.24076433121019106</v>
      </c>
      <c r="U83" s="86">
        <f t="shared" si="71"/>
        <v>-0.13211382113821138</v>
      </c>
      <c r="V83" s="86">
        <f t="shared" si="71"/>
        <v>-0.14427860696517411</v>
      </c>
      <c r="W83" s="86">
        <f t="shared" si="71"/>
        <v>-6.0565870910698497E-2</v>
      </c>
      <c r="X83" s="86">
        <f t="shared" si="71"/>
        <v>-0.22946696005350756</v>
      </c>
      <c r="Y83" s="87">
        <f t="shared" si="71"/>
        <v>-0.16839852674500805</v>
      </c>
    </row>
    <row r="84" spans="3:25" hidden="1" x14ac:dyDescent="0.4">
      <c r="C84" s="53" t="s">
        <v>5</v>
      </c>
      <c r="D84" s="54"/>
      <c r="E84" s="8">
        <f t="shared" ref="E84:R84" si="81">E77+E80+E83</f>
        <v>-206.05</v>
      </c>
      <c r="F84" s="8">
        <f t="shared" si="81"/>
        <v>-98.5</v>
      </c>
      <c r="G84" s="8">
        <f t="shared" si="81"/>
        <v>40.799999999999997</v>
      </c>
      <c r="H84" s="8">
        <f t="shared" si="81"/>
        <v>313.7</v>
      </c>
      <c r="I84" s="8">
        <f t="shared" si="81"/>
        <v>-0.48000000000000398</v>
      </c>
      <c r="J84" s="8">
        <f t="shared" si="81"/>
        <v>-116.32599999999999</v>
      </c>
      <c r="K84" s="69">
        <f t="shared" si="81"/>
        <v>-66.855999999999995</v>
      </c>
      <c r="L84" s="63">
        <f t="shared" si="81"/>
        <v>-24.57</v>
      </c>
      <c r="M84" s="8">
        <f t="shared" si="81"/>
        <v>-25.9</v>
      </c>
      <c r="N84" s="8">
        <f t="shared" si="81"/>
        <v>13.5</v>
      </c>
      <c r="O84" s="8">
        <f t="shared" si="81"/>
        <v>55.3</v>
      </c>
      <c r="P84" s="8">
        <f t="shared" si="81"/>
        <v>14.52</v>
      </c>
      <c r="Q84" s="8">
        <f t="shared" si="81"/>
        <v>-27.344999999999999</v>
      </c>
      <c r="R84" s="64">
        <f t="shared" si="81"/>
        <v>5.5050000000000026</v>
      </c>
      <c r="S84" s="91">
        <f t="shared" si="71"/>
        <v>-0.15054889376794459</v>
      </c>
      <c r="T84" s="14">
        <f t="shared" si="71"/>
        <v>-0.24350132625994694</v>
      </c>
      <c r="U84" s="14">
        <f t="shared" si="71"/>
        <v>-0.13211382113821138</v>
      </c>
      <c r="V84" s="14">
        <f t="shared" si="71"/>
        <v>-0.32372214941022281</v>
      </c>
      <c r="W84" s="14">
        <f t="shared" si="71"/>
        <v>-6.0565870910698497E-2</v>
      </c>
      <c r="X84" s="14">
        <f t="shared" si="71"/>
        <v>-0.22946696005350756</v>
      </c>
      <c r="Y84" s="15">
        <f t="shared" si="71"/>
        <v>-0.19241753927856242</v>
      </c>
    </row>
    <row r="85" spans="3:25" hidden="1" x14ac:dyDescent="0.4">
      <c r="C85" s="18"/>
      <c r="E85" s="17"/>
      <c r="F85" s="17"/>
      <c r="G85" s="17"/>
      <c r="H85" s="17"/>
      <c r="I85" s="17"/>
      <c r="J85" s="17"/>
      <c r="K85" s="18"/>
      <c r="L85" s="17"/>
      <c r="M85" s="17"/>
      <c r="N85" s="17"/>
      <c r="O85" s="17"/>
      <c r="P85" s="17"/>
      <c r="Q85" s="17"/>
      <c r="R85" s="18"/>
      <c r="S85" s="19"/>
      <c r="T85" s="19"/>
      <c r="U85" s="19"/>
      <c r="V85" s="19"/>
      <c r="W85" s="19"/>
      <c r="X85" s="19"/>
      <c r="Y85" s="19"/>
    </row>
    <row r="86" spans="3:25" hidden="1" x14ac:dyDescent="0.4">
      <c r="C86" s="18" t="s">
        <v>31</v>
      </c>
    </row>
    <row r="87" spans="3:25" hidden="1" x14ac:dyDescent="0.4">
      <c r="C87" s="120"/>
      <c r="D87" s="119"/>
      <c r="E87" s="120" t="s">
        <v>2</v>
      </c>
      <c r="F87" s="118"/>
      <c r="G87" s="118"/>
      <c r="H87" s="118"/>
      <c r="I87" s="118"/>
      <c r="J87" s="118"/>
      <c r="K87" s="119"/>
      <c r="L87" s="117" t="s">
        <v>3</v>
      </c>
      <c r="M87" s="118"/>
      <c r="N87" s="118"/>
      <c r="O87" s="118"/>
      <c r="P87" s="118"/>
      <c r="Q87" s="118"/>
      <c r="R87" s="119"/>
      <c r="S87" s="117" t="s">
        <v>4</v>
      </c>
      <c r="T87" s="118"/>
      <c r="U87" s="118"/>
      <c r="V87" s="118"/>
      <c r="W87" s="118"/>
      <c r="X87" s="118"/>
      <c r="Y87" s="119"/>
    </row>
    <row r="88" spans="3:25" hidden="1" x14ac:dyDescent="0.4">
      <c r="C88" s="1"/>
      <c r="D88" s="21"/>
      <c r="E88" s="61">
        <v>46113</v>
      </c>
      <c r="F88" s="2">
        <v>46143</v>
      </c>
      <c r="G88" s="2">
        <v>46174</v>
      </c>
      <c r="H88" s="2">
        <v>46204</v>
      </c>
      <c r="I88" s="2">
        <v>46235</v>
      </c>
      <c r="J88" s="2">
        <v>46266</v>
      </c>
      <c r="K88" s="10" t="s">
        <v>5</v>
      </c>
      <c r="L88" s="95">
        <v>46113</v>
      </c>
      <c r="M88" s="2">
        <v>46143</v>
      </c>
      <c r="N88" s="2">
        <v>46174</v>
      </c>
      <c r="O88" s="2">
        <v>46204</v>
      </c>
      <c r="P88" s="2">
        <v>46235</v>
      </c>
      <c r="Q88" s="2">
        <v>46266</v>
      </c>
      <c r="R88" s="10" t="s">
        <v>5</v>
      </c>
      <c r="S88" s="95">
        <v>46113</v>
      </c>
      <c r="T88" s="2">
        <v>46143</v>
      </c>
      <c r="U88" s="2">
        <v>46174</v>
      </c>
      <c r="V88" s="2">
        <v>46204</v>
      </c>
      <c r="W88" s="2">
        <v>46235</v>
      </c>
      <c r="X88" s="2">
        <v>46266</v>
      </c>
      <c r="Y88" s="10" t="s">
        <v>5</v>
      </c>
    </row>
    <row r="89" spans="3:25" hidden="1" x14ac:dyDescent="0.4">
      <c r="C89" s="60" t="s">
        <v>6</v>
      </c>
      <c r="D89" s="22" t="s">
        <v>7</v>
      </c>
      <c r="E89" s="4">
        <f t="shared" ref="E89:J92" si="82">E56-E39</f>
        <v>0</v>
      </c>
      <c r="F89" s="4">
        <f t="shared" si="82"/>
        <v>0</v>
      </c>
      <c r="G89" s="4">
        <f t="shared" si="82"/>
        <v>0</v>
      </c>
      <c r="H89" s="4">
        <f t="shared" si="82"/>
        <v>-773.90000000000009</v>
      </c>
      <c r="I89" s="4">
        <f t="shared" si="82"/>
        <v>0</v>
      </c>
      <c r="J89" s="4">
        <f t="shared" si="82"/>
        <v>0</v>
      </c>
      <c r="K89" s="7">
        <f t="shared" ref="K89:K95" si="83">SUM(E89:J89)</f>
        <v>-773.90000000000009</v>
      </c>
      <c r="L89" s="4">
        <f t="shared" ref="L89:Q92" si="84">L56-L39</f>
        <v>0</v>
      </c>
      <c r="M89" s="4">
        <f t="shared" si="84"/>
        <v>0</v>
      </c>
      <c r="N89" s="4">
        <f t="shared" si="84"/>
        <v>0</v>
      </c>
      <c r="O89" s="4">
        <f t="shared" si="84"/>
        <v>-162.19999999999999</v>
      </c>
      <c r="P89" s="4">
        <f t="shared" si="84"/>
        <v>0</v>
      </c>
      <c r="Q89" s="4">
        <f t="shared" si="84"/>
        <v>0</v>
      </c>
      <c r="R89" s="7">
        <f t="shared" ref="R89:R95" si="85">SUM(L89:Q89)</f>
        <v>-162.19999999999999</v>
      </c>
      <c r="S89" s="11" t="e">
        <f t="shared" ref="S89:Y100" si="86">S56-S39</f>
        <v>#VALUE!</v>
      </c>
      <c r="T89" s="11" t="e">
        <f t="shared" si="86"/>
        <v>#VALUE!</v>
      </c>
      <c r="U89" s="11" t="e">
        <f t="shared" si="86"/>
        <v>#VALUE!</v>
      </c>
      <c r="V89" s="11">
        <f t="shared" si="86"/>
        <v>-6.9093956606759988E-3</v>
      </c>
      <c r="W89" s="11" t="e">
        <f t="shared" si="86"/>
        <v>#VALUE!</v>
      </c>
      <c r="X89" s="11" t="e">
        <f t="shared" si="86"/>
        <v>#VALUE!</v>
      </c>
      <c r="Y89" s="12">
        <f t="shared" si="86"/>
        <v>-6.9093956606759988E-3</v>
      </c>
    </row>
    <row r="90" spans="3:25" hidden="1" x14ac:dyDescent="0.4">
      <c r="C90" s="60" t="s">
        <v>8</v>
      </c>
      <c r="D90" s="22" t="s">
        <v>9</v>
      </c>
      <c r="E90" s="4">
        <f t="shared" si="82"/>
        <v>0</v>
      </c>
      <c r="F90" s="4">
        <f t="shared" si="82"/>
        <v>-55</v>
      </c>
      <c r="G90" s="4">
        <f t="shared" si="82"/>
        <v>0</v>
      </c>
      <c r="H90" s="4">
        <f t="shared" si="82"/>
        <v>0</v>
      </c>
      <c r="I90" s="4">
        <f t="shared" si="82"/>
        <v>0</v>
      </c>
      <c r="J90" s="4">
        <f t="shared" si="82"/>
        <v>0</v>
      </c>
      <c r="K90" s="7">
        <f t="shared" si="83"/>
        <v>-55</v>
      </c>
      <c r="L90" s="4">
        <f t="shared" si="84"/>
        <v>0</v>
      </c>
      <c r="M90" s="4">
        <f t="shared" si="84"/>
        <v>-13.5</v>
      </c>
      <c r="N90" s="4">
        <f t="shared" si="84"/>
        <v>0</v>
      </c>
      <c r="O90" s="4">
        <f t="shared" si="84"/>
        <v>0</v>
      </c>
      <c r="P90" s="4">
        <f t="shared" si="84"/>
        <v>0</v>
      </c>
      <c r="Q90" s="4">
        <f t="shared" si="84"/>
        <v>0</v>
      </c>
      <c r="R90" s="7">
        <f t="shared" si="85"/>
        <v>-13.5</v>
      </c>
      <c r="S90" s="11" t="e">
        <f t="shared" si="86"/>
        <v>#VALUE!</v>
      </c>
      <c r="T90" s="11" t="e">
        <f t="shared" si="86"/>
        <v>#VALUE!</v>
      </c>
      <c r="U90" s="11" t="e">
        <f t="shared" si="86"/>
        <v>#VALUE!</v>
      </c>
      <c r="V90" s="11" t="e">
        <f t="shared" si="86"/>
        <v>#VALUE!</v>
      </c>
      <c r="W90" s="11" t="e">
        <f t="shared" si="86"/>
        <v>#VALUE!</v>
      </c>
      <c r="X90" s="11" t="e">
        <f t="shared" si="86"/>
        <v>#VALUE!</v>
      </c>
      <c r="Y90" s="12" t="e">
        <f t="shared" si="86"/>
        <v>#VALUE!</v>
      </c>
    </row>
    <row r="91" spans="3:25" hidden="1" x14ac:dyDescent="0.4">
      <c r="C91" s="60" t="s">
        <v>10</v>
      </c>
      <c r="D91" s="22" t="s">
        <v>11</v>
      </c>
      <c r="E91" s="4">
        <f t="shared" si="82"/>
        <v>0</v>
      </c>
      <c r="F91" s="4">
        <f t="shared" si="82"/>
        <v>0</v>
      </c>
      <c r="G91" s="4">
        <f t="shared" si="82"/>
        <v>0</v>
      </c>
      <c r="H91" s="4">
        <f t="shared" si="82"/>
        <v>0</v>
      </c>
      <c r="I91" s="4">
        <f t="shared" si="82"/>
        <v>0</v>
      </c>
      <c r="J91" s="4">
        <f t="shared" si="82"/>
        <v>0</v>
      </c>
      <c r="K91" s="7">
        <f t="shared" si="83"/>
        <v>0</v>
      </c>
      <c r="L91" s="4">
        <f t="shared" si="84"/>
        <v>0</v>
      </c>
      <c r="M91" s="4">
        <f t="shared" si="84"/>
        <v>0</v>
      </c>
      <c r="N91" s="4">
        <f t="shared" si="84"/>
        <v>0</v>
      </c>
      <c r="O91" s="4">
        <f t="shared" si="84"/>
        <v>0</v>
      </c>
      <c r="P91" s="4">
        <f t="shared" si="84"/>
        <v>0</v>
      </c>
      <c r="Q91" s="4">
        <f t="shared" si="84"/>
        <v>0</v>
      </c>
      <c r="R91" s="7">
        <f t="shared" si="85"/>
        <v>0</v>
      </c>
      <c r="S91" s="11" t="e">
        <f t="shared" si="86"/>
        <v>#VALUE!</v>
      </c>
      <c r="T91" s="11" t="e">
        <f t="shared" si="86"/>
        <v>#VALUE!</v>
      </c>
      <c r="U91" s="11" t="e">
        <f t="shared" si="86"/>
        <v>#VALUE!</v>
      </c>
      <c r="V91" s="11" t="e">
        <f t="shared" si="86"/>
        <v>#VALUE!</v>
      </c>
      <c r="W91" s="11" t="e">
        <f t="shared" si="86"/>
        <v>#VALUE!</v>
      </c>
      <c r="X91" s="11" t="e">
        <f t="shared" si="86"/>
        <v>#VALUE!</v>
      </c>
      <c r="Y91" s="12" t="e">
        <f t="shared" si="86"/>
        <v>#VALUE!</v>
      </c>
    </row>
    <row r="92" spans="3:25" hidden="1" x14ac:dyDescent="0.4">
      <c r="C92" s="60" t="s">
        <v>12</v>
      </c>
      <c r="D92" s="22" t="s">
        <v>13</v>
      </c>
      <c r="E92" s="4">
        <f t="shared" si="82"/>
        <v>0</v>
      </c>
      <c r="F92" s="4">
        <f t="shared" si="82"/>
        <v>0</v>
      </c>
      <c r="G92" s="4">
        <f t="shared" si="82"/>
        <v>0</v>
      </c>
      <c r="H92" s="4">
        <f t="shared" si="82"/>
        <v>0</v>
      </c>
      <c r="I92" s="4">
        <f t="shared" si="82"/>
        <v>0</v>
      </c>
      <c r="J92" s="4">
        <f t="shared" si="82"/>
        <v>0</v>
      </c>
      <c r="K92" s="7">
        <f t="shared" si="83"/>
        <v>0</v>
      </c>
      <c r="L92" s="4">
        <f t="shared" si="84"/>
        <v>0</v>
      </c>
      <c r="M92" s="4">
        <f t="shared" si="84"/>
        <v>0</v>
      </c>
      <c r="N92" s="4">
        <f t="shared" si="84"/>
        <v>0</v>
      </c>
      <c r="O92" s="4">
        <f t="shared" si="84"/>
        <v>0</v>
      </c>
      <c r="P92" s="4">
        <f t="shared" si="84"/>
        <v>0</v>
      </c>
      <c r="Q92" s="4">
        <f t="shared" si="84"/>
        <v>0</v>
      </c>
      <c r="R92" s="7">
        <f t="shared" si="85"/>
        <v>0</v>
      </c>
      <c r="S92" s="11" t="e">
        <f t="shared" si="86"/>
        <v>#VALUE!</v>
      </c>
      <c r="T92" s="11" t="e">
        <f t="shared" si="86"/>
        <v>#VALUE!</v>
      </c>
      <c r="U92" s="11" t="e">
        <f t="shared" si="86"/>
        <v>#VALUE!</v>
      </c>
      <c r="V92" s="11" t="e">
        <f t="shared" si="86"/>
        <v>#VALUE!</v>
      </c>
      <c r="W92" s="11" t="e">
        <f t="shared" si="86"/>
        <v>#VALUE!</v>
      </c>
      <c r="X92" s="11" t="e">
        <f t="shared" si="86"/>
        <v>#VALUE!</v>
      </c>
      <c r="Y92" s="12" t="e">
        <f t="shared" si="86"/>
        <v>#VALUE!</v>
      </c>
    </row>
    <row r="93" spans="3:25" hidden="1" x14ac:dyDescent="0.4">
      <c r="C93" s="60" t="s">
        <v>14</v>
      </c>
      <c r="D93" s="22"/>
      <c r="E93" s="4">
        <f t="shared" ref="E93:J93" si="87">SUM(E89:E92)</f>
        <v>0</v>
      </c>
      <c r="F93" s="4">
        <f t="shared" si="87"/>
        <v>-55</v>
      </c>
      <c r="G93" s="4">
        <f t="shared" si="87"/>
        <v>0</v>
      </c>
      <c r="H93" s="4">
        <f t="shared" si="87"/>
        <v>-773.90000000000009</v>
      </c>
      <c r="I93" s="4">
        <f t="shared" si="87"/>
        <v>0</v>
      </c>
      <c r="J93" s="4">
        <f t="shared" si="87"/>
        <v>0</v>
      </c>
      <c r="K93" s="7">
        <f t="shared" si="83"/>
        <v>-828.90000000000009</v>
      </c>
      <c r="L93" s="4">
        <f t="shared" ref="L93:Q93" si="88">SUM(L89:L92)</f>
        <v>0</v>
      </c>
      <c r="M93" s="4">
        <f t="shared" si="88"/>
        <v>-13.5</v>
      </c>
      <c r="N93" s="4">
        <f t="shared" si="88"/>
        <v>0</v>
      </c>
      <c r="O93" s="4">
        <f t="shared" si="88"/>
        <v>-162.19999999999999</v>
      </c>
      <c r="P93" s="4">
        <f t="shared" si="88"/>
        <v>0</v>
      </c>
      <c r="Q93" s="4">
        <f t="shared" si="88"/>
        <v>0</v>
      </c>
      <c r="R93" s="7">
        <f t="shared" si="85"/>
        <v>-175.7</v>
      </c>
      <c r="S93" s="11" t="e">
        <f t="shared" si="86"/>
        <v>#VALUE!</v>
      </c>
      <c r="T93" s="11" t="e">
        <f t="shared" si="86"/>
        <v>#VALUE!</v>
      </c>
      <c r="U93" s="11" t="e">
        <f t="shared" si="86"/>
        <v>#VALUE!</v>
      </c>
      <c r="V93" s="11">
        <f t="shared" si="86"/>
        <v>-6.9093956606759988E-3</v>
      </c>
      <c r="W93" s="11" t="e">
        <f t="shared" si="86"/>
        <v>#VALUE!</v>
      </c>
      <c r="X93" s="11" t="e">
        <f t="shared" si="86"/>
        <v>#VALUE!</v>
      </c>
      <c r="Y93" s="12">
        <f t="shared" si="86"/>
        <v>-8.7873150854814175E-3</v>
      </c>
    </row>
    <row r="94" spans="3:25" hidden="1" x14ac:dyDescent="0.4">
      <c r="C94" s="60" t="s">
        <v>15</v>
      </c>
      <c r="D94" s="22" t="s">
        <v>16</v>
      </c>
      <c r="E94" s="4">
        <f t="shared" ref="E94:J95" si="89">E61-E44</f>
        <v>0</v>
      </c>
      <c r="F94" s="4">
        <f t="shared" si="89"/>
        <v>0</v>
      </c>
      <c r="G94" s="4">
        <f t="shared" si="89"/>
        <v>0</v>
      </c>
      <c r="H94" s="4">
        <f t="shared" si="89"/>
        <v>0</v>
      </c>
      <c r="I94" s="4">
        <f t="shared" si="89"/>
        <v>0</v>
      </c>
      <c r="J94" s="4">
        <f t="shared" si="89"/>
        <v>0</v>
      </c>
      <c r="K94" s="7">
        <f t="shared" si="83"/>
        <v>0</v>
      </c>
      <c r="L94" s="4">
        <f t="shared" ref="L94:Q95" si="90">L61-L44</f>
        <v>0</v>
      </c>
      <c r="M94" s="4">
        <f t="shared" si="90"/>
        <v>0</v>
      </c>
      <c r="N94" s="4">
        <f t="shared" si="90"/>
        <v>0</v>
      </c>
      <c r="O94" s="4">
        <f t="shared" si="90"/>
        <v>0</v>
      </c>
      <c r="P94" s="4">
        <f t="shared" si="90"/>
        <v>0</v>
      </c>
      <c r="Q94" s="4">
        <f t="shared" si="90"/>
        <v>0</v>
      </c>
      <c r="R94" s="7">
        <f t="shared" si="85"/>
        <v>0</v>
      </c>
      <c r="S94" s="11" t="e">
        <f t="shared" si="86"/>
        <v>#VALUE!</v>
      </c>
      <c r="T94" s="11" t="e">
        <f t="shared" si="86"/>
        <v>#VALUE!</v>
      </c>
      <c r="U94" s="11" t="e">
        <f t="shared" si="86"/>
        <v>#VALUE!</v>
      </c>
      <c r="V94" s="11" t="e">
        <f t="shared" si="86"/>
        <v>#VALUE!</v>
      </c>
      <c r="W94" s="11" t="e">
        <f t="shared" si="86"/>
        <v>#VALUE!</v>
      </c>
      <c r="X94" s="11" t="e">
        <f t="shared" si="86"/>
        <v>#VALUE!</v>
      </c>
      <c r="Y94" s="12" t="e">
        <f t="shared" si="86"/>
        <v>#VALUE!</v>
      </c>
    </row>
    <row r="95" spans="3:25" hidden="1" x14ac:dyDescent="0.4">
      <c r="C95" s="60" t="s">
        <v>17</v>
      </c>
      <c r="D95" s="22" t="s">
        <v>18</v>
      </c>
      <c r="E95" s="4">
        <f t="shared" si="89"/>
        <v>0</v>
      </c>
      <c r="F95" s="4">
        <f t="shared" si="89"/>
        <v>0</v>
      </c>
      <c r="G95" s="4">
        <f t="shared" si="89"/>
        <v>0</v>
      </c>
      <c r="H95" s="4">
        <f t="shared" si="89"/>
        <v>0</v>
      </c>
      <c r="I95" s="4">
        <f t="shared" si="89"/>
        <v>0</v>
      </c>
      <c r="J95" s="4">
        <f t="shared" si="89"/>
        <v>0</v>
      </c>
      <c r="K95" s="7">
        <f t="shared" si="83"/>
        <v>0</v>
      </c>
      <c r="L95" s="4">
        <f t="shared" si="90"/>
        <v>0</v>
      </c>
      <c r="M95" s="4">
        <f t="shared" si="90"/>
        <v>0</v>
      </c>
      <c r="N95" s="4">
        <f t="shared" si="90"/>
        <v>0</v>
      </c>
      <c r="O95" s="4">
        <f t="shared" si="90"/>
        <v>0</v>
      </c>
      <c r="P95" s="4">
        <f t="shared" si="90"/>
        <v>0</v>
      </c>
      <c r="Q95" s="4">
        <f t="shared" si="90"/>
        <v>0</v>
      </c>
      <c r="R95" s="7">
        <f t="shared" si="85"/>
        <v>0</v>
      </c>
      <c r="S95" s="11" t="e">
        <f t="shared" si="86"/>
        <v>#VALUE!</v>
      </c>
      <c r="T95" s="11" t="e">
        <f t="shared" si="86"/>
        <v>#VALUE!</v>
      </c>
      <c r="U95" s="11" t="e">
        <f t="shared" si="86"/>
        <v>#VALUE!</v>
      </c>
      <c r="V95" s="11" t="e">
        <f t="shared" si="86"/>
        <v>#VALUE!</v>
      </c>
      <c r="W95" s="11" t="e">
        <f t="shared" si="86"/>
        <v>#VALUE!</v>
      </c>
      <c r="X95" s="11" t="e">
        <f t="shared" si="86"/>
        <v>#VALUE!</v>
      </c>
      <c r="Y95" s="12" t="e">
        <f t="shared" si="86"/>
        <v>#VALUE!</v>
      </c>
    </row>
    <row r="96" spans="3:25" hidden="1" x14ac:dyDescent="0.4">
      <c r="C96" s="60" t="s">
        <v>19</v>
      </c>
      <c r="D96" s="22"/>
      <c r="E96" s="20">
        <f t="shared" ref="E96:R96" si="91">SUM(E94:E95)</f>
        <v>0</v>
      </c>
      <c r="F96" s="20">
        <f t="shared" si="91"/>
        <v>0</v>
      </c>
      <c r="G96" s="20">
        <f t="shared" si="91"/>
        <v>0</v>
      </c>
      <c r="H96" s="20">
        <f t="shared" si="91"/>
        <v>0</v>
      </c>
      <c r="I96" s="20">
        <f t="shared" si="91"/>
        <v>0</v>
      </c>
      <c r="J96" s="20">
        <f t="shared" si="91"/>
        <v>0</v>
      </c>
      <c r="K96" s="7">
        <f t="shared" si="91"/>
        <v>0</v>
      </c>
      <c r="L96" s="20">
        <f t="shared" si="91"/>
        <v>0</v>
      </c>
      <c r="M96" s="20">
        <f t="shared" si="91"/>
        <v>0</v>
      </c>
      <c r="N96" s="20">
        <f t="shared" si="91"/>
        <v>0</v>
      </c>
      <c r="O96" s="20">
        <f t="shared" si="91"/>
        <v>0</v>
      </c>
      <c r="P96" s="20">
        <f t="shared" si="91"/>
        <v>0</v>
      </c>
      <c r="Q96" s="20">
        <f t="shared" si="91"/>
        <v>0</v>
      </c>
      <c r="R96" s="7">
        <f t="shared" si="91"/>
        <v>0</v>
      </c>
      <c r="S96" s="11" t="e">
        <f t="shared" si="86"/>
        <v>#VALUE!</v>
      </c>
      <c r="T96" s="11" t="e">
        <f t="shared" si="86"/>
        <v>#VALUE!</v>
      </c>
      <c r="U96" s="11" t="e">
        <f t="shared" si="86"/>
        <v>#VALUE!</v>
      </c>
      <c r="V96" s="11" t="e">
        <f t="shared" si="86"/>
        <v>#VALUE!</v>
      </c>
      <c r="W96" s="11" t="e">
        <f t="shared" si="86"/>
        <v>#VALUE!</v>
      </c>
      <c r="X96" s="11" t="e">
        <f t="shared" si="86"/>
        <v>#VALUE!</v>
      </c>
      <c r="Y96" s="12" t="e">
        <f t="shared" si="86"/>
        <v>#VALUE!</v>
      </c>
    </row>
    <row r="97" spans="3:25" hidden="1" x14ac:dyDescent="0.4">
      <c r="C97" s="60" t="s">
        <v>20</v>
      </c>
      <c r="D97" s="22" t="s">
        <v>21</v>
      </c>
      <c r="E97" s="20">
        <f t="shared" ref="E97:J98" si="92">E64-E47</f>
        <v>-69.025000000000006</v>
      </c>
      <c r="F97" s="20">
        <f t="shared" si="92"/>
        <v>36.75</v>
      </c>
      <c r="G97" s="20">
        <f t="shared" si="92"/>
        <v>45.9</v>
      </c>
      <c r="H97" s="20">
        <f t="shared" si="92"/>
        <v>14.469999999999999</v>
      </c>
      <c r="I97" s="20">
        <f t="shared" si="92"/>
        <v>-17.340000000000003</v>
      </c>
      <c r="J97" s="20">
        <f t="shared" si="92"/>
        <v>-24.162999999999997</v>
      </c>
      <c r="K97" s="7">
        <f>SUM(E97:J97)</f>
        <v>-13.408000000000008</v>
      </c>
      <c r="L97" s="20">
        <f t="shared" ref="L97:Q98" si="93">L64-L47</f>
        <v>-3.3850000000000016</v>
      </c>
      <c r="M97" s="20">
        <f t="shared" si="93"/>
        <v>9.2000000000000011</v>
      </c>
      <c r="N97" s="20">
        <f t="shared" si="93"/>
        <v>14.85</v>
      </c>
      <c r="O97" s="20">
        <f t="shared" si="93"/>
        <v>9.5175000000000001</v>
      </c>
      <c r="P97" s="20">
        <f t="shared" si="93"/>
        <v>8.68</v>
      </c>
      <c r="Q97" s="20">
        <f t="shared" si="93"/>
        <v>-4.7725000000000009</v>
      </c>
      <c r="R97" s="7">
        <f>SUM(L97:Q97)</f>
        <v>34.089999999999996</v>
      </c>
      <c r="S97" s="11">
        <f t="shared" si="86"/>
        <v>7.5169871962829038E-2</v>
      </c>
      <c r="T97" s="11">
        <f t="shared" si="86"/>
        <v>1.9405320813771526E-2</v>
      </c>
      <c r="U97" s="11">
        <f t="shared" si="86"/>
        <v>0.10544217687074828</v>
      </c>
      <c r="V97" s="11">
        <f t="shared" si="86"/>
        <v>8.3436309339923798E-2</v>
      </c>
      <c r="W97" s="11">
        <f t="shared" si="86"/>
        <v>0.11676293397925594</v>
      </c>
      <c r="X97" s="11">
        <f t="shared" si="86"/>
        <v>5.2298516643356774E-3</v>
      </c>
      <c r="Y97" s="12">
        <f t="shared" si="86"/>
        <v>6.6984133867879686E-2</v>
      </c>
    </row>
    <row r="98" spans="3:25" hidden="1" x14ac:dyDescent="0.4">
      <c r="C98" s="60" t="s">
        <v>22</v>
      </c>
      <c r="D98" s="83" t="s">
        <v>23</v>
      </c>
      <c r="E98" s="20">
        <f t="shared" si="92"/>
        <v>0</v>
      </c>
      <c r="F98" s="20">
        <f t="shared" si="92"/>
        <v>0</v>
      </c>
      <c r="G98" s="20">
        <f t="shared" si="92"/>
        <v>0</v>
      </c>
      <c r="H98" s="20">
        <f t="shared" si="92"/>
        <v>0</v>
      </c>
      <c r="I98" s="20">
        <f t="shared" si="92"/>
        <v>0</v>
      </c>
      <c r="J98" s="20">
        <f t="shared" si="92"/>
        <v>0</v>
      </c>
      <c r="K98" s="7">
        <f>SUM(E98:J98)</f>
        <v>0</v>
      </c>
      <c r="L98" s="20">
        <f t="shared" si="93"/>
        <v>0</v>
      </c>
      <c r="M98" s="20">
        <f t="shared" si="93"/>
        <v>0</v>
      </c>
      <c r="N98" s="20">
        <f t="shared" si="93"/>
        <v>0</v>
      </c>
      <c r="O98" s="20">
        <f t="shared" si="93"/>
        <v>0</v>
      </c>
      <c r="P98" s="20">
        <f t="shared" si="93"/>
        <v>0</v>
      </c>
      <c r="Q98" s="20">
        <f t="shared" si="93"/>
        <v>0</v>
      </c>
      <c r="R98" s="7">
        <f>SUM(L98:Q98)</f>
        <v>0</v>
      </c>
      <c r="S98" s="11" t="e">
        <f t="shared" si="86"/>
        <v>#VALUE!</v>
      </c>
      <c r="T98" s="11" t="e">
        <f t="shared" si="86"/>
        <v>#VALUE!</v>
      </c>
      <c r="U98" s="11" t="e">
        <f t="shared" si="86"/>
        <v>#VALUE!</v>
      </c>
      <c r="V98" s="11" t="e">
        <f t="shared" si="86"/>
        <v>#VALUE!</v>
      </c>
      <c r="W98" s="11" t="e">
        <f t="shared" si="86"/>
        <v>#VALUE!</v>
      </c>
      <c r="X98" s="11" t="e">
        <f t="shared" si="86"/>
        <v>#VALUE!</v>
      </c>
      <c r="Y98" s="12" t="e">
        <f t="shared" si="86"/>
        <v>#VALUE!</v>
      </c>
    </row>
    <row r="99" spans="3:25" hidden="1" x14ac:dyDescent="0.4">
      <c r="C99" s="82" t="s">
        <v>24</v>
      </c>
      <c r="D99" s="83"/>
      <c r="E99" s="20">
        <f t="shared" ref="E99:R99" si="94">SUM(E97:E98)</f>
        <v>-69.025000000000006</v>
      </c>
      <c r="F99" s="20">
        <f t="shared" si="94"/>
        <v>36.75</v>
      </c>
      <c r="G99" s="20">
        <f t="shared" si="94"/>
        <v>45.9</v>
      </c>
      <c r="H99" s="20">
        <f t="shared" si="94"/>
        <v>14.469999999999999</v>
      </c>
      <c r="I99" s="20">
        <f t="shared" si="94"/>
        <v>-17.340000000000003</v>
      </c>
      <c r="J99" s="20">
        <f t="shared" si="94"/>
        <v>-24.162999999999997</v>
      </c>
      <c r="K99" s="7">
        <f t="shared" si="94"/>
        <v>-13.408000000000008</v>
      </c>
      <c r="L99" s="20">
        <f t="shared" si="94"/>
        <v>-3.3850000000000016</v>
      </c>
      <c r="M99" s="20">
        <f t="shared" si="94"/>
        <v>9.2000000000000011</v>
      </c>
      <c r="N99" s="20">
        <f t="shared" si="94"/>
        <v>14.85</v>
      </c>
      <c r="O99" s="20">
        <f t="shared" si="94"/>
        <v>9.5175000000000001</v>
      </c>
      <c r="P99" s="20">
        <f t="shared" si="94"/>
        <v>8.68</v>
      </c>
      <c r="Q99" s="20">
        <f t="shared" si="94"/>
        <v>-4.7725000000000009</v>
      </c>
      <c r="R99" s="7">
        <f t="shared" si="94"/>
        <v>34.089999999999996</v>
      </c>
      <c r="S99" s="11">
        <f t="shared" si="86"/>
        <v>7.5169871962829038E-2</v>
      </c>
      <c r="T99" s="11">
        <f t="shared" si="86"/>
        <v>1.9405320813771526E-2</v>
      </c>
      <c r="U99" s="11">
        <f t="shared" si="86"/>
        <v>0.10544217687074828</v>
      </c>
      <c r="V99" s="11">
        <f t="shared" si="86"/>
        <v>8.3436309339923798E-2</v>
      </c>
      <c r="W99" s="11">
        <f t="shared" si="86"/>
        <v>0.11676293397925594</v>
      </c>
      <c r="X99" s="11">
        <f t="shared" si="86"/>
        <v>5.2298516643356774E-3</v>
      </c>
      <c r="Y99" s="12">
        <f t="shared" si="86"/>
        <v>6.6984133867879686E-2</v>
      </c>
    </row>
    <row r="100" spans="3:25" hidden="1" x14ac:dyDescent="0.4">
      <c r="C100" s="53" t="s">
        <v>5</v>
      </c>
      <c r="D100" s="54"/>
      <c r="E100" s="8">
        <f t="shared" ref="E100:R100" si="95">E93+E96+E99</f>
        <v>-69.025000000000006</v>
      </c>
      <c r="F100" s="8">
        <f t="shared" si="95"/>
        <v>-18.25</v>
      </c>
      <c r="G100" s="8">
        <f t="shared" si="95"/>
        <v>45.9</v>
      </c>
      <c r="H100" s="8">
        <f t="shared" si="95"/>
        <v>-759.43000000000006</v>
      </c>
      <c r="I100" s="8">
        <f t="shared" si="95"/>
        <v>-17.340000000000003</v>
      </c>
      <c r="J100" s="8">
        <f t="shared" si="95"/>
        <v>-24.162999999999997</v>
      </c>
      <c r="K100" s="9">
        <f t="shared" si="95"/>
        <v>-842.30800000000011</v>
      </c>
      <c r="L100" s="8">
        <f t="shared" si="95"/>
        <v>-3.3850000000000016</v>
      </c>
      <c r="M100" s="8">
        <f t="shared" si="95"/>
        <v>-4.2999999999999989</v>
      </c>
      <c r="N100" s="8">
        <f t="shared" si="95"/>
        <v>14.85</v>
      </c>
      <c r="O100" s="8">
        <f t="shared" si="95"/>
        <v>-152.68249999999998</v>
      </c>
      <c r="P100" s="8">
        <f t="shared" si="95"/>
        <v>8.68</v>
      </c>
      <c r="Q100" s="8">
        <f t="shared" si="95"/>
        <v>-4.7725000000000009</v>
      </c>
      <c r="R100" s="9">
        <f t="shared" si="95"/>
        <v>-141.60999999999999</v>
      </c>
      <c r="S100" s="14">
        <f t="shared" si="86"/>
        <v>7.5169871962829038E-2</v>
      </c>
      <c r="T100" s="14">
        <f t="shared" si="86"/>
        <v>-2.2581472927893087E-3</v>
      </c>
      <c r="U100" s="14">
        <f t="shared" si="86"/>
        <v>0.10544217687074828</v>
      </c>
      <c r="V100" s="14">
        <f t="shared" si="86"/>
        <v>2.6952601032797507E-3</v>
      </c>
      <c r="W100" s="14">
        <f t="shared" si="86"/>
        <v>0.11676293397925594</v>
      </c>
      <c r="X100" s="14">
        <f t="shared" si="86"/>
        <v>5.2298516643356774E-3</v>
      </c>
      <c r="Y100" s="15">
        <f t="shared" si="86"/>
        <v>2.3113824239420711E-2</v>
      </c>
    </row>
    <row r="101" spans="3:25" hidden="1" x14ac:dyDescent="0.4">
      <c r="C101" s="18"/>
      <c r="E101" s="17"/>
      <c r="F101" s="17"/>
      <c r="G101" s="17"/>
      <c r="H101" s="17"/>
      <c r="I101" s="17"/>
      <c r="J101" s="17"/>
      <c r="K101" s="18"/>
      <c r="L101" s="17"/>
      <c r="M101" s="17"/>
      <c r="N101" s="17"/>
      <c r="O101" s="17"/>
      <c r="P101" s="17"/>
      <c r="Q101" s="17"/>
      <c r="R101" s="18"/>
      <c r="S101" s="19"/>
      <c r="T101" s="19"/>
      <c r="U101" s="19"/>
      <c r="V101" s="19"/>
      <c r="W101" s="19"/>
      <c r="X101" s="19"/>
      <c r="Y101" s="19"/>
    </row>
    <row r="102" spans="3:25" x14ac:dyDescent="0.4">
      <c r="C102" s="18" t="s">
        <v>32</v>
      </c>
    </row>
    <row r="103" spans="3:25" x14ac:dyDescent="0.4">
      <c r="C103" s="120"/>
      <c r="D103" s="119"/>
      <c r="E103" s="120" t="s">
        <v>2</v>
      </c>
      <c r="F103" s="118"/>
      <c r="G103" s="118"/>
      <c r="H103" s="118"/>
      <c r="I103" s="118"/>
      <c r="J103" s="118"/>
      <c r="K103" s="119"/>
      <c r="L103" s="117" t="s">
        <v>3</v>
      </c>
      <c r="M103" s="118"/>
      <c r="N103" s="118"/>
      <c r="O103" s="118"/>
      <c r="P103" s="118"/>
      <c r="Q103" s="118"/>
      <c r="R103" s="119"/>
      <c r="S103" s="117" t="s">
        <v>4</v>
      </c>
      <c r="T103" s="118"/>
      <c r="U103" s="118"/>
      <c r="V103" s="118"/>
      <c r="W103" s="118"/>
      <c r="X103" s="118"/>
      <c r="Y103" s="119"/>
    </row>
    <row r="104" spans="3:25" x14ac:dyDescent="0.4">
      <c r="C104" s="1"/>
      <c r="D104" s="21"/>
      <c r="E104" s="61">
        <v>46113</v>
      </c>
      <c r="F104" s="2">
        <v>46143</v>
      </c>
      <c r="G104" s="2">
        <v>46174</v>
      </c>
      <c r="H104" s="2">
        <v>46204</v>
      </c>
      <c r="I104" s="2">
        <v>46235</v>
      </c>
      <c r="J104" s="2">
        <v>46266</v>
      </c>
      <c r="K104" s="10" t="s">
        <v>5</v>
      </c>
      <c r="L104" s="95">
        <v>46113</v>
      </c>
      <c r="M104" s="2">
        <v>46143</v>
      </c>
      <c r="N104" s="2">
        <v>46174</v>
      </c>
      <c r="O104" s="2">
        <v>46204</v>
      </c>
      <c r="P104" s="2">
        <v>46235</v>
      </c>
      <c r="Q104" s="2">
        <v>46266</v>
      </c>
      <c r="R104" s="10" t="s">
        <v>5</v>
      </c>
      <c r="S104" s="95">
        <v>46113</v>
      </c>
      <c r="T104" s="2">
        <v>46143</v>
      </c>
      <c r="U104" s="2">
        <v>46174</v>
      </c>
      <c r="V104" s="2">
        <v>46204</v>
      </c>
      <c r="W104" s="2">
        <v>46235</v>
      </c>
      <c r="X104" s="2">
        <v>46266</v>
      </c>
      <c r="Y104" s="10" t="s">
        <v>5</v>
      </c>
    </row>
    <row r="105" spans="3:25" x14ac:dyDescent="0.4">
      <c r="C105" s="60" t="s">
        <v>6</v>
      </c>
      <c r="D105" s="22" t="s">
        <v>7</v>
      </c>
      <c r="E105" s="4">
        <v>8.3699999999999992</v>
      </c>
      <c r="F105" s="4"/>
      <c r="G105" s="4"/>
      <c r="H105" s="4"/>
      <c r="I105" s="4">
        <v>0</v>
      </c>
      <c r="J105" s="4">
        <v>0</v>
      </c>
      <c r="K105" s="7">
        <f t="shared" ref="K105:K111" si="96">SUM(E105:J105)</f>
        <v>8.3699999999999992</v>
      </c>
      <c r="L105" s="4">
        <v>8.11</v>
      </c>
      <c r="M105" s="4"/>
      <c r="N105" s="4"/>
      <c r="O105" s="4"/>
      <c r="P105" s="4">
        <v>0</v>
      </c>
      <c r="Q105" s="4">
        <v>0</v>
      </c>
      <c r="R105" s="7">
        <f t="shared" ref="R105:R111" si="97">SUM(L105:Q105)</f>
        <v>8.11</v>
      </c>
      <c r="S105" s="11">
        <f t="shared" ref="S105:S113" si="98">IF(E105=0,"***",L105/E105)</f>
        <v>0.96893667861409805</v>
      </c>
      <c r="T105" s="11" t="str">
        <f t="shared" ref="T105:T113" si="99">IF(F105=0,"***",M105/F105)</f>
        <v>***</v>
      </c>
      <c r="U105" s="11" t="str">
        <f t="shared" ref="U105:U113" si="100">IF(G105=0,"***",N105/G105)</f>
        <v>***</v>
      </c>
      <c r="V105" s="11" t="str">
        <f t="shared" ref="V105:V113" si="101">IF(H105=0,"***",O105/H105)</f>
        <v>***</v>
      </c>
      <c r="W105" s="11" t="str">
        <f t="shared" ref="W105:W113" si="102">IF(I105=0,"***",P105/I105)</f>
        <v>***</v>
      </c>
      <c r="X105" s="11" t="str">
        <f t="shared" ref="X105:X113" si="103">IF(J105=0,"***",Q105/J105)</f>
        <v>***</v>
      </c>
      <c r="Y105" s="12">
        <f t="shared" ref="Y105:Y113" si="104">IF(K105=0,"***",R105/K105)</f>
        <v>0.96893667861409805</v>
      </c>
    </row>
    <row r="106" spans="3:25" x14ac:dyDescent="0.4">
      <c r="C106" s="60" t="s">
        <v>8</v>
      </c>
      <c r="D106" s="22" t="s">
        <v>9</v>
      </c>
      <c r="E106" s="4"/>
      <c r="F106" s="4"/>
      <c r="G106" s="4"/>
      <c r="H106" s="4"/>
      <c r="I106" s="4">
        <v>0</v>
      </c>
      <c r="J106" s="4">
        <v>0</v>
      </c>
      <c r="K106" s="7">
        <f t="shared" si="96"/>
        <v>0</v>
      </c>
      <c r="L106" s="4"/>
      <c r="M106" s="4"/>
      <c r="N106" s="4"/>
      <c r="O106" s="4"/>
      <c r="P106" s="4">
        <v>0</v>
      </c>
      <c r="Q106" s="4">
        <v>0</v>
      </c>
      <c r="R106" s="7">
        <f t="shared" si="97"/>
        <v>0</v>
      </c>
      <c r="S106" s="11" t="str">
        <f t="shared" si="98"/>
        <v>***</v>
      </c>
      <c r="T106" s="11" t="str">
        <f t="shared" si="99"/>
        <v>***</v>
      </c>
      <c r="U106" s="11" t="str">
        <f t="shared" si="100"/>
        <v>***</v>
      </c>
      <c r="V106" s="11" t="str">
        <f t="shared" si="101"/>
        <v>***</v>
      </c>
      <c r="W106" s="11" t="str">
        <f t="shared" si="102"/>
        <v>***</v>
      </c>
      <c r="X106" s="11" t="str">
        <f t="shared" si="103"/>
        <v>***</v>
      </c>
      <c r="Y106" s="12" t="str">
        <f t="shared" si="104"/>
        <v>***</v>
      </c>
    </row>
    <row r="107" spans="3:25" x14ac:dyDescent="0.4">
      <c r="C107" s="60" t="s">
        <v>10</v>
      </c>
      <c r="D107" s="22" t="s">
        <v>11</v>
      </c>
      <c r="E107" s="4"/>
      <c r="F107" s="4"/>
      <c r="G107" s="4"/>
      <c r="H107" s="4"/>
      <c r="I107" s="4">
        <v>0</v>
      </c>
      <c r="J107" s="4">
        <v>0</v>
      </c>
      <c r="K107" s="7">
        <f t="shared" si="96"/>
        <v>0</v>
      </c>
      <c r="L107" s="4"/>
      <c r="M107" s="4"/>
      <c r="N107" s="4"/>
      <c r="O107" s="4"/>
      <c r="P107" s="4">
        <v>0</v>
      </c>
      <c r="Q107" s="4">
        <v>0</v>
      </c>
      <c r="R107" s="7">
        <f t="shared" si="97"/>
        <v>0</v>
      </c>
      <c r="S107" s="11" t="str">
        <f t="shared" si="98"/>
        <v>***</v>
      </c>
      <c r="T107" s="11" t="str">
        <f t="shared" si="99"/>
        <v>***</v>
      </c>
      <c r="U107" s="11" t="str">
        <f t="shared" si="100"/>
        <v>***</v>
      </c>
      <c r="V107" s="11" t="str">
        <f t="shared" si="101"/>
        <v>***</v>
      </c>
      <c r="W107" s="11" t="str">
        <f t="shared" si="102"/>
        <v>***</v>
      </c>
      <c r="X107" s="11" t="str">
        <f t="shared" si="103"/>
        <v>***</v>
      </c>
      <c r="Y107" s="12" t="str">
        <f t="shared" si="104"/>
        <v>***</v>
      </c>
    </row>
    <row r="108" spans="3:25" x14ac:dyDescent="0.4">
      <c r="C108" s="60" t="s">
        <v>12</v>
      </c>
      <c r="D108" s="22" t="s">
        <v>13</v>
      </c>
      <c r="E108" s="4"/>
      <c r="F108" s="4"/>
      <c r="G108" s="4"/>
      <c r="H108" s="4"/>
      <c r="I108" s="4">
        <v>0</v>
      </c>
      <c r="J108" s="4">
        <v>0</v>
      </c>
      <c r="K108" s="7">
        <f t="shared" si="96"/>
        <v>0</v>
      </c>
      <c r="L108" s="4"/>
      <c r="M108" s="4"/>
      <c r="N108" s="4"/>
      <c r="O108" s="4"/>
      <c r="P108" s="4">
        <v>0</v>
      </c>
      <c r="Q108" s="4">
        <v>0</v>
      </c>
      <c r="R108" s="7">
        <f t="shared" si="97"/>
        <v>0</v>
      </c>
      <c r="S108" s="11" t="str">
        <f t="shared" si="98"/>
        <v>***</v>
      </c>
      <c r="T108" s="11" t="str">
        <f t="shared" si="99"/>
        <v>***</v>
      </c>
      <c r="U108" s="11" t="str">
        <f t="shared" si="100"/>
        <v>***</v>
      </c>
      <c r="V108" s="11" t="str">
        <f t="shared" si="101"/>
        <v>***</v>
      </c>
      <c r="W108" s="11" t="str">
        <f t="shared" si="102"/>
        <v>***</v>
      </c>
      <c r="X108" s="11" t="str">
        <f t="shared" si="103"/>
        <v>***</v>
      </c>
      <c r="Y108" s="12" t="str">
        <f t="shared" si="104"/>
        <v>***</v>
      </c>
    </row>
    <row r="109" spans="3:25" x14ac:dyDescent="0.4">
      <c r="C109" s="60" t="s">
        <v>14</v>
      </c>
      <c r="D109" s="22"/>
      <c r="E109" s="4">
        <f t="shared" ref="E109:J109" si="105">SUM(E105:E108)</f>
        <v>8.3699999999999992</v>
      </c>
      <c r="F109" s="4">
        <f t="shared" si="105"/>
        <v>0</v>
      </c>
      <c r="G109" s="4">
        <f t="shared" si="105"/>
        <v>0</v>
      </c>
      <c r="H109" s="4">
        <f t="shared" si="105"/>
        <v>0</v>
      </c>
      <c r="I109" s="4">
        <f t="shared" si="105"/>
        <v>0</v>
      </c>
      <c r="J109" s="4">
        <f t="shared" si="105"/>
        <v>0</v>
      </c>
      <c r="K109" s="7">
        <f t="shared" si="96"/>
        <v>8.3699999999999992</v>
      </c>
      <c r="L109" s="4">
        <f t="shared" ref="L109:Q109" si="106">SUM(L105:L108)</f>
        <v>8.11</v>
      </c>
      <c r="M109" s="4">
        <f t="shared" si="106"/>
        <v>0</v>
      </c>
      <c r="N109" s="4">
        <f t="shared" si="106"/>
        <v>0</v>
      </c>
      <c r="O109" s="4">
        <f t="shared" si="106"/>
        <v>0</v>
      </c>
      <c r="P109" s="4">
        <f t="shared" si="106"/>
        <v>0</v>
      </c>
      <c r="Q109" s="4">
        <f t="shared" si="106"/>
        <v>0</v>
      </c>
      <c r="R109" s="7">
        <f t="shared" si="97"/>
        <v>8.11</v>
      </c>
      <c r="S109" s="11">
        <f t="shared" si="98"/>
        <v>0.96893667861409805</v>
      </c>
      <c r="T109" s="11" t="str">
        <f t="shared" si="99"/>
        <v>***</v>
      </c>
      <c r="U109" s="11" t="str">
        <f t="shared" si="100"/>
        <v>***</v>
      </c>
      <c r="V109" s="11" t="str">
        <f t="shared" si="101"/>
        <v>***</v>
      </c>
      <c r="W109" s="11" t="str">
        <f t="shared" si="102"/>
        <v>***</v>
      </c>
      <c r="X109" s="11" t="str">
        <f t="shared" si="103"/>
        <v>***</v>
      </c>
      <c r="Y109" s="12">
        <f t="shared" si="104"/>
        <v>0.96893667861409805</v>
      </c>
    </row>
    <row r="110" spans="3:25" x14ac:dyDescent="0.4">
      <c r="C110" s="60" t="s">
        <v>15</v>
      </c>
      <c r="D110" s="22" t="s">
        <v>16</v>
      </c>
      <c r="E110" s="4"/>
      <c r="F110" s="4"/>
      <c r="G110" s="4"/>
      <c r="H110" s="4">
        <v>87.12</v>
      </c>
      <c r="I110" s="4">
        <v>46.8</v>
      </c>
      <c r="J110" s="4">
        <v>87.12</v>
      </c>
      <c r="K110" s="7">
        <f t="shared" si="96"/>
        <v>221.04000000000002</v>
      </c>
      <c r="L110" s="4"/>
      <c r="M110" s="4"/>
      <c r="N110" s="4"/>
      <c r="O110" s="4">
        <v>15.84</v>
      </c>
      <c r="P110" s="4">
        <v>7.8</v>
      </c>
      <c r="Q110" s="4">
        <v>15.84</v>
      </c>
      <c r="R110" s="7">
        <f t="shared" si="97"/>
        <v>39.480000000000004</v>
      </c>
      <c r="S110" s="11" t="str">
        <f t="shared" si="98"/>
        <v>***</v>
      </c>
      <c r="T110" s="11" t="str">
        <f t="shared" si="99"/>
        <v>***</v>
      </c>
      <c r="U110" s="11" t="str">
        <f t="shared" si="100"/>
        <v>***</v>
      </c>
      <c r="V110" s="11">
        <f t="shared" si="101"/>
        <v>0.1818181818181818</v>
      </c>
      <c r="W110" s="11">
        <f t="shared" si="102"/>
        <v>0.16666666666666669</v>
      </c>
      <c r="X110" s="11">
        <f t="shared" si="103"/>
        <v>0.1818181818181818</v>
      </c>
      <c r="Y110" s="12">
        <f t="shared" si="104"/>
        <v>0.17861020629750271</v>
      </c>
    </row>
    <row r="111" spans="3:25" x14ac:dyDescent="0.4">
      <c r="C111" s="60" t="s">
        <v>17</v>
      </c>
      <c r="D111" s="22" t="s">
        <v>18</v>
      </c>
      <c r="E111" s="4"/>
      <c r="F111" s="4"/>
      <c r="G111" s="4"/>
      <c r="H111" s="4"/>
      <c r="I111" s="4">
        <v>0</v>
      </c>
      <c r="J111" s="4">
        <v>0</v>
      </c>
      <c r="K111" s="7">
        <f t="shared" si="96"/>
        <v>0</v>
      </c>
      <c r="L111" s="4"/>
      <c r="M111" s="4"/>
      <c r="N111" s="4"/>
      <c r="O111" s="4"/>
      <c r="P111" s="4">
        <v>0</v>
      </c>
      <c r="Q111" s="4">
        <v>0</v>
      </c>
      <c r="R111" s="7">
        <f t="shared" si="97"/>
        <v>0</v>
      </c>
      <c r="S111" s="11" t="str">
        <f t="shared" si="98"/>
        <v>***</v>
      </c>
      <c r="T111" s="11" t="str">
        <f t="shared" si="99"/>
        <v>***</v>
      </c>
      <c r="U111" s="11" t="str">
        <f t="shared" si="100"/>
        <v>***</v>
      </c>
      <c r="V111" s="11" t="str">
        <f t="shared" si="101"/>
        <v>***</v>
      </c>
      <c r="W111" s="11" t="str">
        <f t="shared" si="102"/>
        <v>***</v>
      </c>
      <c r="X111" s="11" t="str">
        <f t="shared" si="103"/>
        <v>***</v>
      </c>
      <c r="Y111" s="12" t="str">
        <f t="shared" si="104"/>
        <v>***</v>
      </c>
    </row>
    <row r="112" spans="3:25" x14ac:dyDescent="0.4">
      <c r="C112" s="60" t="s">
        <v>19</v>
      </c>
      <c r="D112" s="22"/>
      <c r="E112" s="20">
        <f t="shared" ref="E112:R112" si="107">SUM(E110:E111)</f>
        <v>0</v>
      </c>
      <c r="F112" s="20">
        <f t="shared" si="107"/>
        <v>0</v>
      </c>
      <c r="G112" s="20">
        <f t="shared" si="107"/>
        <v>0</v>
      </c>
      <c r="H112" s="20">
        <f t="shared" si="107"/>
        <v>87.12</v>
      </c>
      <c r="I112" s="20">
        <f t="shared" si="107"/>
        <v>46.8</v>
      </c>
      <c r="J112" s="20">
        <f t="shared" si="107"/>
        <v>87.12</v>
      </c>
      <c r="K112" s="7">
        <f t="shared" si="107"/>
        <v>221.04000000000002</v>
      </c>
      <c r="L112" s="20">
        <f t="shared" si="107"/>
        <v>0</v>
      </c>
      <c r="M112" s="20">
        <f t="shared" si="107"/>
        <v>0</v>
      </c>
      <c r="N112" s="20">
        <f t="shared" si="107"/>
        <v>0</v>
      </c>
      <c r="O112" s="20">
        <f t="shared" si="107"/>
        <v>15.84</v>
      </c>
      <c r="P112" s="20">
        <f t="shared" si="107"/>
        <v>7.8</v>
      </c>
      <c r="Q112" s="20">
        <f t="shared" si="107"/>
        <v>15.84</v>
      </c>
      <c r="R112" s="7">
        <f t="shared" si="107"/>
        <v>39.480000000000004</v>
      </c>
      <c r="S112" s="11" t="str">
        <f t="shared" si="98"/>
        <v>***</v>
      </c>
      <c r="T112" s="11" t="str">
        <f t="shared" si="99"/>
        <v>***</v>
      </c>
      <c r="U112" s="11" t="str">
        <f t="shared" si="100"/>
        <v>***</v>
      </c>
      <c r="V112" s="11">
        <f t="shared" si="101"/>
        <v>0.1818181818181818</v>
      </c>
      <c r="W112" s="11">
        <f t="shared" si="102"/>
        <v>0.16666666666666669</v>
      </c>
      <c r="X112" s="11">
        <f t="shared" si="103"/>
        <v>0.1818181818181818</v>
      </c>
      <c r="Y112" s="12">
        <f t="shared" si="104"/>
        <v>0.17861020629750271</v>
      </c>
    </row>
    <row r="113" spans="3:25" x14ac:dyDescent="0.4">
      <c r="C113" s="60" t="s">
        <v>20</v>
      </c>
      <c r="D113" s="22" t="s">
        <v>21</v>
      </c>
      <c r="E113" s="20">
        <v>91.8</v>
      </c>
      <c r="F113" s="20">
        <v>205.68</v>
      </c>
      <c r="G113" s="109">
        <v>526.91</v>
      </c>
      <c r="H113" s="20">
        <v>155.12</v>
      </c>
      <c r="I113" s="20">
        <v>3.58</v>
      </c>
      <c r="J113" s="20">
        <v>230.8</v>
      </c>
      <c r="K113" s="7">
        <f>SUM(E113:J113)</f>
        <v>1213.8900000000001</v>
      </c>
      <c r="L113" s="20">
        <v>13.4</v>
      </c>
      <c r="M113" s="20">
        <v>26.08</v>
      </c>
      <c r="N113" s="109">
        <v>140.36000000000001</v>
      </c>
      <c r="O113" s="20">
        <v>23.66</v>
      </c>
      <c r="P113" s="20">
        <v>1.1100000000000001</v>
      </c>
      <c r="Q113" s="20">
        <v>48.7</v>
      </c>
      <c r="R113" s="7">
        <f>SUM(L113:Q113)</f>
        <v>253.31</v>
      </c>
      <c r="S113" s="11">
        <f t="shared" si="98"/>
        <v>0.1459694989106754</v>
      </c>
      <c r="T113" s="11">
        <f t="shared" si="99"/>
        <v>0.12679891092959936</v>
      </c>
      <c r="U113" s="11">
        <f t="shared" si="100"/>
        <v>0.2663832533070164</v>
      </c>
      <c r="V113" s="11">
        <f t="shared" si="101"/>
        <v>0.15252707581227437</v>
      </c>
      <c r="W113" s="11">
        <f t="shared" si="102"/>
        <v>0.31005586592178774</v>
      </c>
      <c r="X113" s="11">
        <f t="shared" si="103"/>
        <v>0.21100519930675909</v>
      </c>
      <c r="Y113" s="12">
        <f t="shared" si="104"/>
        <v>0.20867623919795036</v>
      </c>
    </row>
    <row r="114" spans="3:25" x14ac:dyDescent="0.4">
      <c r="C114" s="60" t="s">
        <v>22</v>
      </c>
      <c r="D114" s="83" t="s">
        <v>23</v>
      </c>
      <c r="E114" s="84">
        <v>0</v>
      </c>
      <c r="F114" s="84"/>
      <c r="G114" s="84"/>
      <c r="H114" s="84"/>
      <c r="I114" s="84">
        <v>0</v>
      </c>
      <c r="J114" s="84">
        <v>0</v>
      </c>
      <c r="K114" s="136">
        <f>SUM(E114:J114)</f>
        <v>0</v>
      </c>
      <c r="L114" s="84">
        <v>0</v>
      </c>
      <c r="M114" s="84"/>
      <c r="N114" s="84"/>
      <c r="O114" s="84"/>
      <c r="P114" s="84">
        <v>0</v>
      </c>
      <c r="Q114" s="84">
        <v>0</v>
      </c>
      <c r="R114" s="136">
        <f>SUM(L114:Q114)</f>
        <v>0</v>
      </c>
      <c r="S114" s="86"/>
      <c r="T114" s="86"/>
      <c r="U114" s="86"/>
      <c r="V114" s="86"/>
      <c r="W114" s="86"/>
      <c r="X114" s="86"/>
      <c r="Y114" s="87"/>
    </row>
    <row r="115" spans="3:25" x14ac:dyDescent="0.4">
      <c r="C115" s="82" t="s">
        <v>24</v>
      </c>
      <c r="D115" s="83"/>
      <c r="E115" s="20">
        <f t="shared" ref="E115:R115" si="108">SUM(E113:E114)</f>
        <v>91.8</v>
      </c>
      <c r="F115" s="20">
        <f t="shared" si="108"/>
        <v>205.68</v>
      </c>
      <c r="G115" s="20">
        <f t="shared" si="108"/>
        <v>526.91</v>
      </c>
      <c r="H115" s="20">
        <f t="shared" si="108"/>
        <v>155.12</v>
      </c>
      <c r="I115" s="20">
        <f t="shared" si="108"/>
        <v>3.58</v>
      </c>
      <c r="J115" s="20">
        <f t="shared" si="108"/>
        <v>230.8</v>
      </c>
      <c r="K115" s="7">
        <f t="shared" si="108"/>
        <v>1213.8900000000001</v>
      </c>
      <c r="L115" s="20">
        <f t="shared" si="108"/>
        <v>13.4</v>
      </c>
      <c r="M115" s="20">
        <f t="shared" si="108"/>
        <v>26.08</v>
      </c>
      <c r="N115" s="20">
        <f t="shared" si="108"/>
        <v>140.36000000000001</v>
      </c>
      <c r="O115" s="20">
        <f t="shared" si="108"/>
        <v>23.66</v>
      </c>
      <c r="P115" s="20">
        <f t="shared" si="108"/>
        <v>1.1100000000000001</v>
      </c>
      <c r="Q115" s="20">
        <f t="shared" si="108"/>
        <v>48.7</v>
      </c>
      <c r="R115" s="7">
        <f t="shared" si="108"/>
        <v>253.31</v>
      </c>
      <c r="S115" s="86"/>
      <c r="T115" s="86"/>
      <c r="U115" s="86"/>
      <c r="V115" s="86"/>
      <c r="W115" s="86"/>
      <c r="X115" s="86"/>
      <c r="Y115" s="87"/>
    </row>
    <row r="116" spans="3:25" x14ac:dyDescent="0.4">
      <c r="C116" s="53" t="s">
        <v>5</v>
      </c>
      <c r="D116" s="54"/>
      <c r="E116" s="8">
        <f t="shared" ref="E116:R116" si="109">E109+E112+E115</f>
        <v>100.17</v>
      </c>
      <c r="F116" s="8">
        <f t="shared" si="109"/>
        <v>205.68</v>
      </c>
      <c r="G116" s="8">
        <f t="shared" si="109"/>
        <v>526.91</v>
      </c>
      <c r="H116" s="8">
        <f t="shared" si="109"/>
        <v>242.24</v>
      </c>
      <c r="I116" s="8">
        <f t="shared" si="109"/>
        <v>50.379999999999995</v>
      </c>
      <c r="J116" s="8">
        <f t="shared" si="109"/>
        <v>317.92</v>
      </c>
      <c r="K116" s="9">
        <f t="shared" si="109"/>
        <v>1443.3000000000002</v>
      </c>
      <c r="L116" s="8">
        <f t="shared" si="109"/>
        <v>21.509999999999998</v>
      </c>
      <c r="M116" s="8">
        <f t="shared" si="109"/>
        <v>26.08</v>
      </c>
      <c r="N116" s="8">
        <f t="shared" si="109"/>
        <v>140.36000000000001</v>
      </c>
      <c r="O116" s="8">
        <f t="shared" si="109"/>
        <v>39.5</v>
      </c>
      <c r="P116" s="8">
        <f t="shared" si="109"/>
        <v>8.91</v>
      </c>
      <c r="Q116" s="8">
        <f t="shared" si="109"/>
        <v>64.540000000000006</v>
      </c>
      <c r="R116" s="9">
        <f t="shared" si="109"/>
        <v>300.89999999999998</v>
      </c>
      <c r="S116" s="14">
        <f t="shared" ref="S116:Y116" si="110">IF(E116=0,"***",L116/E116)</f>
        <v>0.21473495058400716</v>
      </c>
      <c r="T116" s="14">
        <f t="shared" si="110"/>
        <v>0.12679891092959936</v>
      </c>
      <c r="U116" s="14">
        <f t="shared" si="110"/>
        <v>0.2663832533070164</v>
      </c>
      <c r="V116" s="14">
        <f t="shared" si="110"/>
        <v>0.16306142668428006</v>
      </c>
      <c r="W116" s="14">
        <f t="shared" si="110"/>
        <v>0.17685589519650657</v>
      </c>
      <c r="X116" s="14">
        <f t="shared" si="110"/>
        <v>0.20300704579768497</v>
      </c>
      <c r="Y116" s="15">
        <f t="shared" si="110"/>
        <v>0.20848056537102469</v>
      </c>
    </row>
    <row r="117" spans="3:25" x14ac:dyDescent="0.4">
      <c r="C117" s="74" t="s">
        <v>25</v>
      </c>
      <c r="D117" s="75"/>
      <c r="E117" s="76"/>
      <c r="F117" s="76"/>
      <c r="G117" s="76"/>
      <c r="H117" s="76"/>
      <c r="I117" s="76"/>
      <c r="J117" s="76"/>
      <c r="K117" s="77"/>
      <c r="L117" s="78"/>
      <c r="M117" s="76"/>
      <c r="N117" s="76"/>
      <c r="O117" s="76"/>
      <c r="P117" s="76"/>
      <c r="Q117" s="76"/>
      <c r="R117" s="77">
        <f>SUM(L117:Q117)</f>
        <v>0</v>
      </c>
      <c r="S117" s="79"/>
      <c r="T117" s="80"/>
      <c r="U117" s="80"/>
      <c r="V117" s="80" t="str">
        <f>IF(H117=0,"***",O117/H117)</f>
        <v>***</v>
      </c>
      <c r="W117" s="80" t="str">
        <f>IF(I117=0,"***",P117/I117)</f>
        <v>***</v>
      </c>
      <c r="X117" s="80" t="str">
        <f>IF(J117=0,"***",Q117/J117)</f>
        <v>***</v>
      </c>
      <c r="Y117" s="81" t="str">
        <f>IF(K117=0,"***",R117/K117)</f>
        <v>***</v>
      </c>
    </row>
    <row r="118" spans="3:25" x14ac:dyDescent="0.4">
      <c r="C118" s="18"/>
      <c r="E118" s="17"/>
      <c r="F118" s="17"/>
      <c r="G118" s="17"/>
      <c r="H118" s="17"/>
      <c r="I118" s="17"/>
      <c r="J118" s="17"/>
      <c r="K118" s="18"/>
      <c r="L118" s="17"/>
      <c r="M118" s="17"/>
      <c r="N118" s="17"/>
      <c r="O118" s="17"/>
      <c r="P118" s="17"/>
      <c r="Q118" s="17"/>
      <c r="R118" s="18"/>
      <c r="S118" s="19"/>
      <c r="T118" s="19"/>
      <c r="U118" s="19"/>
      <c r="V118" s="19"/>
      <c r="W118" s="19"/>
      <c r="X118" s="19"/>
      <c r="Y118" s="19"/>
    </row>
    <row r="119" spans="3:25" x14ac:dyDescent="0.4">
      <c r="C119" s="18" t="s">
        <v>33</v>
      </c>
    </row>
    <row r="120" spans="3:25" x14ac:dyDescent="0.4">
      <c r="C120" s="120"/>
      <c r="D120" s="119"/>
      <c r="E120" s="120" t="s">
        <v>2</v>
      </c>
      <c r="F120" s="118"/>
      <c r="G120" s="118"/>
      <c r="H120" s="118"/>
      <c r="I120" s="118"/>
      <c r="J120" s="118"/>
      <c r="K120" s="119"/>
      <c r="L120" s="117" t="s">
        <v>3</v>
      </c>
      <c r="M120" s="118"/>
      <c r="N120" s="118"/>
      <c r="O120" s="118"/>
      <c r="P120" s="118"/>
      <c r="Q120" s="118"/>
      <c r="R120" s="119"/>
      <c r="S120" s="117" t="s">
        <v>4</v>
      </c>
      <c r="T120" s="118"/>
      <c r="U120" s="118"/>
      <c r="V120" s="118"/>
      <c r="W120" s="118"/>
      <c r="X120" s="118"/>
      <c r="Y120" s="119"/>
    </row>
    <row r="121" spans="3:25" x14ac:dyDescent="0.4">
      <c r="C121" s="1"/>
      <c r="D121" s="21"/>
      <c r="E121" s="61">
        <v>46113</v>
      </c>
      <c r="F121" s="2">
        <v>46143</v>
      </c>
      <c r="G121" s="2">
        <v>46174</v>
      </c>
      <c r="H121" s="2">
        <v>46204</v>
      </c>
      <c r="I121" s="2">
        <v>46235</v>
      </c>
      <c r="J121" s="2">
        <v>46266</v>
      </c>
      <c r="K121" s="10" t="s">
        <v>5</v>
      </c>
      <c r="L121" s="95">
        <v>46113</v>
      </c>
      <c r="M121" s="2">
        <v>46143</v>
      </c>
      <c r="N121" s="2">
        <v>46174</v>
      </c>
      <c r="O121" s="2">
        <v>46204</v>
      </c>
      <c r="P121" s="2">
        <v>46235</v>
      </c>
      <c r="Q121" s="2">
        <v>46266</v>
      </c>
      <c r="R121" s="10" t="s">
        <v>5</v>
      </c>
      <c r="S121" s="95">
        <v>46113</v>
      </c>
      <c r="T121" s="2">
        <v>46143</v>
      </c>
      <c r="U121" s="2">
        <v>46174</v>
      </c>
      <c r="V121" s="2">
        <v>46204</v>
      </c>
      <c r="W121" s="2">
        <v>46235</v>
      </c>
      <c r="X121" s="2">
        <v>46266</v>
      </c>
      <c r="Y121" s="10" t="s">
        <v>5</v>
      </c>
    </row>
    <row r="122" spans="3:25" x14ac:dyDescent="0.4">
      <c r="C122" s="60" t="s">
        <v>6</v>
      </c>
      <c r="D122" s="22" t="s">
        <v>7</v>
      </c>
      <c r="E122" s="4">
        <f t="shared" ref="E122:J125" si="111">E105-E56</f>
        <v>8.3699999999999992</v>
      </c>
      <c r="F122" s="4">
        <f t="shared" si="111"/>
        <v>0</v>
      </c>
      <c r="G122" s="110">
        <f t="shared" si="111"/>
        <v>0</v>
      </c>
      <c r="H122" s="4">
        <f t="shared" si="111"/>
        <v>-300</v>
      </c>
      <c r="I122" s="4">
        <f t="shared" si="111"/>
        <v>0</v>
      </c>
      <c r="J122" s="4">
        <f t="shared" si="111"/>
        <v>0</v>
      </c>
      <c r="K122" s="7">
        <f t="shared" ref="K122:K128" si="112">SUM(E122:J122)</f>
        <v>-291.63</v>
      </c>
      <c r="L122" s="4">
        <f t="shared" ref="L122:Q125" si="113">L105-L56</f>
        <v>8.11</v>
      </c>
      <c r="M122" s="4">
        <f t="shared" si="113"/>
        <v>0</v>
      </c>
      <c r="N122" s="110">
        <f t="shared" si="113"/>
        <v>0</v>
      </c>
      <c r="O122" s="4">
        <f t="shared" si="113"/>
        <v>-60</v>
      </c>
      <c r="P122" s="4">
        <f t="shared" si="113"/>
        <v>0</v>
      </c>
      <c r="Q122" s="4">
        <f t="shared" si="113"/>
        <v>0</v>
      </c>
      <c r="R122" s="7">
        <f t="shared" ref="R122:R128" si="114">SUM(L122:Q122)</f>
        <v>-51.89</v>
      </c>
      <c r="S122" s="11">
        <f t="shared" ref="S122:S133" si="115">IF(E122=0,"***",L122/E122)</f>
        <v>0.96893667861409805</v>
      </c>
      <c r="T122" s="11" t="str">
        <f t="shared" ref="T122:T133" si="116">IF(F122=0,"***",M122/F122)</f>
        <v>***</v>
      </c>
      <c r="U122" s="11" t="str">
        <f t="shared" ref="U122:U133" si="117">IF(G122=0,"***",N122/G122)</f>
        <v>***</v>
      </c>
      <c r="V122" s="11">
        <f t="shared" ref="V122:V133" si="118">IF(H122=0,"***",O122/H122)</f>
        <v>0.2</v>
      </c>
      <c r="W122" s="11" t="str">
        <f t="shared" ref="W122:W133" si="119">IF(I122=0,"***",P122/I122)</f>
        <v>***</v>
      </c>
      <c r="X122" s="11" t="str">
        <f t="shared" ref="X122:X133" si="120">IF(J122=0,"***",Q122/J122)</f>
        <v>***</v>
      </c>
      <c r="Y122" s="12">
        <f t="shared" ref="Y122:Y133" si="121">Y105-Y56</f>
        <v>0.76893667861409809</v>
      </c>
    </row>
    <row r="123" spans="3:25" x14ac:dyDescent="0.4">
      <c r="C123" s="60" t="s">
        <v>8</v>
      </c>
      <c r="D123" s="22" t="s">
        <v>9</v>
      </c>
      <c r="E123" s="4">
        <f t="shared" si="111"/>
        <v>0</v>
      </c>
      <c r="F123" s="4">
        <f t="shared" si="111"/>
        <v>0</v>
      </c>
      <c r="G123" s="110">
        <f t="shared" si="111"/>
        <v>0</v>
      </c>
      <c r="H123" s="4">
        <f t="shared" si="111"/>
        <v>0</v>
      </c>
      <c r="I123" s="4">
        <f t="shared" si="111"/>
        <v>0</v>
      </c>
      <c r="J123" s="4">
        <f t="shared" si="111"/>
        <v>0</v>
      </c>
      <c r="K123" s="7">
        <f t="shared" si="112"/>
        <v>0</v>
      </c>
      <c r="L123" s="4">
        <f t="shared" si="113"/>
        <v>0</v>
      </c>
      <c r="M123" s="4">
        <f t="shared" si="113"/>
        <v>0</v>
      </c>
      <c r="N123" s="110">
        <f t="shared" si="113"/>
        <v>0</v>
      </c>
      <c r="O123" s="4">
        <f t="shared" si="113"/>
        <v>0</v>
      </c>
      <c r="P123" s="4">
        <f t="shared" si="113"/>
        <v>0</v>
      </c>
      <c r="Q123" s="4">
        <f t="shared" si="113"/>
        <v>0</v>
      </c>
      <c r="R123" s="7">
        <f t="shared" si="114"/>
        <v>0</v>
      </c>
      <c r="S123" s="11" t="str">
        <f t="shared" si="115"/>
        <v>***</v>
      </c>
      <c r="T123" s="11" t="str">
        <f t="shared" si="116"/>
        <v>***</v>
      </c>
      <c r="U123" s="11" t="str">
        <f t="shared" si="117"/>
        <v>***</v>
      </c>
      <c r="V123" s="11" t="str">
        <f t="shared" si="118"/>
        <v>***</v>
      </c>
      <c r="W123" s="11" t="str">
        <f t="shared" si="119"/>
        <v>***</v>
      </c>
      <c r="X123" s="11" t="str">
        <f t="shared" si="120"/>
        <v>***</v>
      </c>
      <c r="Y123" s="12" t="e">
        <f t="shared" si="121"/>
        <v>#VALUE!</v>
      </c>
    </row>
    <row r="124" spans="3:25" x14ac:dyDescent="0.4">
      <c r="C124" s="60" t="s">
        <v>10</v>
      </c>
      <c r="D124" s="22" t="s">
        <v>11</v>
      </c>
      <c r="E124" s="4">
        <f t="shared" si="111"/>
        <v>0</v>
      </c>
      <c r="F124" s="4">
        <f t="shared" si="111"/>
        <v>0</v>
      </c>
      <c r="G124" s="110">
        <f t="shared" si="111"/>
        <v>0</v>
      </c>
      <c r="H124" s="4">
        <f t="shared" si="111"/>
        <v>0</v>
      </c>
      <c r="I124" s="4">
        <f t="shared" si="111"/>
        <v>0</v>
      </c>
      <c r="J124" s="4">
        <f t="shared" si="111"/>
        <v>0</v>
      </c>
      <c r="K124" s="7">
        <f t="shared" si="112"/>
        <v>0</v>
      </c>
      <c r="L124" s="4">
        <f t="shared" si="113"/>
        <v>0</v>
      </c>
      <c r="M124" s="4">
        <f t="shared" si="113"/>
        <v>0</v>
      </c>
      <c r="N124" s="110">
        <f t="shared" si="113"/>
        <v>0</v>
      </c>
      <c r="O124" s="4">
        <f t="shared" si="113"/>
        <v>0</v>
      </c>
      <c r="P124" s="4">
        <f t="shared" si="113"/>
        <v>0</v>
      </c>
      <c r="Q124" s="4">
        <f t="shared" si="113"/>
        <v>0</v>
      </c>
      <c r="R124" s="7">
        <f t="shared" si="114"/>
        <v>0</v>
      </c>
      <c r="S124" s="11" t="str">
        <f t="shared" si="115"/>
        <v>***</v>
      </c>
      <c r="T124" s="11" t="str">
        <f t="shared" si="116"/>
        <v>***</v>
      </c>
      <c r="U124" s="11" t="str">
        <f t="shared" si="117"/>
        <v>***</v>
      </c>
      <c r="V124" s="11" t="str">
        <f t="shared" si="118"/>
        <v>***</v>
      </c>
      <c r="W124" s="11" t="str">
        <f t="shared" si="119"/>
        <v>***</v>
      </c>
      <c r="X124" s="11" t="str">
        <f t="shared" si="120"/>
        <v>***</v>
      </c>
      <c r="Y124" s="12" t="e">
        <f t="shared" si="121"/>
        <v>#VALUE!</v>
      </c>
    </row>
    <row r="125" spans="3:25" x14ac:dyDescent="0.4">
      <c r="C125" s="60" t="s">
        <v>12</v>
      </c>
      <c r="D125" s="22" t="s">
        <v>13</v>
      </c>
      <c r="E125" s="4">
        <f t="shared" si="111"/>
        <v>0</v>
      </c>
      <c r="F125" s="4">
        <f t="shared" si="111"/>
        <v>0</v>
      </c>
      <c r="G125" s="110">
        <f t="shared" si="111"/>
        <v>0</v>
      </c>
      <c r="H125" s="4">
        <f t="shared" si="111"/>
        <v>0</v>
      </c>
      <c r="I125" s="4">
        <f t="shared" si="111"/>
        <v>0</v>
      </c>
      <c r="J125" s="4">
        <f t="shared" si="111"/>
        <v>0</v>
      </c>
      <c r="K125" s="7">
        <f t="shared" si="112"/>
        <v>0</v>
      </c>
      <c r="L125" s="4">
        <f t="shared" si="113"/>
        <v>0</v>
      </c>
      <c r="M125" s="4">
        <f t="shared" si="113"/>
        <v>0</v>
      </c>
      <c r="N125" s="110">
        <f t="shared" si="113"/>
        <v>0</v>
      </c>
      <c r="O125" s="4">
        <f t="shared" si="113"/>
        <v>0</v>
      </c>
      <c r="P125" s="4">
        <f t="shared" si="113"/>
        <v>0</v>
      </c>
      <c r="Q125" s="4">
        <f t="shared" si="113"/>
        <v>0</v>
      </c>
      <c r="R125" s="7">
        <f t="shared" si="114"/>
        <v>0</v>
      </c>
      <c r="S125" s="11" t="str">
        <f t="shared" si="115"/>
        <v>***</v>
      </c>
      <c r="T125" s="11" t="str">
        <f t="shared" si="116"/>
        <v>***</v>
      </c>
      <c r="U125" s="11" t="str">
        <f t="shared" si="117"/>
        <v>***</v>
      </c>
      <c r="V125" s="11" t="str">
        <f t="shared" si="118"/>
        <v>***</v>
      </c>
      <c r="W125" s="11" t="str">
        <f t="shared" si="119"/>
        <v>***</v>
      </c>
      <c r="X125" s="11" t="str">
        <f t="shared" si="120"/>
        <v>***</v>
      </c>
      <c r="Y125" s="12" t="e">
        <f t="shared" si="121"/>
        <v>#VALUE!</v>
      </c>
    </row>
    <row r="126" spans="3:25" x14ac:dyDescent="0.4">
      <c r="C126" s="60" t="s">
        <v>14</v>
      </c>
      <c r="D126" s="22"/>
      <c r="E126" s="4">
        <f t="shared" ref="E126:J126" si="122">SUM(E122:E125)</f>
        <v>8.3699999999999992</v>
      </c>
      <c r="F126" s="4">
        <f t="shared" si="122"/>
        <v>0</v>
      </c>
      <c r="G126" s="4">
        <f t="shared" si="122"/>
        <v>0</v>
      </c>
      <c r="H126" s="4">
        <f t="shared" si="122"/>
        <v>-300</v>
      </c>
      <c r="I126" s="4">
        <f t="shared" si="122"/>
        <v>0</v>
      </c>
      <c r="J126" s="4">
        <f t="shared" si="122"/>
        <v>0</v>
      </c>
      <c r="K126" s="7">
        <f t="shared" si="112"/>
        <v>-291.63</v>
      </c>
      <c r="L126" s="4">
        <f t="shared" ref="L126:Q126" si="123">SUM(L122:L125)</f>
        <v>8.11</v>
      </c>
      <c r="M126" s="4">
        <f t="shared" si="123"/>
        <v>0</v>
      </c>
      <c r="N126" s="4">
        <f t="shared" si="123"/>
        <v>0</v>
      </c>
      <c r="O126" s="4">
        <f t="shared" si="123"/>
        <v>-60</v>
      </c>
      <c r="P126" s="4">
        <f t="shared" si="123"/>
        <v>0</v>
      </c>
      <c r="Q126" s="4">
        <f t="shared" si="123"/>
        <v>0</v>
      </c>
      <c r="R126" s="7">
        <f t="shared" si="114"/>
        <v>-51.89</v>
      </c>
      <c r="S126" s="11">
        <f t="shared" si="115"/>
        <v>0.96893667861409805</v>
      </c>
      <c r="T126" s="11" t="str">
        <f t="shared" si="116"/>
        <v>***</v>
      </c>
      <c r="U126" s="11" t="str">
        <f t="shared" si="117"/>
        <v>***</v>
      </c>
      <c r="V126" s="11">
        <f t="shared" si="118"/>
        <v>0.2</v>
      </c>
      <c r="W126" s="11" t="str">
        <f t="shared" si="119"/>
        <v>***</v>
      </c>
      <c r="X126" s="11" t="str">
        <f t="shared" si="120"/>
        <v>***</v>
      </c>
      <c r="Y126" s="12">
        <f t="shared" si="121"/>
        <v>0.76893667861409809</v>
      </c>
    </row>
    <row r="127" spans="3:25" x14ac:dyDescent="0.4">
      <c r="C127" s="60" t="s">
        <v>15</v>
      </c>
      <c r="D127" s="22" t="s">
        <v>16</v>
      </c>
      <c r="E127" s="4">
        <f t="shared" ref="E127:J128" si="124">E110-E61</f>
        <v>0</v>
      </c>
      <c r="F127" s="4">
        <f t="shared" si="124"/>
        <v>0</v>
      </c>
      <c r="G127" s="110">
        <f t="shared" si="124"/>
        <v>0</v>
      </c>
      <c r="H127" s="4">
        <f t="shared" si="124"/>
        <v>87.12</v>
      </c>
      <c r="I127" s="4">
        <f t="shared" si="124"/>
        <v>46.8</v>
      </c>
      <c r="J127" s="4">
        <f t="shared" si="124"/>
        <v>87.12</v>
      </c>
      <c r="K127" s="7">
        <f t="shared" si="112"/>
        <v>221.04000000000002</v>
      </c>
      <c r="L127" s="4">
        <f t="shared" ref="L127:Q128" si="125">L110-L61</f>
        <v>0</v>
      </c>
      <c r="M127" s="4">
        <f t="shared" si="125"/>
        <v>0</v>
      </c>
      <c r="N127" s="110">
        <f t="shared" si="125"/>
        <v>0</v>
      </c>
      <c r="O127" s="4">
        <f t="shared" si="125"/>
        <v>15.84</v>
      </c>
      <c r="P127" s="4">
        <f t="shared" si="125"/>
        <v>7.8</v>
      </c>
      <c r="Q127" s="4">
        <f t="shared" si="125"/>
        <v>15.84</v>
      </c>
      <c r="R127" s="7">
        <f t="shared" si="114"/>
        <v>39.480000000000004</v>
      </c>
      <c r="S127" s="11" t="str">
        <f t="shared" si="115"/>
        <v>***</v>
      </c>
      <c r="T127" s="11" t="str">
        <f t="shared" si="116"/>
        <v>***</v>
      </c>
      <c r="U127" s="11" t="str">
        <f t="shared" si="117"/>
        <v>***</v>
      </c>
      <c r="V127" s="11">
        <f t="shared" si="118"/>
        <v>0.1818181818181818</v>
      </c>
      <c r="W127" s="11">
        <f t="shared" si="119"/>
        <v>0.16666666666666669</v>
      </c>
      <c r="X127" s="11">
        <f t="shared" si="120"/>
        <v>0.1818181818181818</v>
      </c>
      <c r="Y127" s="12" t="e">
        <f t="shared" si="121"/>
        <v>#VALUE!</v>
      </c>
    </row>
    <row r="128" spans="3:25" x14ac:dyDescent="0.4">
      <c r="C128" s="60" t="s">
        <v>17</v>
      </c>
      <c r="D128" s="22" t="s">
        <v>18</v>
      </c>
      <c r="E128" s="4">
        <f t="shared" si="124"/>
        <v>0</v>
      </c>
      <c r="F128" s="4">
        <f t="shared" si="124"/>
        <v>0</v>
      </c>
      <c r="G128" s="110">
        <f t="shared" si="124"/>
        <v>0</v>
      </c>
      <c r="H128" s="4">
        <f t="shared" si="124"/>
        <v>0</v>
      </c>
      <c r="I128" s="4">
        <f t="shared" si="124"/>
        <v>0</v>
      </c>
      <c r="J128" s="4">
        <f t="shared" si="124"/>
        <v>0</v>
      </c>
      <c r="K128" s="7">
        <f t="shared" si="112"/>
        <v>0</v>
      </c>
      <c r="L128" s="4">
        <f t="shared" si="125"/>
        <v>0</v>
      </c>
      <c r="M128" s="4">
        <f t="shared" si="125"/>
        <v>0</v>
      </c>
      <c r="N128" s="110">
        <f t="shared" si="125"/>
        <v>0</v>
      </c>
      <c r="O128" s="4">
        <f t="shared" si="125"/>
        <v>0</v>
      </c>
      <c r="P128" s="4">
        <f t="shared" si="125"/>
        <v>0</v>
      </c>
      <c r="Q128" s="4">
        <f t="shared" si="125"/>
        <v>0</v>
      </c>
      <c r="R128" s="7">
        <f t="shared" si="114"/>
        <v>0</v>
      </c>
      <c r="S128" s="11" t="str">
        <f t="shared" si="115"/>
        <v>***</v>
      </c>
      <c r="T128" s="11" t="str">
        <f t="shared" si="116"/>
        <v>***</v>
      </c>
      <c r="U128" s="11" t="str">
        <f t="shared" si="117"/>
        <v>***</v>
      </c>
      <c r="V128" s="11" t="str">
        <f t="shared" si="118"/>
        <v>***</v>
      </c>
      <c r="W128" s="11" t="str">
        <f t="shared" si="119"/>
        <v>***</v>
      </c>
      <c r="X128" s="11" t="str">
        <f t="shared" si="120"/>
        <v>***</v>
      </c>
      <c r="Y128" s="12" t="e">
        <f t="shared" si="121"/>
        <v>#VALUE!</v>
      </c>
    </row>
    <row r="129" spans="3:25" x14ac:dyDescent="0.4">
      <c r="C129" s="60" t="s">
        <v>19</v>
      </c>
      <c r="D129" s="22"/>
      <c r="E129" s="20">
        <f t="shared" ref="E129:O129" si="126">SUM(E127:E128)</f>
        <v>0</v>
      </c>
      <c r="F129" s="20">
        <f t="shared" si="126"/>
        <v>0</v>
      </c>
      <c r="G129" s="20">
        <f t="shared" si="126"/>
        <v>0</v>
      </c>
      <c r="H129" s="20">
        <f t="shared" si="126"/>
        <v>87.12</v>
      </c>
      <c r="I129" s="20">
        <f t="shared" si="126"/>
        <v>46.8</v>
      </c>
      <c r="J129" s="20">
        <f t="shared" si="126"/>
        <v>87.12</v>
      </c>
      <c r="K129" s="7">
        <f t="shared" si="126"/>
        <v>221.04000000000002</v>
      </c>
      <c r="L129" s="20">
        <f t="shared" si="126"/>
        <v>0</v>
      </c>
      <c r="M129" s="20">
        <f t="shared" si="126"/>
        <v>0</v>
      </c>
      <c r="N129" s="20">
        <f t="shared" si="126"/>
        <v>0</v>
      </c>
      <c r="O129" s="20">
        <f t="shared" si="126"/>
        <v>15.84</v>
      </c>
      <c r="P129" s="20">
        <f>SUM(P128:P128)</f>
        <v>0</v>
      </c>
      <c r="Q129" s="20">
        <f>SUM(Q127:Q128)</f>
        <v>15.84</v>
      </c>
      <c r="R129" s="7">
        <f>SUM(R127:R128)</f>
        <v>39.480000000000004</v>
      </c>
      <c r="S129" s="11" t="str">
        <f t="shared" si="115"/>
        <v>***</v>
      </c>
      <c r="T129" s="11" t="str">
        <f t="shared" si="116"/>
        <v>***</v>
      </c>
      <c r="U129" s="11" t="str">
        <f t="shared" si="117"/>
        <v>***</v>
      </c>
      <c r="V129" s="11">
        <f t="shared" si="118"/>
        <v>0.1818181818181818</v>
      </c>
      <c r="W129" s="11">
        <f t="shared" si="119"/>
        <v>0</v>
      </c>
      <c r="X129" s="11">
        <f t="shared" si="120"/>
        <v>0.1818181818181818</v>
      </c>
      <c r="Y129" s="12" t="e">
        <f t="shared" si="121"/>
        <v>#VALUE!</v>
      </c>
    </row>
    <row r="130" spans="3:25" x14ac:dyDescent="0.4">
      <c r="C130" s="60" t="s">
        <v>20</v>
      </c>
      <c r="D130" s="22" t="s">
        <v>21</v>
      </c>
      <c r="E130" s="20">
        <f t="shared" ref="E130:J131" si="127">E113-E64</f>
        <v>1.7999999999999972</v>
      </c>
      <c r="F130" s="20">
        <f t="shared" si="127"/>
        <v>115.68</v>
      </c>
      <c r="G130" s="109">
        <f t="shared" si="127"/>
        <v>436.90999999999997</v>
      </c>
      <c r="H130" s="20">
        <f t="shared" si="127"/>
        <v>65.12</v>
      </c>
      <c r="I130" s="20">
        <f t="shared" si="127"/>
        <v>-86.42</v>
      </c>
      <c r="J130" s="20">
        <f t="shared" si="127"/>
        <v>140.80000000000001</v>
      </c>
      <c r="K130" s="7">
        <f>SUM(E130:J130)</f>
        <v>673.8900000000001</v>
      </c>
      <c r="L130" s="20">
        <f t="shared" ref="L130:Q131" si="128">L113-L64</f>
        <v>-6.6</v>
      </c>
      <c r="M130" s="20">
        <f t="shared" si="128"/>
        <v>6.0799999999999983</v>
      </c>
      <c r="N130" s="109">
        <f t="shared" si="128"/>
        <v>120.36000000000001</v>
      </c>
      <c r="O130" s="20">
        <f t="shared" si="128"/>
        <v>3.66</v>
      </c>
      <c r="P130" s="20">
        <f t="shared" si="128"/>
        <v>-18.89</v>
      </c>
      <c r="Q130" s="20">
        <f t="shared" si="128"/>
        <v>28.700000000000003</v>
      </c>
      <c r="R130" s="7">
        <f>SUM(L130:Q130)</f>
        <v>133.31</v>
      </c>
      <c r="S130" s="11">
        <f t="shared" si="115"/>
        <v>-3.6666666666666723</v>
      </c>
      <c r="T130" s="11">
        <f t="shared" si="116"/>
        <v>5.2558782849239261E-2</v>
      </c>
      <c r="U130" s="11">
        <f t="shared" si="117"/>
        <v>0.27548007598818985</v>
      </c>
      <c r="V130" s="11">
        <f t="shared" si="118"/>
        <v>5.6203931203931204E-2</v>
      </c>
      <c r="W130" s="11">
        <f t="shared" si="119"/>
        <v>0.21858366118953945</v>
      </c>
      <c r="X130" s="11">
        <f t="shared" si="120"/>
        <v>0.20383522727272727</v>
      </c>
      <c r="Y130" s="12">
        <f t="shared" si="121"/>
        <v>-1.3545983024271846E-2</v>
      </c>
    </row>
    <row r="131" spans="3:25" x14ac:dyDescent="0.4">
      <c r="C131" s="60" t="s">
        <v>22</v>
      </c>
      <c r="D131" s="83" t="s">
        <v>23</v>
      </c>
      <c r="E131" s="20">
        <f t="shared" si="127"/>
        <v>0</v>
      </c>
      <c r="F131" s="20">
        <f t="shared" si="127"/>
        <v>0</v>
      </c>
      <c r="G131" s="109">
        <f t="shared" si="127"/>
        <v>0</v>
      </c>
      <c r="H131" s="20">
        <f t="shared" si="127"/>
        <v>0</v>
      </c>
      <c r="I131" s="20">
        <f t="shared" si="127"/>
        <v>0</v>
      </c>
      <c r="J131" s="20">
        <f t="shared" si="127"/>
        <v>0</v>
      </c>
      <c r="K131" s="7">
        <f>SUM(E131:J131)</f>
        <v>0</v>
      </c>
      <c r="L131" s="20">
        <f t="shared" si="128"/>
        <v>0</v>
      </c>
      <c r="M131" s="20">
        <f t="shared" si="128"/>
        <v>0</v>
      </c>
      <c r="N131" s="109">
        <f t="shared" si="128"/>
        <v>0</v>
      </c>
      <c r="O131" s="20">
        <f t="shared" si="128"/>
        <v>0</v>
      </c>
      <c r="P131" s="20">
        <f t="shared" si="128"/>
        <v>0</v>
      </c>
      <c r="Q131" s="20">
        <f t="shared" si="128"/>
        <v>0</v>
      </c>
      <c r="R131" s="7">
        <f>SUM(L131:Q131)</f>
        <v>0</v>
      </c>
      <c r="S131" s="11" t="str">
        <f t="shared" si="115"/>
        <v>***</v>
      </c>
      <c r="T131" s="11" t="str">
        <f t="shared" si="116"/>
        <v>***</v>
      </c>
      <c r="U131" s="11" t="str">
        <f t="shared" si="117"/>
        <v>***</v>
      </c>
      <c r="V131" s="11" t="str">
        <f t="shared" si="118"/>
        <v>***</v>
      </c>
      <c r="W131" s="11" t="str">
        <f t="shared" si="119"/>
        <v>***</v>
      </c>
      <c r="X131" s="11" t="str">
        <f t="shared" si="120"/>
        <v>***</v>
      </c>
      <c r="Y131" s="12">
        <f t="shared" si="121"/>
        <v>0</v>
      </c>
    </row>
    <row r="132" spans="3:25" x14ac:dyDescent="0.4">
      <c r="C132" s="82" t="s">
        <v>24</v>
      </c>
      <c r="D132" s="83"/>
      <c r="E132" s="20">
        <f t="shared" ref="E132:R132" si="129">SUM(E130:E131)</f>
        <v>1.7999999999999972</v>
      </c>
      <c r="F132" s="20">
        <f t="shared" si="129"/>
        <v>115.68</v>
      </c>
      <c r="G132" s="20">
        <f t="shared" si="129"/>
        <v>436.90999999999997</v>
      </c>
      <c r="H132" s="20">
        <f t="shared" si="129"/>
        <v>65.12</v>
      </c>
      <c r="I132" s="20">
        <f t="shared" si="129"/>
        <v>-86.42</v>
      </c>
      <c r="J132" s="20">
        <f t="shared" si="129"/>
        <v>140.80000000000001</v>
      </c>
      <c r="K132" s="7">
        <f t="shared" si="129"/>
        <v>673.8900000000001</v>
      </c>
      <c r="L132" s="20">
        <f t="shared" si="129"/>
        <v>-6.6</v>
      </c>
      <c r="M132" s="20">
        <f t="shared" si="129"/>
        <v>6.0799999999999983</v>
      </c>
      <c r="N132" s="20">
        <f t="shared" si="129"/>
        <v>120.36000000000001</v>
      </c>
      <c r="O132" s="20">
        <f t="shared" si="129"/>
        <v>3.66</v>
      </c>
      <c r="P132" s="20">
        <f t="shared" si="129"/>
        <v>-18.89</v>
      </c>
      <c r="Q132" s="20">
        <f t="shared" si="129"/>
        <v>28.700000000000003</v>
      </c>
      <c r="R132" s="7">
        <f t="shared" si="129"/>
        <v>133.31</v>
      </c>
      <c r="S132" s="86">
        <f t="shared" si="115"/>
        <v>-3.6666666666666723</v>
      </c>
      <c r="T132" s="86">
        <f t="shared" si="116"/>
        <v>5.2558782849239261E-2</v>
      </c>
      <c r="U132" s="86">
        <f t="shared" si="117"/>
        <v>0.27548007598818985</v>
      </c>
      <c r="V132" s="86">
        <f t="shared" si="118"/>
        <v>5.6203931203931204E-2</v>
      </c>
      <c r="W132" s="86">
        <f t="shared" si="119"/>
        <v>0.21858366118953945</v>
      </c>
      <c r="X132" s="86">
        <f t="shared" si="120"/>
        <v>0.20383522727272727</v>
      </c>
      <c r="Y132" s="87">
        <f t="shared" si="121"/>
        <v>-0.22222222222222221</v>
      </c>
    </row>
    <row r="133" spans="3:25" x14ac:dyDescent="0.4">
      <c r="C133" s="53" t="s">
        <v>5</v>
      </c>
      <c r="D133" s="54"/>
      <c r="E133" s="8">
        <f t="shared" ref="E133:R133" si="130">E126+E129+E132</f>
        <v>10.169999999999996</v>
      </c>
      <c r="F133" s="8">
        <f t="shared" si="130"/>
        <v>115.68</v>
      </c>
      <c r="G133" s="8">
        <f t="shared" si="130"/>
        <v>436.90999999999997</v>
      </c>
      <c r="H133" s="8">
        <f t="shared" si="130"/>
        <v>-147.76</v>
      </c>
      <c r="I133" s="8">
        <f t="shared" si="130"/>
        <v>-39.620000000000005</v>
      </c>
      <c r="J133" s="8">
        <f t="shared" si="130"/>
        <v>227.92000000000002</v>
      </c>
      <c r="K133" s="9">
        <f t="shared" si="130"/>
        <v>603.30000000000018</v>
      </c>
      <c r="L133" s="8">
        <f t="shared" si="130"/>
        <v>1.5099999999999998</v>
      </c>
      <c r="M133" s="8">
        <f t="shared" si="130"/>
        <v>6.0799999999999983</v>
      </c>
      <c r="N133" s="8">
        <f t="shared" si="130"/>
        <v>120.36000000000001</v>
      </c>
      <c r="O133" s="8">
        <f t="shared" si="130"/>
        <v>-40.5</v>
      </c>
      <c r="P133" s="8">
        <f t="shared" si="130"/>
        <v>-18.89</v>
      </c>
      <c r="Q133" s="8">
        <f t="shared" si="130"/>
        <v>44.540000000000006</v>
      </c>
      <c r="R133" s="9">
        <f t="shared" si="130"/>
        <v>120.9</v>
      </c>
      <c r="S133" s="14">
        <f t="shared" si="115"/>
        <v>0.14847590953785647</v>
      </c>
      <c r="T133" s="14">
        <f t="shared" si="116"/>
        <v>5.2558782849239261E-2</v>
      </c>
      <c r="U133" s="14">
        <f t="shared" si="117"/>
        <v>0.27548007598818985</v>
      </c>
      <c r="V133" s="14">
        <f t="shared" si="118"/>
        <v>0.27409312398484031</v>
      </c>
      <c r="W133" s="14">
        <f t="shared" si="119"/>
        <v>0.47677940434124177</v>
      </c>
      <c r="X133" s="14">
        <f t="shared" si="120"/>
        <v>0.19541944541944542</v>
      </c>
      <c r="Y133" s="15">
        <f t="shared" si="121"/>
        <v>-5.805148914689584E-3</v>
      </c>
    </row>
    <row r="134" spans="3:25" x14ac:dyDescent="0.4">
      <c r="C134" s="18"/>
      <c r="E134" s="17"/>
      <c r="F134" s="17"/>
      <c r="G134" s="17"/>
      <c r="H134" s="17"/>
      <c r="I134" s="17"/>
      <c r="J134" s="17"/>
      <c r="K134" s="18"/>
      <c r="L134" s="17"/>
      <c r="M134" s="17"/>
      <c r="N134" s="17"/>
      <c r="O134" s="17"/>
      <c r="P134" s="17"/>
      <c r="Q134" s="17"/>
      <c r="R134" s="18"/>
      <c r="S134" s="19"/>
      <c r="T134" s="19"/>
      <c r="U134" s="19"/>
      <c r="V134" s="19"/>
      <c r="W134" s="19"/>
      <c r="X134" s="19"/>
      <c r="Y134" s="19"/>
    </row>
    <row r="135" spans="3:25" x14ac:dyDescent="0.4">
      <c r="C135" s="18" t="s">
        <v>34</v>
      </c>
    </row>
    <row r="136" spans="3:25" x14ac:dyDescent="0.4">
      <c r="C136" s="120"/>
      <c r="D136" s="119"/>
      <c r="E136" s="120" t="s">
        <v>2</v>
      </c>
      <c r="F136" s="118"/>
      <c r="G136" s="118"/>
      <c r="H136" s="118"/>
      <c r="I136" s="118"/>
      <c r="J136" s="118"/>
      <c r="K136" s="119"/>
      <c r="L136" s="117" t="s">
        <v>3</v>
      </c>
      <c r="M136" s="118"/>
      <c r="N136" s="118"/>
      <c r="O136" s="118"/>
      <c r="P136" s="118"/>
      <c r="Q136" s="118"/>
      <c r="R136" s="119"/>
      <c r="S136" s="117" t="s">
        <v>4</v>
      </c>
      <c r="T136" s="118"/>
      <c r="U136" s="118"/>
      <c r="V136" s="118"/>
      <c r="W136" s="118"/>
      <c r="X136" s="118"/>
      <c r="Y136" s="119"/>
    </row>
    <row r="137" spans="3:25" x14ac:dyDescent="0.4">
      <c r="C137" s="1"/>
      <c r="D137" s="21"/>
      <c r="E137" s="61">
        <v>46113</v>
      </c>
      <c r="F137" s="2">
        <v>46143</v>
      </c>
      <c r="G137" s="2">
        <v>46174</v>
      </c>
      <c r="H137" s="2">
        <v>46204</v>
      </c>
      <c r="I137" s="2">
        <v>46235</v>
      </c>
      <c r="J137" s="2">
        <v>46266</v>
      </c>
      <c r="K137" s="10" t="s">
        <v>5</v>
      </c>
      <c r="L137" s="95">
        <v>46113</v>
      </c>
      <c r="M137" s="2">
        <v>46143</v>
      </c>
      <c r="N137" s="2">
        <v>46174</v>
      </c>
      <c r="O137" s="2">
        <v>46204</v>
      </c>
      <c r="P137" s="2">
        <v>46235</v>
      </c>
      <c r="Q137" s="2">
        <v>46266</v>
      </c>
      <c r="R137" s="10" t="s">
        <v>5</v>
      </c>
      <c r="S137" s="95">
        <v>46113</v>
      </c>
      <c r="T137" s="2">
        <v>46143</v>
      </c>
      <c r="U137" s="2">
        <v>46174</v>
      </c>
      <c r="V137" s="2">
        <v>46204</v>
      </c>
      <c r="W137" s="2">
        <v>46235</v>
      </c>
      <c r="X137" s="2">
        <v>46266</v>
      </c>
      <c r="Y137" s="10" t="s">
        <v>5</v>
      </c>
    </row>
    <row r="138" spans="3:25" x14ac:dyDescent="0.4">
      <c r="C138" s="60" t="s">
        <v>6</v>
      </c>
      <c r="D138" s="22" t="s">
        <v>7</v>
      </c>
      <c r="E138" s="4">
        <f t="shared" ref="E138:J141" si="131">E105-E22</f>
        <v>8.3699999999999992</v>
      </c>
      <c r="F138" s="4">
        <f t="shared" si="131"/>
        <v>0</v>
      </c>
      <c r="G138" s="4">
        <f t="shared" si="131"/>
        <v>0</v>
      </c>
      <c r="H138" s="4">
        <f t="shared" si="131"/>
        <v>-16</v>
      </c>
      <c r="I138" s="4">
        <f t="shared" si="131"/>
        <v>0</v>
      </c>
      <c r="J138" s="4">
        <f t="shared" si="131"/>
        <v>0</v>
      </c>
      <c r="K138" s="7">
        <f t="shared" ref="K138:K144" si="132">SUM(E138:J138)</f>
        <v>-7.6300000000000008</v>
      </c>
      <c r="L138" s="4">
        <f t="shared" ref="L138:Q141" si="133">L105-L22</f>
        <v>8.11</v>
      </c>
      <c r="M138" s="4">
        <f t="shared" si="133"/>
        <v>0</v>
      </c>
      <c r="N138" s="4">
        <f t="shared" si="133"/>
        <v>0</v>
      </c>
      <c r="O138" s="4">
        <f t="shared" si="133"/>
        <v>-16</v>
      </c>
      <c r="P138" s="4">
        <f t="shared" si="133"/>
        <v>0</v>
      </c>
      <c r="Q138" s="4">
        <f t="shared" si="133"/>
        <v>0</v>
      </c>
      <c r="R138" s="7">
        <f t="shared" ref="R138:R144" si="134">SUM(L138:Q138)</f>
        <v>-7.8900000000000006</v>
      </c>
      <c r="S138" s="11" t="e">
        <f t="shared" ref="S138:Y149" si="135">S105-S22</f>
        <v>#VALUE!</v>
      </c>
      <c r="T138" s="11" t="e">
        <f t="shared" si="135"/>
        <v>#VALUE!</v>
      </c>
      <c r="U138" s="11" t="e">
        <f t="shared" si="135"/>
        <v>#VALUE!</v>
      </c>
      <c r="V138" s="11" t="e">
        <f t="shared" si="135"/>
        <v>#VALUE!</v>
      </c>
      <c r="W138" s="11" t="e">
        <f t="shared" si="135"/>
        <v>#VALUE!</v>
      </c>
      <c r="X138" s="11" t="e">
        <f t="shared" si="135"/>
        <v>#VALUE!</v>
      </c>
      <c r="Y138" s="12">
        <f t="shared" si="135"/>
        <v>-3.1063321385901954E-2</v>
      </c>
    </row>
    <row r="139" spans="3:25" x14ac:dyDescent="0.4">
      <c r="C139" s="60" t="s">
        <v>8</v>
      </c>
      <c r="D139" s="22" t="s">
        <v>9</v>
      </c>
      <c r="E139" s="4">
        <f t="shared" si="131"/>
        <v>0</v>
      </c>
      <c r="F139" s="4">
        <f t="shared" si="131"/>
        <v>-110</v>
      </c>
      <c r="G139" s="4">
        <f t="shared" si="131"/>
        <v>0</v>
      </c>
      <c r="H139" s="4">
        <f t="shared" si="131"/>
        <v>0</v>
      </c>
      <c r="I139" s="4">
        <f t="shared" si="131"/>
        <v>0</v>
      </c>
      <c r="J139" s="4">
        <f t="shared" si="131"/>
        <v>0</v>
      </c>
      <c r="K139" s="7">
        <f t="shared" si="132"/>
        <v>-110</v>
      </c>
      <c r="L139" s="4">
        <f t="shared" si="133"/>
        <v>0</v>
      </c>
      <c r="M139" s="4">
        <f t="shared" si="133"/>
        <v>-27</v>
      </c>
      <c r="N139" s="4">
        <f t="shared" si="133"/>
        <v>0</v>
      </c>
      <c r="O139" s="4">
        <f t="shared" si="133"/>
        <v>0</v>
      </c>
      <c r="P139" s="4">
        <f t="shared" si="133"/>
        <v>0</v>
      </c>
      <c r="Q139" s="4">
        <f t="shared" si="133"/>
        <v>0</v>
      </c>
      <c r="R139" s="7">
        <f t="shared" si="134"/>
        <v>-27</v>
      </c>
      <c r="S139" s="11" t="e">
        <f t="shared" si="135"/>
        <v>#VALUE!</v>
      </c>
      <c r="T139" s="11" t="e">
        <f t="shared" si="135"/>
        <v>#VALUE!</v>
      </c>
      <c r="U139" s="11" t="e">
        <f t="shared" si="135"/>
        <v>#VALUE!</v>
      </c>
      <c r="V139" s="11" t="e">
        <f t="shared" si="135"/>
        <v>#VALUE!</v>
      </c>
      <c r="W139" s="11" t="e">
        <f t="shared" si="135"/>
        <v>#VALUE!</v>
      </c>
      <c r="X139" s="11" t="e">
        <f t="shared" si="135"/>
        <v>#VALUE!</v>
      </c>
      <c r="Y139" s="12" t="e">
        <f t="shared" si="135"/>
        <v>#VALUE!</v>
      </c>
    </row>
    <row r="140" spans="3:25" x14ac:dyDescent="0.4">
      <c r="C140" s="60" t="s">
        <v>10</v>
      </c>
      <c r="D140" s="22" t="s">
        <v>11</v>
      </c>
      <c r="E140" s="4">
        <f t="shared" si="131"/>
        <v>0</v>
      </c>
      <c r="F140" s="4">
        <f t="shared" si="131"/>
        <v>0</v>
      </c>
      <c r="G140" s="4">
        <f t="shared" si="131"/>
        <v>0</v>
      </c>
      <c r="H140" s="4">
        <f t="shared" si="131"/>
        <v>0</v>
      </c>
      <c r="I140" s="4">
        <f t="shared" si="131"/>
        <v>0</v>
      </c>
      <c r="J140" s="4">
        <f t="shared" si="131"/>
        <v>0</v>
      </c>
      <c r="K140" s="7">
        <f t="shared" si="132"/>
        <v>0</v>
      </c>
      <c r="L140" s="4">
        <f t="shared" si="133"/>
        <v>0</v>
      </c>
      <c r="M140" s="4">
        <f t="shared" si="133"/>
        <v>0</v>
      </c>
      <c r="N140" s="4">
        <f t="shared" si="133"/>
        <v>0</v>
      </c>
      <c r="O140" s="4">
        <f t="shared" si="133"/>
        <v>0</v>
      </c>
      <c r="P140" s="4">
        <f t="shared" si="133"/>
        <v>0</v>
      </c>
      <c r="Q140" s="4">
        <f t="shared" si="133"/>
        <v>0</v>
      </c>
      <c r="R140" s="7">
        <f t="shared" si="134"/>
        <v>0</v>
      </c>
      <c r="S140" s="11" t="e">
        <f t="shared" si="135"/>
        <v>#VALUE!</v>
      </c>
      <c r="T140" s="11" t="e">
        <f t="shared" si="135"/>
        <v>#VALUE!</v>
      </c>
      <c r="U140" s="11" t="e">
        <f t="shared" si="135"/>
        <v>#VALUE!</v>
      </c>
      <c r="V140" s="11" t="e">
        <f t="shared" si="135"/>
        <v>#VALUE!</v>
      </c>
      <c r="W140" s="11" t="e">
        <f t="shared" si="135"/>
        <v>#VALUE!</v>
      </c>
      <c r="X140" s="11" t="e">
        <f t="shared" si="135"/>
        <v>#VALUE!</v>
      </c>
      <c r="Y140" s="12" t="e">
        <f t="shared" si="135"/>
        <v>#VALUE!</v>
      </c>
    </row>
    <row r="141" spans="3:25" x14ac:dyDescent="0.4">
      <c r="C141" s="60" t="s">
        <v>12</v>
      </c>
      <c r="D141" s="22" t="s">
        <v>13</v>
      </c>
      <c r="E141" s="4">
        <f t="shared" si="131"/>
        <v>0</v>
      </c>
      <c r="F141" s="4">
        <f t="shared" si="131"/>
        <v>0</v>
      </c>
      <c r="G141" s="4">
        <f t="shared" si="131"/>
        <v>0</v>
      </c>
      <c r="H141" s="4">
        <f t="shared" si="131"/>
        <v>0</v>
      </c>
      <c r="I141" s="4">
        <f t="shared" si="131"/>
        <v>0</v>
      </c>
      <c r="J141" s="4">
        <f t="shared" si="131"/>
        <v>0</v>
      </c>
      <c r="K141" s="7">
        <f t="shared" si="132"/>
        <v>0</v>
      </c>
      <c r="L141" s="4">
        <f t="shared" si="133"/>
        <v>0</v>
      </c>
      <c r="M141" s="4">
        <f t="shared" si="133"/>
        <v>0</v>
      </c>
      <c r="N141" s="4">
        <f t="shared" si="133"/>
        <v>0</v>
      </c>
      <c r="O141" s="4">
        <f t="shared" si="133"/>
        <v>0</v>
      </c>
      <c r="P141" s="4">
        <f t="shared" si="133"/>
        <v>0</v>
      </c>
      <c r="Q141" s="4">
        <f t="shared" si="133"/>
        <v>0</v>
      </c>
      <c r="R141" s="7">
        <f t="shared" si="134"/>
        <v>0</v>
      </c>
      <c r="S141" s="11" t="e">
        <f t="shared" si="135"/>
        <v>#VALUE!</v>
      </c>
      <c r="T141" s="11" t="e">
        <f t="shared" si="135"/>
        <v>#VALUE!</v>
      </c>
      <c r="U141" s="11" t="e">
        <f t="shared" si="135"/>
        <v>#VALUE!</v>
      </c>
      <c r="V141" s="11" t="e">
        <f t="shared" si="135"/>
        <v>#VALUE!</v>
      </c>
      <c r="W141" s="11" t="e">
        <f t="shared" si="135"/>
        <v>#VALUE!</v>
      </c>
      <c r="X141" s="11" t="e">
        <f t="shared" si="135"/>
        <v>#VALUE!</v>
      </c>
      <c r="Y141" s="12" t="e">
        <f t="shared" si="135"/>
        <v>#VALUE!</v>
      </c>
    </row>
    <row r="142" spans="3:25" x14ac:dyDescent="0.4">
      <c r="C142" s="60" t="s">
        <v>14</v>
      </c>
      <c r="D142" s="22"/>
      <c r="E142" s="4">
        <f t="shared" ref="E142:J142" si="136">SUM(E138:E141)</f>
        <v>8.3699999999999992</v>
      </c>
      <c r="F142" s="4">
        <f t="shared" si="136"/>
        <v>-110</v>
      </c>
      <c r="G142" s="4">
        <f t="shared" si="136"/>
        <v>0</v>
      </c>
      <c r="H142" s="4">
        <f t="shared" si="136"/>
        <v>-16</v>
      </c>
      <c r="I142" s="4">
        <f t="shared" si="136"/>
        <v>0</v>
      </c>
      <c r="J142" s="4">
        <f t="shared" si="136"/>
        <v>0</v>
      </c>
      <c r="K142" s="7">
        <f t="shared" si="132"/>
        <v>-117.63</v>
      </c>
      <c r="L142" s="4">
        <f t="shared" ref="L142:Q142" si="137">SUM(L138:L141)</f>
        <v>8.11</v>
      </c>
      <c r="M142" s="4">
        <f t="shared" si="137"/>
        <v>-27</v>
      </c>
      <c r="N142" s="4">
        <f t="shared" si="137"/>
        <v>0</v>
      </c>
      <c r="O142" s="4">
        <f t="shared" si="137"/>
        <v>-16</v>
      </c>
      <c r="P142" s="4">
        <f t="shared" si="137"/>
        <v>0</v>
      </c>
      <c r="Q142" s="4">
        <f t="shared" si="137"/>
        <v>0</v>
      </c>
      <c r="R142" s="7">
        <f t="shared" si="134"/>
        <v>-34.89</v>
      </c>
      <c r="S142" s="11" t="e">
        <f t="shared" si="135"/>
        <v>#VALUE!</v>
      </c>
      <c r="T142" s="11" t="e">
        <f t="shared" si="135"/>
        <v>#VALUE!</v>
      </c>
      <c r="U142" s="11" t="e">
        <f t="shared" si="135"/>
        <v>#VALUE!</v>
      </c>
      <c r="V142" s="11" t="e">
        <f t="shared" si="135"/>
        <v>#VALUE!</v>
      </c>
      <c r="W142" s="11" t="e">
        <f t="shared" si="135"/>
        <v>#VALUE!</v>
      </c>
      <c r="X142" s="11" t="e">
        <f t="shared" si="135"/>
        <v>#VALUE!</v>
      </c>
      <c r="Y142" s="12">
        <f t="shared" si="135"/>
        <v>0.62766683734425677</v>
      </c>
    </row>
    <row r="143" spans="3:25" x14ac:dyDescent="0.4">
      <c r="C143" s="60" t="s">
        <v>15</v>
      </c>
      <c r="D143" s="22" t="s">
        <v>16</v>
      </c>
      <c r="E143" s="4">
        <f t="shared" ref="E143:J144" si="138">E110-E27</f>
        <v>0</v>
      </c>
      <c r="F143" s="4">
        <f t="shared" si="138"/>
        <v>0</v>
      </c>
      <c r="G143" s="4">
        <f t="shared" si="138"/>
        <v>0</v>
      </c>
      <c r="H143" s="4">
        <f t="shared" si="138"/>
        <v>87.12</v>
      </c>
      <c r="I143" s="4">
        <f t="shared" si="138"/>
        <v>46.8</v>
      </c>
      <c r="J143" s="4">
        <f t="shared" si="138"/>
        <v>87.12</v>
      </c>
      <c r="K143" s="7">
        <f t="shared" si="132"/>
        <v>221.04000000000002</v>
      </c>
      <c r="L143" s="4">
        <f t="shared" ref="L143:Q144" si="139">L110-L27</f>
        <v>0</v>
      </c>
      <c r="M143" s="4">
        <f t="shared" si="139"/>
        <v>0</v>
      </c>
      <c r="N143" s="4">
        <f t="shared" si="139"/>
        <v>0</v>
      </c>
      <c r="O143" s="4">
        <f t="shared" si="139"/>
        <v>15.84</v>
      </c>
      <c r="P143" s="4">
        <f t="shared" si="139"/>
        <v>7.8</v>
      </c>
      <c r="Q143" s="4">
        <f t="shared" si="139"/>
        <v>15.84</v>
      </c>
      <c r="R143" s="7">
        <f t="shared" si="134"/>
        <v>39.480000000000004</v>
      </c>
      <c r="S143" s="11" t="e">
        <f t="shared" si="135"/>
        <v>#VALUE!</v>
      </c>
      <c r="T143" s="11" t="e">
        <f t="shared" si="135"/>
        <v>#VALUE!</v>
      </c>
      <c r="U143" s="11" t="e">
        <f t="shared" si="135"/>
        <v>#VALUE!</v>
      </c>
      <c r="V143" s="11" t="e">
        <f t="shared" si="135"/>
        <v>#VALUE!</v>
      </c>
      <c r="W143" s="11" t="e">
        <f t="shared" si="135"/>
        <v>#VALUE!</v>
      </c>
      <c r="X143" s="11" t="e">
        <f t="shared" si="135"/>
        <v>#VALUE!</v>
      </c>
      <c r="Y143" s="12" t="e">
        <f t="shared" si="135"/>
        <v>#VALUE!</v>
      </c>
    </row>
    <row r="144" spans="3:25" x14ac:dyDescent="0.4">
      <c r="C144" s="60" t="s">
        <v>17</v>
      </c>
      <c r="D144" s="22" t="s">
        <v>18</v>
      </c>
      <c r="E144" s="4">
        <f t="shared" si="138"/>
        <v>0</v>
      </c>
      <c r="F144" s="4">
        <f t="shared" si="138"/>
        <v>0</v>
      </c>
      <c r="G144" s="4">
        <f t="shared" si="138"/>
        <v>0</v>
      </c>
      <c r="H144" s="4">
        <f t="shared" si="138"/>
        <v>0</v>
      </c>
      <c r="I144" s="4">
        <f t="shared" si="138"/>
        <v>0</v>
      </c>
      <c r="J144" s="4">
        <f t="shared" si="138"/>
        <v>0</v>
      </c>
      <c r="K144" s="7">
        <f t="shared" si="132"/>
        <v>0</v>
      </c>
      <c r="L144" s="4">
        <f t="shared" si="139"/>
        <v>0</v>
      </c>
      <c r="M144" s="4">
        <f t="shared" si="139"/>
        <v>0</v>
      </c>
      <c r="N144" s="4">
        <f t="shared" si="139"/>
        <v>0</v>
      </c>
      <c r="O144" s="4">
        <f t="shared" si="139"/>
        <v>0</v>
      </c>
      <c r="P144" s="4">
        <f t="shared" si="139"/>
        <v>0</v>
      </c>
      <c r="Q144" s="4">
        <f t="shared" si="139"/>
        <v>0</v>
      </c>
      <c r="R144" s="7">
        <f t="shared" si="134"/>
        <v>0</v>
      </c>
      <c r="S144" s="11" t="e">
        <f t="shared" si="135"/>
        <v>#VALUE!</v>
      </c>
      <c r="T144" s="11" t="e">
        <f t="shared" si="135"/>
        <v>#VALUE!</v>
      </c>
      <c r="U144" s="11" t="e">
        <f t="shared" si="135"/>
        <v>#VALUE!</v>
      </c>
      <c r="V144" s="11" t="e">
        <f t="shared" si="135"/>
        <v>#VALUE!</v>
      </c>
      <c r="W144" s="11" t="e">
        <f t="shared" si="135"/>
        <v>#VALUE!</v>
      </c>
      <c r="X144" s="11" t="e">
        <f t="shared" si="135"/>
        <v>#VALUE!</v>
      </c>
      <c r="Y144" s="12" t="e">
        <f t="shared" si="135"/>
        <v>#VALUE!</v>
      </c>
    </row>
    <row r="145" spans="3:25" x14ac:dyDescent="0.4">
      <c r="C145" s="60" t="s">
        <v>19</v>
      </c>
      <c r="D145" s="22"/>
      <c r="E145" s="20">
        <f t="shared" ref="E145:R145" si="140">SUM(E143:E144)</f>
        <v>0</v>
      </c>
      <c r="F145" s="20">
        <f t="shared" si="140"/>
        <v>0</v>
      </c>
      <c r="G145" s="20">
        <f t="shared" si="140"/>
        <v>0</v>
      </c>
      <c r="H145" s="20">
        <f t="shared" si="140"/>
        <v>87.12</v>
      </c>
      <c r="I145" s="20">
        <f t="shared" si="140"/>
        <v>46.8</v>
      </c>
      <c r="J145" s="20">
        <f t="shared" si="140"/>
        <v>87.12</v>
      </c>
      <c r="K145" s="7">
        <f t="shared" si="140"/>
        <v>221.04000000000002</v>
      </c>
      <c r="L145" s="20">
        <f t="shared" si="140"/>
        <v>0</v>
      </c>
      <c r="M145" s="20">
        <f t="shared" si="140"/>
        <v>0</v>
      </c>
      <c r="N145" s="20">
        <f t="shared" si="140"/>
        <v>0</v>
      </c>
      <c r="O145" s="20">
        <f t="shared" si="140"/>
        <v>15.84</v>
      </c>
      <c r="P145" s="20">
        <f t="shared" si="140"/>
        <v>7.8</v>
      </c>
      <c r="Q145" s="20">
        <f t="shared" si="140"/>
        <v>15.84</v>
      </c>
      <c r="R145" s="7">
        <f t="shared" si="140"/>
        <v>39.480000000000004</v>
      </c>
      <c r="S145" s="11" t="e">
        <f t="shared" si="135"/>
        <v>#VALUE!</v>
      </c>
      <c r="T145" s="11" t="e">
        <f t="shared" si="135"/>
        <v>#VALUE!</v>
      </c>
      <c r="U145" s="11" t="e">
        <f t="shared" si="135"/>
        <v>#VALUE!</v>
      </c>
      <c r="V145" s="11" t="e">
        <f t="shared" si="135"/>
        <v>#VALUE!</v>
      </c>
      <c r="W145" s="11" t="e">
        <f t="shared" si="135"/>
        <v>#VALUE!</v>
      </c>
      <c r="X145" s="11" t="e">
        <f t="shared" si="135"/>
        <v>#VALUE!</v>
      </c>
      <c r="Y145" s="12" t="e">
        <f t="shared" si="135"/>
        <v>#VALUE!</v>
      </c>
    </row>
    <row r="146" spans="3:25" x14ac:dyDescent="0.4">
      <c r="C146" s="60" t="s">
        <v>20</v>
      </c>
      <c r="D146" s="22" t="s">
        <v>21</v>
      </c>
      <c r="E146" s="20">
        <f t="shared" ref="E146:J147" si="141">E113-E30</f>
        <v>-204.25</v>
      </c>
      <c r="F146" s="20">
        <f t="shared" si="141"/>
        <v>127.18</v>
      </c>
      <c r="G146" s="20">
        <f t="shared" si="141"/>
        <v>477.71</v>
      </c>
      <c r="H146" s="20">
        <f t="shared" si="141"/>
        <v>94.820000000000007</v>
      </c>
      <c r="I146" s="20">
        <f t="shared" si="141"/>
        <v>-86.9</v>
      </c>
      <c r="J146" s="4">
        <f t="shared" si="141"/>
        <v>24.474000000000018</v>
      </c>
      <c r="K146" s="7">
        <f>SUM(E146:J146)</f>
        <v>433.03399999999999</v>
      </c>
      <c r="L146" s="20">
        <f t="shared" ref="L146:Q147" si="142">L113-L30</f>
        <v>-31.17</v>
      </c>
      <c r="M146" s="20">
        <f t="shared" si="142"/>
        <v>7.18</v>
      </c>
      <c r="N146" s="20">
        <f t="shared" si="142"/>
        <v>133.86000000000001</v>
      </c>
      <c r="O146" s="20">
        <f t="shared" si="142"/>
        <v>14.96</v>
      </c>
      <c r="P146" s="20">
        <f t="shared" si="142"/>
        <v>-4.37</v>
      </c>
      <c r="Q146" s="20">
        <f t="shared" si="142"/>
        <v>1.355000000000004</v>
      </c>
      <c r="R146" s="7">
        <f>SUM(L146:Q146)</f>
        <v>121.81500000000001</v>
      </c>
      <c r="S146" s="11">
        <f t="shared" si="135"/>
        <v>-4.5793948572691867E-3</v>
      </c>
      <c r="T146" s="11">
        <f t="shared" si="135"/>
        <v>-0.1139654202805917</v>
      </c>
      <c r="U146" s="11">
        <f t="shared" si="135"/>
        <v>0.13426943216880502</v>
      </c>
      <c r="V146" s="11">
        <f t="shared" si="135"/>
        <v>8.2484688471002598E-3</v>
      </c>
      <c r="W146" s="11">
        <f t="shared" si="135"/>
        <v>0.24948999501108926</v>
      </c>
      <c r="X146" s="11">
        <f t="shared" si="135"/>
        <v>-1.8461760746748462E-2</v>
      </c>
      <c r="Y146" s="12">
        <f t="shared" si="135"/>
        <v>4.0277712452942316E-2</v>
      </c>
    </row>
    <row r="147" spans="3:25" x14ac:dyDescent="0.4">
      <c r="C147" s="60" t="s">
        <v>22</v>
      </c>
      <c r="D147" s="83" t="s">
        <v>23</v>
      </c>
      <c r="E147" s="20">
        <f t="shared" si="141"/>
        <v>0</v>
      </c>
      <c r="F147" s="20">
        <f t="shared" si="141"/>
        <v>0</v>
      </c>
      <c r="G147" s="20">
        <f t="shared" si="141"/>
        <v>0</v>
      </c>
      <c r="H147" s="20">
        <f t="shared" si="141"/>
        <v>0</v>
      </c>
      <c r="I147" s="20">
        <f t="shared" si="141"/>
        <v>0</v>
      </c>
      <c r="J147" s="4">
        <f t="shared" si="141"/>
        <v>0</v>
      </c>
      <c r="K147" s="7">
        <f>SUM(E147:J147)</f>
        <v>0</v>
      </c>
      <c r="L147" s="20">
        <f t="shared" si="142"/>
        <v>0</v>
      </c>
      <c r="M147" s="20">
        <f t="shared" si="142"/>
        <v>0</v>
      </c>
      <c r="N147" s="20">
        <f t="shared" si="142"/>
        <v>0</v>
      </c>
      <c r="O147" s="20">
        <f t="shared" si="142"/>
        <v>0</v>
      </c>
      <c r="P147" s="20">
        <f t="shared" si="142"/>
        <v>0</v>
      </c>
      <c r="Q147" s="20">
        <f t="shared" si="142"/>
        <v>0</v>
      </c>
      <c r="R147" s="7">
        <f>SUM(L147:Q147)</f>
        <v>0</v>
      </c>
      <c r="S147" s="86" t="e">
        <f t="shared" si="135"/>
        <v>#VALUE!</v>
      </c>
      <c r="T147" s="86" t="e">
        <f t="shared" si="135"/>
        <v>#VALUE!</v>
      </c>
      <c r="U147" s="86" t="e">
        <f t="shared" si="135"/>
        <v>#VALUE!</v>
      </c>
      <c r="V147" s="86" t="e">
        <f t="shared" si="135"/>
        <v>#VALUE!</v>
      </c>
      <c r="W147" s="86" t="e">
        <f t="shared" si="135"/>
        <v>#VALUE!</v>
      </c>
      <c r="X147" s="86" t="e">
        <f t="shared" si="135"/>
        <v>#VALUE!</v>
      </c>
      <c r="Y147" s="87" t="e">
        <f t="shared" si="135"/>
        <v>#VALUE!</v>
      </c>
    </row>
    <row r="148" spans="3:25" x14ac:dyDescent="0.4">
      <c r="C148" s="82" t="s">
        <v>24</v>
      </c>
      <c r="D148" s="83"/>
      <c r="E148" s="20">
        <f t="shared" ref="E148:R148" si="143">SUM(E146:E147)</f>
        <v>-204.25</v>
      </c>
      <c r="F148" s="20">
        <f t="shared" si="143"/>
        <v>127.18</v>
      </c>
      <c r="G148" s="20">
        <f t="shared" si="143"/>
        <v>477.71</v>
      </c>
      <c r="H148" s="20">
        <f t="shared" si="143"/>
        <v>94.820000000000007</v>
      </c>
      <c r="I148" s="20">
        <f t="shared" si="143"/>
        <v>-86.9</v>
      </c>
      <c r="J148" s="20">
        <f t="shared" si="143"/>
        <v>24.474000000000018</v>
      </c>
      <c r="K148" s="7">
        <f t="shared" si="143"/>
        <v>433.03399999999999</v>
      </c>
      <c r="L148" s="20">
        <f t="shared" si="143"/>
        <v>-31.17</v>
      </c>
      <c r="M148" s="20">
        <f t="shared" si="143"/>
        <v>7.18</v>
      </c>
      <c r="N148" s="20">
        <f t="shared" si="143"/>
        <v>133.86000000000001</v>
      </c>
      <c r="O148" s="20">
        <f t="shared" si="143"/>
        <v>14.96</v>
      </c>
      <c r="P148" s="20">
        <f t="shared" si="143"/>
        <v>-4.37</v>
      </c>
      <c r="Q148" s="20">
        <f t="shared" si="143"/>
        <v>1.355000000000004</v>
      </c>
      <c r="R148" s="7">
        <f t="shared" si="143"/>
        <v>121.81500000000001</v>
      </c>
      <c r="S148" s="86">
        <f t="shared" si="135"/>
        <v>-0.15054889376794459</v>
      </c>
      <c r="T148" s="86">
        <f t="shared" si="135"/>
        <v>-0.24076433121019106</v>
      </c>
      <c r="U148" s="86">
        <f t="shared" si="135"/>
        <v>-0.13211382113821138</v>
      </c>
      <c r="V148" s="86">
        <f t="shared" si="135"/>
        <v>-0.14427860696517411</v>
      </c>
      <c r="W148" s="86">
        <f t="shared" si="135"/>
        <v>-6.0565870910698497E-2</v>
      </c>
      <c r="X148" s="86">
        <f t="shared" si="135"/>
        <v>-0.22946696005350756</v>
      </c>
      <c r="Y148" s="87">
        <f t="shared" si="135"/>
        <v>-0.16839852674500805</v>
      </c>
    </row>
    <row r="149" spans="3:25" x14ac:dyDescent="0.4">
      <c r="C149" s="53" t="s">
        <v>5</v>
      </c>
      <c r="D149" s="54"/>
      <c r="E149" s="8">
        <f t="shared" ref="E149:R149" si="144">E142+E145+E148</f>
        <v>-195.88</v>
      </c>
      <c r="F149" s="8">
        <f t="shared" si="144"/>
        <v>17.180000000000007</v>
      </c>
      <c r="G149" s="8">
        <f t="shared" si="144"/>
        <v>477.71</v>
      </c>
      <c r="H149" s="8">
        <f t="shared" si="144"/>
        <v>165.94</v>
      </c>
      <c r="I149" s="8">
        <f t="shared" si="144"/>
        <v>-40.100000000000009</v>
      </c>
      <c r="J149" s="8">
        <f t="shared" si="144"/>
        <v>111.59400000000002</v>
      </c>
      <c r="K149" s="9">
        <f t="shared" si="144"/>
        <v>536.44399999999996</v>
      </c>
      <c r="L149" s="8">
        <f t="shared" si="144"/>
        <v>-23.060000000000002</v>
      </c>
      <c r="M149" s="8">
        <f t="shared" si="144"/>
        <v>-19.82</v>
      </c>
      <c r="N149" s="8">
        <f t="shared" si="144"/>
        <v>133.86000000000001</v>
      </c>
      <c r="O149" s="8">
        <f t="shared" si="144"/>
        <v>14.8</v>
      </c>
      <c r="P149" s="8">
        <f t="shared" si="144"/>
        <v>3.4299999999999997</v>
      </c>
      <c r="Q149" s="8">
        <f t="shared" si="144"/>
        <v>17.195000000000004</v>
      </c>
      <c r="R149" s="9">
        <f t="shared" si="144"/>
        <v>126.40500000000002</v>
      </c>
      <c r="S149" s="14">
        <f t="shared" si="135"/>
        <v>6.418605681606257E-2</v>
      </c>
      <c r="T149" s="14">
        <f t="shared" si="135"/>
        <v>-0.11670241533034759</v>
      </c>
      <c r="U149" s="14">
        <f t="shared" si="135"/>
        <v>0.13426943216880502</v>
      </c>
      <c r="V149" s="14">
        <f t="shared" si="135"/>
        <v>-0.16066072272594276</v>
      </c>
      <c r="W149" s="14">
        <f t="shared" si="135"/>
        <v>0.11629002428580808</v>
      </c>
      <c r="X149" s="14">
        <f t="shared" si="135"/>
        <v>-2.6459914255822586E-2</v>
      </c>
      <c r="Y149" s="15">
        <f t="shared" si="135"/>
        <v>1.6063026092462268E-2</v>
      </c>
    </row>
  </sheetData>
  <mergeCells count="36">
    <mergeCell ref="C136:D136"/>
    <mergeCell ref="L54:R54"/>
    <mergeCell ref="C87:D8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S37:Y37"/>
    <mergeCell ref="C37:D37"/>
    <mergeCell ref="S87:Y87"/>
    <mergeCell ref="S103:Y103"/>
    <mergeCell ref="L20:R20"/>
    <mergeCell ref="C20:D20"/>
    <mergeCell ref="E37:K37"/>
    <mergeCell ref="C3:D3"/>
    <mergeCell ref="C54:D54"/>
    <mergeCell ref="C103:D103"/>
    <mergeCell ref="E3:K3"/>
    <mergeCell ref="E71:K71"/>
    <mergeCell ref="S136:Y136"/>
    <mergeCell ref="E120:K120"/>
    <mergeCell ref="S20:Y20"/>
    <mergeCell ref="E54:K54"/>
    <mergeCell ref="E136:K136"/>
    <mergeCell ref="S54:Y54"/>
    <mergeCell ref="L120:R120"/>
    <mergeCell ref="L103:R103"/>
    <mergeCell ref="S71:Y71"/>
    <mergeCell ref="L37:R37"/>
    <mergeCell ref="L136:R136"/>
  </mergeCells>
  <phoneticPr fontId="2"/>
  <printOptions horizontalCentered="1" verticalCentered="1"/>
  <pageMargins left="0.70866141732283472" right="0.70866141732283472" top="0.74803149606299213" bottom="0.74803149606299213" header="0.31496062992125978" footer="0.31496062992125978"/>
  <pageSetup paperSize="8" scale="46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C1:Y149"/>
  <sheetViews>
    <sheetView tabSelected="1" topLeftCell="A63" zoomScaleNormal="100" workbookViewId="0">
      <pane xSplit="4" topLeftCell="G1" activePane="topRight" state="frozen"/>
      <selection activeCell="E155" sqref="E155"/>
      <selection pane="topRight" activeCell="S113" sqref="S113:Y114"/>
    </sheetView>
  </sheetViews>
  <sheetFormatPr defaultRowHeight="18.75" x14ac:dyDescent="0.4"/>
  <cols>
    <col min="3" max="3" width="9.75" style="108" bestFit="1" customWidth="1"/>
    <col min="5" max="25" width="10.125" style="108" customWidth="1"/>
  </cols>
  <sheetData>
    <row r="1" spans="3:25" ht="24" customHeight="1" x14ac:dyDescent="0.4">
      <c r="C1" s="24" t="s">
        <v>0</v>
      </c>
    </row>
    <row r="2" spans="3:25" x14ac:dyDescent="0.4">
      <c r="C2" t="s">
        <v>1</v>
      </c>
    </row>
    <row r="3" spans="3:25" x14ac:dyDescent="0.4">
      <c r="C3" s="120"/>
      <c r="D3" s="119"/>
      <c r="E3" s="120" t="s">
        <v>2</v>
      </c>
      <c r="F3" s="118"/>
      <c r="G3" s="118"/>
      <c r="H3" s="118"/>
      <c r="I3" s="118"/>
      <c r="J3" s="118"/>
      <c r="K3" s="119"/>
      <c r="L3" s="121" t="s">
        <v>3</v>
      </c>
      <c r="M3" s="118"/>
      <c r="N3" s="118"/>
      <c r="O3" s="118"/>
      <c r="P3" s="118"/>
      <c r="Q3" s="118"/>
      <c r="R3" s="119"/>
      <c r="S3" s="121" t="s">
        <v>4</v>
      </c>
      <c r="T3" s="118"/>
      <c r="U3" s="118"/>
      <c r="V3" s="118"/>
      <c r="W3" s="118"/>
      <c r="X3" s="118"/>
      <c r="Y3" s="119"/>
    </row>
    <row r="4" spans="3:25" x14ac:dyDescent="0.4">
      <c r="C4" s="1"/>
      <c r="D4" s="21"/>
      <c r="E4" s="2">
        <v>45383</v>
      </c>
      <c r="F4" s="2">
        <v>45413</v>
      </c>
      <c r="G4" s="2">
        <v>45444</v>
      </c>
      <c r="H4" s="2">
        <v>45474</v>
      </c>
      <c r="I4" s="2">
        <v>45505</v>
      </c>
      <c r="J4" s="2">
        <v>45536</v>
      </c>
      <c r="K4" s="67" t="s">
        <v>5</v>
      </c>
      <c r="L4" s="61">
        <v>45383</v>
      </c>
      <c r="M4" s="2">
        <v>45413</v>
      </c>
      <c r="N4" s="2">
        <v>45444</v>
      </c>
      <c r="O4" s="2">
        <v>45474</v>
      </c>
      <c r="P4" s="2">
        <v>45505</v>
      </c>
      <c r="Q4" s="2">
        <v>45536</v>
      </c>
      <c r="R4" s="10" t="s">
        <v>5</v>
      </c>
      <c r="S4" s="61">
        <v>45383</v>
      </c>
      <c r="T4" s="2">
        <v>45413</v>
      </c>
      <c r="U4" s="2">
        <v>45444</v>
      </c>
      <c r="V4" s="2">
        <v>45474</v>
      </c>
      <c r="W4" s="2">
        <v>45505</v>
      </c>
      <c r="X4" s="2">
        <v>45536</v>
      </c>
      <c r="Y4" s="10" t="s">
        <v>5</v>
      </c>
    </row>
    <row r="5" spans="3:25" x14ac:dyDescent="0.4">
      <c r="C5" s="60" t="s">
        <v>6</v>
      </c>
      <c r="D5" s="22" t="s">
        <v>7</v>
      </c>
      <c r="E5" s="3">
        <v>7819.7020000000002</v>
      </c>
      <c r="F5" s="4">
        <v>4795.2980000000007</v>
      </c>
      <c r="G5" s="4">
        <v>1764.9090000000001</v>
      </c>
      <c r="H5" s="20">
        <v>3971.482</v>
      </c>
      <c r="I5" s="4">
        <v>4586.7259999999997</v>
      </c>
      <c r="J5" s="4">
        <v>7121.0939999999991</v>
      </c>
      <c r="K5" s="62">
        <f>SUM(E5:J5)</f>
        <v>30059.210999999996</v>
      </c>
      <c r="L5" s="3">
        <v>1473.163</v>
      </c>
      <c r="M5" s="4">
        <v>1047.5060000000001</v>
      </c>
      <c r="N5" s="4">
        <v>403.18299999999999</v>
      </c>
      <c r="O5" s="4">
        <v>766.42900000000009</v>
      </c>
      <c r="P5" s="4">
        <v>878.05700000000002</v>
      </c>
      <c r="Q5" s="4">
        <v>1267.57</v>
      </c>
      <c r="R5" s="62">
        <f>SUM(L5:Q5)</f>
        <v>5835.9079999999994</v>
      </c>
      <c r="S5" s="65">
        <f t="shared" ref="S5:S17" si="0">IF(E5=0,"***",L5/E5)</f>
        <v>0.18839119444705182</v>
      </c>
      <c r="T5" s="11">
        <f t="shared" ref="T5:T17" si="1">IF(F5=0,"***",M5/F5)</f>
        <v>0.21844440116130426</v>
      </c>
      <c r="U5" s="11">
        <f t="shared" ref="U5:U17" si="2">IF(G5=0,"***",N5/G5)</f>
        <v>0.22844407275389267</v>
      </c>
      <c r="V5" s="11">
        <f t="shared" ref="V5:V17" si="3">IF(H5=0,"***",O5/H5)</f>
        <v>0.19298312317668823</v>
      </c>
      <c r="W5" s="11">
        <f t="shared" ref="W5:W17" si="4">IF(I5=0,"***",P5/I5)</f>
        <v>0.19143436952632445</v>
      </c>
      <c r="X5" s="11">
        <f t="shared" ref="X5:X17" si="5">IF(J5=0,"***",Q5/J5)</f>
        <v>0.17800214405258519</v>
      </c>
      <c r="Y5" s="13">
        <f t="shared" ref="Y5:Y17" si="6">IF(K5=0,"***",R5/K5)</f>
        <v>0.19414707857767791</v>
      </c>
    </row>
    <row r="6" spans="3:25" x14ac:dyDescent="0.4">
      <c r="C6" s="60" t="s">
        <v>8</v>
      </c>
      <c r="D6" s="22" t="s">
        <v>9</v>
      </c>
      <c r="E6" s="3">
        <v>1270.335</v>
      </c>
      <c r="F6" s="4">
        <v>1090.749</v>
      </c>
      <c r="G6" s="4">
        <v>457.53699999999998</v>
      </c>
      <c r="H6" s="20">
        <v>675.59300000000007</v>
      </c>
      <c r="I6" s="4">
        <v>2326.8310000000001</v>
      </c>
      <c r="J6" s="4">
        <v>2620.375</v>
      </c>
      <c r="K6" s="62">
        <f>SUM(E6:J6)</f>
        <v>8441.42</v>
      </c>
      <c r="L6" s="3">
        <v>495.78500000000003</v>
      </c>
      <c r="M6" s="4">
        <v>385.803</v>
      </c>
      <c r="N6" s="4">
        <v>164.416</v>
      </c>
      <c r="O6" s="4">
        <v>252.91900000000001</v>
      </c>
      <c r="P6" s="4">
        <v>773.71699999999998</v>
      </c>
      <c r="Q6" s="4">
        <v>827.49600000000009</v>
      </c>
      <c r="R6" s="62">
        <f>SUM(L6:Q6)</f>
        <v>2900.136</v>
      </c>
      <c r="S6" s="65">
        <f t="shared" si="0"/>
        <v>0.39027894216879799</v>
      </c>
      <c r="T6" s="11">
        <f t="shared" si="1"/>
        <v>0.35370465615829122</v>
      </c>
      <c r="U6" s="11">
        <f t="shared" si="2"/>
        <v>0.35935017277291237</v>
      </c>
      <c r="V6" s="11">
        <f t="shared" si="3"/>
        <v>0.37436592741487845</v>
      </c>
      <c r="W6" s="11">
        <f t="shared" si="4"/>
        <v>0.33251963722333078</v>
      </c>
      <c r="X6" s="11">
        <f t="shared" si="5"/>
        <v>0.31579296856365979</v>
      </c>
      <c r="Y6" s="13">
        <f t="shared" si="6"/>
        <v>0.34356020669508208</v>
      </c>
    </row>
    <row r="7" spans="3:25" x14ac:dyDescent="0.4">
      <c r="C7" s="60" t="s">
        <v>10</v>
      </c>
      <c r="D7" s="22" t="s">
        <v>11</v>
      </c>
      <c r="E7" s="3">
        <v>428.70100000000002</v>
      </c>
      <c r="F7" s="4">
        <v>251.499</v>
      </c>
      <c r="G7" s="4">
        <v>45.225000000000001</v>
      </c>
      <c r="H7" s="20">
        <v>35.354999999999997</v>
      </c>
      <c r="I7" s="4">
        <v>309.95699999999999</v>
      </c>
      <c r="J7" s="4">
        <v>347.30500000000001</v>
      </c>
      <c r="K7" s="62">
        <f>SUM(E7:J7)</f>
        <v>1418.0420000000001</v>
      </c>
      <c r="L7" s="3">
        <v>92.5</v>
      </c>
      <c r="M7" s="4">
        <v>60.83</v>
      </c>
      <c r="N7" s="4">
        <v>13.472</v>
      </c>
      <c r="O7" s="4">
        <v>13.477</v>
      </c>
      <c r="P7" s="4">
        <v>80.497</v>
      </c>
      <c r="Q7" s="4">
        <v>185.56200000000001</v>
      </c>
      <c r="R7" s="62">
        <f>SUM(L7:Q7)</f>
        <v>446.33800000000002</v>
      </c>
      <c r="S7" s="65">
        <f t="shared" si="0"/>
        <v>0.21576809944460124</v>
      </c>
      <c r="T7" s="11">
        <f t="shared" si="1"/>
        <v>0.24186974898508543</v>
      </c>
      <c r="U7" s="11">
        <f t="shared" si="2"/>
        <v>0.29788833609729132</v>
      </c>
      <c r="V7" s="11">
        <f t="shared" si="3"/>
        <v>0.38119077923914585</v>
      </c>
      <c r="W7" s="11">
        <f t="shared" si="4"/>
        <v>0.2597037653610017</v>
      </c>
      <c r="X7" s="11">
        <f t="shared" si="5"/>
        <v>0.53429118498150041</v>
      </c>
      <c r="Y7" s="13">
        <f t="shared" si="6"/>
        <v>0.31475654458753688</v>
      </c>
    </row>
    <row r="8" spans="3:25" x14ac:dyDescent="0.4">
      <c r="C8" s="60" t="s">
        <v>12</v>
      </c>
      <c r="D8" s="22" t="s">
        <v>13</v>
      </c>
      <c r="E8" s="3">
        <v>3888.393</v>
      </c>
      <c r="F8" s="4">
        <v>5524.8329999999996</v>
      </c>
      <c r="G8" s="4">
        <v>2439.9140000000002</v>
      </c>
      <c r="H8" s="20">
        <v>3134.155999999999</v>
      </c>
      <c r="I8" s="4">
        <v>5261.74</v>
      </c>
      <c r="J8" s="4">
        <v>5914.2</v>
      </c>
      <c r="K8" s="62">
        <f>SUM(E8:J8)</f>
        <v>26163.236000000001</v>
      </c>
      <c r="L8" s="3">
        <v>2019.778</v>
      </c>
      <c r="M8" s="4">
        <v>2623.9050000000002</v>
      </c>
      <c r="N8" s="4">
        <v>1163.914</v>
      </c>
      <c r="O8" s="20">
        <v>1742.1959999999999</v>
      </c>
      <c r="P8" s="4">
        <v>2960.6780000000008</v>
      </c>
      <c r="Q8" s="4">
        <v>3437.0350000000012</v>
      </c>
      <c r="R8" s="62">
        <f>SUM(L8:Q8)</f>
        <v>13947.506000000003</v>
      </c>
      <c r="S8" s="65">
        <f t="shared" si="0"/>
        <v>0.51943772144430878</v>
      </c>
      <c r="T8" s="11">
        <f t="shared" si="1"/>
        <v>0.4749292874553856</v>
      </c>
      <c r="U8" s="11">
        <f t="shared" si="2"/>
        <v>0.47703074780504556</v>
      </c>
      <c r="V8" s="11">
        <f t="shared" si="3"/>
        <v>0.55587405349318941</v>
      </c>
      <c r="W8" s="11">
        <f t="shared" si="4"/>
        <v>0.56268040610140391</v>
      </c>
      <c r="X8" s="11">
        <f t="shared" si="5"/>
        <v>0.58114960603293786</v>
      </c>
      <c r="Y8" s="13">
        <f t="shared" si="6"/>
        <v>0.53309560025373015</v>
      </c>
    </row>
    <row r="9" spans="3:25" x14ac:dyDescent="0.4">
      <c r="C9" s="60" t="s">
        <v>14</v>
      </c>
      <c r="D9" s="22"/>
      <c r="E9" s="3">
        <f t="shared" ref="E9:R9" si="7">SUM(E5:E8)</f>
        <v>13407.131000000001</v>
      </c>
      <c r="F9" s="4">
        <f t="shared" si="7"/>
        <v>11662.379000000001</v>
      </c>
      <c r="G9" s="4">
        <f t="shared" si="7"/>
        <v>4707.585</v>
      </c>
      <c r="H9" s="4">
        <f t="shared" si="7"/>
        <v>7816.5859999999984</v>
      </c>
      <c r="I9" s="4">
        <f t="shared" si="7"/>
        <v>12485.254000000001</v>
      </c>
      <c r="J9" s="4">
        <f t="shared" si="7"/>
        <v>16002.973999999998</v>
      </c>
      <c r="K9" s="62">
        <f t="shared" si="7"/>
        <v>66081.909</v>
      </c>
      <c r="L9" s="3">
        <f t="shared" si="7"/>
        <v>4081.2260000000006</v>
      </c>
      <c r="M9" s="4">
        <f t="shared" si="7"/>
        <v>4118.0439999999999</v>
      </c>
      <c r="N9" s="4">
        <f t="shared" si="7"/>
        <v>1744.9849999999999</v>
      </c>
      <c r="O9" s="4">
        <f t="shared" si="7"/>
        <v>2775.0209999999997</v>
      </c>
      <c r="P9" s="4">
        <f t="shared" si="7"/>
        <v>4692.9490000000005</v>
      </c>
      <c r="Q9" s="4">
        <f t="shared" si="7"/>
        <v>5717.6630000000005</v>
      </c>
      <c r="R9" s="62">
        <f t="shared" si="7"/>
        <v>23129.888000000003</v>
      </c>
      <c r="S9" s="65">
        <f t="shared" si="0"/>
        <v>0.30440710991784897</v>
      </c>
      <c r="T9" s="11">
        <f t="shared" si="1"/>
        <v>0.35310497112124373</v>
      </c>
      <c r="U9" s="11">
        <f t="shared" si="2"/>
        <v>0.37067519758007555</v>
      </c>
      <c r="V9" s="11">
        <f t="shared" si="3"/>
        <v>0.35501701126297341</v>
      </c>
      <c r="W9" s="11">
        <f t="shared" si="4"/>
        <v>0.37587933733666934</v>
      </c>
      <c r="X9" s="11">
        <f t="shared" si="5"/>
        <v>0.35728752668097824</v>
      </c>
      <c r="Y9" s="13">
        <f t="shared" si="6"/>
        <v>0.35001845966647244</v>
      </c>
    </row>
    <row r="10" spans="3:25" x14ac:dyDescent="0.4">
      <c r="C10" s="60" t="s">
        <v>15</v>
      </c>
      <c r="D10" s="22" t="s">
        <v>16</v>
      </c>
      <c r="E10" s="3">
        <v>8598.5280000000002</v>
      </c>
      <c r="F10" s="4">
        <v>5949.7929999999997</v>
      </c>
      <c r="G10" s="4">
        <v>6712.8280000000004</v>
      </c>
      <c r="H10" s="4">
        <v>2910.08</v>
      </c>
      <c r="I10" s="4">
        <v>4490.1959999999999</v>
      </c>
      <c r="J10" s="4">
        <v>9948.6280000000006</v>
      </c>
      <c r="K10" s="62">
        <f>SUM(E10:J10)</f>
        <v>38610.053</v>
      </c>
      <c r="L10" s="3">
        <v>1815.375</v>
      </c>
      <c r="M10" s="4">
        <v>1139.616</v>
      </c>
      <c r="N10" s="4">
        <v>1080.6010000000001</v>
      </c>
      <c r="O10" s="4">
        <v>447.17</v>
      </c>
      <c r="P10" s="4">
        <v>851.726</v>
      </c>
      <c r="Q10" s="4">
        <v>1848.0820000000001</v>
      </c>
      <c r="R10" s="62">
        <f>SUM(L10:Q10)</f>
        <v>7182.57</v>
      </c>
      <c r="S10" s="65">
        <f t="shared" si="0"/>
        <v>0.21112625323776349</v>
      </c>
      <c r="T10" s="11">
        <f t="shared" si="1"/>
        <v>0.19153876445785595</v>
      </c>
      <c r="U10" s="11">
        <f t="shared" si="2"/>
        <v>0.1609755232816929</v>
      </c>
      <c r="V10" s="11">
        <f t="shared" si="3"/>
        <v>0.15366244226962833</v>
      </c>
      <c r="W10" s="11">
        <f t="shared" si="4"/>
        <v>0.18968570637005602</v>
      </c>
      <c r="X10" s="11">
        <f t="shared" si="5"/>
        <v>0.18576249911043011</v>
      </c>
      <c r="Y10" s="13">
        <f t="shared" si="6"/>
        <v>0.18602849366718041</v>
      </c>
    </row>
    <row r="11" spans="3:25" x14ac:dyDescent="0.4">
      <c r="C11" s="60" t="s">
        <v>17</v>
      </c>
      <c r="D11" s="22" t="s">
        <v>18</v>
      </c>
      <c r="E11" s="3">
        <v>4686.1099999999997</v>
      </c>
      <c r="F11" s="4">
        <v>3350.13</v>
      </c>
      <c r="G11" s="4">
        <v>2005.66</v>
      </c>
      <c r="H11" s="4">
        <v>1250.1600000000001</v>
      </c>
      <c r="I11" s="4">
        <v>1488.54</v>
      </c>
      <c r="J11" s="4">
        <v>4361.415</v>
      </c>
      <c r="K11" s="62">
        <f>SUM(E11:J11)</f>
        <v>17142.014999999999</v>
      </c>
      <c r="L11" s="3">
        <v>2882.91</v>
      </c>
      <c r="M11" s="4">
        <v>2089.067</v>
      </c>
      <c r="N11" s="4">
        <v>1471.597</v>
      </c>
      <c r="O11" s="4">
        <v>940.09700000000009</v>
      </c>
      <c r="P11" s="4">
        <v>1147.04</v>
      </c>
      <c r="Q11" s="4">
        <v>2488.2249999999999</v>
      </c>
      <c r="R11" s="62">
        <f>SUM(L11:Q11)</f>
        <v>11018.936</v>
      </c>
      <c r="S11" s="65">
        <f t="shared" si="0"/>
        <v>0.61520322826395457</v>
      </c>
      <c r="T11" s="11">
        <f t="shared" si="1"/>
        <v>0.62357789100721461</v>
      </c>
      <c r="U11" s="11">
        <f t="shared" si="2"/>
        <v>0.73372206655165872</v>
      </c>
      <c r="V11" s="11">
        <f t="shared" si="3"/>
        <v>0.75198134638766245</v>
      </c>
      <c r="W11" s="11">
        <f t="shared" si="4"/>
        <v>0.77058056887957327</v>
      </c>
      <c r="X11" s="11">
        <f t="shared" si="5"/>
        <v>0.57050865372820514</v>
      </c>
      <c r="Y11" s="13">
        <f t="shared" si="6"/>
        <v>0.64280284435639568</v>
      </c>
    </row>
    <row r="12" spans="3:25" x14ac:dyDescent="0.4">
      <c r="C12" s="60" t="s">
        <v>19</v>
      </c>
      <c r="D12" s="22"/>
      <c r="E12" s="3">
        <f t="shared" ref="E12:R12" si="8">E10+E11</f>
        <v>13284.637999999999</v>
      </c>
      <c r="F12" s="20">
        <f t="shared" si="8"/>
        <v>9299.9229999999989</v>
      </c>
      <c r="G12" s="20">
        <f t="shared" si="8"/>
        <v>8718.4880000000012</v>
      </c>
      <c r="H12" s="20">
        <f t="shared" si="8"/>
        <v>4160.24</v>
      </c>
      <c r="I12" s="20">
        <f t="shared" si="8"/>
        <v>5978.7359999999999</v>
      </c>
      <c r="J12" s="20">
        <f t="shared" si="8"/>
        <v>14310.043000000001</v>
      </c>
      <c r="K12" s="62">
        <f t="shared" si="8"/>
        <v>55752.067999999999</v>
      </c>
      <c r="L12" s="3">
        <f t="shared" si="8"/>
        <v>4698.2849999999999</v>
      </c>
      <c r="M12" s="20">
        <f t="shared" si="8"/>
        <v>3228.683</v>
      </c>
      <c r="N12" s="20">
        <f t="shared" si="8"/>
        <v>2552.1980000000003</v>
      </c>
      <c r="O12" s="20">
        <f t="shared" si="8"/>
        <v>1387.2670000000001</v>
      </c>
      <c r="P12" s="20">
        <f t="shared" si="8"/>
        <v>1998.7660000000001</v>
      </c>
      <c r="Q12" s="20">
        <f t="shared" si="8"/>
        <v>4336.3069999999998</v>
      </c>
      <c r="R12" s="62">
        <f t="shared" si="8"/>
        <v>18201.506000000001</v>
      </c>
      <c r="S12" s="65">
        <f t="shared" si="0"/>
        <v>0.35366300534497064</v>
      </c>
      <c r="T12" s="11">
        <f t="shared" si="1"/>
        <v>0.34717308949762277</v>
      </c>
      <c r="U12" s="11">
        <f t="shared" si="2"/>
        <v>0.29273401534761534</v>
      </c>
      <c r="V12" s="11">
        <f t="shared" si="3"/>
        <v>0.33345840624579354</v>
      </c>
      <c r="W12" s="11">
        <f t="shared" si="4"/>
        <v>0.33431247006056131</v>
      </c>
      <c r="X12" s="11">
        <f t="shared" si="5"/>
        <v>0.30302543465452897</v>
      </c>
      <c r="Y12" s="13">
        <f t="shared" si="6"/>
        <v>0.32647230233683888</v>
      </c>
    </row>
    <row r="13" spans="3:25" x14ac:dyDescent="0.4">
      <c r="C13" s="60" t="s">
        <v>20</v>
      </c>
      <c r="D13" s="22" t="s">
        <v>21</v>
      </c>
      <c r="E13" s="3">
        <v>17463.391</v>
      </c>
      <c r="F13" s="20">
        <v>17710.987000000001</v>
      </c>
      <c r="G13" s="20">
        <v>17263.698</v>
      </c>
      <c r="H13" s="20">
        <v>12230.208000000001</v>
      </c>
      <c r="I13" s="20">
        <v>8588.5480000000007</v>
      </c>
      <c r="J13" s="20">
        <v>11851.111999999999</v>
      </c>
      <c r="K13" s="62">
        <f>SUM(E13:J13)</f>
        <v>85107.943999999989</v>
      </c>
      <c r="L13" s="3">
        <v>2785.482</v>
      </c>
      <c r="M13" s="20">
        <v>2696.6680000000001</v>
      </c>
      <c r="N13" s="20">
        <v>2637.0079999999998</v>
      </c>
      <c r="O13" s="20">
        <v>1924.18</v>
      </c>
      <c r="P13" s="20">
        <v>1335.4010000000001</v>
      </c>
      <c r="Q13" s="20">
        <v>1767.93</v>
      </c>
      <c r="R13" s="62">
        <f>SUM(L13:Q13)</f>
        <v>13146.669</v>
      </c>
      <c r="S13" s="65">
        <f t="shared" si="0"/>
        <v>0.15950407340704906</v>
      </c>
      <c r="T13" s="11">
        <f t="shared" si="1"/>
        <v>0.15225961150555867</v>
      </c>
      <c r="U13" s="11">
        <f t="shared" si="2"/>
        <v>0.15274873320884089</v>
      </c>
      <c r="V13" s="11">
        <f t="shared" si="3"/>
        <v>0.15733011245597786</v>
      </c>
      <c r="W13" s="11">
        <f t="shared" si="4"/>
        <v>0.15548623585733001</v>
      </c>
      <c r="X13" s="11">
        <f t="shared" si="5"/>
        <v>0.14917840621200781</v>
      </c>
      <c r="Y13" s="13">
        <f t="shared" si="6"/>
        <v>0.15447052745158552</v>
      </c>
    </row>
    <row r="14" spans="3:25" x14ac:dyDescent="0.4">
      <c r="C14" s="60" t="s">
        <v>22</v>
      </c>
      <c r="D14" s="83" t="s">
        <v>23</v>
      </c>
      <c r="E14" s="88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62">
        <f>SUM(E14:J14)</f>
        <v>0</v>
      </c>
      <c r="L14" s="88">
        <v>0</v>
      </c>
      <c r="M14" s="84">
        <v>0</v>
      </c>
      <c r="N14" s="84">
        <v>0</v>
      </c>
      <c r="O14" s="84">
        <v>0</v>
      </c>
      <c r="P14" s="84">
        <v>0</v>
      </c>
      <c r="Q14" s="84">
        <v>0</v>
      </c>
      <c r="R14" s="62">
        <f>SUM(L14:Q14)</f>
        <v>0</v>
      </c>
      <c r="S14" s="65" t="str">
        <f t="shared" si="0"/>
        <v>***</v>
      </c>
      <c r="T14" s="11" t="str">
        <f t="shared" si="1"/>
        <v>***</v>
      </c>
      <c r="U14" s="11" t="str">
        <f t="shared" si="2"/>
        <v>***</v>
      </c>
      <c r="V14" s="11" t="str">
        <f t="shared" si="3"/>
        <v>***</v>
      </c>
      <c r="W14" s="11" t="str">
        <f t="shared" si="4"/>
        <v>***</v>
      </c>
      <c r="X14" s="11" t="str">
        <f t="shared" si="5"/>
        <v>***</v>
      </c>
      <c r="Y14" s="13" t="str">
        <f t="shared" si="6"/>
        <v>***</v>
      </c>
    </row>
    <row r="15" spans="3:25" x14ac:dyDescent="0.4">
      <c r="C15" s="82" t="s">
        <v>24</v>
      </c>
      <c r="D15" s="83"/>
      <c r="E15" s="88">
        <f t="shared" ref="E15:R15" si="9">E13+E14</f>
        <v>17463.391</v>
      </c>
      <c r="F15" s="84">
        <f t="shared" si="9"/>
        <v>17710.987000000001</v>
      </c>
      <c r="G15" s="84">
        <f t="shared" si="9"/>
        <v>17263.698</v>
      </c>
      <c r="H15" s="84">
        <f t="shared" si="9"/>
        <v>12230.208000000001</v>
      </c>
      <c r="I15" s="84">
        <f t="shared" si="9"/>
        <v>8588.5480000000007</v>
      </c>
      <c r="J15" s="84">
        <f t="shared" si="9"/>
        <v>11851.111999999999</v>
      </c>
      <c r="K15" s="89">
        <f t="shared" si="9"/>
        <v>85107.943999999989</v>
      </c>
      <c r="L15" s="88">
        <f t="shared" si="9"/>
        <v>2785.482</v>
      </c>
      <c r="M15" s="84">
        <f t="shared" si="9"/>
        <v>2696.6680000000001</v>
      </c>
      <c r="N15" s="84">
        <f t="shared" si="9"/>
        <v>2637.0079999999998</v>
      </c>
      <c r="O15" s="84">
        <f t="shared" si="9"/>
        <v>1924.18</v>
      </c>
      <c r="P15" s="84">
        <f t="shared" si="9"/>
        <v>1335.4010000000001</v>
      </c>
      <c r="Q15" s="84">
        <f t="shared" si="9"/>
        <v>1767.93</v>
      </c>
      <c r="R15" s="89">
        <f t="shared" si="9"/>
        <v>13146.669</v>
      </c>
      <c r="S15" s="65">
        <f t="shared" si="0"/>
        <v>0.15950407340704906</v>
      </c>
      <c r="T15" s="11">
        <f t="shared" si="1"/>
        <v>0.15225961150555867</v>
      </c>
      <c r="U15" s="11">
        <f t="shared" si="2"/>
        <v>0.15274873320884089</v>
      </c>
      <c r="V15" s="11">
        <f t="shared" si="3"/>
        <v>0.15733011245597786</v>
      </c>
      <c r="W15" s="11">
        <f t="shared" si="4"/>
        <v>0.15548623585733001</v>
      </c>
      <c r="X15" s="11">
        <f t="shared" si="5"/>
        <v>0.14917840621200781</v>
      </c>
      <c r="Y15" s="13">
        <f t="shared" si="6"/>
        <v>0.15447052745158552</v>
      </c>
    </row>
    <row r="16" spans="3:25" x14ac:dyDescent="0.4">
      <c r="C16" s="53" t="s">
        <v>5</v>
      </c>
      <c r="D16" s="54"/>
      <c r="E16" s="63">
        <f t="shared" ref="E16:R16" si="10">E9+E12+E15</f>
        <v>44155.16</v>
      </c>
      <c r="F16" s="8">
        <f t="shared" si="10"/>
        <v>38673.289000000004</v>
      </c>
      <c r="G16" s="8">
        <f t="shared" si="10"/>
        <v>30689.771000000001</v>
      </c>
      <c r="H16" s="8">
        <f t="shared" si="10"/>
        <v>24207.034</v>
      </c>
      <c r="I16" s="8">
        <f t="shared" si="10"/>
        <v>27052.538</v>
      </c>
      <c r="J16" s="8">
        <f t="shared" si="10"/>
        <v>42164.129000000001</v>
      </c>
      <c r="K16" s="64">
        <f t="shared" si="10"/>
        <v>206941.92099999997</v>
      </c>
      <c r="L16" s="63">
        <f t="shared" si="10"/>
        <v>11564.993</v>
      </c>
      <c r="M16" s="8">
        <f t="shared" si="10"/>
        <v>10043.395</v>
      </c>
      <c r="N16" s="8">
        <f t="shared" si="10"/>
        <v>6934.1909999999998</v>
      </c>
      <c r="O16" s="8">
        <f t="shared" si="10"/>
        <v>6086.4679999999998</v>
      </c>
      <c r="P16" s="8">
        <f t="shared" si="10"/>
        <v>8027.116</v>
      </c>
      <c r="Q16" s="8">
        <f t="shared" si="10"/>
        <v>11821.900000000001</v>
      </c>
      <c r="R16" s="64">
        <f t="shared" si="10"/>
        <v>54478.063000000002</v>
      </c>
      <c r="S16" s="66">
        <f t="shared" si="0"/>
        <v>0.26191713493960839</v>
      </c>
      <c r="T16" s="14">
        <f t="shared" si="1"/>
        <v>0.25969849629288055</v>
      </c>
      <c r="U16" s="14">
        <f t="shared" si="2"/>
        <v>0.22594469668737507</v>
      </c>
      <c r="V16" s="14">
        <f t="shared" si="3"/>
        <v>0.25143386009207075</v>
      </c>
      <c r="W16" s="14">
        <f t="shared" si="4"/>
        <v>0.29672321317874129</v>
      </c>
      <c r="X16" s="14">
        <f t="shared" si="5"/>
        <v>0.28037813848828708</v>
      </c>
      <c r="Y16" s="16">
        <f t="shared" si="6"/>
        <v>0.26325291046273802</v>
      </c>
    </row>
    <row r="17" spans="3:25" x14ac:dyDescent="0.4">
      <c r="C17" s="74" t="s">
        <v>25</v>
      </c>
      <c r="D17" s="75"/>
      <c r="E17" s="5">
        <v>4919</v>
      </c>
      <c r="F17" s="98">
        <v>8671.2939999999999</v>
      </c>
      <c r="G17" s="98">
        <v>1764</v>
      </c>
      <c r="H17" s="98">
        <v>2026</v>
      </c>
      <c r="I17" s="98">
        <v>5177</v>
      </c>
      <c r="J17" s="98">
        <v>7426</v>
      </c>
      <c r="K17" s="99">
        <f>SUM(E17:J17)</f>
        <v>29983.294000000002</v>
      </c>
      <c r="L17" s="5">
        <v>1895</v>
      </c>
      <c r="M17" s="98">
        <v>3581.357</v>
      </c>
      <c r="N17" s="98">
        <v>607</v>
      </c>
      <c r="O17" s="98">
        <v>774</v>
      </c>
      <c r="P17" s="98">
        <v>1883</v>
      </c>
      <c r="Q17" s="98">
        <v>2772</v>
      </c>
      <c r="R17" s="99">
        <f>SUM(L17:Q17)</f>
        <v>11512.357</v>
      </c>
      <c r="S17" s="100">
        <f t="shared" si="0"/>
        <v>0.38524090262248423</v>
      </c>
      <c r="T17" s="101">
        <f t="shared" si="1"/>
        <v>0.41301298283739429</v>
      </c>
      <c r="U17" s="101">
        <f t="shared" si="2"/>
        <v>0.34410430839002265</v>
      </c>
      <c r="V17" s="101">
        <f t="shared" si="3"/>
        <v>0.3820335636722606</v>
      </c>
      <c r="W17" s="101">
        <f t="shared" si="4"/>
        <v>0.36372416457407764</v>
      </c>
      <c r="X17" s="101">
        <f t="shared" si="5"/>
        <v>0.37328305952060331</v>
      </c>
      <c r="Y17" s="102">
        <f t="shared" si="6"/>
        <v>0.38395904732815545</v>
      </c>
    </row>
    <row r="18" spans="3:25" x14ac:dyDescent="0.4">
      <c r="C18" s="18"/>
      <c r="E18" s="17"/>
      <c r="F18" s="17"/>
      <c r="G18" s="17"/>
      <c r="H18" s="17"/>
      <c r="I18" s="17"/>
      <c r="J18" s="17"/>
      <c r="K18" s="18"/>
      <c r="L18" s="17"/>
      <c r="M18" s="17"/>
      <c r="N18" s="17"/>
      <c r="O18" s="17"/>
      <c r="P18" s="17"/>
      <c r="Q18" s="17"/>
      <c r="R18" s="18"/>
      <c r="S18" s="19"/>
      <c r="T18" s="19"/>
      <c r="U18" s="19"/>
      <c r="V18" s="19"/>
      <c r="W18" s="19"/>
      <c r="X18" s="19"/>
      <c r="Y18" s="19"/>
    </row>
    <row r="19" spans="3:25" x14ac:dyDescent="0.4">
      <c r="C19" s="18" t="s">
        <v>26</v>
      </c>
    </row>
    <row r="20" spans="3:25" x14ac:dyDescent="0.4">
      <c r="C20" s="120"/>
      <c r="D20" s="119"/>
      <c r="E20" s="120" t="s">
        <v>2</v>
      </c>
      <c r="F20" s="118"/>
      <c r="G20" s="118"/>
      <c r="H20" s="118"/>
      <c r="I20" s="118"/>
      <c r="J20" s="118"/>
      <c r="K20" s="119"/>
      <c r="L20" s="121" t="s">
        <v>3</v>
      </c>
      <c r="M20" s="118"/>
      <c r="N20" s="118"/>
      <c r="O20" s="118"/>
      <c r="P20" s="118"/>
      <c r="Q20" s="118"/>
      <c r="R20" s="119"/>
      <c r="S20" s="121" t="s">
        <v>4</v>
      </c>
      <c r="T20" s="118"/>
      <c r="U20" s="118"/>
      <c r="V20" s="118"/>
      <c r="W20" s="118"/>
      <c r="X20" s="118"/>
      <c r="Y20" s="119"/>
    </row>
    <row r="21" spans="3:25" x14ac:dyDescent="0.4">
      <c r="C21" s="1"/>
      <c r="D21" s="21"/>
      <c r="E21" s="61">
        <v>45748</v>
      </c>
      <c r="F21" s="2">
        <v>45778</v>
      </c>
      <c r="G21" s="2">
        <v>45809</v>
      </c>
      <c r="H21" s="2">
        <v>45839</v>
      </c>
      <c r="I21" s="2">
        <v>45870</v>
      </c>
      <c r="J21" s="2">
        <v>45901</v>
      </c>
      <c r="K21" s="10" t="s">
        <v>5</v>
      </c>
      <c r="L21" s="61">
        <v>45748</v>
      </c>
      <c r="M21" s="2">
        <v>45778</v>
      </c>
      <c r="N21" s="2">
        <v>45809</v>
      </c>
      <c r="O21" s="2">
        <v>45839</v>
      </c>
      <c r="P21" s="2">
        <v>45870</v>
      </c>
      <c r="Q21" s="2">
        <v>45901</v>
      </c>
      <c r="R21" s="10" t="s">
        <v>5</v>
      </c>
      <c r="S21" s="61">
        <v>45748</v>
      </c>
      <c r="T21" s="2">
        <v>45778</v>
      </c>
      <c r="U21" s="2">
        <v>45809</v>
      </c>
      <c r="V21" s="2">
        <v>45839</v>
      </c>
      <c r="W21" s="2">
        <v>45870</v>
      </c>
      <c r="X21" s="2">
        <v>45901</v>
      </c>
      <c r="Y21" s="10" t="s">
        <v>5</v>
      </c>
    </row>
    <row r="22" spans="3:25" x14ac:dyDescent="0.4">
      <c r="C22" s="60" t="s">
        <v>6</v>
      </c>
      <c r="D22" s="22" t="s">
        <v>7</v>
      </c>
      <c r="E22" s="3">
        <v>9147.7960000000003</v>
      </c>
      <c r="F22" s="4">
        <v>4444.4719999999998</v>
      </c>
      <c r="G22" s="4">
        <v>2355.6019999999999</v>
      </c>
      <c r="H22" s="4">
        <v>1557.684</v>
      </c>
      <c r="I22" s="4">
        <v>3298.471</v>
      </c>
      <c r="J22" s="4">
        <v>7505.23</v>
      </c>
      <c r="K22" s="62">
        <f t="shared" ref="K22:K28" si="11">SUM(E22:J22)</f>
        <v>28309.255000000001</v>
      </c>
      <c r="L22" s="3">
        <v>1807.7349999999999</v>
      </c>
      <c r="M22" s="4">
        <v>979.73299999999995</v>
      </c>
      <c r="N22" s="4">
        <v>613.37599999999998</v>
      </c>
      <c r="O22" s="4">
        <v>497.64600000000002</v>
      </c>
      <c r="P22" s="4">
        <v>716.77600000000007</v>
      </c>
      <c r="Q22" s="4">
        <v>1539.684</v>
      </c>
      <c r="R22" s="62">
        <f t="shared" ref="R22:R28" si="12">SUM(L22:Q22)</f>
        <v>6154.9500000000007</v>
      </c>
      <c r="S22" s="65">
        <f t="shared" ref="S22:S34" si="13">IF(E22=0,"***",L22/E22)</f>
        <v>0.19761426686821612</v>
      </c>
      <c r="T22" s="11">
        <f t="shared" ref="T22:T34" si="14">IF(F22=0,"***",M22/F22)</f>
        <v>0.22043855828093867</v>
      </c>
      <c r="U22" s="11">
        <f t="shared" ref="U22:U34" si="15">IF(G22=0,"***",N22/G22)</f>
        <v>0.26039033758674002</v>
      </c>
      <c r="V22" s="11">
        <f t="shared" ref="V22:V34" si="16">IF(H22=0,"***",O22/H22)</f>
        <v>0.31947814832790222</v>
      </c>
      <c r="W22" s="11">
        <f t="shared" ref="W22:W34" si="17">IF(I22=0,"***",P22/I22)</f>
        <v>0.21730553338198216</v>
      </c>
      <c r="X22" s="11">
        <f t="shared" ref="X22:X34" si="18">IF(J22=0,"***",Q22/J22)</f>
        <v>0.20514814336136269</v>
      </c>
      <c r="Y22" s="13">
        <f t="shared" ref="Y22:Y34" si="19">IF(K22=0,"***",R22/K22)</f>
        <v>0.21741829659593659</v>
      </c>
    </row>
    <row r="23" spans="3:25" x14ac:dyDescent="0.4">
      <c r="C23" s="60" t="s">
        <v>8</v>
      </c>
      <c r="D23" s="22" t="s">
        <v>9</v>
      </c>
      <c r="E23" s="3">
        <v>643.41200000000003</v>
      </c>
      <c r="F23" s="4">
        <v>793.47799999999995</v>
      </c>
      <c r="G23" s="4">
        <v>1761.134</v>
      </c>
      <c r="H23" s="4">
        <v>3657.34</v>
      </c>
      <c r="I23" s="4">
        <v>2898.8049999999998</v>
      </c>
      <c r="J23" s="4">
        <v>5118.3630000000003</v>
      </c>
      <c r="K23" s="62">
        <f t="shared" si="11"/>
        <v>14872.531999999999</v>
      </c>
      <c r="L23" s="3">
        <v>174.63200000000001</v>
      </c>
      <c r="M23" s="4">
        <v>274.09100000000001</v>
      </c>
      <c r="N23" s="4">
        <v>747.89400000000001</v>
      </c>
      <c r="O23" s="4">
        <v>1286.432</v>
      </c>
      <c r="P23" s="4">
        <v>848.42</v>
      </c>
      <c r="Q23" s="4">
        <v>1789.3320000000001</v>
      </c>
      <c r="R23" s="62">
        <f t="shared" si="12"/>
        <v>5120.8010000000004</v>
      </c>
      <c r="S23" s="65">
        <f t="shared" si="13"/>
        <v>0.27141551603016417</v>
      </c>
      <c r="T23" s="11">
        <f t="shared" si="14"/>
        <v>0.34542986699064121</v>
      </c>
      <c r="U23" s="11">
        <f t="shared" si="15"/>
        <v>0.42466615260394724</v>
      </c>
      <c r="V23" s="11">
        <f t="shared" si="16"/>
        <v>0.35173978902699776</v>
      </c>
      <c r="W23" s="11">
        <f t="shared" si="17"/>
        <v>0.2926792247150119</v>
      </c>
      <c r="X23" s="11">
        <f t="shared" si="18"/>
        <v>0.34959067967629492</v>
      </c>
      <c r="Y23" s="13">
        <f t="shared" si="19"/>
        <v>0.34431265637888697</v>
      </c>
    </row>
    <row r="24" spans="3:25" x14ac:dyDescent="0.4">
      <c r="C24" s="60" t="s">
        <v>10</v>
      </c>
      <c r="D24" s="22" t="s">
        <v>11</v>
      </c>
      <c r="E24" s="3">
        <v>676.904</v>
      </c>
      <c r="F24" s="4">
        <v>421.59300000000002</v>
      </c>
      <c r="G24" s="4">
        <v>54.481999999999999</v>
      </c>
      <c r="H24" s="4">
        <v>36.713999999999999</v>
      </c>
      <c r="I24" s="4">
        <v>888.85299999999995</v>
      </c>
      <c r="J24" s="4">
        <v>683.03200000000004</v>
      </c>
      <c r="K24" s="62">
        <f t="shared" si="11"/>
        <v>2761.578</v>
      </c>
      <c r="L24" s="3">
        <v>413.214</v>
      </c>
      <c r="M24" s="4">
        <v>270.70400000000001</v>
      </c>
      <c r="N24" s="4">
        <v>22.481000000000002</v>
      </c>
      <c r="O24" s="4">
        <v>16.864000000000001</v>
      </c>
      <c r="P24" s="4">
        <v>717.35699999999997</v>
      </c>
      <c r="Q24" s="4">
        <v>517.26300000000003</v>
      </c>
      <c r="R24" s="62">
        <f t="shared" si="12"/>
        <v>1957.8829999999998</v>
      </c>
      <c r="S24" s="65">
        <f t="shared" si="13"/>
        <v>0.61044697623296662</v>
      </c>
      <c r="T24" s="11">
        <f t="shared" si="14"/>
        <v>0.64209794754656746</v>
      </c>
      <c r="U24" s="11">
        <f t="shared" si="15"/>
        <v>0.41263169487170076</v>
      </c>
      <c r="V24" s="11">
        <f t="shared" si="16"/>
        <v>0.45933431388571122</v>
      </c>
      <c r="W24" s="11">
        <f t="shared" si="17"/>
        <v>0.80705921001560443</v>
      </c>
      <c r="X24" s="11">
        <f t="shared" si="18"/>
        <v>0.75730419658229775</v>
      </c>
      <c r="Y24" s="13">
        <f t="shared" si="19"/>
        <v>0.70897255120079894</v>
      </c>
    </row>
    <row r="25" spans="3:25" x14ac:dyDescent="0.4">
      <c r="C25" s="60" t="s">
        <v>12</v>
      </c>
      <c r="D25" s="22" t="s">
        <v>13</v>
      </c>
      <c r="E25" s="3">
        <v>3178.58</v>
      </c>
      <c r="F25" s="4">
        <v>4702.8280000000004</v>
      </c>
      <c r="G25" s="4">
        <v>4402.2209999999986</v>
      </c>
      <c r="H25" s="4">
        <v>3998.11</v>
      </c>
      <c r="I25" s="4">
        <v>1925.62</v>
      </c>
      <c r="J25" s="4">
        <v>3546.4710000000009</v>
      </c>
      <c r="K25" s="62">
        <f t="shared" si="11"/>
        <v>21753.83</v>
      </c>
      <c r="L25" s="3">
        <v>1743.3810000000001</v>
      </c>
      <c r="M25" s="4">
        <v>2764.7779999999998</v>
      </c>
      <c r="N25" s="4">
        <v>2329.6</v>
      </c>
      <c r="O25" s="4">
        <v>2041.6869999999999</v>
      </c>
      <c r="P25" s="4">
        <v>944.99799999999982</v>
      </c>
      <c r="Q25" s="4">
        <v>1949.4349999999999</v>
      </c>
      <c r="R25" s="62">
        <f t="shared" si="12"/>
        <v>11773.878999999999</v>
      </c>
      <c r="S25" s="65">
        <f t="shared" si="13"/>
        <v>0.54847793668871014</v>
      </c>
      <c r="T25" s="11">
        <f t="shared" si="14"/>
        <v>0.58789689948260904</v>
      </c>
      <c r="U25" s="11">
        <f t="shared" si="15"/>
        <v>0.52918742607424762</v>
      </c>
      <c r="V25" s="11">
        <f t="shared" si="16"/>
        <v>0.5106630382855899</v>
      </c>
      <c r="W25" s="11">
        <f t="shared" si="17"/>
        <v>0.49074999221030102</v>
      </c>
      <c r="X25" s="11">
        <f t="shared" si="18"/>
        <v>0.54968305112321503</v>
      </c>
      <c r="Y25" s="13">
        <f t="shared" si="19"/>
        <v>0.5412324634328759</v>
      </c>
    </row>
    <row r="26" spans="3:25" x14ac:dyDescent="0.4">
      <c r="C26" s="60" t="s">
        <v>14</v>
      </c>
      <c r="D26" s="22"/>
      <c r="E26" s="3">
        <f t="shared" ref="E26:J26" si="20">SUM(E22:E25)</f>
        <v>13646.692000000001</v>
      </c>
      <c r="F26" s="4">
        <f t="shared" si="20"/>
        <v>10362.370999999999</v>
      </c>
      <c r="G26" s="4">
        <f t="shared" si="20"/>
        <v>8573.4389999999985</v>
      </c>
      <c r="H26" s="4">
        <f t="shared" si="20"/>
        <v>9249.848</v>
      </c>
      <c r="I26" s="4">
        <f t="shared" si="20"/>
        <v>9011.7489999999998</v>
      </c>
      <c r="J26" s="4">
        <f t="shared" si="20"/>
        <v>16853.096000000001</v>
      </c>
      <c r="K26" s="62">
        <f t="shared" si="11"/>
        <v>67697.195000000007</v>
      </c>
      <c r="L26" s="3">
        <f t="shared" ref="L26:Q26" si="21">SUM(L22:L25)</f>
        <v>4138.9620000000004</v>
      </c>
      <c r="M26" s="4">
        <f t="shared" si="21"/>
        <v>4289.3059999999996</v>
      </c>
      <c r="N26" s="4">
        <f t="shared" si="21"/>
        <v>3713.3509999999997</v>
      </c>
      <c r="O26" s="4">
        <f t="shared" si="21"/>
        <v>3842.6289999999999</v>
      </c>
      <c r="P26" s="4">
        <f t="shared" si="21"/>
        <v>3227.5509999999995</v>
      </c>
      <c r="Q26" s="4">
        <f t="shared" si="21"/>
        <v>5795.7139999999999</v>
      </c>
      <c r="R26" s="62">
        <f t="shared" si="12"/>
        <v>25007.512999999999</v>
      </c>
      <c r="S26" s="65">
        <f t="shared" si="13"/>
        <v>0.30329416095856787</v>
      </c>
      <c r="T26" s="11">
        <f t="shared" si="14"/>
        <v>0.41393094302452593</v>
      </c>
      <c r="U26" s="11">
        <f t="shared" si="15"/>
        <v>0.43312269440536061</v>
      </c>
      <c r="V26" s="11">
        <f t="shared" si="16"/>
        <v>0.41542617781394892</v>
      </c>
      <c r="W26" s="11">
        <f t="shared" si="17"/>
        <v>0.358149233850166</v>
      </c>
      <c r="X26" s="11">
        <f t="shared" si="18"/>
        <v>0.34389610075205168</v>
      </c>
      <c r="Y26" s="13">
        <f t="shared" si="19"/>
        <v>0.3694024988775384</v>
      </c>
    </row>
    <row r="27" spans="3:25" x14ac:dyDescent="0.4">
      <c r="C27" s="60" t="s">
        <v>15</v>
      </c>
      <c r="D27" s="22" t="s">
        <v>16</v>
      </c>
      <c r="E27" s="3">
        <v>5532.7629999999999</v>
      </c>
      <c r="F27" s="4">
        <v>6604.0349999999999</v>
      </c>
      <c r="G27" s="4">
        <v>7174.5259999999998</v>
      </c>
      <c r="H27" s="4">
        <v>5086.6310000000003</v>
      </c>
      <c r="I27" s="4">
        <v>5913.4979999999996</v>
      </c>
      <c r="J27" s="4">
        <v>12536.989</v>
      </c>
      <c r="K27" s="62">
        <f t="shared" si="11"/>
        <v>42848.442000000003</v>
      </c>
      <c r="L27" s="3">
        <v>1289.4459999999999</v>
      </c>
      <c r="M27" s="4">
        <v>1627.4090000000001</v>
      </c>
      <c r="N27" s="4">
        <v>1407.741</v>
      </c>
      <c r="O27" s="4">
        <v>950.38499999999999</v>
      </c>
      <c r="P27" s="4">
        <v>1282.931</v>
      </c>
      <c r="Q27" s="4">
        <v>2609.8470000000002</v>
      </c>
      <c r="R27" s="62">
        <f t="shared" si="12"/>
        <v>9167.759</v>
      </c>
      <c r="S27" s="65">
        <f t="shared" si="13"/>
        <v>0.23305643129843082</v>
      </c>
      <c r="T27" s="11">
        <f t="shared" si="14"/>
        <v>0.24642646503236282</v>
      </c>
      <c r="U27" s="11">
        <f t="shared" si="15"/>
        <v>0.19621379865373684</v>
      </c>
      <c r="V27" s="11">
        <f t="shared" si="16"/>
        <v>0.18683977666160567</v>
      </c>
      <c r="W27" s="11">
        <f t="shared" si="17"/>
        <v>0.21694959565387528</v>
      </c>
      <c r="X27" s="11">
        <f t="shared" si="18"/>
        <v>0.20817175479694527</v>
      </c>
      <c r="Y27" s="13">
        <f t="shared" si="19"/>
        <v>0.21395781438214251</v>
      </c>
    </row>
    <row r="28" spans="3:25" x14ac:dyDescent="0.4">
      <c r="C28" s="60" t="s">
        <v>17</v>
      </c>
      <c r="D28" s="22" t="s">
        <v>18</v>
      </c>
      <c r="E28" s="3">
        <v>2776.4050000000002</v>
      </c>
      <c r="F28" s="4">
        <v>3884.684999999999</v>
      </c>
      <c r="G28" s="4">
        <v>4124.21</v>
      </c>
      <c r="H28" s="4">
        <v>2676.2</v>
      </c>
      <c r="I28" s="4">
        <v>1446.7950000000001</v>
      </c>
      <c r="J28" s="4">
        <v>4570.5950000000003</v>
      </c>
      <c r="K28" s="62">
        <f t="shared" si="11"/>
        <v>19478.89</v>
      </c>
      <c r="L28" s="3">
        <v>1708.154</v>
      </c>
      <c r="M28" s="4">
        <v>2438.683</v>
      </c>
      <c r="N28" s="4">
        <v>3607.46</v>
      </c>
      <c r="O28" s="4">
        <v>2209.1999999999998</v>
      </c>
      <c r="P28" s="4">
        <v>1173.0450000000001</v>
      </c>
      <c r="Q28" s="4">
        <v>3099.1410000000001</v>
      </c>
      <c r="R28" s="62">
        <f t="shared" si="12"/>
        <v>14235.682999999999</v>
      </c>
      <c r="S28" s="65">
        <f t="shared" si="13"/>
        <v>0.61523949135662837</v>
      </c>
      <c r="T28" s="11">
        <f t="shared" si="14"/>
        <v>0.62776853206888095</v>
      </c>
      <c r="U28" s="11">
        <f t="shared" si="15"/>
        <v>0.87470327650628843</v>
      </c>
      <c r="V28" s="11">
        <f t="shared" si="16"/>
        <v>0.82549884164113296</v>
      </c>
      <c r="W28" s="11">
        <f t="shared" si="17"/>
        <v>0.81078867427659063</v>
      </c>
      <c r="X28" s="11">
        <f t="shared" si="18"/>
        <v>0.67806073388694466</v>
      </c>
      <c r="Y28" s="13">
        <f t="shared" si="19"/>
        <v>0.73082619184152686</v>
      </c>
    </row>
    <row r="29" spans="3:25" x14ac:dyDescent="0.4">
      <c r="C29" s="60" t="s">
        <v>19</v>
      </c>
      <c r="D29" s="22"/>
      <c r="E29" s="3">
        <f t="shared" ref="E29:R29" si="22">SUM(E27:E28)</f>
        <v>8309.1679999999997</v>
      </c>
      <c r="F29" s="20">
        <f t="shared" si="22"/>
        <v>10488.72</v>
      </c>
      <c r="G29" s="20">
        <f t="shared" si="22"/>
        <v>11298.736000000001</v>
      </c>
      <c r="H29" s="20">
        <f t="shared" si="22"/>
        <v>7762.8310000000001</v>
      </c>
      <c r="I29" s="20">
        <f t="shared" si="22"/>
        <v>7360.2929999999997</v>
      </c>
      <c r="J29" s="20">
        <f t="shared" si="22"/>
        <v>17107.583999999999</v>
      </c>
      <c r="K29" s="62">
        <f t="shared" si="22"/>
        <v>62327.332000000002</v>
      </c>
      <c r="L29" s="3">
        <f t="shared" si="22"/>
        <v>2997.6</v>
      </c>
      <c r="M29" s="20">
        <f t="shared" si="22"/>
        <v>4066.0920000000001</v>
      </c>
      <c r="N29" s="20">
        <f t="shared" si="22"/>
        <v>5015.201</v>
      </c>
      <c r="O29" s="20">
        <f t="shared" si="22"/>
        <v>3159.585</v>
      </c>
      <c r="P29" s="20">
        <f t="shared" si="22"/>
        <v>2455.9760000000001</v>
      </c>
      <c r="Q29" s="20">
        <f t="shared" si="22"/>
        <v>5708.9880000000003</v>
      </c>
      <c r="R29" s="62">
        <f t="shared" si="22"/>
        <v>23403.441999999999</v>
      </c>
      <c r="S29" s="65">
        <f t="shared" si="13"/>
        <v>0.36075814088727054</v>
      </c>
      <c r="T29" s="11">
        <f t="shared" si="14"/>
        <v>0.3876633183076677</v>
      </c>
      <c r="U29" s="11">
        <f t="shared" si="15"/>
        <v>0.44387274824369732</v>
      </c>
      <c r="V29" s="11">
        <f t="shared" si="16"/>
        <v>0.40701452859143783</v>
      </c>
      <c r="W29" s="11">
        <f t="shared" si="17"/>
        <v>0.33367910761161279</v>
      </c>
      <c r="X29" s="11">
        <f t="shared" si="18"/>
        <v>0.33371094363762882</v>
      </c>
      <c r="Y29" s="13">
        <f t="shared" si="19"/>
        <v>0.37549244045934771</v>
      </c>
    </row>
    <row r="30" spans="3:25" x14ac:dyDescent="0.4">
      <c r="C30" s="60" t="s">
        <v>20</v>
      </c>
      <c r="D30" s="22" t="s">
        <v>21</v>
      </c>
      <c r="E30" s="3">
        <v>13161.188</v>
      </c>
      <c r="F30" s="20">
        <v>22618.704000000002</v>
      </c>
      <c r="G30" s="20">
        <v>20298.312999999998</v>
      </c>
      <c r="H30" s="20">
        <v>13511.618</v>
      </c>
      <c r="I30" s="20">
        <v>10177.025</v>
      </c>
      <c r="J30" s="20">
        <v>10696.536</v>
      </c>
      <c r="K30" s="62">
        <f>SUM(E30:J30)</f>
        <v>90463.383999999991</v>
      </c>
      <c r="L30" s="3">
        <v>3307.326</v>
      </c>
      <c r="M30" s="20">
        <v>5138.1779999999999</v>
      </c>
      <c r="N30" s="20">
        <v>4393.3819999999996</v>
      </c>
      <c r="O30" s="20">
        <v>2843.846</v>
      </c>
      <c r="P30" s="20">
        <v>2115.652</v>
      </c>
      <c r="Q30" s="20">
        <v>2187.2449999999999</v>
      </c>
      <c r="R30" s="62">
        <f>SUM(L30:Q30)</f>
        <v>19985.628999999997</v>
      </c>
      <c r="S30" s="65">
        <f t="shared" si="13"/>
        <v>0.25129388015732318</v>
      </c>
      <c r="T30" s="11">
        <f t="shared" si="14"/>
        <v>0.22716500467931316</v>
      </c>
      <c r="U30" s="11">
        <f t="shared" si="15"/>
        <v>0.21644074559299584</v>
      </c>
      <c r="V30" s="11">
        <f t="shared" si="16"/>
        <v>0.21047412678481583</v>
      </c>
      <c r="W30" s="11">
        <f t="shared" si="17"/>
        <v>0.20788511377342594</v>
      </c>
      <c r="X30" s="11">
        <f t="shared" si="18"/>
        <v>0.20448161909612605</v>
      </c>
      <c r="Y30" s="13">
        <f t="shared" si="19"/>
        <v>0.22092506510700505</v>
      </c>
    </row>
    <row r="31" spans="3:25" x14ac:dyDescent="0.4">
      <c r="C31" s="60" t="s">
        <v>22</v>
      </c>
      <c r="D31" s="83" t="s">
        <v>23</v>
      </c>
      <c r="E31" s="88">
        <v>2.95</v>
      </c>
      <c r="F31" s="84">
        <v>0</v>
      </c>
      <c r="G31" s="84">
        <v>0</v>
      </c>
      <c r="H31" s="84">
        <v>16.815000000000001</v>
      </c>
      <c r="I31" s="84">
        <v>17.68</v>
      </c>
      <c r="J31" s="84">
        <v>14.48</v>
      </c>
      <c r="K31" s="62">
        <f>SUM(E31:J31)</f>
        <v>51.924999999999997</v>
      </c>
      <c r="L31" s="88">
        <v>0.90900000000000003</v>
      </c>
      <c r="M31" s="84">
        <v>0</v>
      </c>
      <c r="N31" s="84">
        <v>0</v>
      </c>
      <c r="O31" s="84">
        <v>5.181</v>
      </c>
      <c r="P31" s="84">
        <v>4.5359999999999996</v>
      </c>
      <c r="Q31" s="84">
        <v>1.946</v>
      </c>
      <c r="R31" s="62">
        <f>SUM(L31:Q31)</f>
        <v>12.571999999999999</v>
      </c>
      <c r="S31" s="65">
        <f t="shared" si="13"/>
        <v>0.30813559322033895</v>
      </c>
      <c r="T31" s="11" t="str">
        <f t="shared" si="14"/>
        <v>***</v>
      </c>
      <c r="U31" s="11" t="str">
        <f t="shared" si="15"/>
        <v>***</v>
      </c>
      <c r="V31" s="11">
        <f t="shared" si="16"/>
        <v>0.30811775200713648</v>
      </c>
      <c r="W31" s="11">
        <f t="shared" si="17"/>
        <v>0.25656108597285066</v>
      </c>
      <c r="X31" s="11">
        <f t="shared" si="18"/>
        <v>0.13439226519337016</v>
      </c>
      <c r="Y31" s="13">
        <f t="shared" si="19"/>
        <v>0.24211844005777564</v>
      </c>
    </row>
    <row r="32" spans="3:25" x14ac:dyDescent="0.4">
      <c r="C32" s="82" t="s">
        <v>24</v>
      </c>
      <c r="D32" s="83"/>
      <c r="E32" s="88">
        <f t="shared" ref="E32:J32" si="23">E30+E31</f>
        <v>13164.138000000001</v>
      </c>
      <c r="F32" s="84">
        <f t="shared" si="23"/>
        <v>22618.704000000002</v>
      </c>
      <c r="G32" s="84">
        <f t="shared" si="23"/>
        <v>20298.312999999998</v>
      </c>
      <c r="H32" s="84">
        <f t="shared" si="23"/>
        <v>13528.433000000001</v>
      </c>
      <c r="I32" s="84">
        <f t="shared" si="23"/>
        <v>10194.705</v>
      </c>
      <c r="J32" s="84">
        <f t="shared" si="23"/>
        <v>10711.016</v>
      </c>
      <c r="K32" s="62">
        <f>SUM(E32:J32)</f>
        <v>90515.309000000008</v>
      </c>
      <c r="L32" s="88">
        <f t="shared" ref="L32:Q32" si="24">L30+L31</f>
        <v>3308.2350000000001</v>
      </c>
      <c r="M32" s="84">
        <f t="shared" si="24"/>
        <v>5138.1779999999999</v>
      </c>
      <c r="N32" s="84">
        <f t="shared" si="24"/>
        <v>4393.3819999999996</v>
      </c>
      <c r="O32" s="84">
        <f t="shared" si="24"/>
        <v>2849.027</v>
      </c>
      <c r="P32" s="84">
        <f t="shared" si="24"/>
        <v>2120.1880000000001</v>
      </c>
      <c r="Q32" s="84">
        <f t="shared" si="24"/>
        <v>2189.1909999999998</v>
      </c>
      <c r="R32" s="62">
        <f>SUM(L32:Q32)</f>
        <v>19998.201000000001</v>
      </c>
      <c r="S32" s="65">
        <f t="shared" si="13"/>
        <v>0.25130661802542636</v>
      </c>
      <c r="T32" s="11">
        <f t="shared" si="14"/>
        <v>0.22716500467931316</v>
      </c>
      <c r="U32" s="11">
        <f t="shared" si="15"/>
        <v>0.21644074559299584</v>
      </c>
      <c r="V32" s="11">
        <f t="shared" si="16"/>
        <v>0.21059549173211708</v>
      </c>
      <c r="W32" s="11">
        <f t="shared" si="17"/>
        <v>0.20796952928015083</v>
      </c>
      <c r="X32" s="11">
        <f t="shared" si="18"/>
        <v>0.20438686675475043</v>
      </c>
      <c r="Y32" s="13">
        <f t="shared" si="19"/>
        <v>0.22093722289563192</v>
      </c>
    </row>
    <row r="33" spans="3:25" x14ac:dyDescent="0.4">
      <c r="C33" s="53" t="s">
        <v>5</v>
      </c>
      <c r="D33" s="54"/>
      <c r="E33" s="63">
        <f t="shared" ref="E33:R33" si="25">E26+E29+E32</f>
        <v>35119.998</v>
      </c>
      <c r="F33" s="8">
        <f t="shared" si="25"/>
        <v>43469.794999999998</v>
      </c>
      <c r="G33" s="8">
        <f t="shared" si="25"/>
        <v>40170.487999999998</v>
      </c>
      <c r="H33" s="8">
        <f t="shared" si="25"/>
        <v>30541.112000000001</v>
      </c>
      <c r="I33" s="8">
        <f t="shared" si="25"/>
        <v>26566.746999999999</v>
      </c>
      <c r="J33" s="8">
        <f t="shared" si="25"/>
        <v>44671.695999999996</v>
      </c>
      <c r="K33" s="64">
        <f t="shared" si="25"/>
        <v>220539.83600000001</v>
      </c>
      <c r="L33" s="63">
        <f t="shared" si="25"/>
        <v>10444.797</v>
      </c>
      <c r="M33" s="8">
        <f t="shared" si="25"/>
        <v>13493.575999999999</v>
      </c>
      <c r="N33" s="8">
        <f t="shared" si="25"/>
        <v>13121.933999999999</v>
      </c>
      <c r="O33" s="8">
        <f t="shared" si="25"/>
        <v>9851.241</v>
      </c>
      <c r="P33" s="8">
        <f t="shared" si="25"/>
        <v>7803.7150000000001</v>
      </c>
      <c r="Q33" s="8">
        <f t="shared" si="25"/>
        <v>13693.893</v>
      </c>
      <c r="R33" s="64">
        <f t="shared" si="25"/>
        <v>68409.156000000003</v>
      </c>
      <c r="S33" s="66">
        <f t="shared" si="13"/>
        <v>0.29740312058104335</v>
      </c>
      <c r="T33" s="14">
        <f t="shared" si="14"/>
        <v>0.31041269000693467</v>
      </c>
      <c r="U33" s="14">
        <f t="shared" si="15"/>
        <v>0.32665607647086586</v>
      </c>
      <c r="V33" s="14">
        <f t="shared" si="16"/>
        <v>0.32255672288553211</v>
      </c>
      <c r="W33" s="14">
        <f t="shared" si="17"/>
        <v>0.29373995243000584</v>
      </c>
      <c r="X33" s="14">
        <f t="shared" si="18"/>
        <v>0.30654517795787295</v>
      </c>
      <c r="Y33" s="16">
        <f t="shared" si="19"/>
        <v>0.31018956593402019</v>
      </c>
    </row>
    <row r="34" spans="3:25" x14ac:dyDescent="0.4">
      <c r="C34" s="74" t="s">
        <v>25</v>
      </c>
      <c r="D34" s="75"/>
      <c r="E34" s="5">
        <v>2808</v>
      </c>
      <c r="F34" s="98">
        <v>8671.2939999999999</v>
      </c>
      <c r="G34" s="98">
        <v>3956</v>
      </c>
      <c r="H34" s="98"/>
      <c r="I34" s="98"/>
      <c r="J34" s="98"/>
      <c r="K34" s="99">
        <f>SUM(E34:J34)</f>
        <v>15435.294</v>
      </c>
      <c r="L34" s="5">
        <v>1068</v>
      </c>
      <c r="M34" s="98">
        <v>3581.357</v>
      </c>
      <c r="N34" s="98">
        <v>1431</v>
      </c>
      <c r="O34" s="98"/>
      <c r="P34" s="98"/>
      <c r="Q34" s="98"/>
      <c r="R34" s="99">
        <f>SUM(L34:Q34)</f>
        <v>6080.357</v>
      </c>
      <c r="S34" s="100">
        <f t="shared" si="13"/>
        <v>0.38034188034188032</v>
      </c>
      <c r="T34" s="101">
        <f t="shared" si="14"/>
        <v>0.41301298283739429</v>
      </c>
      <c r="U34" s="101">
        <f t="shared" si="15"/>
        <v>0.36172901921132455</v>
      </c>
      <c r="V34" s="101" t="str">
        <f t="shared" si="16"/>
        <v>***</v>
      </c>
      <c r="W34" s="101" t="str">
        <f t="shared" si="17"/>
        <v>***</v>
      </c>
      <c r="X34" s="101" t="str">
        <f t="shared" si="18"/>
        <v>***</v>
      </c>
      <c r="Y34" s="102">
        <f t="shared" si="19"/>
        <v>0.39392557083784735</v>
      </c>
    </row>
    <row r="35" spans="3:25" x14ac:dyDescent="0.4">
      <c r="C35" s="18"/>
      <c r="E35" s="17"/>
      <c r="F35" s="17"/>
      <c r="G35" s="17"/>
      <c r="H35" s="17"/>
      <c r="I35" s="17"/>
      <c r="J35" s="17"/>
      <c r="K35" s="18"/>
      <c r="L35" s="17"/>
      <c r="M35" s="17"/>
      <c r="N35" s="17"/>
      <c r="O35" s="17"/>
      <c r="P35" s="17"/>
      <c r="Q35" s="17"/>
      <c r="R35" s="18"/>
      <c r="S35" s="19"/>
      <c r="T35" s="19"/>
      <c r="U35" s="19"/>
      <c r="V35" s="19"/>
      <c r="W35" s="19"/>
      <c r="X35" s="19"/>
      <c r="Y35" s="19"/>
    </row>
    <row r="36" spans="3:25" x14ac:dyDescent="0.4">
      <c r="C36" s="18" t="s">
        <v>27</v>
      </c>
    </row>
    <row r="37" spans="3:25" x14ac:dyDescent="0.4">
      <c r="C37" s="120"/>
      <c r="D37" s="119"/>
      <c r="E37" s="122" t="s">
        <v>2</v>
      </c>
      <c r="F37" s="118"/>
      <c r="G37" s="118"/>
      <c r="H37" s="118"/>
      <c r="I37" s="118"/>
      <c r="J37" s="118"/>
      <c r="K37" s="118"/>
      <c r="L37" s="121" t="s">
        <v>3</v>
      </c>
      <c r="M37" s="118"/>
      <c r="N37" s="118"/>
      <c r="O37" s="118"/>
      <c r="P37" s="118"/>
      <c r="Q37" s="118"/>
      <c r="R37" s="119"/>
      <c r="S37" s="117" t="s">
        <v>4</v>
      </c>
      <c r="T37" s="118"/>
      <c r="U37" s="118"/>
      <c r="V37" s="118"/>
      <c r="W37" s="118"/>
      <c r="X37" s="118"/>
      <c r="Y37" s="119"/>
    </row>
    <row r="38" spans="3:25" x14ac:dyDescent="0.4">
      <c r="C38" s="1"/>
      <c r="D38" s="21"/>
      <c r="E38" s="61">
        <v>45748</v>
      </c>
      <c r="F38" s="2">
        <v>45778</v>
      </c>
      <c r="G38" s="2">
        <v>45809</v>
      </c>
      <c r="H38" s="2">
        <v>45839</v>
      </c>
      <c r="I38" s="2">
        <v>45870</v>
      </c>
      <c r="J38" s="2">
        <v>45901</v>
      </c>
      <c r="K38" s="67" t="s">
        <v>5</v>
      </c>
      <c r="L38" s="61">
        <v>45748</v>
      </c>
      <c r="M38" s="2">
        <v>45778</v>
      </c>
      <c r="N38" s="2">
        <v>45809</v>
      </c>
      <c r="O38" s="2">
        <v>45839</v>
      </c>
      <c r="P38" s="2">
        <v>45870</v>
      </c>
      <c r="Q38" s="2">
        <v>45901</v>
      </c>
      <c r="R38" s="10" t="s">
        <v>5</v>
      </c>
      <c r="S38" s="95">
        <v>45748</v>
      </c>
      <c r="T38" s="2">
        <v>45778</v>
      </c>
      <c r="U38" s="2">
        <v>45809</v>
      </c>
      <c r="V38" s="2">
        <v>45839</v>
      </c>
      <c r="W38" s="2">
        <v>45870</v>
      </c>
      <c r="X38" s="2">
        <v>45901</v>
      </c>
      <c r="Y38" s="10" t="s">
        <v>5</v>
      </c>
    </row>
    <row r="39" spans="3:25" x14ac:dyDescent="0.4">
      <c r="C39" s="60" t="s">
        <v>6</v>
      </c>
      <c r="D39" s="22" t="s">
        <v>7</v>
      </c>
      <c r="E39" s="4">
        <f t="shared" ref="E39:J42" si="26">(E22+E5)/2</f>
        <v>8483.7489999999998</v>
      </c>
      <c r="F39" s="4">
        <f t="shared" si="26"/>
        <v>4619.8850000000002</v>
      </c>
      <c r="G39" s="4">
        <f t="shared" si="26"/>
        <v>2060.2555000000002</v>
      </c>
      <c r="H39" s="4">
        <f t="shared" si="26"/>
        <v>2764.5830000000001</v>
      </c>
      <c r="I39" s="4">
        <f t="shared" si="26"/>
        <v>3942.5985000000001</v>
      </c>
      <c r="J39" s="4">
        <f t="shared" si="26"/>
        <v>7313.1619999999994</v>
      </c>
      <c r="K39" s="68">
        <f t="shared" ref="K39:K45" si="27">SUM(E39:J39)</f>
        <v>29184.233</v>
      </c>
      <c r="L39" s="3">
        <f t="shared" ref="L39:Q42" si="28">(L22+L5)/2</f>
        <v>1640.4490000000001</v>
      </c>
      <c r="M39" s="4">
        <f t="shared" si="28"/>
        <v>1013.6195</v>
      </c>
      <c r="N39" s="4">
        <f t="shared" si="28"/>
        <v>508.27949999999998</v>
      </c>
      <c r="O39" s="4">
        <f t="shared" si="28"/>
        <v>632.03750000000002</v>
      </c>
      <c r="P39" s="4">
        <f t="shared" si="28"/>
        <v>797.41650000000004</v>
      </c>
      <c r="Q39" s="4">
        <f t="shared" si="28"/>
        <v>1403.627</v>
      </c>
      <c r="R39" s="62">
        <f t="shared" ref="R39:R45" si="29">SUM(L39:Q39)</f>
        <v>5995.4290000000001</v>
      </c>
      <c r="S39" s="96">
        <f t="shared" ref="S39:S51" si="30">IF(E39=0,"***",L39/E39)</f>
        <v>0.19336368862397982</v>
      </c>
      <c r="T39" s="11">
        <f t="shared" ref="T39:T51" si="31">IF(F39=0,"***",M39/F39)</f>
        <v>0.21940362151871745</v>
      </c>
      <c r="U39" s="11">
        <f t="shared" ref="U39:U51" si="32">IF(G39=0,"***",N39/G39)</f>
        <v>0.2467070225027915</v>
      </c>
      <c r="V39" s="11">
        <f t="shared" ref="V39:V51" si="33">IF(H39=0,"***",O39/H39)</f>
        <v>0.22861946991643947</v>
      </c>
      <c r="W39" s="11">
        <f t="shared" ref="W39:W51" si="34">IF(I39=0,"***",P39/I39)</f>
        <v>0.2022565828095354</v>
      </c>
      <c r="X39" s="11">
        <f t="shared" ref="X39:X51" si="35">IF(J39=0,"***",Q39/J39)</f>
        <v>0.19193161590020844</v>
      </c>
      <c r="Y39" s="13">
        <f t="shared" ref="Y39:Y51" si="36">IF(K39=0,"***",R39/K39)</f>
        <v>0.2054338381961246</v>
      </c>
    </row>
    <row r="40" spans="3:25" x14ac:dyDescent="0.4">
      <c r="C40" s="60" t="s">
        <v>8</v>
      </c>
      <c r="D40" s="22" t="s">
        <v>9</v>
      </c>
      <c r="E40" s="4">
        <f t="shared" si="26"/>
        <v>956.87350000000004</v>
      </c>
      <c r="F40" s="4">
        <f t="shared" si="26"/>
        <v>942.11349999999993</v>
      </c>
      <c r="G40" s="4">
        <f t="shared" si="26"/>
        <v>1109.3354999999999</v>
      </c>
      <c r="H40" s="4">
        <f t="shared" si="26"/>
        <v>2166.4665</v>
      </c>
      <c r="I40" s="4">
        <f t="shared" si="26"/>
        <v>2612.8180000000002</v>
      </c>
      <c r="J40" s="4">
        <f t="shared" si="26"/>
        <v>3869.3690000000001</v>
      </c>
      <c r="K40" s="68">
        <f t="shared" si="27"/>
        <v>11656.976000000001</v>
      </c>
      <c r="L40" s="3">
        <f t="shared" si="28"/>
        <v>335.20850000000002</v>
      </c>
      <c r="M40" s="4">
        <f t="shared" si="28"/>
        <v>329.947</v>
      </c>
      <c r="N40" s="4">
        <f t="shared" si="28"/>
        <v>456.15499999999997</v>
      </c>
      <c r="O40" s="4">
        <f t="shared" si="28"/>
        <v>769.67550000000006</v>
      </c>
      <c r="P40" s="4">
        <f t="shared" si="28"/>
        <v>811.06849999999997</v>
      </c>
      <c r="Q40" s="4">
        <f t="shared" si="28"/>
        <v>1308.4140000000002</v>
      </c>
      <c r="R40" s="62">
        <f t="shared" si="29"/>
        <v>4010.4685000000004</v>
      </c>
      <c r="S40" s="96">
        <f t="shared" si="30"/>
        <v>0.35031642113612721</v>
      </c>
      <c r="T40" s="11">
        <f t="shared" si="31"/>
        <v>0.35022001064627567</v>
      </c>
      <c r="U40" s="11">
        <f t="shared" si="32"/>
        <v>0.41119661274700037</v>
      </c>
      <c r="V40" s="11">
        <f t="shared" si="33"/>
        <v>0.35526766742065941</v>
      </c>
      <c r="W40" s="11">
        <f t="shared" si="34"/>
        <v>0.31041905712529533</v>
      </c>
      <c r="X40" s="11">
        <f t="shared" si="35"/>
        <v>0.33814660736673091</v>
      </c>
      <c r="Y40" s="13">
        <f t="shared" si="36"/>
        <v>0.34404021248735522</v>
      </c>
    </row>
    <row r="41" spans="3:25" x14ac:dyDescent="0.4">
      <c r="C41" s="60" t="s">
        <v>10</v>
      </c>
      <c r="D41" s="22" t="s">
        <v>11</v>
      </c>
      <c r="E41" s="4">
        <f t="shared" si="26"/>
        <v>552.80250000000001</v>
      </c>
      <c r="F41" s="4">
        <f t="shared" si="26"/>
        <v>336.54599999999999</v>
      </c>
      <c r="G41" s="4">
        <f t="shared" si="26"/>
        <v>49.853499999999997</v>
      </c>
      <c r="H41" s="4">
        <f t="shared" si="26"/>
        <v>36.034499999999994</v>
      </c>
      <c r="I41" s="4">
        <f t="shared" si="26"/>
        <v>599.40499999999997</v>
      </c>
      <c r="J41" s="4">
        <f t="shared" si="26"/>
        <v>515.16849999999999</v>
      </c>
      <c r="K41" s="68">
        <f t="shared" si="27"/>
        <v>2089.81</v>
      </c>
      <c r="L41" s="3">
        <f t="shared" si="28"/>
        <v>252.857</v>
      </c>
      <c r="M41" s="4">
        <f t="shared" si="28"/>
        <v>165.767</v>
      </c>
      <c r="N41" s="4">
        <f t="shared" si="28"/>
        <v>17.976500000000001</v>
      </c>
      <c r="O41" s="4">
        <f t="shared" si="28"/>
        <v>15.170500000000001</v>
      </c>
      <c r="P41" s="4">
        <f t="shared" si="28"/>
        <v>398.92699999999996</v>
      </c>
      <c r="Q41" s="4">
        <f t="shared" si="28"/>
        <v>351.41250000000002</v>
      </c>
      <c r="R41" s="62">
        <f t="shared" si="29"/>
        <v>1202.1105</v>
      </c>
      <c r="S41" s="96">
        <f t="shared" si="30"/>
        <v>0.45740929174524353</v>
      </c>
      <c r="T41" s="11">
        <f t="shared" si="31"/>
        <v>0.49255376679562379</v>
      </c>
      <c r="U41" s="11">
        <f t="shared" si="32"/>
        <v>0.3605865184992027</v>
      </c>
      <c r="V41" s="11">
        <f t="shared" si="33"/>
        <v>0.4209993200960192</v>
      </c>
      <c r="W41" s="11">
        <f t="shared" si="34"/>
        <v>0.6655383255061269</v>
      </c>
      <c r="X41" s="11">
        <f t="shared" si="35"/>
        <v>0.68213118620412549</v>
      </c>
      <c r="Y41" s="13">
        <f t="shared" si="36"/>
        <v>0.57522478120020482</v>
      </c>
    </row>
    <row r="42" spans="3:25" x14ac:dyDescent="0.4">
      <c r="C42" s="60" t="s">
        <v>12</v>
      </c>
      <c r="D42" s="22" t="s">
        <v>13</v>
      </c>
      <c r="E42" s="4">
        <f t="shared" si="26"/>
        <v>3533.4865</v>
      </c>
      <c r="F42" s="4">
        <f t="shared" si="26"/>
        <v>5113.8305</v>
      </c>
      <c r="G42" s="4">
        <f t="shared" si="26"/>
        <v>3421.0674999999992</v>
      </c>
      <c r="H42" s="4">
        <f t="shared" si="26"/>
        <v>3566.1329999999998</v>
      </c>
      <c r="I42" s="4">
        <f t="shared" si="26"/>
        <v>3593.68</v>
      </c>
      <c r="J42" s="4">
        <f t="shared" si="26"/>
        <v>4730.3355000000001</v>
      </c>
      <c r="K42" s="68">
        <f t="shared" si="27"/>
        <v>23958.532999999999</v>
      </c>
      <c r="L42" s="3">
        <f t="shared" si="28"/>
        <v>1881.5795000000001</v>
      </c>
      <c r="M42" s="4">
        <f t="shared" si="28"/>
        <v>2694.3415</v>
      </c>
      <c r="N42" s="4">
        <f t="shared" si="28"/>
        <v>1746.7570000000001</v>
      </c>
      <c r="O42" s="4">
        <f t="shared" si="28"/>
        <v>1891.9414999999999</v>
      </c>
      <c r="P42" s="4">
        <f t="shared" si="28"/>
        <v>1952.8380000000002</v>
      </c>
      <c r="Q42" s="4">
        <f t="shared" si="28"/>
        <v>2693.2350000000006</v>
      </c>
      <c r="R42" s="62">
        <f t="shared" si="29"/>
        <v>12860.692500000001</v>
      </c>
      <c r="S42" s="96">
        <f t="shared" si="30"/>
        <v>0.53249941665264611</v>
      </c>
      <c r="T42" s="11">
        <f t="shared" si="31"/>
        <v>0.5268734464312026</v>
      </c>
      <c r="U42" s="11">
        <f t="shared" si="32"/>
        <v>0.51058828859705352</v>
      </c>
      <c r="V42" s="11">
        <f t="shared" si="33"/>
        <v>0.53053026906175405</v>
      </c>
      <c r="W42" s="11">
        <f t="shared" si="34"/>
        <v>0.54340898466196219</v>
      </c>
      <c r="X42" s="11">
        <f t="shared" si="35"/>
        <v>0.56935390734970082</v>
      </c>
      <c r="Y42" s="13">
        <f t="shared" si="36"/>
        <v>0.53678964818087993</v>
      </c>
    </row>
    <row r="43" spans="3:25" x14ac:dyDescent="0.4">
      <c r="C43" s="60" t="s">
        <v>14</v>
      </c>
      <c r="D43" s="22"/>
      <c r="E43" s="4">
        <f t="shared" ref="E43:J43" si="37">SUM(E39:E42)</f>
        <v>13526.911499999998</v>
      </c>
      <c r="F43" s="4">
        <f t="shared" si="37"/>
        <v>11012.375</v>
      </c>
      <c r="G43" s="4">
        <f t="shared" si="37"/>
        <v>6640.5119999999997</v>
      </c>
      <c r="H43" s="4">
        <f t="shared" si="37"/>
        <v>8533.2170000000006</v>
      </c>
      <c r="I43" s="4">
        <f t="shared" si="37"/>
        <v>10748.5015</v>
      </c>
      <c r="J43" s="4">
        <f t="shared" si="37"/>
        <v>16428.035</v>
      </c>
      <c r="K43" s="68">
        <f t="shared" si="27"/>
        <v>66889.551999999996</v>
      </c>
      <c r="L43" s="3">
        <f t="shared" ref="L43:Q43" si="38">SUM(L39:L42)</f>
        <v>4110.0940000000001</v>
      </c>
      <c r="M43" s="4">
        <f t="shared" si="38"/>
        <v>4203.6750000000002</v>
      </c>
      <c r="N43" s="4">
        <f t="shared" si="38"/>
        <v>2729.1680000000001</v>
      </c>
      <c r="O43" s="4">
        <f t="shared" si="38"/>
        <v>3308.8249999999998</v>
      </c>
      <c r="P43" s="4">
        <f t="shared" si="38"/>
        <v>3960.25</v>
      </c>
      <c r="Q43" s="4">
        <f t="shared" si="38"/>
        <v>5756.6885000000002</v>
      </c>
      <c r="R43" s="62">
        <f t="shared" si="29"/>
        <v>24068.700499999999</v>
      </c>
      <c r="S43" s="96">
        <f t="shared" si="30"/>
        <v>0.30384570786908754</v>
      </c>
      <c r="T43" s="11">
        <f t="shared" si="31"/>
        <v>0.38172283453841704</v>
      </c>
      <c r="U43" s="11">
        <f t="shared" si="32"/>
        <v>0.4109875864993543</v>
      </c>
      <c r="V43" s="11">
        <f t="shared" si="33"/>
        <v>0.38775821592255294</v>
      </c>
      <c r="W43" s="11">
        <f t="shared" si="34"/>
        <v>0.36844670859468176</v>
      </c>
      <c r="X43" s="11">
        <f t="shared" si="35"/>
        <v>0.35041856801498172</v>
      </c>
      <c r="Y43" s="13">
        <f t="shared" si="36"/>
        <v>0.3598275034044181</v>
      </c>
    </row>
    <row r="44" spans="3:25" x14ac:dyDescent="0.4">
      <c r="C44" s="60" t="s">
        <v>15</v>
      </c>
      <c r="D44" s="22" t="s">
        <v>16</v>
      </c>
      <c r="E44" s="4">
        <f t="shared" ref="E44:J45" si="39">(E27+E10)/2</f>
        <v>7065.6455000000005</v>
      </c>
      <c r="F44" s="4">
        <f t="shared" si="39"/>
        <v>6276.9139999999998</v>
      </c>
      <c r="G44" s="4">
        <f t="shared" si="39"/>
        <v>6943.6769999999997</v>
      </c>
      <c r="H44" s="4">
        <f t="shared" si="39"/>
        <v>3998.3555000000001</v>
      </c>
      <c r="I44" s="4">
        <f t="shared" si="39"/>
        <v>5201.8469999999998</v>
      </c>
      <c r="J44" s="4">
        <f t="shared" si="39"/>
        <v>11242.808499999999</v>
      </c>
      <c r="K44" s="68">
        <f t="shared" si="27"/>
        <v>40729.247499999998</v>
      </c>
      <c r="L44" s="3">
        <f t="shared" ref="L44:Q45" si="40">(L27+L10)/2</f>
        <v>1552.4105</v>
      </c>
      <c r="M44" s="4">
        <f t="shared" si="40"/>
        <v>1383.5125</v>
      </c>
      <c r="N44" s="4">
        <f t="shared" si="40"/>
        <v>1244.171</v>
      </c>
      <c r="O44" s="4">
        <f t="shared" si="40"/>
        <v>698.77750000000003</v>
      </c>
      <c r="P44" s="4">
        <f t="shared" si="40"/>
        <v>1067.3285000000001</v>
      </c>
      <c r="Q44" s="4">
        <f t="shared" si="40"/>
        <v>2228.9645</v>
      </c>
      <c r="R44" s="62">
        <f t="shared" si="29"/>
        <v>8175.1645000000008</v>
      </c>
      <c r="S44" s="96">
        <f t="shared" si="30"/>
        <v>0.21971248062190493</v>
      </c>
      <c r="T44" s="11">
        <f t="shared" si="31"/>
        <v>0.22041284937152239</v>
      </c>
      <c r="U44" s="11">
        <f t="shared" si="32"/>
        <v>0.17918042558719249</v>
      </c>
      <c r="V44" s="11">
        <f t="shared" si="33"/>
        <v>0.17476622576456746</v>
      </c>
      <c r="W44" s="11">
        <f t="shared" si="34"/>
        <v>0.20518260148751014</v>
      </c>
      <c r="X44" s="11">
        <f t="shared" si="35"/>
        <v>0.19825691240760707</v>
      </c>
      <c r="Y44" s="13">
        <f t="shared" si="36"/>
        <v>0.20071975304724207</v>
      </c>
    </row>
    <row r="45" spans="3:25" x14ac:dyDescent="0.4">
      <c r="C45" s="60" t="s">
        <v>17</v>
      </c>
      <c r="D45" s="22" t="s">
        <v>18</v>
      </c>
      <c r="E45" s="4">
        <f t="shared" si="39"/>
        <v>3731.2574999999997</v>
      </c>
      <c r="F45" s="4">
        <f t="shared" si="39"/>
        <v>3617.4074999999993</v>
      </c>
      <c r="G45" s="4">
        <f t="shared" si="39"/>
        <v>3064.9349999999999</v>
      </c>
      <c r="H45" s="4">
        <f t="shared" si="39"/>
        <v>1963.1799999999998</v>
      </c>
      <c r="I45" s="4">
        <f t="shared" si="39"/>
        <v>1467.6675</v>
      </c>
      <c r="J45" s="4">
        <f t="shared" si="39"/>
        <v>4466.0050000000001</v>
      </c>
      <c r="K45" s="68">
        <f t="shared" si="27"/>
        <v>18310.452499999999</v>
      </c>
      <c r="L45" s="3">
        <f t="shared" si="40"/>
        <v>2295.5320000000002</v>
      </c>
      <c r="M45" s="4">
        <f t="shared" si="40"/>
        <v>2263.875</v>
      </c>
      <c r="N45" s="4">
        <f t="shared" si="40"/>
        <v>2539.5284999999999</v>
      </c>
      <c r="O45" s="4">
        <f t="shared" si="40"/>
        <v>1574.6485</v>
      </c>
      <c r="P45" s="4">
        <f t="shared" si="40"/>
        <v>1160.0425</v>
      </c>
      <c r="Q45" s="4">
        <f t="shared" si="40"/>
        <v>2793.683</v>
      </c>
      <c r="R45" s="62">
        <f t="shared" si="29"/>
        <v>12627.309499999999</v>
      </c>
      <c r="S45" s="96">
        <f t="shared" si="30"/>
        <v>0.61521671983238901</v>
      </c>
      <c r="T45" s="11">
        <f t="shared" si="31"/>
        <v>0.62582802739254573</v>
      </c>
      <c r="U45" s="11">
        <f t="shared" si="32"/>
        <v>0.82857499424947023</v>
      </c>
      <c r="V45" s="11">
        <f t="shared" si="33"/>
        <v>0.80209074053321661</v>
      </c>
      <c r="W45" s="11">
        <f t="shared" si="34"/>
        <v>0.79039871087967817</v>
      </c>
      <c r="X45" s="11">
        <f t="shared" si="35"/>
        <v>0.62554408246296189</v>
      </c>
      <c r="Y45" s="13">
        <f t="shared" si="36"/>
        <v>0.68962301723564723</v>
      </c>
    </row>
    <row r="46" spans="3:25" x14ac:dyDescent="0.4">
      <c r="C46" s="60" t="s">
        <v>19</v>
      </c>
      <c r="D46" s="22"/>
      <c r="E46" s="20">
        <f t="shared" ref="E46:R46" si="41">SUM(E44:E45)</f>
        <v>10796.903</v>
      </c>
      <c r="F46" s="20">
        <f t="shared" si="41"/>
        <v>9894.3214999999982</v>
      </c>
      <c r="G46" s="20">
        <f t="shared" si="41"/>
        <v>10008.611999999999</v>
      </c>
      <c r="H46" s="20">
        <f t="shared" si="41"/>
        <v>5961.5355</v>
      </c>
      <c r="I46" s="20">
        <f t="shared" si="41"/>
        <v>6669.5144999999993</v>
      </c>
      <c r="J46" s="20">
        <f t="shared" si="41"/>
        <v>15708.8135</v>
      </c>
      <c r="K46" s="68">
        <f t="shared" si="41"/>
        <v>59039.7</v>
      </c>
      <c r="L46" s="3">
        <f t="shared" si="41"/>
        <v>3847.9425000000001</v>
      </c>
      <c r="M46" s="20">
        <f t="shared" si="41"/>
        <v>3647.3874999999998</v>
      </c>
      <c r="N46" s="20">
        <f t="shared" si="41"/>
        <v>3783.6994999999997</v>
      </c>
      <c r="O46" s="20">
        <f t="shared" si="41"/>
        <v>2273.4259999999999</v>
      </c>
      <c r="P46" s="20">
        <f t="shared" si="41"/>
        <v>2227.3710000000001</v>
      </c>
      <c r="Q46" s="20">
        <f t="shared" si="41"/>
        <v>5022.6475</v>
      </c>
      <c r="R46" s="62">
        <f t="shared" si="41"/>
        <v>20802.474000000002</v>
      </c>
      <c r="S46" s="96">
        <f t="shared" si="30"/>
        <v>0.35639317126401893</v>
      </c>
      <c r="T46" s="11">
        <f t="shared" si="31"/>
        <v>0.36863442329016705</v>
      </c>
      <c r="U46" s="11">
        <f t="shared" si="32"/>
        <v>0.3780443781815101</v>
      </c>
      <c r="V46" s="11">
        <f t="shared" si="33"/>
        <v>0.38134906686372999</v>
      </c>
      <c r="W46" s="11">
        <f t="shared" si="34"/>
        <v>0.33396298936002017</v>
      </c>
      <c r="X46" s="11">
        <f t="shared" si="35"/>
        <v>0.31973436440632513</v>
      </c>
      <c r="Y46" s="13">
        <f t="shared" si="36"/>
        <v>0.35234721721146961</v>
      </c>
    </row>
    <row r="47" spans="3:25" x14ac:dyDescent="0.4">
      <c r="C47" s="60" t="s">
        <v>20</v>
      </c>
      <c r="D47" s="22" t="s">
        <v>21</v>
      </c>
      <c r="E47" s="20">
        <f t="shared" ref="E47:J48" si="42">(E30+E13)/2</f>
        <v>15312.289499999999</v>
      </c>
      <c r="F47" s="20">
        <f t="shared" si="42"/>
        <v>20164.845500000003</v>
      </c>
      <c r="G47" s="20">
        <f t="shared" si="42"/>
        <v>18781.005499999999</v>
      </c>
      <c r="H47" s="20">
        <f t="shared" si="42"/>
        <v>12870.913</v>
      </c>
      <c r="I47" s="20">
        <f t="shared" si="42"/>
        <v>9382.7865000000002</v>
      </c>
      <c r="J47" s="20">
        <f t="shared" si="42"/>
        <v>11273.824000000001</v>
      </c>
      <c r="K47" s="68">
        <f>SUM(E47:J47)</f>
        <v>87785.664000000019</v>
      </c>
      <c r="L47" s="3">
        <f t="shared" ref="L47:Q48" si="43">(L30+L13)/2</f>
        <v>3046.404</v>
      </c>
      <c r="M47" s="20">
        <f t="shared" si="43"/>
        <v>3917.4229999999998</v>
      </c>
      <c r="N47" s="20">
        <f t="shared" si="43"/>
        <v>3515.1949999999997</v>
      </c>
      <c r="O47" s="20">
        <f t="shared" si="43"/>
        <v>2384.0129999999999</v>
      </c>
      <c r="P47" s="20">
        <f t="shared" si="43"/>
        <v>1725.5264999999999</v>
      </c>
      <c r="Q47" s="20">
        <f t="shared" si="43"/>
        <v>1977.5875000000001</v>
      </c>
      <c r="R47" s="62">
        <f>SUM(L47:Q47)</f>
        <v>16566.149000000001</v>
      </c>
      <c r="S47" s="96">
        <f t="shared" si="30"/>
        <v>0.19895156762808072</v>
      </c>
      <c r="T47" s="11">
        <f t="shared" si="31"/>
        <v>0.19426992386328967</v>
      </c>
      <c r="U47" s="11">
        <f t="shared" si="32"/>
        <v>0.18716756139600724</v>
      </c>
      <c r="V47" s="11">
        <f t="shared" si="33"/>
        <v>0.18522485545508696</v>
      </c>
      <c r="W47" s="11">
        <f t="shared" si="34"/>
        <v>0.18390341717782877</v>
      </c>
      <c r="X47" s="11">
        <f t="shared" si="35"/>
        <v>0.17541408310081832</v>
      </c>
      <c r="Y47" s="13">
        <f t="shared" si="36"/>
        <v>0.18871132534806592</v>
      </c>
    </row>
    <row r="48" spans="3:25" x14ac:dyDescent="0.4">
      <c r="C48" s="60" t="s">
        <v>22</v>
      </c>
      <c r="D48" s="83" t="s">
        <v>23</v>
      </c>
      <c r="E48" s="20">
        <f t="shared" si="42"/>
        <v>1.4750000000000001</v>
      </c>
      <c r="F48" s="20">
        <f t="shared" si="42"/>
        <v>0</v>
      </c>
      <c r="G48" s="20">
        <f t="shared" si="42"/>
        <v>0</v>
      </c>
      <c r="H48" s="20">
        <f t="shared" si="42"/>
        <v>8.4075000000000006</v>
      </c>
      <c r="I48" s="20">
        <f t="shared" si="42"/>
        <v>8.84</v>
      </c>
      <c r="J48" s="20">
        <f t="shared" si="42"/>
        <v>7.24</v>
      </c>
      <c r="K48" s="68">
        <f>SUM(E48:J48)</f>
        <v>25.962499999999999</v>
      </c>
      <c r="L48" s="3">
        <f t="shared" si="43"/>
        <v>0.45450000000000002</v>
      </c>
      <c r="M48" s="20">
        <f t="shared" si="43"/>
        <v>0</v>
      </c>
      <c r="N48" s="20">
        <f t="shared" si="43"/>
        <v>0</v>
      </c>
      <c r="O48" s="20">
        <f t="shared" si="43"/>
        <v>2.5905</v>
      </c>
      <c r="P48" s="20">
        <f t="shared" si="43"/>
        <v>2.2679999999999998</v>
      </c>
      <c r="Q48" s="20">
        <f t="shared" si="43"/>
        <v>0.97299999999999998</v>
      </c>
      <c r="R48" s="62">
        <f>SUM(L48:Q48)</f>
        <v>6.2859999999999996</v>
      </c>
      <c r="S48" s="96">
        <f t="shared" si="30"/>
        <v>0.30813559322033895</v>
      </c>
      <c r="T48" s="11" t="str">
        <f t="shared" si="31"/>
        <v>***</v>
      </c>
      <c r="U48" s="11" t="str">
        <f t="shared" si="32"/>
        <v>***</v>
      </c>
      <c r="V48" s="11">
        <f t="shared" si="33"/>
        <v>0.30811775200713648</v>
      </c>
      <c r="W48" s="11">
        <f t="shared" si="34"/>
        <v>0.25656108597285066</v>
      </c>
      <c r="X48" s="11">
        <f t="shared" si="35"/>
        <v>0.13439226519337016</v>
      </c>
      <c r="Y48" s="13">
        <f t="shared" si="36"/>
        <v>0.24211844005777564</v>
      </c>
    </row>
    <row r="49" spans="3:25" x14ac:dyDescent="0.4">
      <c r="C49" s="82" t="s">
        <v>24</v>
      </c>
      <c r="D49" s="83"/>
      <c r="E49" s="20">
        <f t="shared" ref="E49:J49" si="44">SUM(E47:E48)</f>
        <v>15313.764499999999</v>
      </c>
      <c r="F49" s="20">
        <f t="shared" si="44"/>
        <v>20164.845500000003</v>
      </c>
      <c r="G49" s="20">
        <f t="shared" si="44"/>
        <v>18781.005499999999</v>
      </c>
      <c r="H49" s="20">
        <f t="shared" si="44"/>
        <v>12879.3205</v>
      </c>
      <c r="I49" s="20">
        <f t="shared" si="44"/>
        <v>9391.6265000000003</v>
      </c>
      <c r="J49" s="20">
        <f t="shared" si="44"/>
        <v>11281.064</v>
      </c>
      <c r="K49" s="68">
        <f>SUM(E49:J49)</f>
        <v>87811.626499999998</v>
      </c>
      <c r="L49" s="3">
        <f t="shared" ref="L49:Q49" si="45">SUM(L47:L48)</f>
        <v>3046.8584999999998</v>
      </c>
      <c r="M49" s="20">
        <f t="shared" si="45"/>
        <v>3917.4229999999998</v>
      </c>
      <c r="N49" s="20">
        <f t="shared" si="45"/>
        <v>3515.1949999999997</v>
      </c>
      <c r="O49" s="20">
        <f t="shared" si="45"/>
        <v>2386.6034999999997</v>
      </c>
      <c r="P49" s="20">
        <f t="shared" si="45"/>
        <v>1727.7945</v>
      </c>
      <c r="Q49" s="20">
        <f t="shared" si="45"/>
        <v>1978.5605</v>
      </c>
      <c r="R49" s="62">
        <f>SUM(L49:Q49)</f>
        <v>16572.434999999998</v>
      </c>
      <c r="S49" s="96">
        <f t="shared" si="30"/>
        <v>0.19896208407802013</v>
      </c>
      <c r="T49" s="11">
        <f t="shared" si="31"/>
        <v>0.19426992386328967</v>
      </c>
      <c r="U49" s="11">
        <f t="shared" si="32"/>
        <v>0.18716756139600724</v>
      </c>
      <c r="V49" s="11">
        <f t="shared" si="33"/>
        <v>0.18530507878890037</v>
      </c>
      <c r="W49" s="11">
        <f t="shared" si="34"/>
        <v>0.18397180722636275</v>
      </c>
      <c r="X49" s="11">
        <f t="shared" si="35"/>
        <v>0.17538775597762765</v>
      </c>
      <c r="Y49" s="13">
        <f t="shared" si="36"/>
        <v>0.18872711576524548</v>
      </c>
    </row>
    <row r="50" spans="3:25" x14ac:dyDescent="0.4">
      <c r="C50" s="53" t="s">
        <v>5</v>
      </c>
      <c r="D50" s="54"/>
      <c r="E50" s="63">
        <f t="shared" ref="E50:R50" si="46">E43+E46+E49</f>
        <v>39637.578999999998</v>
      </c>
      <c r="F50" s="8">
        <f t="shared" si="46"/>
        <v>41071.542000000001</v>
      </c>
      <c r="G50" s="8">
        <f t="shared" si="46"/>
        <v>35430.129499999995</v>
      </c>
      <c r="H50" s="8">
        <f t="shared" si="46"/>
        <v>27374.073</v>
      </c>
      <c r="I50" s="8">
        <f t="shared" si="46"/>
        <v>26809.642500000002</v>
      </c>
      <c r="J50" s="8">
        <f t="shared" si="46"/>
        <v>43417.912499999999</v>
      </c>
      <c r="K50" s="69">
        <f t="shared" si="46"/>
        <v>213740.87849999999</v>
      </c>
      <c r="L50" s="63">
        <f t="shared" si="46"/>
        <v>11004.895</v>
      </c>
      <c r="M50" s="8">
        <f t="shared" si="46"/>
        <v>11768.485499999999</v>
      </c>
      <c r="N50" s="8">
        <f t="shared" si="46"/>
        <v>10028.0625</v>
      </c>
      <c r="O50" s="8">
        <f t="shared" si="46"/>
        <v>7968.8544999999995</v>
      </c>
      <c r="P50" s="8">
        <f t="shared" si="46"/>
        <v>7915.4155000000001</v>
      </c>
      <c r="Q50" s="8">
        <f t="shared" si="46"/>
        <v>12757.896499999999</v>
      </c>
      <c r="R50" s="64">
        <f t="shared" si="46"/>
        <v>61443.609499999999</v>
      </c>
      <c r="S50" s="91">
        <f t="shared" si="30"/>
        <v>0.27763792031798917</v>
      </c>
      <c r="T50" s="14">
        <f t="shared" si="31"/>
        <v>0.28653624692250412</v>
      </c>
      <c r="U50" s="14">
        <f t="shared" si="32"/>
        <v>0.28303770382775489</v>
      </c>
      <c r="V50" s="14">
        <f t="shared" si="33"/>
        <v>0.29110956560976509</v>
      </c>
      <c r="W50" s="14">
        <f t="shared" si="34"/>
        <v>0.29524509698329621</v>
      </c>
      <c r="X50" s="14">
        <f t="shared" si="35"/>
        <v>0.29383947236062996</v>
      </c>
      <c r="Y50" s="16">
        <f t="shared" si="36"/>
        <v>0.28746775034893479</v>
      </c>
    </row>
    <row r="51" spans="3:25" x14ac:dyDescent="0.4">
      <c r="C51" s="74" t="s">
        <v>25</v>
      </c>
      <c r="D51" s="75"/>
      <c r="E51" s="98">
        <f t="shared" ref="E51:J51" si="47">(E34+E17)/2</f>
        <v>3863.5</v>
      </c>
      <c r="F51" s="98">
        <f t="shared" si="47"/>
        <v>8671.2939999999999</v>
      </c>
      <c r="G51" s="98">
        <f t="shared" si="47"/>
        <v>2860</v>
      </c>
      <c r="H51" s="98">
        <f t="shared" si="47"/>
        <v>1013</v>
      </c>
      <c r="I51" s="98">
        <f t="shared" si="47"/>
        <v>2588.5</v>
      </c>
      <c r="J51" s="98">
        <f t="shared" si="47"/>
        <v>3713</v>
      </c>
      <c r="K51" s="106">
        <f>SUM(E51:J51)</f>
        <v>22709.294000000002</v>
      </c>
      <c r="L51" s="5">
        <f t="shared" ref="L51:Q51" si="48">(L34+L17)/2</f>
        <v>1481.5</v>
      </c>
      <c r="M51" s="98">
        <f t="shared" si="48"/>
        <v>3581.357</v>
      </c>
      <c r="N51" s="98">
        <f t="shared" si="48"/>
        <v>1019</v>
      </c>
      <c r="O51" s="98">
        <f t="shared" si="48"/>
        <v>387</v>
      </c>
      <c r="P51" s="98">
        <f t="shared" si="48"/>
        <v>941.5</v>
      </c>
      <c r="Q51" s="98">
        <f t="shared" si="48"/>
        <v>1386</v>
      </c>
      <c r="R51" s="99">
        <f>SUM(L51:Q51)</f>
        <v>8796.357</v>
      </c>
      <c r="S51" s="105">
        <f t="shared" si="30"/>
        <v>0.38346059272680211</v>
      </c>
      <c r="T51" s="101">
        <f t="shared" si="31"/>
        <v>0.41301298283739429</v>
      </c>
      <c r="U51" s="101">
        <f t="shared" si="32"/>
        <v>0.35629370629370627</v>
      </c>
      <c r="V51" s="101">
        <f t="shared" si="33"/>
        <v>0.3820335636722606</v>
      </c>
      <c r="W51" s="101">
        <f t="shared" si="34"/>
        <v>0.36372416457407764</v>
      </c>
      <c r="X51" s="101">
        <f t="shared" si="35"/>
        <v>0.37328305952060331</v>
      </c>
      <c r="Y51" s="102">
        <f t="shared" si="36"/>
        <v>0.38734612357389886</v>
      </c>
    </row>
    <row r="52" spans="3:25" x14ac:dyDescent="0.4">
      <c r="E52" s="17"/>
      <c r="F52" s="17"/>
      <c r="G52" s="17"/>
      <c r="H52" s="17"/>
      <c r="I52" s="17"/>
      <c r="J52" s="17"/>
      <c r="K52" s="18"/>
      <c r="L52" s="17"/>
      <c r="M52" s="17"/>
      <c r="N52" s="17"/>
      <c r="O52" s="17"/>
      <c r="P52" s="17"/>
      <c r="Q52" s="17"/>
      <c r="R52" s="18"/>
      <c r="S52" s="19"/>
      <c r="T52" s="19"/>
      <c r="U52" s="19"/>
      <c r="V52" s="19"/>
      <c r="W52" s="19"/>
      <c r="X52" s="19"/>
      <c r="Y52" s="19"/>
    </row>
    <row r="53" spans="3:25" x14ac:dyDescent="0.4">
      <c r="C53" s="18" t="s">
        <v>28</v>
      </c>
    </row>
    <row r="54" spans="3:25" x14ac:dyDescent="0.4">
      <c r="C54" s="120"/>
      <c r="D54" s="119"/>
      <c r="E54" s="120" t="s">
        <v>2</v>
      </c>
      <c r="F54" s="118"/>
      <c r="G54" s="118"/>
      <c r="H54" s="118"/>
      <c r="I54" s="118"/>
      <c r="J54" s="118"/>
      <c r="K54" s="119"/>
      <c r="L54" s="117" t="s">
        <v>3</v>
      </c>
      <c r="M54" s="118"/>
      <c r="N54" s="118"/>
      <c r="O54" s="118"/>
      <c r="P54" s="118"/>
      <c r="Q54" s="118"/>
      <c r="R54" s="119"/>
      <c r="S54" s="117" t="s">
        <v>4</v>
      </c>
      <c r="T54" s="118"/>
      <c r="U54" s="118"/>
      <c r="V54" s="118"/>
      <c r="W54" s="118"/>
      <c r="X54" s="118"/>
      <c r="Y54" s="119"/>
    </row>
    <row r="55" spans="3:25" x14ac:dyDescent="0.4">
      <c r="C55" s="1"/>
      <c r="D55" s="21"/>
      <c r="E55" s="61">
        <v>46113</v>
      </c>
      <c r="F55" s="2">
        <v>46143</v>
      </c>
      <c r="G55" s="2">
        <v>46174</v>
      </c>
      <c r="H55" s="2">
        <v>46204</v>
      </c>
      <c r="I55" s="2">
        <v>46235</v>
      </c>
      <c r="J55" s="2">
        <v>46266</v>
      </c>
      <c r="K55" s="10" t="s">
        <v>5</v>
      </c>
      <c r="L55" s="95">
        <v>46113</v>
      </c>
      <c r="M55" s="2">
        <v>46143</v>
      </c>
      <c r="N55" s="2">
        <v>46174</v>
      </c>
      <c r="O55" s="2">
        <v>46204</v>
      </c>
      <c r="P55" s="2">
        <v>46235</v>
      </c>
      <c r="Q55" s="2">
        <v>46266</v>
      </c>
      <c r="R55" s="10" t="s">
        <v>5</v>
      </c>
      <c r="S55" s="95">
        <v>46113</v>
      </c>
      <c r="T55" s="2">
        <v>46143</v>
      </c>
      <c r="U55" s="2">
        <v>46174</v>
      </c>
      <c r="V55" s="2">
        <v>46204</v>
      </c>
      <c r="W55" s="2">
        <v>46235</v>
      </c>
      <c r="X55" s="2">
        <v>46266</v>
      </c>
      <c r="Y55" s="10" t="s">
        <v>5</v>
      </c>
    </row>
    <row r="56" spans="3:25" x14ac:dyDescent="0.4">
      <c r="C56" s="60" t="s">
        <v>6</v>
      </c>
      <c r="D56" s="22" t="s">
        <v>7</v>
      </c>
      <c r="E56" s="3">
        <v>8690</v>
      </c>
      <c r="F56" s="20">
        <v>4400</v>
      </c>
      <c r="G56" s="20">
        <v>2060</v>
      </c>
      <c r="H56" s="20">
        <v>2900</v>
      </c>
      <c r="I56" s="20">
        <v>5310</v>
      </c>
      <c r="J56" s="20">
        <v>8440</v>
      </c>
      <c r="K56" s="62">
        <f t="shared" ref="K56:K62" si="49">SUM(E56:J56)</f>
        <v>31800</v>
      </c>
      <c r="L56" s="20">
        <v>2370</v>
      </c>
      <c r="M56" s="4">
        <v>1310</v>
      </c>
      <c r="N56" s="4">
        <v>540</v>
      </c>
      <c r="O56" s="20">
        <v>650</v>
      </c>
      <c r="P56" s="4">
        <v>1460</v>
      </c>
      <c r="Q56" s="4">
        <v>1690</v>
      </c>
      <c r="R56" s="62">
        <f t="shared" ref="R56:R62" si="50">SUM(L56:Q56)</f>
        <v>8020</v>
      </c>
      <c r="S56" s="96">
        <f t="shared" ref="S56:S68" si="51">IF(E56=0,"***",L56/E56)</f>
        <v>0.27272727272727271</v>
      </c>
      <c r="T56" s="11">
        <f t="shared" ref="T56:T68" si="52">IF(F56=0,"***",M56/F56)</f>
        <v>0.29772727272727273</v>
      </c>
      <c r="U56" s="11">
        <f t="shared" ref="U56:U68" si="53">IF(G56=0,"***",N56/G56)</f>
        <v>0.26213592233009708</v>
      </c>
      <c r="V56" s="11">
        <f t="shared" ref="V56:V68" si="54">IF(H56=0,"***",O56/H56)</f>
        <v>0.22413793103448276</v>
      </c>
      <c r="W56" s="11">
        <f t="shared" ref="W56:W68" si="55">IF(I56=0,"***",P56/I56)</f>
        <v>0.27495291902071561</v>
      </c>
      <c r="X56" s="11">
        <f t="shared" ref="X56:X68" si="56">IF(J56=0,"***",Q56/J56)</f>
        <v>0.20023696682464456</v>
      </c>
      <c r="Y56" s="13">
        <f t="shared" ref="Y56:Y68" si="57">IF(K56=0,"***",R56/K56)</f>
        <v>0.25220125786163522</v>
      </c>
    </row>
    <row r="57" spans="3:25" x14ac:dyDescent="0.4">
      <c r="C57" s="60" t="s">
        <v>8</v>
      </c>
      <c r="D57" s="22" t="s">
        <v>9</v>
      </c>
      <c r="E57" s="3">
        <v>3810</v>
      </c>
      <c r="F57" s="20">
        <v>3300</v>
      </c>
      <c r="G57" s="20">
        <v>4690</v>
      </c>
      <c r="H57" s="20">
        <v>3660</v>
      </c>
      <c r="I57" s="20">
        <v>2900</v>
      </c>
      <c r="J57" s="20">
        <v>5110</v>
      </c>
      <c r="K57" s="62">
        <f t="shared" si="49"/>
        <v>23470</v>
      </c>
      <c r="L57" s="20">
        <v>1140</v>
      </c>
      <c r="M57" s="4">
        <v>990</v>
      </c>
      <c r="N57" s="4">
        <v>1410</v>
      </c>
      <c r="O57" s="20">
        <v>1100</v>
      </c>
      <c r="P57" s="4">
        <v>870</v>
      </c>
      <c r="Q57" s="4">
        <v>1530</v>
      </c>
      <c r="R57" s="62">
        <f t="shared" si="50"/>
        <v>7040</v>
      </c>
      <c r="S57" s="96">
        <f t="shared" si="51"/>
        <v>0.29921259842519687</v>
      </c>
      <c r="T57" s="11">
        <f t="shared" si="52"/>
        <v>0.3</v>
      </c>
      <c r="U57" s="11">
        <f t="shared" si="53"/>
        <v>0.3006396588486141</v>
      </c>
      <c r="V57" s="11">
        <f t="shared" si="54"/>
        <v>0.30054644808743169</v>
      </c>
      <c r="W57" s="11">
        <f t="shared" si="55"/>
        <v>0.3</v>
      </c>
      <c r="X57" s="11">
        <f t="shared" si="56"/>
        <v>0.299412915851272</v>
      </c>
      <c r="Y57" s="13">
        <f t="shared" si="57"/>
        <v>0.29995739241585001</v>
      </c>
    </row>
    <row r="58" spans="3:25" x14ac:dyDescent="0.4">
      <c r="C58" s="60" t="s">
        <v>10</v>
      </c>
      <c r="D58" s="22" t="s">
        <v>11</v>
      </c>
      <c r="E58" s="3">
        <v>580</v>
      </c>
      <c r="F58" s="20">
        <v>380</v>
      </c>
      <c r="G58" s="20">
        <v>50</v>
      </c>
      <c r="H58" s="20">
        <v>40</v>
      </c>
      <c r="I58" s="20">
        <v>600</v>
      </c>
      <c r="J58" s="20">
        <v>520</v>
      </c>
      <c r="K58" s="62">
        <f t="shared" si="49"/>
        <v>2170</v>
      </c>
      <c r="L58" s="20">
        <v>260</v>
      </c>
      <c r="M58" s="4">
        <v>170</v>
      </c>
      <c r="N58" s="4">
        <v>20</v>
      </c>
      <c r="O58" s="20">
        <v>20</v>
      </c>
      <c r="P58" s="4">
        <v>300</v>
      </c>
      <c r="Q58" s="4">
        <v>360</v>
      </c>
      <c r="R58" s="62">
        <f t="shared" si="50"/>
        <v>1130</v>
      </c>
      <c r="S58" s="96">
        <f t="shared" si="51"/>
        <v>0.44827586206896552</v>
      </c>
      <c r="T58" s="11">
        <f t="shared" si="52"/>
        <v>0.44736842105263158</v>
      </c>
      <c r="U58" s="11">
        <f t="shared" si="53"/>
        <v>0.4</v>
      </c>
      <c r="V58" s="11">
        <f t="shared" si="54"/>
        <v>0.5</v>
      </c>
      <c r="W58" s="11">
        <f t="shared" si="55"/>
        <v>0.5</v>
      </c>
      <c r="X58" s="11">
        <f t="shared" si="56"/>
        <v>0.69230769230769229</v>
      </c>
      <c r="Y58" s="13">
        <f t="shared" si="57"/>
        <v>0.52073732718894006</v>
      </c>
    </row>
    <row r="59" spans="3:25" x14ac:dyDescent="0.4">
      <c r="C59" s="60" t="s">
        <v>12</v>
      </c>
      <c r="D59" s="22" t="s">
        <v>13</v>
      </c>
      <c r="E59" s="3">
        <v>3680</v>
      </c>
      <c r="F59" s="20">
        <v>5200</v>
      </c>
      <c r="G59" s="20">
        <v>4720</v>
      </c>
      <c r="H59" s="20">
        <v>3850</v>
      </c>
      <c r="I59" s="20">
        <v>2300</v>
      </c>
      <c r="J59" s="20">
        <v>3540</v>
      </c>
      <c r="K59" s="62">
        <f t="shared" si="49"/>
        <v>23290</v>
      </c>
      <c r="L59" s="20">
        <v>1940</v>
      </c>
      <c r="M59" s="4">
        <v>2700</v>
      </c>
      <c r="N59" s="4">
        <v>1890</v>
      </c>
      <c r="O59" s="20">
        <v>1930</v>
      </c>
      <c r="P59" s="4">
        <v>1250</v>
      </c>
      <c r="Q59" s="4">
        <v>1770</v>
      </c>
      <c r="R59" s="62">
        <f t="shared" si="50"/>
        <v>11480</v>
      </c>
      <c r="S59" s="96">
        <f t="shared" si="51"/>
        <v>0.52717391304347827</v>
      </c>
      <c r="T59" s="11">
        <f t="shared" si="52"/>
        <v>0.51923076923076927</v>
      </c>
      <c r="U59" s="11">
        <f t="shared" si="53"/>
        <v>0.40042372881355931</v>
      </c>
      <c r="V59" s="11">
        <f t="shared" si="54"/>
        <v>0.50129870129870124</v>
      </c>
      <c r="W59" s="11">
        <f t="shared" si="55"/>
        <v>0.54347826086956519</v>
      </c>
      <c r="X59" s="11">
        <f t="shared" si="56"/>
        <v>0.5</v>
      </c>
      <c r="Y59" s="13">
        <f t="shared" si="57"/>
        <v>0.49291541434091884</v>
      </c>
    </row>
    <row r="60" spans="3:25" x14ac:dyDescent="0.4">
      <c r="C60" s="60" t="s">
        <v>14</v>
      </c>
      <c r="D60" s="22"/>
      <c r="E60" s="3">
        <f t="shared" ref="E60:J60" si="58">SUM(E56:E59)</f>
        <v>16760</v>
      </c>
      <c r="F60" s="4">
        <f t="shared" si="58"/>
        <v>13280</v>
      </c>
      <c r="G60" s="4">
        <f t="shared" si="58"/>
        <v>11520</v>
      </c>
      <c r="H60" s="4">
        <f t="shared" si="58"/>
        <v>10450</v>
      </c>
      <c r="I60" s="4">
        <f t="shared" si="58"/>
        <v>11110</v>
      </c>
      <c r="J60" s="4">
        <f t="shared" si="58"/>
        <v>17610</v>
      </c>
      <c r="K60" s="62">
        <f t="shared" si="49"/>
        <v>80730</v>
      </c>
      <c r="L60" s="20">
        <f t="shared" ref="L60:Q60" si="59">SUM(L56:L59)</f>
        <v>5710</v>
      </c>
      <c r="M60" s="4">
        <f t="shared" si="59"/>
        <v>5170</v>
      </c>
      <c r="N60" s="4">
        <f t="shared" si="59"/>
        <v>3860</v>
      </c>
      <c r="O60" s="4">
        <f t="shared" si="59"/>
        <v>3700</v>
      </c>
      <c r="P60" s="4">
        <f t="shared" si="59"/>
        <v>3880</v>
      </c>
      <c r="Q60" s="4">
        <f t="shared" si="59"/>
        <v>5350</v>
      </c>
      <c r="R60" s="62">
        <f t="shared" si="50"/>
        <v>27670</v>
      </c>
      <c r="S60" s="96">
        <f t="shared" si="51"/>
        <v>0.34069212410501193</v>
      </c>
      <c r="T60" s="11">
        <f t="shared" si="52"/>
        <v>0.38930722891566266</v>
      </c>
      <c r="U60" s="11">
        <f t="shared" si="53"/>
        <v>0.33506944444444442</v>
      </c>
      <c r="V60" s="11">
        <f t="shared" si="54"/>
        <v>0.35406698564593303</v>
      </c>
      <c r="W60" s="11">
        <f t="shared" si="55"/>
        <v>0.34923492349234925</v>
      </c>
      <c r="X60" s="11">
        <f t="shared" si="56"/>
        <v>0.3038046564452016</v>
      </c>
      <c r="Y60" s="13">
        <f t="shared" si="57"/>
        <v>0.34274742970395145</v>
      </c>
    </row>
    <row r="61" spans="3:25" x14ac:dyDescent="0.4">
      <c r="C61" s="60" t="s">
        <v>15</v>
      </c>
      <c r="D61" s="22" t="s">
        <v>16</v>
      </c>
      <c r="E61" s="3">
        <v>5500</v>
      </c>
      <c r="F61" s="20">
        <v>6400</v>
      </c>
      <c r="G61" s="20">
        <v>6700</v>
      </c>
      <c r="H61" s="20">
        <v>4800</v>
      </c>
      <c r="I61" s="20">
        <v>5700</v>
      </c>
      <c r="J61" s="20">
        <v>12500</v>
      </c>
      <c r="K61" s="62">
        <f t="shared" si="49"/>
        <v>41600</v>
      </c>
      <c r="L61" s="20">
        <v>1100</v>
      </c>
      <c r="M61" s="4">
        <v>1570</v>
      </c>
      <c r="N61" s="4">
        <v>1310</v>
      </c>
      <c r="O61" s="4">
        <v>750</v>
      </c>
      <c r="P61" s="4">
        <v>1090</v>
      </c>
      <c r="Q61" s="4">
        <v>2340</v>
      </c>
      <c r="R61" s="62">
        <f t="shared" si="50"/>
        <v>8160</v>
      </c>
      <c r="S61" s="96">
        <f t="shared" si="51"/>
        <v>0.2</v>
      </c>
      <c r="T61" s="11">
        <f t="shared" si="52"/>
        <v>0.24531249999999999</v>
      </c>
      <c r="U61" s="11">
        <f t="shared" si="53"/>
        <v>0.19552238805970149</v>
      </c>
      <c r="V61" s="11">
        <f t="shared" si="54"/>
        <v>0.15625</v>
      </c>
      <c r="W61" s="11">
        <f t="shared" si="55"/>
        <v>0.19122807017543861</v>
      </c>
      <c r="X61" s="11">
        <f t="shared" si="56"/>
        <v>0.18720000000000001</v>
      </c>
      <c r="Y61" s="13">
        <f t="shared" si="57"/>
        <v>0.19615384615384615</v>
      </c>
    </row>
    <row r="62" spans="3:25" x14ac:dyDescent="0.4">
      <c r="C62" s="60" t="s">
        <v>17</v>
      </c>
      <c r="D62" s="22" t="s">
        <v>18</v>
      </c>
      <c r="E62" s="3">
        <v>4110</v>
      </c>
      <c r="F62" s="20">
        <v>4540</v>
      </c>
      <c r="G62" s="20">
        <v>4100</v>
      </c>
      <c r="H62" s="20">
        <v>4410</v>
      </c>
      <c r="I62" s="20">
        <v>1540</v>
      </c>
      <c r="J62" s="20">
        <v>4950</v>
      </c>
      <c r="K62" s="62">
        <f t="shared" si="49"/>
        <v>23650</v>
      </c>
      <c r="L62" s="20">
        <v>2690</v>
      </c>
      <c r="M62" s="4">
        <v>2880</v>
      </c>
      <c r="N62" s="4">
        <v>2920</v>
      </c>
      <c r="O62" s="4">
        <v>3130</v>
      </c>
      <c r="P62" s="4">
        <v>1130</v>
      </c>
      <c r="Q62" s="4">
        <v>3120</v>
      </c>
      <c r="R62" s="62">
        <f t="shared" si="50"/>
        <v>15870</v>
      </c>
      <c r="S62" s="96">
        <f t="shared" si="51"/>
        <v>0.65450121654501214</v>
      </c>
      <c r="T62" s="11">
        <f t="shared" si="52"/>
        <v>0.63436123348017626</v>
      </c>
      <c r="U62" s="11">
        <f t="shared" si="53"/>
        <v>0.71219512195121948</v>
      </c>
      <c r="V62" s="11">
        <f t="shared" si="54"/>
        <v>0.70975056689342408</v>
      </c>
      <c r="W62" s="11">
        <f t="shared" si="55"/>
        <v>0.73376623376623373</v>
      </c>
      <c r="X62" s="11">
        <f t="shared" si="56"/>
        <v>0.63030303030303025</v>
      </c>
      <c r="Y62" s="13">
        <f t="shared" si="57"/>
        <v>0.67103594080338269</v>
      </c>
    </row>
    <row r="63" spans="3:25" x14ac:dyDescent="0.4">
      <c r="C63" s="60" t="s">
        <v>19</v>
      </c>
      <c r="D63" s="22"/>
      <c r="E63" s="3">
        <f t="shared" ref="E63:R63" si="60">SUM(E61:E62)</f>
        <v>9610</v>
      </c>
      <c r="F63" s="20">
        <f t="shared" si="60"/>
        <v>10940</v>
      </c>
      <c r="G63" s="20">
        <f t="shared" si="60"/>
        <v>10800</v>
      </c>
      <c r="H63" s="20">
        <f t="shared" si="60"/>
        <v>9210</v>
      </c>
      <c r="I63" s="20">
        <f t="shared" si="60"/>
        <v>7240</v>
      </c>
      <c r="J63" s="20">
        <f t="shared" si="60"/>
        <v>17450</v>
      </c>
      <c r="K63" s="62">
        <f t="shared" si="60"/>
        <v>65250</v>
      </c>
      <c r="L63" s="20">
        <f t="shared" si="60"/>
        <v>3790</v>
      </c>
      <c r="M63" s="20">
        <f t="shared" si="60"/>
        <v>4450</v>
      </c>
      <c r="N63" s="20">
        <f t="shared" si="60"/>
        <v>4230</v>
      </c>
      <c r="O63" s="20">
        <f t="shared" si="60"/>
        <v>3880</v>
      </c>
      <c r="P63" s="20">
        <f t="shared" si="60"/>
        <v>2220</v>
      </c>
      <c r="Q63" s="20">
        <f t="shared" si="60"/>
        <v>5460</v>
      </c>
      <c r="R63" s="62">
        <f t="shared" si="60"/>
        <v>24030</v>
      </c>
      <c r="S63" s="96">
        <f t="shared" si="51"/>
        <v>0.39438085327783556</v>
      </c>
      <c r="T63" s="11">
        <f t="shared" si="52"/>
        <v>0.40676416819012795</v>
      </c>
      <c r="U63" s="11">
        <f t="shared" si="53"/>
        <v>0.39166666666666666</v>
      </c>
      <c r="V63" s="11">
        <f t="shared" si="54"/>
        <v>0.42128121606948971</v>
      </c>
      <c r="W63" s="11">
        <f t="shared" si="55"/>
        <v>0.30662983425414364</v>
      </c>
      <c r="X63" s="11">
        <f t="shared" si="56"/>
        <v>0.31289398280802294</v>
      </c>
      <c r="Y63" s="13">
        <f t="shared" si="57"/>
        <v>0.36827586206896551</v>
      </c>
    </row>
    <row r="64" spans="3:25" x14ac:dyDescent="0.4">
      <c r="C64" s="60" t="s">
        <v>20</v>
      </c>
      <c r="D64" s="22" t="s">
        <v>21</v>
      </c>
      <c r="E64" s="3">
        <v>15400</v>
      </c>
      <c r="F64" s="20">
        <v>22090</v>
      </c>
      <c r="G64" s="20">
        <v>20330</v>
      </c>
      <c r="H64" s="20">
        <v>13690</v>
      </c>
      <c r="I64" s="20">
        <v>10290</v>
      </c>
      <c r="J64" s="20">
        <v>11090</v>
      </c>
      <c r="K64" s="62">
        <f>SUM(E64:J64)</f>
        <v>92890</v>
      </c>
      <c r="L64" s="20">
        <v>3910</v>
      </c>
      <c r="M64" s="20">
        <v>5010</v>
      </c>
      <c r="N64" s="20">
        <v>4270</v>
      </c>
      <c r="O64" s="20">
        <v>2740</v>
      </c>
      <c r="P64" s="20">
        <v>2060</v>
      </c>
      <c r="Q64" s="20">
        <v>2220</v>
      </c>
      <c r="R64" s="62">
        <f>SUM(L64:Q64)</f>
        <v>20210</v>
      </c>
      <c r="S64" s="96">
        <f t="shared" si="51"/>
        <v>0.2538961038961039</v>
      </c>
      <c r="T64" s="11">
        <f t="shared" si="52"/>
        <v>0.22679945676776822</v>
      </c>
      <c r="U64" s="11">
        <f t="shared" si="53"/>
        <v>0.21003443187407772</v>
      </c>
      <c r="V64" s="11">
        <f t="shared" si="54"/>
        <v>0.20014609203798392</v>
      </c>
      <c r="W64" s="11">
        <f t="shared" si="55"/>
        <v>0.20019436345966959</v>
      </c>
      <c r="X64" s="11">
        <f t="shared" si="56"/>
        <v>0.20018034265103696</v>
      </c>
      <c r="Y64" s="13">
        <f t="shared" si="57"/>
        <v>0.21756916783292066</v>
      </c>
    </row>
    <row r="65" spans="3:25" x14ac:dyDescent="0.4">
      <c r="C65" s="60" t="s">
        <v>22</v>
      </c>
      <c r="D65" s="83" t="s">
        <v>23</v>
      </c>
      <c r="E65" s="88">
        <v>30</v>
      </c>
      <c r="F65" s="84">
        <v>30</v>
      </c>
      <c r="G65" s="84">
        <v>30</v>
      </c>
      <c r="H65" s="84">
        <v>30</v>
      </c>
      <c r="I65" s="84">
        <v>30</v>
      </c>
      <c r="J65" s="84">
        <v>30</v>
      </c>
      <c r="K65" s="89">
        <v>180</v>
      </c>
      <c r="L65" s="84">
        <v>10</v>
      </c>
      <c r="M65" s="84">
        <v>10</v>
      </c>
      <c r="N65" s="84">
        <v>10</v>
      </c>
      <c r="O65" s="84">
        <v>10</v>
      </c>
      <c r="P65" s="84">
        <v>10</v>
      </c>
      <c r="Q65" s="84">
        <v>10</v>
      </c>
      <c r="R65" s="89">
        <f>SUM(L65:Q65)</f>
        <v>60</v>
      </c>
      <c r="S65" s="96">
        <f t="shared" si="51"/>
        <v>0.33333333333333331</v>
      </c>
      <c r="T65" s="11">
        <f t="shared" si="52"/>
        <v>0.33333333333333331</v>
      </c>
      <c r="U65" s="11">
        <f t="shared" si="53"/>
        <v>0.33333333333333331</v>
      </c>
      <c r="V65" s="11">
        <f t="shared" si="54"/>
        <v>0.33333333333333331</v>
      </c>
      <c r="W65" s="11">
        <f t="shared" si="55"/>
        <v>0.33333333333333331</v>
      </c>
      <c r="X65" s="11">
        <f t="shared" si="56"/>
        <v>0.33333333333333331</v>
      </c>
      <c r="Y65" s="13">
        <f t="shared" si="57"/>
        <v>0.33333333333333331</v>
      </c>
    </row>
    <row r="66" spans="3:25" x14ac:dyDescent="0.4">
      <c r="C66" s="82" t="s">
        <v>24</v>
      </c>
      <c r="D66" s="83"/>
      <c r="E66" s="88">
        <f>E64+E65</f>
        <v>15430</v>
      </c>
      <c r="F66" s="84">
        <v>22120</v>
      </c>
      <c r="G66" s="84">
        <f>G64+G65</f>
        <v>20360</v>
      </c>
      <c r="H66" s="84">
        <f>H64+H65</f>
        <v>13720</v>
      </c>
      <c r="I66" s="84">
        <f>I64+I65</f>
        <v>10320</v>
      </c>
      <c r="J66" s="84">
        <f>J64+J65</f>
        <v>11120</v>
      </c>
      <c r="K66" s="62">
        <f>SUM(E66:J66)</f>
        <v>93070</v>
      </c>
      <c r="L66" s="88">
        <f t="shared" ref="L66:Q66" si="61">L64+L65</f>
        <v>3920</v>
      </c>
      <c r="M66" s="84">
        <f t="shared" si="61"/>
        <v>5020</v>
      </c>
      <c r="N66" s="84">
        <f t="shared" si="61"/>
        <v>4280</v>
      </c>
      <c r="O66" s="84">
        <f t="shared" si="61"/>
        <v>2750</v>
      </c>
      <c r="P66" s="84">
        <f t="shared" si="61"/>
        <v>2070</v>
      </c>
      <c r="Q66" s="84">
        <f t="shared" si="61"/>
        <v>2230</v>
      </c>
      <c r="R66" s="62">
        <f>SUM(L66:Q66)</f>
        <v>20270</v>
      </c>
      <c r="S66" s="65">
        <f t="shared" si="51"/>
        <v>0.25405055087491901</v>
      </c>
      <c r="T66" s="11">
        <f t="shared" si="52"/>
        <v>0.22694394213381555</v>
      </c>
      <c r="U66" s="11">
        <f t="shared" si="53"/>
        <v>0.21021611001964635</v>
      </c>
      <c r="V66" s="11">
        <f t="shared" si="54"/>
        <v>0.20043731778425655</v>
      </c>
      <c r="W66" s="11">
        <f t="shared" si="55"/>
        <v>0.2005813953488372</v>
      </c>
      <c r="X66" s="11">
        <f t="shared" si="56"/>
        <v>0.20053956834532374</v>
      </c>
      <c r="Y66" s="13">
        <f t="shared" si="57"/>
        <v>0.21779305898785861</v>
      </c>
    </row>
    <row r="67" spans="3:25" x14ac:dyDescent="0.4">
      <c r="C67" s="53" t="s">
        <v>5</v>
      </c>
      <c r="D67" s="54"/>
      <c r="E67" s="63">
        <f t="shared" ref="E67:R67" si="62">E60+E63+E66</f>
        <v>41800</v>
      </c>
      <c r="F67" s="8">
        <f t="shared" si="62"/>
        <v>46340</v>
      </c>
      <c r="G67" s="8">
        <f t="shared" si="62"/>
        <v>42680</v>
      </c>
      <c r="H67" s="8">
        <f t="shared" si="62"/>
        <v>33380</v>
      </c>
      <c r="I67" s="8">
        <f t="shared" si="62"/>
        <v>28670</v>
      </c>
      <c r="J67" s="8">
        <f t="shared" si="62"/>
        <v>46180</v>
      </c>
      <c r="K67" s="64">
        <f t="shared" si="62"/>
        <v>239050</v>
      </c>
      <c r="L67" s="63">
        <f t="shared" si="62"/>
        <v>13420</v>
      </c>
      <c r="M67" s="8">
        <f t="shared" si="62"/>
        <v>14640</v>
      </c>
      <c r="N67" s="8">
        <f t="shared" si="62"/>
        <v>12370</v>
      </c>
      <c r="O67" s="8">
        <f t="shared" si="62"/>
        <v>10330</v>
      </c>
      <c r="P67" s="8">
        <f t="shared" si="62"/>
        <v>8170</v>
      </c>
      <c r="Q67" s="8">
        <f t="shared" si="62"/>
        <v>13040</v>
      </c>
      <c r="R67" s="64">
        <f t="shared" si="62"/>
        <v>71970</v>
      </c>
      <c r="S67" s="91">
        <f t="shared" si="51"/>
        <v>0.32105263157894737</v>
      </c>
      <c r="T67" s="14">
        <f t="shared" si="52"/>
        <v>0.31592576607682349</v>
      </c>
      <c r="U67" s="14">
        <f t="shared" si="53"/>
        <v>0.28983130271790064</v>
      </c>
      <c r="V67" s="14">
        <f t="shared" si="54"/>
        <v>0.30946674655482326</v>
      </c>
      <c r="W67" s="14">
        <f t="shared" si="55"/>
        <v>0.28496686431810253</v>
      </c>
      <c r="X67" s="14">
        <f t="shared" si="56"/>
        <v>0.28237332178432223</v>
      </c>
      <c r="Y67" s="16">
        <f t="shared" si="57"/>
        <v>0.30106672244300353</v>
      </c>
    </row>
    <row r="68" spans="3:25" x14ac:dyDescent="0.4">
      <c r="C68" s="74" t="s">
        <v>25</v>
      </c>
      <c r="D68" s="75"/>
      <c r="E68" s="98">
        <f t="shared" ref="E68:J68" si="63">(E51+E34)/2</f>
        <v>3335.75</v>
      </c>
      <c r="F68" s="98">
        <f t="shared" si="63"/>
        <v>8671.2939999999999</v>
      </c>
      <c r="G68" s="98">
        <f t="shared" si="63"/>
        <v>3408</v>
      </c>
      <c r="H68" s="98">
        <f t="shared" si="63"/>
        <v>506.5</v>
      </c>
      <c r="I68" s="98">
        <f t="shared" si="63"/>
        <v>1294.25</v>
      </c>
      <c r="J68" s="98">
        <f t="shared" si="63"/>
        <v>1856.5</v>
      </c>
      <c r="K68" s="107">
        <f>SUM(E68:J68)</f>
        <v>19072.294000000002</v>
      </c>
      <c r="L68" s="98">
        <f t="shared" ref="L68:Q68" si="64">(L51+L34)/2</f>
        <v>1274.75</v>
      </c>
      <c r="M68" s="98">
        <f t="shared" si="64"/>
        <v>3581.357</v>
      </c>
      <c r="N68" s="98">
        <f t="shared" si="64"/>
        <v>1225</v>
      </c>
      <c r="O68" s="98">
        <f t="shared" si="64"/>
        <v>193.5</v>
      </c>
      <c r="P68" s="98">
        <f t="shared" si="64"/>
        <v>470.75</v>
      </c>
      <c r="Q68" s="98">
        <f t="shared" si="64"/>
        <v>693</v>
      </c>
      <c r="R68" s="103">
        <f>SUM(L68:Q68)</f>
        <v>7438.357</v>
      </c>
      <c r="S68" s="101">
        <f t="shared" si="51"/>
        <v>0.38214794274151243</v>
      </c>
      <c r="T68" s="101">
        <f t="shared" si="52"/>
        <v>0.41301298283739429</v>
      </c>
      <c r="U68" s="101">
        <f t="shared" si="53"/>
        <v>0.35944835680751175</v>
      </c>
      <c r="V68" s="101">
        <f t="shared" si="54"/>
        <v>0.3820335636722606</v>
      </c>
      <c r="W68" s="101">
        <f t="shared" si="55"/>
        <v>0.36372416457407764</v>
      </c>
      <c r="X68" s="101">
        <f t="shared" si="56"/>
        <v>0.37328305952060331</v>
      </c>
      <c r="Y68" s="102">
        <f t="shared" si="57"/>
        <v>0.39000851182348589</v>
      </c>
    </row>
    <row r="69" spans="3:25" x14ac:dyDescent="0.4">
      <c r="C69" s="18" t="s">
        <v>29</v>
      </c>
      <c r="E69" s="17"/>
      <c r="F69" s="17">
        <v>8671.2939999999999</v>
      </c>
      <c r="G69" s="17"/>
      <c r="H69" s="17"/>
      <c r="I69" s="17"/>
      <c r="J69" s="17"/>
      <c r="K69" s="18"/>
      <c r="L69" s="17"/>
      <c r="M69" s="17">
        <v>3581.357</v>
      </c>
      <c r="N69" s="17"/>
      <c r="O69" s="17"/>
      <c r="P69" s="17"/>
      <c r="Q69" s="17"/>
      <c r="R69" s="18"/>
      <c r="S69" s="19"/>
      <c r="T69" s="19"/>
      <c r="U69" s="19"/>
      <c r="V69" s="19"/>
      <c r="W69" s="19"/>
      <c r="X69" s="19"/>
      <c r="Y69" s="19"/>
    </row>
    <row r="70" spans="3:25" hidden="1" x14ac:dyDescent="0.4">
      <c r="C70" s="18" t="s">
        <v>30</v>
      </c>
    </row>
    <row r="71" spans="3:25" hidden="1" x14ac:dyDescent="0.4">
      <c r="C71" s="120"/>
      <c r="D71" s="119"/>
      <c r="E71" s="122" t="s">
        <v>2</v>
      </c>
      <c r="F71" s="118"/>
      <c r="G71" s="118"/>
      <c r="H71" s="118"/>
      <c r="I71" s="118"/>
      <c r="J71" s="118"/>
      <c r="K71" s="118"/>
      <c r="L71" s="121" t="s">
        <v>3</v>
      </c>
      <c r="M71" s="118"/>
      <c r="N71" s="118"/>
      <c r="O71" s="118"/>
      <c r="P71" s="118"/>
      <c r="Q71" s="118"/>
      <c r="R71" s="119"/>
      <c r="S71" s="117" t="s">
        <v>4</v>
      </c>
      <c r="T71" s="118"/>
      <c r="U71" s="118"/>
      <c r="V71" s="118"/>
      <c r="W71" s="118"/>
      <c r="X71" s="118"/>
      <c r="Y71" s="119"/>
    </row>
    <row r="72" spans="3:25" hidden="1" x14ac:dyDescent="0.4">
      <c r="C72" s="1"/>
      <c r="D72" s="21"/>
      <c r="E72" s="61">
        <v>46113</v>
      </c>
      <c r="F72" s="2">
        <v>46143</v>
      </c>
      <c r="G72" s="2">
        <v>46174</v>
      </c>
      <c r="H72" s="2">
        <v>46204</v>
      </c>
      <c r="I72" s="2">
        <v>46235</v>
      </c>
      <c r="J72" s="2">
        <v>46266</v>
      </c>
      <c r="K72" s="67" t="s">
        <v>5</v>
      </c>
      <c r="L72" s="61">
        <v>46113</v>
      </c>
      <c r="M72" s="2">
        <v>46143</v>
      </c>
      <c r="N72" s="2">
        <v>46174</v>
      </c>
      <c r="O72" s="2">
        <v>46204</v>
      </c>
      <c r="P72" s="2">
        <v>46235</v>
      </c>
      <c r="Q72" s="2">
        <v>46266</v>
      </c>
      <c r="R72" s="10" t="s">
        <v>5</v>
      </c>
      <c r="S72" s="95">
        <v>46113</v>
      </c>
      <c r="T72" s="2">
        <v>46143</v>
      </c>
      <c r="U72" s="2">
        <v>46174</v>
      </c>
      <c r="V72" s="2">
        <v>46204</v>
      </c>
      <c r="W72" s="2">
        <v>46235</v>
      </c>
      <c r="X72" s="2">
        <v>46266</v>
      </c>
      <c r="Y72" s="10" t="s">
        <v>5</v>
      </c>
    </row>
    <row r="73" spans="3:25" hidden="1" x14ac:dyDescent="0.4">
      <c r="C73" s="60" t="s">
        <v>6</v>
      </c>
      <c r="D73" s="22" t="s">
        <v>7</v>
      </c>
      <c r="E73" s="4">
        <f t="shared" ref="E73:J76" si="65">E56-E22</f>
        <v>-457.79600000000028</v>
      </c>
      <c r="F73" s="4">
        <f t="shared" si="65"/>
        <v>-44.471999999999753</v>
      </c>
      <c r="G73" s="4">
        <f t="shared" si="65"/>
        <v>-295.60199999999986</v>
      </c>
      <c r="H73" s="4">
        <f t="shared" si="65"/>
        <v>1342.316</v>
      </c>
      <c r="I73" s="4">
        <f t="shared" si="65"/>
        <v>2011.529</v>
      </c>
      <c r="J73" s="4">
        <f t="shared" si="65"/>
        <v>934.77000000000044</v>
      </c>
      <c r="K73" s="68">
        <f t="shared" ref="K73:K79" si="66">SUM(E73:J73)</f>
        <v>3490.7450000000008</v>
      </c>
      <c r="L73" s="3">
        <f t="shared" ref="L73:Q76" si="67">L56-L22</f>
        <v>562.2650000000001</v>
      </c>
      <c r="M73" s="4">
        <f t="shared" si="67"/>
        <v>330.26700000000005</v>
      </c>
      <c r="N73" s="4">
        <f t="shared" si="67"/>
        <v>-73.375999999999976</v>
      </c>
      <c r="O73" s="4">
        <f t="shared" si="67"/>
        <v>152.35399999999998</v>
      </c>
      <c r="P73" s="4">
        <f t="shared" si="67"/>
        <v>743.22399999999993</v>
      </c>
      <c r="Q73" s="4">
        <f t="shared" si="67"/>
        <v>150.31600000000003</v>
      </c>
      <c r="R73" s="62">
        <f t="shared" ref="R73:R79" si="68">SUM(L73:Q73)</f>
        <v>1865.0500000000002</v>
      </c>
      <c r="S73" s="96">
        <f t="shared" ref="S73:Y84" si="69">-S22</f>
        <v>-0.19761426686821612</v>
      </c>
      <c r="T73" s="11">
        <f t="shared" si="69"/>
        <v>-0.22043855828093867</v>
      </c>
      <c r="U73" s="11">
        <f t="shared" si="69"/>
        <v>-0.26039033758674002</v>
      </c>
      <c r="V73" s="11">
        <f t="shared" si="69"/>
        <v>-0.31947814832790222</v>
      </c>
      <c r="W73" s="11">
        <f t="shared" si="69"/>
        <v>-0.21730553338198216</v>
      </c>
      <c r="X73" s="11">
        <f t="shared" si="69"/>
        <v>-0.20514814336136269</v>
      </c>
      <c r="Y73" s="12">
        <f t="shared" si="69"/>
        <v>-0.21741829659593659</v>
      </c>
    </row>
    <row r="74" spans="3:25" hidden="1" x14ac:dyDescent="0.4">
      <c r="C74" s="60" t="s">
        <v>8</v>
      </c>
      <c r="D74" s="22" t="s">
        <v>9</v>
      </c>
      <c r="E74" s="4">
        <f t="shared" si="65"/>
        <v>3166.5879999999997</v>
      </c>
      <c r="F74" s="4">
        <f t="shared" si="65"/>
        <v>2506.5219999999999</v>
      </c>
      <c r="G74" s="4">
        <f t="shared" si="65"/>
        <v>2928.866</v>
      </c>
      <c r="H74" s="4">
        <f t="shared" si="65"/>
        <v>2.6599999999998545</v>
      </c>
      <c r="I74" s="4">
        <f t="shared" si="65"/>
        <v>1.1950000000001637</v>
      </c>
      <c r="J74" s="4">
        <f t="shared" si="65"/>
        <v>-8.3630000000002838</v>
      </c>
      <c r="K74" s="68">
        <f t="shared" si="66"/>
        <v>8597.4679999999971</v>
      </c>
      <c r="L74" s="3">
        <f t="shared" si="67"/>
        <v>965.36799999999994</v>
      </c>
      <c r="M74" s="4">
        <f t="shared" si="67"/>
        <v>715.90899999999999</v>
      </c>
      <c r="N74" s="4">
        <f t="shared" si="67"/>
        <v>662.10599999999999</v>
      </c>
      <c r="O74" s="4">
        <f t="shared" si="67"/>
        <v>-186.43200000000002</v>
      </c>
      <c r="P74" s="4">
        <f t="shared" si="67"/>
        <v>21.580000000000041</v>
      </c>
      <c r="Q74" s="4">
        <f t="shared" si="67"/>
        <v>-259.33200000000011</v>
      </c>
      <c r="R74" s="62">
        <f t="shared" si="68"/>
        <v>1919.1989999999998</v>
      </c>
      <c r="S74" s="96">
        <f t="shared" si="69"/>
        <v>-0.27141551603016417</v>
      </c>
      <c r="T74" s="11">
        <f t="shared" si="69"/>
        <v>-0.34542986699064121</v>
      </c>
      <c r="U74" s="11">
        <f t="shared" si="69"/>
        <v>-0.42466615260394724</v>
      </c>
      <c r="V74" s="11">
        <f t="shared" si="69"/>
        <v>-0.35173978902699776</v>
      </c>
      <c r="W74" s="11">
        <f t="shared" si="69"/>
        <v>-0.2926792247150119</v>
      </c>
      <c r="X74" s="11">
        <f t="shared" si="69"/>
        <v>-0.34959067967629492</v>
      </c>
      <c r="Y74" s="12">
        <f t="shared" si="69"/>
        <v>-0.34431265637888697</v>
      </c>
    </row>
    <row r="75" spans="3:25" hidden="1" x14ac:dyDescent="0.4">
      <c r="C75" s="60" t="s">
        <v>10</v>
      </c>
      <c r="D75" s="22" t="s">
        <v>11</v>
      </c>
      <c r="E75" s="4">
        <f t="shared" si="65"/>
        <v>-96.903999999999996</v>
      </c>
      <c r="F75" s="4">
        <f t="shared" si="65"/>
        <v>-41.593000000000018</v>
      </c>
      <c r="G75" s="4">
        <f t="shared" si="65"/>
        <v>-4.4819999999999993</v>
      </c>
      <c r="H75" s="4">
        <f t="shared" si="65"/>
        <v>3.2860000000000014</v>
      </c>
      <c r="I75" s="4">
        <f t="shared" si="65"/>
        <v>-288.85299999999995</v>
      </c>
      <c r="J75" s="4">
        <f t="shared" si="65"/>
        <v>-163.03200000000004</v>
      </c>
      <c r="K75" s="68">
        <f t="shared" si="66"/>
        <v>-591.57799999999997</v>
      </c>
      <c r="L75" s="3">
        <f t="shared" si="67"/>
        <v>-153.214</v>
      </c>
      <c r="M75" s="4">
        <f t="shared" si="67"/>
        <v>-100.70400000000001</v>
      </c>
      <c r="N75" s="4">
        <f t="shared" si="67"/>
        <v>-2.4810000000000016</v>
      </c>
      <c r="O75" s="4">
        <f t="shared" si="67"/>
        <v>3.1359999999999992</v>
      </c>
      <c r="P75" s="4">
        <f t="shared" si="67"/>
        <v>-417.35699999999997</v>
      </c>
      <c r="Q75" s="4">
        <f t="shared" si="67"/>
        <v>-157.26300000000003</v>
      </c>
      <c r="R75" s="62">
        <f t="shared" si="68"/>
        <v>-827.88300000000004</v>
      </c>
      <c r="S75" s="96">
        <f t="shared" si="69"/>
        <v>-0.61044697623296662</v>
      </c>
      <c r="T75" s="11">
        <f t="shared" si="69"/>
        <v>-0.64209794754656746</v>
      </c>
      <c r="U75" s="11">
        <f t="shared" si="69"/>
        <v>-0.41263169487170076</v>
      </c>
      <c r="V75" s="11">
        <f t="shared" si="69"/>
        <v>-0.45933431388571122</v>
      </c>
      <c r="W75" s="11">
        <f t="shared" si="69"/>
        <v>-0.80705921001560443</v>
      </c>
      <c r="X75" s="11">
        <f t="shared" si="69"/>
        <v>-0.75730419658229775</v>
      </c>
      <c r="Y75" s="12">
        <f t="shared" si="69"/>
        <v>-0.70897255120079894</v>
      </c>
    </row>
    <row r="76" spans="3:25" hidden="1" x14ac:dyDescent="0.4">
      <c r="C76" s="60" t="s">
        <v>12</v>
      </c>
      <c r="D76" s="22" t="s">
        <v>13</v>
      </c>
      <c r="E76" s="4">
        <f t="shared" si="65"/>
        <v>501.42000000000007</v>
      </c>
      <c r="F76" s="4">
        <f t="shared" si="65"/>
        <v>497.17199999999957</v>
      </c>
      <c r="G76" s="4">
        <f t="shared" si="65"/>
        <v>317.77900000000136</v>
      </c>
      <c r="H76" s="4">
        <f t="shared" si="65"/>
        <v>-148.11000000000013</v>
      </c>
      <c r="I76" s="4">
        <f t="shared" si="65"/>
        <v>374.38000000000011</v>
      </c>
      <c r="J76" s="4">
        <f t="shared" si="65"/>
        <v>-6.4710000000009131</v>
      </c>
      <c r="K76" s="68">
        <f t="shared" si="66"/>
        <v>1536.17</v>
      </c>
      <c r="L76" s="3">
        <f t="shared" si="67"/>
        <v>196.61899999999991</v>
      </c>
      <c r="M76" s="4">
        <f t="shared" si="67"/>
        <v>-64.777999999999793</v>
      </c>
      <c r="N76" s="4">
        <f t="shared" si="67"/>
        <v>-439.59999999999991</v>
      </c>
      <c r="O76" s="4">
        <f t="shared" si="67"/>
        <v>-111.6869999999999</v>
      </c>
      <c r="P76" s="4">
        <f t="shared" si="67"/>
        <v>305.00200000000018</v>
      </c>
      <c r="Q76" s="4">
        <f t="shared" si="67"/>
        <v>-179.43499999999995</v>
      </c>
      <c r="R76" s="62">
        <f t="shared" si="68"/>
        <v>-293.87899999999945</v>
      </c>
      <c r="S76" s="96">
        <f t="shared" si="69"/>
        <v>-0.54847793668871014</v>
      </c>
      <c r="T76" s="11">
        <f t="shared" si="69"/>
        <v>-0.58789689948260904</v>
      </c>
      <c r="U76" s="11">
        <f t="shared" si="69"/>
        <v>-0.52918742607424762</v>
      </c>
      <c r="V76" s="11">
        <f t="shared" si="69"/>
        <v>-0.5106630382855899</v>
      </c>
      <c r="W76" s="11">
        <f t="shared" si="69"/>
        <v>-0.49074999221030102</v>
      </c>
      <c r="X76" s="11">
        <f t="shared" si="69"/>
        <v>-0.54968305112321503</v>
      </c>
      <c r="Y76" s="12">
        <f t="shared" si="69"/>
        <v>-0.5412324634328759</v>
      </c>
    </row>
    <row r="77" spans="3:25" hidden="1" x14ac:dyDescent="0.4">
      <c r="C77" s="60" t="s">
        <v>14</v>
      </c>
      <c r="D77" s="22"/>
      <c r="E77" s="4">
        <f t="shared" ref="E77:J77" si="70">SUM(E73:E76)</f>
        <v>3113.3079999999995</v>
      </c>
      <c r="F77" s="4">
        <f t="shared" si="70"/>
        <v>2917.6289999999999</v>
      </c>
      <c r="G77" s="4">
        <f t="shared" si="70"/>
        <v>2946.5610000000015</v>
      </c>
      <c r="H77" s="4">
        <f t="shared" si="70"/>
        <v>1200.1519999999998</v>
      </c>
      <c r="I77" s="4">
        <f t="shared" si="70"/>
        <v>2098.2510000000002</v>
      </c>
      <c r="J77" s="4">
        <f t="shared" si="70"/>
        <v>756.9039999999992</v>
      </c>
      <c r="K77" s="68">
        <f t="shared" si="66"/>
        <v>13032.805</v>
      </c>
      <c r="L77" s="3">
        <f t="shared" ref="L77:Q77" si="71">SUM(L73:L76)</f>
        <v>1571.038</v>
      </c>
      <c r="M77" s="4">
        <f t="shared" si="71"/>
        <v>880.69400000000019</v>
      </c>
      <c r="N77" s="4">
        <f t="shared" si="71"/>
        <v>146.64900000000011</v>
      </c>
      <c r="O77" s="4">
        <f t="shared" si="71"/>
        <v>-142.62899999999993</v>
      </c>
      <c r="P77" s="4">
        <f t="shared" si="71"/>
        <v>652.44900000000018</v>
      </c>
      <c r="Q77" s="4">
        <f t="shared" si="71"/>
        <v>-445.71400000000006</v>
      </c>
      <c r="R77" s="62">
        <f t="shared" si="68"/>
        <v>2662.4870000000005</v>
      </c>
      <c r="S77" s="96">
        <f t="shared" si="69"/>
        <v>-0.30329416095856787</v>
      </c>
      <c r="T77" s="11">
        <f t="shared" si="69"/>
        <v>-0.41393094302452593</v>
      </c>
      <c r="U77" s="11">
        <f t="shared" si="69"/>
        <v>-0.43312269440536061</v>
      </c>
      <c r="V77" s="11">
        <f t="shared" si="69"/>
        <v>-0.41542617781394892</v>
      </c>
      <c r="W77" s="11">
        <f t="shared" si="69"/>
        <v>-0.358149233850166</v>
      </c>
      <c r="X77" s="11">
        <f t="shared" si="69"/>
        <v>-0.34389610075205168</v>
      </c>
      <c r="Y77" s="12">
        <f t="shared" si="69"/>
        <v>-0.3694024988775384</v>
      </c>
    </row>
    <row r="78" spans="3:25" hidden="1" x14ac:dyDescent="0.4">
      <c r="C78" s="60" t="s">
        <v>15</v>
      </c>
      <c r="D78" s="22" t="s">
        <v>16</v>
      </c>
      <c r="E78" s="4">
        <f t="shared" ref="E78:J79" si="72">E61-E27</f>
        <v>-32.76299999999992</v>
      </c>
      <c r="F78" s="4">
        <f t="shared" si="72"/>
        <v>-204.03499999999985</v>
      </c>
      <c r="G78" s="4">
        <f t="shared" si="72"/>
        <v>-474.52599999999984</v>
      </c>
      <c r="H78" s="4">
        <f t="shared" si="72"/>
        <v>-286.63100000000031</v>
      </c>
      <c r="I78" s="4">
        <f t="shared" si="72"/>
        <v>-213.49799999999959</v>
      </c>
      <c r="J78" s="4">
        <f t="shared" si="72"/>
        <v>-36.988999999999578</v>
      </c>
      <c r="K78" s="68">
        <f t="shared" si="66"/>
        <v>-1248.4419999999991</v>
      </c>
      <c r="L78" s="3">
        <f t="shared" ref="L78:Q79" si="73">L61-L27</f>
        <v>-189.44599999999991</v>
      </c>
      <c r="M78" s="4">
        <f t="shared" si="73"/>
        <v>-57.409000000000106</v>
      </c>
      <c r="N78" s="4">
        <f t="shared" si="73"/>
        <v>-97.740999999999985</v>
      </c>
      <c r="O78" s="4">
        <f t="shared" si="73"/>
        <v>-200.38499999999999</v>
      </c>
      <c r="P78" s="4">
        <f t="shared" si="73"/>
        <v>-192.93100000000004</v>
      </c>
      <c r="Q78" s="4">
        <f t="shared" si="73"/>
        <v>-269.84700000000021</v>
      </c>
      <c r="R78" s="62">
        <f t="shared" si="68"/>
        <v>-1007.7590000000002</v>
      </c>
      <c r="S78" s="96">
        <f t="shared" si="69"/>
        <v>-0.23305643129843082</v>
      </c>
      <c r="T78" s="11">
        <f t="shared" si="69"/>
        <v>-0.24642646503236282</v>
      </c>
      <c r="U78" s="11">
        <f t="shared" si="69"/>
        <v>-0.19621379865373684</v>
      </c>
      <c r="V78" s="11">
        <f t="shared" si="69"/>
        <v>-0.18683977666160567</v>
      </c>
      <c r="W78" s="11">
        <f t="shared" si="69"/>
        <v>-0.21694959565387528</v>
      </c>
      <c r="X78" s="11">
        <f t="shared" si="69"/>
        <v>-0.20817175479694527</v>
      </c>
      <c r="Y78" s="12">
        <f t="shared" si="69"/>
        <v>-0.21395781438214251</v>
      </c>
    </row>
    <row r="79" spans="3:25" hidden="1" x14ac:dyDescent="0.4">
      <c r="C79" s="60" t="s">
        <v>17</v>
      </c>
      <c r="D79" s="22" t="s">
        <v>18</v>
      </c>
      <c r="E79" s="4">
        <f t="shared" si="72"/>
        <v>1333.5949999999998</v>
      </c>
      <c r="F79" s="4">
        <f t="shared" si="72"/>
        <v>655.31500000000096</v>
      </c>
      <c r="G79" s="4">
        <f t="shared" si="72"/>
        <v>-24.210000000000036</v>
      </c>
      <c r="H79" s="4">
        <f t="shared" si="72"/>
        <v>1733.8000000000002</v>
      </c>
      <c r="I79" s="4">
        <f t="shared" si="72"/>
        <v>93.204999999999927</v>
      </c>
      <c r="J79" s="4">
        <f t="shared" si="72"/>
        <v>379.40499999999975</v>
      </c>
      <c r="K79" s="68">
        <f t="shared" si="66"/>
        <v>4171.1100000000006</v>
      </c>
      <c r="L79" s="3">
        <f t="shared" si="73"/>
        <v>981.846</v>
      </c>
      <c r="M79" s="4">
        <f t="shared" si="73"/>
        <v>441.31700000000001</v>
      </c>
      <c r="N79" s="4">
        <f t="shared" si="73"/>
        <v>-687.46</v>
      </c>
      <c r="O79" s="4">
        <f t="shared" si="73"/>
        <v>920.80000000000018</v>
      </c>
      <c r="P79" s="4">
        <f t="shared" si="73"/>
        <v>-43.045000000000073</v>
      </c>
      <c r="Q79" s="4">
        <f t="shared" si="73"/>
        <v>20.858999999999924</v>
      </c>
      <c r="R79" s="62">
        <f t="shared" si="68"/>
        <v>1634.317</v>
      </c>
      <c r="S79" s="96">
        <f t="shared" si="69"/>
        <v>-0.61523949135662837</v>
      </c>
      <c r="T79" s="11">
        <f t="shared" si="69"/>
        <v>-0.62776853206888095</v>
      </c>
      <c r="U79" s="11">
        <f t="shared" si="69"/>
        <v>-0.87470327650628843</v>
      </c>
      <c r="V79" s="11">
        <f t="shared" si="69"/>
        <v>-0.82549884164113296</v>
      </c>
      <c r="W79" s="11">
        <f t="shared" si="69"/>
        <v>-0.81078867427659063</v>
      </c>
      <c r="X79" s="11">
        <f t="shared" si="69"/>
        <v>-0.67806073388694466</v>
      </c>
      <c r="Y79" s="12">
        <f t="shared" si="69"/>
        <v>-0.73082619184152686</v>
      </c>
    </row>
    <row r="80" spans="3:25" hidden="1" x14ac:dyDescent="0.4">
      <c r="C80" s="60" t="s">
        <v>19</v>
      </c>
      <c r="D80" s="22"/>
      <c r="E80" s="20">
        <f t="shared" ref="E80:R80" si="74">SUM(E78:E79)</f>
        <v>1300.8319999999999</v>
      </c>
      <c r="F80" s="20">
        <f t="shared" si="74"/>
        <v>451.28000000000111</v>
      </c>
      <c r="G80" s="20">
        <f t="shared" si="74"/>
        <v>-498.73599999999988</v>
      </c>
      <c r="H80" s="20">
        <f t="shared" si="74"/>
        <v>1447.1689999999999</v>
      </c>
      <c r="I80" s="20">
        <f t="shared" si="74"/>
        <v>-120.29299999999967</v>
      </c>
      <c r="J80" s="20">
        <f t="shared" si="74"/>
        <v>342.41600000000017</v>
      </c>
      <c r="K80" s="68">
        <f t="shared" si="74"/>
        <v>2922.6680000000015</v>
      </c>
      <c r="L80" s="3">
        <f t="shared" si="74"/>
        <v>792.40000000000009</v>
      </c>
      <c r="M80" s="20">
        <f t="shared" si="74"/>
        <v>383.9079999999999</v>
      </c>
      <c r="N80" s="20">
        <f t="shared" si="74"/>
        <v>-785.20100000000002</v>
      </c>
      <c r="O80" s="20">
        <f t="shared" si="74"/>
        <v>720.41500000000019</v>
      </c>
      <c r="P80" s="20">
        <f t="shared" si="74"/>
        <v>-235.97600000000011</v>
      </c>
      <c r="Q80" s="20">
        <f t="shared" si="74"/>
        <v>-248.98800000000028</v>
      </c>
      <c r="R80" s="62">
        <f t="shared" si="74"/>
        <v>626.55799999999977</v>
      </c>
      <c r="S80" s="96">
        <f t="shared" si="69"/>
        <v>-0.36075814088727054</v>
      </c>
      <c r="T80" s="11">
        <f t="shared" si="69"/>
        <v>-0.3876633183076677</v>
      </c>
      <c r="U80" s="11">
        <f t="shared" si="69"/>
        <v>-0.44387274824369732</v>
      </c>
      <c r="V80" s="11">
        <f t="shared" si="69"/>
        <v>-0.40701452859143783</v>
      </c>
      <c r="W80" s="11">
        <f t="shared" si="69"/>
        <v>-0.33367910761161279</v>
      </c>
      <c r="X80" s="11">
        <f t="shared" si="69"/>
        <v>-0.33371094363762882</v>
      </c>
      <c r="Y80" s="12">
        <f t="shared" si="69"/>
        <v>-0.37549244045934771</v>
      </c>
    </row>
    <row r="81" spans="3:25" hidden="1" x14ac:dyDescent="0.4">
      <c r="C81" s="60" t="s">
        <v>20</v>
      </c>
      <c r="D81" s="22" t="s">
        <v>21</v>
      </c>
      <c r="E81" s="20">
        <f t="shared" ref="E81:J82" si="75">E64-E30</f>
        <v>2238.8119999999999</v>
      </c>
      <c r="F81" s="20">
        <f t="shared" si="75"/>
        <v>-528.70400000000154</v>
      </c>
      <c r="G81" s="20">
        <f t="shared" si="75"/>
        <v>31.687000000001717</v>
      </c>
      <c r="H81" s="20">
        <f t="shared" si="75"/>
        <v>178.38199999999961</v>
      </c>
      <c r="I81" s="20">
        <f t="shared" si="75"/>
        <v>112.97500000000036</v>
      </c>
      <c r="J81" s="20">
        <f t="shared" si="75"/>
        <v>393.46399999999994</v>
      </c>
      <c r="K81" s="68">
        <f>SUM(E81:J81)</f>
        <v>2426.616</v>
      </c>
      <c r="L81" s="3">
        <f t="shared" ref="L81:Q82" si="76">L64-L30</f>
        <v>602.67399999999998</v>
      </c>
      <c r="M81" s="20">
        <f t="shared" si="76"/>
        <v>-128.17799999999988</v>
      </c>
      <c r="N81" s="20">
        <f t="shared" si="76"/>
        <v>-123.38199999999961</v>
      </c>
      <c r="O81" s="20">
        <f t="shared" si="76"/>
        <v>-103.846</v>
      </c>
      <c r="P81" s="20">
        <f t="shared" si="76"/>
        <v>-55.652000000000044</v>
      </c>
      <c r="Q81" s="20">
        <f t="shared" si="76"/>
        <v>32.755000000000109</v>
      </c>
      <c r="R81" s="62">
        <f>SUM(L81:Q81)</f>
        <v>224.37100000000055</v>
      </c>
      <c r="S81" s="96">
        <f t="shared" si="69"/>
        <v>-0.25129388015732318</v>
      </c>
      <c r="T81" s="11">
        <f t="shared" si="69"/>
        <v>-0.22716500467931316</v>
      </c>
      <c r="U81" s="11">
        <f t="shared" si="69"/>
        <v>-0.21644074559299584</v>
      </c>
      <c r="V81" s="11">
        <f t="shared" si="69"/>
        <v>-0.21047412678481583</v>
      </c>
      <c r="W81" s="11">
        <f t="shared" si="69"/>
        <v>-0.20788511377342594</v>
      </c>
      <c r="X81" s="11">
        <f t="shared" si="69"/>
        <v>-0.20448161909612605</v>
      </c>
      <c r="Y81" s="12">
        <f t="shared" si="69"/>
        <v>-0.22092506510700505</v>
      </c>
    </row>
    <row r="82" spans="3:25" hidden="1" x14ac:dyDescent="0.4">
      <c r="C82" s="60" t="s">
        <v>22</v>
      </c>
      <c r="D82" s="83" t="s">
        <v>23</v>
      </c>
      <c r="E82" s="84">
        <f t="shared" si="75"/>
        <v>27.05</v>
      </c>
      <c r="F82" s="84">
        <f t="shared" si="75"/>
        <v>30</v>
      </c>
      <c r="G82" s="84">
        <f t="shared" si="75"/>
        <v>30</v>
      </c>
      <c r="H82" s="84">
        <f t="shared" si="75"/>
        <v>13.184999999999999</v>
      </c>
      <c r="I82" s="84">
        <f t="shared" si="75"/>
        <v>12.32</v>
      </c>
      <c r="J82" s="84">
        <f t="shared" si="75"/>
        <v>15.52</v>
      </c>
      <c r="K82" s="68">
        <f>SUM(E82:J82)</f>
        <v>128.07500000000002</v>
      </c>
      <c r="L82" s="88">
        <f t="shared" si="76"/>
        <v>9.0909999999999993</v>
      </c>
      <c r="M82" s="84">
        <f t="shared" si="76"/>
        <v>10</v>
      </c>
      <c r="N82" s="84">
        <f t="shared" si="76"/>
        <v>10</v>
      </c>
      <c r="O82" s="84">
        <f t="shared" si="76"/>
        <v>4.819</v>
      </c>
      <c r="P82" s="84">
        <f t="shared" si="76"/>
        <v>5.4640000000000004</v>
      </c>
      <c r="Q82" s="84">
        <f t="shared" si="76"/>
        <v>8.0540000000000003</v>
      </c>
      <c r="R82" s="62">
        <f>SUM(L82:Q82)</f>
        <v>47.428000000000004</v>
      </c>
      <c r="S82" s="97">
        <f t="shared" si="69"/>
        <v>-0.30813559322033895</v>
      </c>
      <c r="T82" s="86" t="e">
        <f t="shared" si="69"/>
        <v>#VALUE!</v>
      </c>
      <c r="U82" s="86" t="e">
        <f t="shared" si="69"/>
        <v>#VALUE!</v>
      </c>
      <c r="V82" s="86">
        <f t="shared" si="69"/>
        <v>-0.30811775200713648</v>
      </c>
      <c r="W82" s="86">
        <f t="shared" si="69"/>
        <v>-0.25656108597285066</v>
      </c>
      <c r="X82" s="86">
        <f t="shared" si="69"/>
        <v>-0.13439226519337016</v>
      </c>
      <c r="Y82" s="87">
        <f t="shared" si="69"/>
        <v>-0.24211844005777564</v>
      </c>
    </row>
    <row r="83" spans="3:25" hidden="1" x14ac:dyDescent="0.4">
      <c r="C83" s="82" t="s">
        <v>24</v>
      </c>
      <c r="D83" s="83"/>
      <c r="E83" s="88">
        <f t="shared" ref="E83:J83" si="77">E81+E82</f>
        <v>2265.8620000000001</v>
      </c>
      <c r="F83" s="84">
        <f t="shared" si="77"/>
        <v>-498.70400000000154</v>
      </c>
      <c r="G83" s="84">
        <f t="shared" si="77"/>
        <v>61.687000000001717</v>
      </c>
      <c r="H83" s="84">
        <f t="shared" si="77"/>
        <v>191.56699999999961</v>
      </c>
      <c r="I83" s="84">
        <f t="shared" si="77"/>
        <v>125.29500000000036</v>
      </c>
      <c r="J83" s="84">
        <f t="shared" si="77"/>
        <v>408.98399999999992</v>
      </c>
      <c r="K83" s="68">
        <f>SUM(E83:J83)</f>
        <v>2554.6910000000003</v>
      </c>
      <c r="L83" s="88">
        <f t="shared" ref="L83:Q83" si="78">L81+L82</f>
        <v>611.76499999999999</v>
      </c>
      <c r="M83" s="84">
        <f t="shared" si="78"/>
        <v>-118.17799999999988</v>
      </c>
      <c r="N83" s="84">
        <f t="shared" si="78"/>
        <v>-113.38199999999961</v>
      </c>
      <c r="O83" s="84">
        <f t="shared" si="78"/>
        <v>-99.027000000000001</v>
      </c>
      <c r="P83" s="84">
        <f t="shared" si="78"/>
        <v>-50.188000000000045</v>
      </c>
      <c r="Q83" s="84">
        <f t="shared" si="78"/>
        <v>40.809000000000111</v>
      </c>
      <c r="R83" s="62">
        <f>SUM(L83:Q83)</f>
        <v>271.79900000000055</v>
      </c>
      <c r="S83" s="97">
        <f t="shared" si="69"/>
        <v>-0.25130661802542636</v>
      </c>
      <c r="T83" s="86">
        <f t="shared" si="69"/>
        <v>-0.22716500467931316</v>
      </c>
      <c r="U83" s="86">
        <f t="shared" si="69"/>
        <v>-0.21644074559299584</v>
      </c>
      <c r="V83" s="86">
        <f t="shared" si="69"/>
        <v>-0.21059549173211708</v>
      </c>
      <c r="W83" s="86">
        <f t="shared" si="69"/>
        <v>-0.20796952928015083</v>
      </c>
      <c r="X83" s="86">
        <f t="shared" si="69"/>
        <v>-0.20438686675475043</v>
      </c>
      <c r="Y83" s="87">
        <f t="shared" si="69"/>
        <v>-0.22093722289563192</v>
      </c>
    </row>
    <row r="84" spans="3:25" hidden="1" x14ac:dyDescent="0.4">
      <c r="C84" s="53" t="s">
        <v>5</v>
      </c>
      <c r="D84" s="54"/>
      <c r="E84" s="63">
        <f t="shared" ref="E84:R84" si="79">E77+E80+E83</f>
        <v>6680.0019999999995</v>
      </c>
      <c r="F84" s="8">
        <f t="shared" si="79"/>
        <v>2870.2049999999995</v>
      </c>
      <c r="G84" s="8">
        <f t="shared" si="79"/>
        <v>2509.5120000000034</v>
      </c>
      <c r="H84" s="8">
        <f t="shared" si="79"/>
        <v>2838.8879999999995</v>
      </c>
      <c r="I84" s="8">
        <f t="shared" si="79"/>
        <v>2103.2530000000011</v>
      </c>
      <c r="J84" s="8">
        <f t="shared" si="79"/>
        <v>1508.3039999999992</v>
      </c>
      <c r="K84" s="69">
        <f t="shared" si="79"/>
        <v>18510.164000000001</v>
      </c>
      <c r="L84" s="63">
        <f t="shared" si="79"/>
        <v>2975.203</v>
      </c>
      <c r="M84" s="8">
        <f t="shared" si="79"/>
        <v>1146.4240000000002</v>
      </c>
      <c r="N84" s="8">
        <f t="shared" si="79"/>
        <v>-751.93399999999951</v>
      </c>
      <c r="O84" s="8">
        <f t="shared" si="79"/>
        <v>478.7590000000003</v>
      </c>
      <c r="P84" s="8">
        <f t="shared" si="79"/>
        <v>366.28500000000003</v>
      </c>
      <c r="Q84" s="8">
        <f t="shared" si="79"/>
        <v>-653.89300000000026</v>
      </c>
      <c r="R84" s="64">
        <f t="shared" si="79"/>
        <v>3560.8440000000005</v>
      </c>
      <c r="S84" s="91">
        <f t="shared" si="69"/>
        <v>-0.29740312058104335</v>
      </c>
      <c r="T84" s="14">
        <f t="shared" si="69"/>
        <v>-0.31041269000693467</v>
      </c>
      <c r="U84" s="14">
        <f t="shared" si="69"/>
        <v>-0.32665607647086586</v>
      </c>
      <c r="V84" s="14">
        <f t="shared" si="69"/>
        <v>-0.32255672288553211</v>
      </c>
      <c r="W84" s="14">
        <f t="shared" si="69"/>
        <v>-0.29373995243000584</v>
      </c>
      <c r="X84" s="14">
        <f t="shared" si="69"/>
        <v>-0.30654517795787295</v>
      </c>
      <c r="Y84" s="15">
        <f t="shared" si="69"/>
        <v>-0.31018956593402019</v>
      </c>
    </row>
    <row r="85" spans="3:25" hidden="1" x14ac:dyDescent="0.4">
      <c r="C85" s="18"/>
      <c r="E85" s="17"/>
      <c r="F85" s="17"/>
      <c r="G85" s="17"/>
      <c r="H85" s="17"/>
      <c r="I85" s="17"/>
      <c r="J85" s="17"/>
      <c r="K85" s="18"/>
      <c r="L85" s="17"/>
      <c r="M85" s="17"/>
      <c r="N85" s="17"/>
      <c r="O85" s="17"/>
      <c r="P85" s="17"/>
      <c r="Q85" s="17"/>
      <c r="R85" s="18"/>
      <c r="S85" s="19"/>
      <c r="T85" s="19"/>
      <c r="U85" s="19"/>
      <c r="V85" s="19"/>
      <c r="W85" s="19"/>
      <c r="X85" s="19"/>
      <c r="Y85" s="19"/>
    </row>
    <row r="86" spans="3:25" hidden="1" x14ac:dyDescent="0.4">
      <c r="C86" s="18" t="s">
        <v>31</v>
      </c>
    </row>
    <row r="87" spans="3:25" hidden="1" x14ac:dyDescent="0.4">
      <c r="C87" s="120"/>
      <c r="D87" s="119"/>
      <c r="E87" s="120" t="s">
        <v>2</v>
      </c>
      <c r="F87" s="118"/>
      <c r="G87" s="118"/>
      <c r="H87" s="118"/>
      <c r="I87" s="118"/>
      <c r="J87" s="118"/>
      <c r="K87" s="119"/>
      <c r="L87" s="117" t="s">
        <v>3</v>
      </c>
      <c r="M87" s="118"/>
      <c r="N87" s="118"/>
      <c r="O87" s="118"/>
      <c r="P87" s="118"/>
      <c r="Q87" s="118"/>
      <c r="R87" s="119"/>
      <c r="S87" s="117" t="s">
        <v>4</v>
      </c>
      <c r="T87" s="118"/>
      <c r="U87" s="118"/>
      <c r="V87" s="118"/>
      <c r="W87" s="118"/>
      <c r="X87" s="118"/>
      <c r="Y87" s="119"/>
    </row>
    <row r="88" spans="3:25" hidden="1" x14ac:dyDescent="0.4">
      <c r="C88" s="1"/>
      <c r="D88" s="21"/>
      <c r="E88" s="61">
        <v>46113</v>
      </c>
      <c r="F88" s="2">
        <v>46143</v>
      </c>
      <c r="G88" s="2">
        <v>46174</v>
      </c>
      <c r="H88" s="2">
        <v>46204</v>
      </c>
      <c r="I88" s="2">
        <v>46235</v>
      </c>
      <c r="J88" s="2">
        <v>46266</v>
      </c>
      <c r="K88" s="10" t="s">
        <v>5</v>
      </c>
      <c r="L88" s="95">
        <v>46113</v>
      </c>
      <c r="M88" s="2">
        <v>46143</v>
      </c>
      <c r="N88" s="2">
        <v>46174</v>
      </c>
      <c r="O88" s="2">
        <v>46204</v>
      </c>
      <c r="P88" s="2">
        <v>46235</v>
      </c>
      <c r="Q88" s="2">
        <v>46266</v>
      </c>
      <c r="R88" s="10" t="s">
        <v>5</v>
      </c>
      <c r="S88" s="95">
        <v>46113</v>
      </c>
      <c r="T88" s="2">
        <v>46143</v>
      </c>
      <c r="U88" s="2">
        <v>46174</v>
      </c>
      <c r="V88" s="2">
        <v>46204</v>
      </c>
      <c r="W88" s="2">
        <v>46235</v>
      </c>
      <c r="X88" s="2">
        <v>46266</v>
      </c>
      <c r="Y88" s="10" t="s">
        <v>5</v>
      </c>
    </row>
    <row r="89" spans="3:25" hidden="1" x14ac:dyDescent="0.4">
      <c r="C89" s="60" t="s">
        <v>6</v>
      </c>
      <c r="D89" s="22" t="s">
        <v>7</v>
      </c>
      <c r="E89" s="4">
        <f t="shared" ref="E89:J92" si="80">E56-E39</f>
        <v>206.2510000000002</v>
      </c>
      <c r="F89" s="4">
        <f t="shared" si="80"/>
        <v>-219.88500000000022</v>
      </c>
      <c r="G89" s="4">
        <f t="shared" si="80"/>
        <v>-0.255500000000211</v>
      </c>
      <c r="H89" s="4">
        <f t="shared" si="80"/>
        <v>135.41699999999992</v>
      </c>
      <c r="I89" s="4">
        <f t="shared" si="80"/>
        <v>1367.4014999999999</v>
      </c>
      <c r="J89" s="4">
        <f t="shared" si="80"/>
        <v>1126.8380000000006</v>
      </c>
      <c r="K89" s="7">
        <f t="shared" ref="K89:K95" si="81">SUM(E89:J89)</f>
        <v>2615.7670000000003</v>
      </c>
      <c r="L89" s="4">
        <f t="shared" ref="L89:Q92" si="82">L56-L39</f>
        <v>729.55099999999993</v>
      </c>
      <c r="M89" s="4">
        <f t="shared" si="82"/>
        <v>296.38049999999998</v>
      </c>
      <c r="N89" s="4">
        <f t="shared" si="82"/>
        <v>31.720500000000015</v>
      </c>
      <c r="O89" s="4">
        <f t="shared" si="82"/>
        <v>17.962499999999977</v>
      </c>
      <c r="P89" s="4">
        <f t="shared" si="82"/>
        <v>662.58349999999996</v>
      </c>
      <c r="Q89" s="4">
        <f t="shared" si="82"/>
        <v>286.37300000000005</v>
      </c>
      <c r="R89" s="7">
        <f t="shared" ref="R89:R95" si="83">SUM(L89:Q89)</f>
        <v>2024.5710000000001</v>
      </c>
      <c r="S89" s="11">
        <f t="shared" ref="S89:Y100" si="84">S56-S39</f>
        <v>7.9363584103292889E-2</v>
      </c>
      <c r="T89" s="11">
        <f t="shared" si="84"/>
        <v>7.8323651208555278E-2</v>
      </c>
      <c r="U89" s="11">
        <f t="shared" si="84"/>
        <v>1.5428899827305581E-2</v>
      </c>
      <c r="V89" s="11">
        <f t="shared" si="84"/>
        <v>-4.4815388819567092E-3</v>
      </c>
      <c r="W89" s="11">
        <f t="shared" si="84"/>
        <v>7.2696336211180212E-2</v>
      </c>
      <c r="X89" s="11">
        <f t="shared" si="84"/>
        <v>8.3053509244361279E-3</v>
      </c>
      <c r="Y89" s="12">
        <f t="shared" si="84"/>
        <v>4.6767419665510623E-2</v>
      </c>
    </row>
    <row r="90" spans="3:25" hidden="1" x14ac:dyDescent="0.4">
      <c r="C90" s="60" t="s">
        <v>8</v>
      </c>
      <c r="D90" s="22" t="s">
        <v>9</v>
      </c>
      <c r="E90" s="4">
        <f t="shared" si="80"/>
        <v>2853.1264999999999</v>
      </c>
      <c r="F90" s="4">
        <f t="shared" si="80"/>
        <v>2357.8865000000001</v>
      </c>
      <c r="G90" s="4">
        <f t="shared" si="80"/>
        <v>3580.6644999999999</v>
      </c>
      <c r="H90" s="4">
        <f t="shared" si="80"/>
        <v>1493.5335</v>
      </c>
      <c r="I90" s="4">
        <f t="shared" si="80"/>
        <v>287.18199999999979</v>
      </c>
      <c r="J90" s="4">
        <f t="shared" si="80"/>
        <v>1240.6309999999999</v>
      </c>
      <c r="K90" s="7">
        <f t="shared" si="81"/>
        <v>11813.023999999999</v>
      </c>
      <c r="L90" s="4">
        <f t="shared" si="82"/>
        <v>804.79150000000004</v>
      </c>
      <c r="M90" s="4">
        <f t="shared" si="82"/>
        <v>660.053</v>
      </c>
      <c r="N90" s="4">
        <f t="shared" si="82"/>
        <v>953.84500000000003</v>
      </c>
      <c r="O90" s="4">
        <f t="shared" si="82"/>
        <v>330.32449999999994</v>
      </c>
      <c r="P90" s="4">
        <f t="shared" si="82"/>
        <v>58.931500000000028</v>
      </c>
      <c r="Q90" s="4">
        <f t="shared" si="82"/>
        <v>221.58599999999979</v>
      </c>
      <c r="R90" s="7">
        <f t="shared" si="83"/>
        <v>3029.5315000000001</v>
      </c>
      <c r="S90" s="11">
        <f t="shared" si="84"/>
        <v>-5.1103822710930336E-2</v>
      </c>
      <c r="T90" s="11">
        <f t="shared" si="84"/>
        <v>-5.0220010646275681E-2</v>
      </c>
      <c r="U90" s="11">
        <f t="shared" si="84"/>
        <v>-0.11055695389838627</v>
      </c>
      <c r="V90" s="11">
        <f t="shared" si="84"/>
        <v>-5.4721219333227711E-2</v>
      </c>
      <c r="W90" s="11">
        <f t="shared" si="84"/>
        <v>-1.0419057125295339E-2</v>
      </c>
      <c r="X90" s="11">
        <f t="shared" si="84"/>
        <v>-3.8733691515458912E-2</v>
      </c>
      <c r="Y90" s="12">
        <f t="shared" si="84"/>
        <v>-4.4082820071505213E-2</v>
      </c>
    </row>
    <row r="91" spans="3:25" hidden="1" x14ac:dyDescent="0.4">
      <c r="C91" s="60" t="s">
        <v>10</v>
      </c>
      <c r="D91" s="22" t="s">
        <v>11</v>
      </c>
      <c r="E91" s="4">
        <f t="shared" si="80"/>
        <v>27.197499999999991</v>
      </c>
      <c r="F91" s="4">
        <f t="shared" si="80"/>
        <v>43.454000000000008</v>
      </c>
      <c r="G91" s="4">
        <f t="shared" si="80"/>
        <v>0.14650000000000318</v>
      </c>
      <c r="H91" s="4">
        <f t="shared" si="80"/>
        <v>3.9655000000000058</v>
      </c>
      <c r="I91" s="4">
        <f t="shared" si="80"/>
        <v>0.59500000000002728</v>
      </c>
      <c r="J91" s="4">
        <f t="shared" si="80"/>
        <v>4.8315000000000055</v>
      </c>
      <c r="K91" s="7">
        <f t="shared" si="81"/>
        <v>80.19000000000004</v>
      </c>
      <c r="L91" s="4">
        <f t="shared" si="82"/>
        <v>7.1430000000000007</v>
      </c>
      <c r="M91" s="4">
        <f t="shared" si="82"/>
        <v>4.2330000000000041</v>
      </c>
      <c r="N91" s="4">
        <f t="shared" si="82"/>
        <v>2.0234999999999985</v>
      </c>
      <c r="O91" s="4">
        <f t="shared" si="82"/>
        <v>4.8294999999999995</v>
      </c>
      <c r="P91" s="4">
        <f t="shared" si="82"/>
        <v>-98.926999999999964</v>
      </c>
      <c r="Q91" s="4">
        <f t="shared" si="82"/>
        <v>8.5874999999999773</v>
      </c>
      <c r="R91" s="7">
        <f t="shared" si="83"/>
        <v>-72.110499999999988</v>
      </c>
      <c r="S91" s="11">
        <f t="shared" si="84"/>
        <v>-9.1334296762780043E-3</v>
      </c>
      <c r="T91" s="11">
        <f t="shared" si="84"/>
        <v>-4.5185345742992211E-2</v>
      </c>
      <c r="U91" s="11">
        <f t="shared" si="84"/>
        <v>3.941348150079732E-2</v>
      </c>
      <c r="V91" s="11">
        <f t="shared" si="84"/>
        <v>7.9000679903980797E-2</v>
      </c>
      <c r="W91" s="11">
        <f t="shared" si="84"/>
        <v>-0.1655383255061269</v>
      </c>
      <c r="X91" s="11">
        <f t="shared" si="84"/>
        <v>1.0176506103566796E-2</v>
      </c>
      <c r="Y91" s="12">
        <f t="shared" si="84"/>
        <v>-5.4487454011264758E-2</v>
      </c>
    </row>
    <row r="92" spans="3:25" hidden="1" x14ac:dyDescent="0.4">
      <c r="C92" s="60" t="s">
        <v>12</v>
      </c>
      <c r="D92" s="22" t="s">
        <v>13</v>
      </c>
      <c r="E92" s="4">
        <f t="shared" si="80"/>
        <v>146.51350000000002</v>
      </c>
      <c r="F92" s="4">
        <f t="shared" si="80"/>
        <v>86.169499999999971</v>
      </c>
      <c r="G92" s="4">
        <f t="shared" si="80"/>
        <v>1298.9325000000008</v>
      </c>
      <c r="H92" s="4">
        <f t="shared" si="80"/>
        <v>283.86700000000019</v>
      </c>
      <c r="I92" s="4">
        <f t="shared" si="80"/>
        <v>-1293.6799999999998</v>
      </c>
      <c r="J92" s="4">
        <f t="shared" si="80"/>
        <v>-1190.3355000000001</v>
      </c>
      <c r="K92" s="7">
        <f t="shared" si="81"/>
        <v>-668.53299999999899</v>
      </c>
      <c r="L92" s="4">
        <f t="shared" si="82"/>
        <v>58.420499999999947</v>
      </c>
      <c r="M92" s="4">
        <f t="shared" si="82"/>
        <v>5.6585000000000036</v>
      </c>
      <c r="N92" s="4">
        <f t="shared" si="82"/>
        <v>143.24299999999994</v>
      </c>
      <c r="O92" s="4">
        <f t="shared" si="82"/>
        <v>38.058500000000095</v>
      </c>
      <c r="P92" s="4">
        <f t="shared" si="82"/>
        <v>-702.83800000000019</v>
      </c>
      <c r="Q92" s="4">
        <f t="shared" si="82"/>
        <v>-923.23500000000058</v>
      </c>
      <c r="R92" s="7">
        <f t="shared" si="83"/>
        <v>-1380.6925000000008</v>
      </c>
      <c r="S92" s="11">
        <f t="shared" si="84"/>
        <v>-5.3255036091678365E-3</v>
      </c>
      <c r="T92" s="11">
        <f t="shared" si="84"/>
        <v>-7.6426772004333232E-3</v>
      </c>
      <c r="U92" s="11">
        <f t="shared" si="84"/>
        <v>-0.11016455978349421</v>
      </c>
      <c r="V92" s="11">
        <f t="shared" si="84"/>
        <v>-2.9231567763052801E-2</v>
      </c>
      <c r="W92" s="11">
        <f t="shared" si="84"/>
        <v>6.9276207602997353E-5</v>
      </c>
      <c r="X92" s="11">
        <f t="shared" si="84"/>
        <v>-6.9353907349700816E-2</v>
      </c>
      <c r="Y92" s="12">
        <f t="shared" si="84"/>
        <v>-4.3874233839961085E-2</v>
      </c>
    </row>
    <row r="93" spans="3:25" hidden="1" x14ac:dyDescent="0.4">
      <c r="C93" s="60" t="s">
        <v>14</v>
      </c>
      <c r="D93" s="22"/>
      <c r="E93" s="4">
        <f t="shared" ref="E93:J93" si="85">SUM(E89:E92)</f>
        <v>3233.0884999999998</v>
      </c>
      <c r="F93" s="4">
        <f t="shared" si="85"/>
        <v>2267.625</v>
      </c>
      <c r="G93" s="4">
        <f t="shared" si="85"/>
        <v>4879.4880000000003</v>
      </c>
      <c r="H93" s="4">
        <f t="shared" si="85"/>
        <v>1916.7830000000001</v>
      </c>
      <c r="I93" s="4">
        <f t="shared" si="85"/>
        <v>361.49849999999992</v>
      </c>
      <c r="J93" s="4">
        <f t="shared" si="85"/>
        <v>1181.9650000000001</v>
      </c>
      <c r="K93" s="7">
        <f t="shared" si="81"/>
        <v>13840.447999999999</v>
      </c>
      <c r="L93" s="4">
        <f t="shared" ref="L93:Q93" si="86">SUM(L89:L92)</f>
        <v>1599.9059999999999</v>
      </c>
      <c r="M93" s="4">
        <f t="shared" si="86"/>
        <v>966.32500000000005</v>
      </c>
      <c r="N93" s="4">
        <f t="shared" si="86"/>
        <v>1130.8319999999999</v>
      </c>
      <c r="O93" s="4">
        <f t="shared" si="86"/>
        <v>391.17500000000001</v>
      </c>
      <c r="P93" s="4">
        <f t="shared" si="86"/>
        <v>-80.250000000000227</v>
      </c>
      <c r="Q93" s="4">
        <f t="shared" si="86"/>
        <v>-406.68850000000077</v>
      </c>
      <c r="R93" s="7">
        <f t="shared" si="83"/>
        <v>3601.2994999999987</v>
      </c>
      <c r="S93" s="11">
        <f t="shared" si="84"/>
        <v>3.6846416235924384E-2</v>
      </c>
      <c r="T93" s="11">
        <f t="shared" si="84"/>
        <v>7.5843943772456179E-3</v>
      </c>
      <c r="U93" s="11">
        <f t="shared" si="84"/>
        <v>-7.5918142054909876E-2</v>
      </c>
      <c r="V93" s="11">
        <f t="shared" si="84"/>
        <v>-3.369123027661991E-2</v>
      </c>
      <c r="W93" s="11">
        <f t="shared" si="84"/>
        <v>-1.9211785102332513E-2</v>
      </c>
      <c r="X93" s="11">
        <f t="shared" si="84"/>
        <v>-4.661391156978012E-2</v>
      </c>
      <c r="Y93" s="12">
        <f t="shared" si="84"/>
        <v>-1.7080073700466658E-2</v>
      </c>
    </row>
    <row r="94" spans="3:25" hidden="1" x14ac:dyDescent="0.4">
      <c r="C94" s="60" t="s">
        <v>15</v>
      </c>
      <c r="D94" s="22" t="s">
        <v>16</v>
      </c>
      <c r="E94" s="4">
        <f t="shared" ref="E94:J95" si="87">E61-E44</f>
        <v>-1565.6455000000005</v>
      </c>
      <c r="F94" s="4">
        <f t="shared" si="87"/>
        <v>123.08600000000024</v>
      </c>
      <c r="G94" s="4">
        <f t="shared" si="87"/>
        <v>-243.67699999999968</v>
      </c>
      <c r="H94" s="4">
        <f t="shared" si="87"/>
        <v>801.64449999999988</v>
      </c>
      <c r="I94" s="4">
        <f t="shared" si="87"/>
        <v>498.15300000000025</v>
      </c>
      <c r="J94" s="4">
        <f t="shared" si="87"/>
        <v>1257.1915000000008</v>
      </c>
      <c r="K94" s="7">
        <f t="shared" si="81"/>
        <v>870.75250000000096</v>
      </c>
      <c r="L94" s="4">
        <f t="shared" ref="L94:Q95" si="88">L61-L44</f>
        <v>-452.41049999999996</v>
      </c>
      <c r="M94" s="4">
        <f t="shared" si="88"/>
        <v>186.48749999999995</v>
      </c>
      <c r="N94" s="4">
        <f t="shared" si="88"/>
        <v>65.828999999999951</v>
      </c>
      <c r="O94" s="4">
        <f t="shared" si="88"/>
        <v>51.222499999999968</v>
      </c>
      <c r="P94" s="4">
        <f t="shared" si="88"/>
        <v>22.671499999999924</v>
      </c>
      <c r="Q94" s="4">
        <f t="shared" si="88"/>
        <v>111.03549999999996</v>
      </c>
      <c r="R94" s="7">
        <f t="shared" si="83"/>
        <v>-15.164500000000203</v>
      </c>
      <c r="S94" s="11">
        <f t="shared" si="84"/>
        <v>-1.9712480621904921E-2</v>
      </c>
      <c r="T94" s="11">
        <f t="shared" si="84"/>
        <v>2.4899650628477599E-2</v>
      </c>
      <c r="U94" s="11">
        <f t="shared" si="84"/>
        <v>1.6341962472508992E-2</v>
      </c>
      <c r="V94" s="11">
        <f t="shared" si="84"/>
        <v>-1.8516225764567462E-2</v>
      </c>
      <c r="W94" s="11">
        <f t="shared" si="84"/>
        <v>-1.3954531312071528E-2</v>
      </c>
      <c r="X94" s="11">
        <f t="shared" si="84"/>
        <v>-1.1056912407607061E-2</v>
      </c>
      <c r="Y94" s="12">
        <f t="shared" si="84"/>
        <v>-4.5659068933959213E-3</v>
      </c>
    </row>
    <row r="95" spans="3:25" hidden="1" x14ac:dyDescent="0.4">
      <c r="C95" s="60" t="s">
        <v>17</v>
      </c>
      <c r="D95" s="22" t="s">
        <v>18</v>
      </c>
      <c r="E95" s="4">
        <f t="shared" si="87"/>
        <v>378.74250000000029</v>
      </c>
      <c r="F95" s="4">
        <f t="shared" si="87"/>
        <v>922.59250000000065</v>
      </c>
      <c r="G95" s="4">
        <f t="shared" si="87"/>
        <v>1035.0650000000001</v>
      </c>
      <c r="H95" s="4">
        <f t="shared" si="87"/>
        <v>2446.8200000000002</v>
      </c>
      <c r="I95" s="4">
        <f t="shared" si="87"/>
        <v>72.332499999999982</v>
      </c>
      <c r="J95" s="4">
        <f t="shared" si="87"/>
        <v>483.99499999999989</v>
      </c>
      <c r="K95" s="7">
        <f t="shared" si="81"/>
        <v>5339.5475000000015</v>
      </c>
      <c r="L95" s="4">
        <f t="shared" si="88"/>
        <v>394.46799999999985</v>
      </c>
      <c r="M95" s="4">
        <f t="shared" si="88"/>
        <v>616.125</v>
      </c>
      <c r="N95" s="4">
        <f t="shared" si="88"/>
        <v>380.47150000000011</v>
      </c>
      <c r="O95" s="4">
        <f t="shared" si="88"/>
        <v>1555.3515</v>
      </c>
      <c r="P95" s="4">
        <f t="shared" si="88"/>
        <v>-30.042500000000018</v>
      </c>
      <c r="Q95" s="4">
        <f t="shared" si="88"/>
        <v>326.31700000000001</v>
      </c>
      <c r="R95" s="7">
        <f t="shared" si="83"/>
        <v>3242.6905000000002</v>
      </c>
      <c r="S95" s="11">
        <f t="shared" si="84"/>
        <v>3.9284496712623129E-2</v>
      </c>
      <c r="T95" s="11">
        <f t="shared" si="84"/>
        <v>8.5332060876305293E-3</v>
      </c>
      <c r="U95" s="11">
        <f t="shared" si="84"/>
        <v>-0.11637987229825075</v>
      </c>
      <c r="V95" s="11">
        <f t="shared" si="84"/>
        <v>-9.2340173639792522E-2</v>
      </c>
      <c r="W95" s="11">
        <f t="shared" si="84"/>
        <v>-5.6632477113444435E-2</v>
      </c>
      <c r="X95" s="11">
        <f t="shared" si="84"/>
        <v>4.7589478400683616E-3</v>
      </c>
      <c r="Y95" s="12">
        <f t="shared" si="84"/>
        <v>-1.8587076432264538E-2</v>
      </c>
    </row>
    <row r="96" spans="3:25" hidden="1" x14ac:dyDescent="0.4">
      <c r="C96" s="60" t="s">
        <v>19</v>
      </c>
      <c r="D96" s="22"/>
      <c r="E96" s="20">
        <f t="shared" ref="E96:R96" si="89">SUM(E94:E95)</f>
        <v>-1186.9030000000002</v>
      </c>
      <c r="F96" s="20">
        <f t="shared" si="89"/>
        <v>1045.6785000000009</v>
      </c>
      <c r="G96" s="20">
        <f t="shared" si="89"/>
        <v>791.38800000000037</v>
      </c>
      <c r="H96" s="20">
        <f t="shared" si="89"/>
        <v>3248.4645</v>
      </c>
      <c r="I96" s="20">
        <f t="shared" si="89"/>
        <v>570.48550000000023</v>
      </c>
      <c r="J96" s="20">
        <f t="shared" si="89"/>
        <v>1741.1865000000007</v>
      </c>
      <c r="K96" s="7">
        <f t="shared" si="89"/>
        <v>6210.3000000000029</v>
      </c>
      <c r="L96" s="20">
        <f t="shared" si="89"/>
        <v>-57.942500000000109</v>
      </c>
      <c r="M96" s="20">
        <f t="shared" si="89"/>
        <v>802.61249999999995</v>
      </c>
      <c r="N96" s="20">
        <f t="shared" si="89"/>
        <v>446.30050000000006</v>
      </c>
      <c r="O96" s="20">
        <f t="shared" si="89"/>
        <v>1606.5740000000001</v>
      </c>
      <c r="P96" s="20">
        <f t="shared" si="89"/>
        <v>-7.3710000000000946</v>
      </c>
      <c r="Q96" s="20">
        <f t="shared" si="89"/>
        <v>437.35249999999996</v>
      </c>
      <c r="R96" s="7">
        <f t="shared" si="89"/>
        <v>3227.5259999999998</v>
      </c>
      <c r="S96" s="11">
        <f t="shared" si="84"/>
        <v>3.7987682013816637E-2</v>
      </c>
      <c r="T96" s="11">
        <f t="shared" si="84"/>
        <v>3.8129744899960905E-2</v>
      </c>
      <c r="U96" s="11">
        <f t="shared" si="84"/>
        <v>1.3622288485156564E-2</v>
      </c>
      <c r="V96" s="11">
        <f t="shared" si="84"/>
        <v>3.9932149205759715E-2</v>
      </c>
      <c r="W96" s="11">
        <f t="shared" si="84"/>
        <v>-2.7333155105876528E-2</v>
      </c>
      <c r="X96" s="11">
        <f t="shared" si="84"/>
        <v>-6.8403815983021921E-3</v>
      </c>
      <c r="Y96" s="12">
        <f t="shared" si="84"/>
        <v>1.5928644857495899E-2</v>
      </c>
    </row>
    <row r="97" spans="3:25" hidden="1" x14ac:dyDescent="0.4">
      <c r="C97" s="60" t="s">
        <v>20</v>
      </c>
      <c r="D97" s="22" t="s">
        <v>21</v>
      </c>
      <c r="E97" s="20">
        <f t="shared" ref="E97:J98" si="90">E64-E47</f>
        <v>87.710500000001048</v>
      </c>
      <c r="F97" s="20">
        <f t="shared" si="90"/>
        <v>1925.1544999999969</v>
      </c>
      <c r="G97" s="20">
        <f t="shared" si="90"/>
        <v>1548.9945000000007</v>
      </c>
      <c r="H97" s="20">
        <f t="shared" si="90"/>
        <v>819.08699999999953</v>
      </c>
      <c r="I97" s="20">
        <f t="shared" si="90"/>
        <v>907.21349999999984</v>
      </c>
      <c r="J97" s="20">
        <f t="shared" si="90"/>
        <v>-183.82400000000052</v>
      </c>
      <c r="K97" s="7">
        <f>SUM(E97:J97)</f>
        <v>5104.3359999999975</v>
      </c>
      <c r="L97" s="20">
        <f t="shared" ref="L97:Q98" si="91">L64-L47</f>
        <v>863.596</v>
      </c>
      <c r="M97" s="20">
        <f t="shared" si="91"/>
        <v>1092.5770000000002</v>
      </c>
      <c r="N97" s="20">
        <f t="shared" si="91"/>
        <v>754.80500000000029</v>
      </c>
      <c r="O97" s="20">
        <f t="shared" si="91"/>
        <v>355.98700000000008</v>
      </c>
      <c r="P97" s="20">
        <f t="shared" si="91"/>
        <v>334.47350000000006</v>
      </c>
      <c r="Q97" s="20">
        <f t="shared" si="91"/>
        <v>242.41249999999991</v>
      </c>
      <c r="R97" s="7">
        <f>SUM(L97:Q97)</f>
        <v>3643.8510000000006</v>
      </c>
      <c r="S97" s="11">
        <f t="shared" si="84"/>
        <v>5.4944536268023175E-2</v>
      </c>
      <c r="T97" s="11">
        <f t="shared" si="84"/>
        <v>3.2529532904478548E-2</v>
      </c>
      <c r="U97" s="11">
        <f t="shared" si="84"/>
        <v>2.2866870478070483E-2</v>
      </c>
      <c r="V97" s="11">
        <f t="shared" si="84"/>
        <v>1.4921236582896957E-2</v>
      </c>
      <c r="W97" s="11">
        <f t="shared" si="84"/>
        <v>1.6290946281840829E-2</v>
      </c>
      <c r="X97" s="11">
        <f t="shared" si="84"/>
        <v>2.4766259550218633E-2</v>
      </c>
      <c r="Y97" s="12">
        <f t="shared" si="84"/>
        <v>2.8857842484854734E-2</v>
      </c>
    </row>
    <row r="98" spans="3:25" hidden="1" x14ac:dyDescent="0.4">
      <c r="C98" s="60" t="s">
        <v>22</v>
      </c>
      <c r="D98" s="83" t="s">
        <v>23</v>
      </c>
      <c r="E98" s="20">
        <f t="shared" si="90"/>
        <v>28.524999999999999</v>
      </c>
      <c r="F98" s="20">
        <f t="shared" si="90"/>
        <v>30</v>
      </c>
      <c r="G98" s="20">
        <f t="shared" si="90"/>
        <v>30</v>
      </c>
      <c r="H98" s="20">
        <f t="shared" si="90"/>
        <v>21.592500000000001</v>
      </c>
      <c r="I98" s="20">
        <f t="shared" si="90"/>
        <v>21.16</v>
      </c>
      <c r="J98" s="20">
        <f t="shared" si="90"/>
        <v>22.759999999999998</v>
      </c>
      <c r="K98" s="7">
        <f>SUM(E98:J98)</f>
        <v>154.03749999999999</v>
      </c>
      <c r="L98" s="20">
        <f t="shared" si="91"/>
        <v>9.5455000000000005</v>
      </c>
      <c r="M98" s="20">
        <f t="shared" si="91"/>
        <v>10</v>
      </c>
      <c r="N98" s="20">
        <f t="shared" si="91"/>
        <v>10</v>
      </c>
      <c r="O98" s="20">
        <f t="shared" si="91"/>
        <v>7.4094999999999995</v>
      </c>
      <c r="P98" s="20">
        <f t="shared" si="91"/>
        <v>7.7320000000000002</v>
      </c>
      <c r="Q98" s="20">
        <f t="shared" si="91"/>
        <v>9.0269999999999992</v>
      </c>
      <c r="R98" s="7">
        <f>SUM(L98:Q98)</f>
        <v>53.713999999999999</v>
      </c>
      <c r="S98" s="11">
        <f t="shared" si="84"/>
        <v>2.519774011299436E-2</v>
      </c>
      <c r="T98" s="11" t="e">
        <f t="shared" si="84"/>
        <v>#VALUE!</v>
      </c>
      <c r="U98" s="11" t="e">
        <f t="shared" si="84"/>
        <v>#VALUE!</v>
      </c>
      <c r="V98" s="11">
        <f t="shared" si="84"/>
        <v>2.5215581326196834E-2</v>
      </c>
      <c r="W98" s="11">
        <f t="shared" si="84"/>
        <v>7.6772247360482659E-2</v>
      </c>
      <c r="X98" s="11">
        <f t="shared" si="84"/>
        <v>0.19894106813996315</v>
      </c>
      <c r="Y98" s="12">
        <f t="shared" si="84"/>
        <v>9.1214893275557679E-2</v>
      </c>
    </row>
    <row r="99" spans="3:25" hidden="1" x14ac:dyDescent="0.4">
      <c r="C99" s="82" t="s">
        <v>24</v>
      </c>
      <c r="D99" s="83"/>
      <c r="E99" s="20">
        <f t="shared" ref="E99:R99" si="92">SUM(E97:E98)</f>
        <v>116.23550000000105</v>
      </c>
      <c r="F99" s="20">
        <f t="shared" si="92"/>
        <v>1955.1544999999969</v>
      </c>
      <c r="G99" s="20">
        <f t="shared" si="92"/>
        <v>1578.9945000000007</v>
      </c>
      <c r="H99" s="20">
        <f t="shared" si="92"/>
        <v>840.67949999999951</v>
      </c>
      <c r="I99" s="20">
        <f t="shared" si="92"/>
        <v>928.37349999999981</v>
      </c>
      <c r="J99" s="20">
        <f t="shared" si="92"/>
        <v>-161.06400000000053</v>
      </c>
      <c r="K99" s="7">
        <f t="shared" si="92"/>
        <v>5258.3734999999979</v>
      </c>
      <c r="L99" s="20">
        <f t="shared" si="92"/>
        <v>873.14149999999995</v>
      </c>
      <c r="M99" s="20">
        <f t="shared" si="92"/>
        <v>1102.5770000000002</v>
      </c>
      <c r="N99" s="20">
        <f t="shared" si="92"/>
        <v>764.80500000000029</v>
      </c>
      <c r="O99" s="20">
        <f t="shared" si="92"/>
        <v>363.39650000000006</v>
      </c>
      <c r="P99" s="20">
        <f t="shared" si="92"/>
        <v>342.20550000000009</v>
      </c>
      <c r="Q99" s="20">
        <f t="shared" si="92"/>
        <v>251.4394999999999</v>
      </c>
      <c r="R99" s="7">
        <f t="shared" si="92"/>
        <v>3697.5650000000005</v>
      </c>
      <c r="S99" s="11">
        <f t="shared" si="84"/>
        <v>5.5088466796898883E-2</v>
      </c>
      <c r="T99" s="11">
        <f t="shared" si="84"/>
        <v>3.2674018270525879E-2</v>
      </c>
      <c r="U99" s="11">
        <f t="shared" si="84"/>
        <v>2.3048548623639115E-2</v>
      </c>
      <c r="V99" s="11">
        <f t="shared" si="84"/>
        <v>1.5132238995356179E-2</v>
      </c>
      <c r="W99" s="11">
        <f t="shared" si="84"/>
        <v>1.6609588122474456E-2</v>
      </c>
      <c r="X99" s="11">
        <f t="shared" si="84"/>
        <v>2.5151812367696091E-2</v>
      </c>
      <c r="Y99" s="12">
        <f t="shared" si="84"/>
        <v>2.9065943222613133E-2</v>
      </c>
    </row>
    <row r="100" spans="3:25" hidden="1" x14ac:dyDescent="0.4">
      <c r="C100" s="53" t="s">
        <v>5</v>
      </c>
      <c r="D100" s="54"/>
      <c r="E100" s="8">
        <f t="shared" ref="E100:R100" si="93">E93+E96+E99</f>
        <v>2162.4210000000007</v>
      </c>
      <c r="F100" s="8">
        <f t="shared" si="93"/>
        <v>5268.4579999999978</v>
      </c>
      <c r="G100" s="8">
        <f t="shared" si="93"/>
        <v>7249.8705000000009</v>
      </c>
      <c r="H100" s="8">
        <f t="shared" si="93"/>
        <v>6005.9269999999997</v>
      </c>
      <c r="I100" s="8">
        <f t="shared" si="93"/>
        <v>1860.3575000000001</v>
      </c>
      <c r="J100" s="8">
        <f t="shared" si="93"/>
        <v>2762.0875000000005</v>
      </c>
      <c r="K100" s="9">
        <f t="shared" si="93"/>
        <v>25309.121499999997</v>
      </c>
      <c r="L100" s="8">
        <f t="shared" si="93"/>
        <v>2415.1049999999996</v>
      </c>
      <c r="M100" s="8">
        <f t="shared" si="93"/>
        <v>2871.5145000000002</v>
      </c>
      <c r="N100" s="8">
        <f t="shared" si="93"/>
        <v>2341.9375</v>
      </c>
      <c r="O100" s="8">
        <f t="shared" si="93"/>
        <v>2361.1455000000001</v>
      </c>
      <c r="P100" s="8">
        <f t="shared" si="93"/>
        <v>254.58449999999976</v>
      </c>
      <c r="Q100" s="8">
        <f t="shared" si="93"/>
        <v>282.10349999999909</v>
      </c>
      <c r="R100" s="9">
        <f t="shared" si="93"/>
        <v>10526.3905</v>
      </c>
      <c r="S100" s="14">
        <f t="shared" si="84"/>
        <v>4.3414711260958194E-2</v>
      </c>
      <c r="T100" s="14">
        <f t="shared" si="84"/>
        <v>2.9389519154319366E-2</v>
      </c>
      <c r="U100" s="14">
        <f t="shared" si="84"/>
        <v>6.7935988901457467E-3</v>
      </c>
      <c r="V100" s="14">
        <f t="shared" si="84"/>
        <v>1.8357180945058171E-2</v>
      </c>
      <c r="W100" s="14">
        <f t="shared" si="84"/>
        <v>-1.0278232665193676E-2</v>
      </c>
      <c r="X100" s="14">
        <f t="shared" si="84"/>
        <v>-1.1466150576307732E-2</v>
      </c>
      <c r="Y100" s="15">
        <f t="shared" si="84"/>
        <v>1.359897209406874E-2</v>
      </c>
    </row>
    <row r="101" spans="3:25" hidden="1" x14ac:dyDescent="0.4">
      <c r="C101" s="18"/>
      <c r="E101" s="17"/>
      <c r="F101" s="17"/>
      <c r="G101" s="17"/>
      <c r="H101" s="17"/>
      <c r="I101" s="17"/>
      <c r="J101" s="17"/>
      <c r="K101" s="18"/>
      <c r="L101" s="17"/>
      <c r="M101" s="17"/>
      <c r="N101" s="17"/>
      <c r="O101" s="17"/>
      <c r="P101" s="17"/>
      <c r="Q101" s="17"/>
      <c r="R101" s="18"/>
      <c r="S101" s="19"/>
      <c r="T101" s="19"/>
      <c r="U101" s="19"/>
      <c r="V101" s="19"/>
      <c r="W101" s="19"/>
      <c r="X101" s="19"/>
      <c r="Y101" s="19"/>
    </row>
    <row r="102" spans="3:25" x14ac:dyDescent="0.4">
      <c r="C102" s="18" t="s">
        <v>32</v>
      </c>
    </row>
    <row r="103" spans="3:25" x14ac:dyDescent="0.4">
      <c r="C103" s="120"/>
      <c r="D103" s="119"/>
      <c r="E103" s="120" t="s">
        <v>2</v>
      </c>
      <c r="F103" s="118"/>
      <c r="G103" s="118"/>
      <c r="H103" s="118"/>
      <c r="I103" s="118"/>
      <c r="J103" s="118"/>
      <c r="K103" s="119"/>
      <c r="L103" s="117" t="s">
        <v>3</v>
      </c>
      <c r="M103" s="118"/>
      <c r="N103" s="118"/>
      <c r="O103" s="118"/>
      <c r="P103" s="118"/>
      <c r="Q103" s="118"/>
      <c r="R103" s="119"/>
      <c r="S103" s="117" t="s">
        <v>4</v>
      </c>
      <c r="T103" s="118"/>
      <c r="U103" s="118"/>
      <c r="V103" s="118"/>
      <c r="W103" s="118"/>
      <c r="X103" s="118"/>
      <c r="Y103" s="119"/>
    </row>
    <row r="104" spans="3:25" x14ac:dyDescent="0.4">
      <c r="C104" s="1"/>
      <c r="D104" s="21"/>
      <c r="E104" s="61">
        <v>46113</v>
      </c>
      <c r="F104" s="2">
        <v>46143</v>
      </c>
      <c r="G104" s="2">
        <v>46174</v>
      </c>
      <c r="H104" s="2">
        <v>46204</v>
      </c>
      <c r="I104" s="2">
        <v>46235</v>
      </c>
      <c r="J104" s="2">
        <v>46266</v>
      </c>
      <c r="K104" s="10" t="s">
        <v>5</v>
      </c>
      <c r="L104" s="95">
        <v>46113</v>
      </c>
      <c r="M104" s="2">
        <v>46143</v>
      </c>
      <c r="N104" s="2">
        <v>46174</v>
      </c>
      <c r="O104" s="2">
        <v>46204</v>
      </c>
      <c r="P104" s="2">
        <v>46235</v>
      </c>
      <c r="Q104" s="2">
        <v>46266</v>
      </c>
      <c r="R104" s="10" t="s">
        <v>5</v>
      </c>
      <c r="S104" s="95">
        <v>46113</v>
      </c>
      <c r="T104" s="2">
        <v>46143</v>
      </c>
      <c r="U104" s="2">
        <v>46174</v>
      </c>
      <c r="V104" s="2">
        <v>46204</v>
      </c>
      <c r="W104" s="2">
        <v>46235</v>
      </c>
      <c r="X104" s="2">
        <v>46266</v>
      </c>
      <c r="Y104" s="10" t="s">
        <v>5</v>
      </c>
    </row>
    <row r="105" spans="3:25" x14ac:dyDescent="0.4">
      <c r="C105" s="60" t="s">
        <v>6</v>
      </c>
      <c r="D105" s="22" t="s">
        <v>7</v>
      </c>
      <c r="E105" s="20">
        <v>7304.0950000000003</v>
      </c>
      <c r="F105" s="20">
        <v>5653.5230000000001</v>
      </c>
      <c r="G105" s="109">
        <v>2372.4369999999999</v>
      </c>
      <c r="H105" s="20">
        <v>1601.7429999999999</v>
      </c>
      <c r="I105" s="20">
        <v>4563.5770000000002</v>
      </c>
      <c r="J105" s="20">
        <v>10655.916999999999</v>
      </c>
      <c r="K105" s="7">
        <f t="shared" ref="K105:K111" si="94">SUM(E105:J105)</f>
        <v>32151.292000000001</v>
      </c>
      <c r="L105" s="20">
        <v>1347.9580000000001</v>
      </c>
      <c r="M105" s="4">
        <v>1042.5519999999999</v>
      </c>
      <c r="N105" s="110">
        <v>426.52699999999999</v>
      </c>
      <c r="O105" s="20">
        <v>286.41800000000001</v>
      </c>
      <c r="P105" s="4">
        <v>737.38</v>
      </c>
      <c r="Q105" s="4">
        <v>1732.0219999999999</v>
      </c>
      <c r="R105" s="7">
        <f t="shared" ref="R105:R111" si="95">SUM(L105:Q105)</f>
        <v>5572.857</v>
      </c>
      <c r="S105" s="11">
        <f t="shared" ref="S105:S113" si="96">IF(E105=0,"***",L105/E105)</f>
        <v>0.18454825683400888</v>
      </c>
      <c r="T105" s="11">
        <f t="shared" ref="T105:T113" si="97">IF(F105=0,"***",M105/F105)</f>
        <v>0.18440749246089561</v>
      </c>
      <c r="U105" s="11">
        <f t="shared" ref="U105:U113" si="98">IF(G105=0,"***",N105/G105)</f>
        <v>0.17978433147012965</v>
      </c>
      <c r="V105" s="11">
        <f t="shared" ref="V105:V113" si="99">IF(H105=0,"***",O105/H105)</f>
        <v>0.1788164518277901</v>
      </c>
      <c r="W105" s="11">
        <f t="shared" ref="W105:W113" si="100">IF(I105=0,"***",P105/I105)</f>
        <v>0.1615793926562431</v>
      </c>
      <c r="X105" s="11">
        <f t="shared" ref="X105:X113" si="101">IF(J105=0,"***",Q105/J105)</f>
        <v>0.16254086813926949</v>
      </c>
      <c r="Y105" s="12">
        <f t="shared" ref="Y105:Y113" si="102">IF(K105=0,"***",R105/K105)</f>
        <v>0.17333228785953608</v>
      </c>
    </row>
    <row r="106" spans="3:25" x14ac:dyDescent="0.4">
      <c r="C106" s="60" t="s">
        <v>8</v>
      </c>
      <c r="D106" s="22" t="s">
        <v>9</v>
      </c>
      <c r="E106" s="20">
        <v>8504.6149999999998</v>
      </c>
      <c r="F106" s="20">
        <v>10766.038</v>
      </c>
      <c r="G106" s="109">
        <v>8785.3060000000005</v>
      </c>
      <c r="H106" s="20">
        <v>5356.049</v>
      </c>
      <c r="I106" s="20">
        <v>4693.6869999999999</v>
      </c>
      <c r="J106" s="20">
        <v>7085.6530000000002</v>
      </c>
      <c r="K106" s="7">
        <f t="shared" si="94"/>
        <v>45191.347999999998</v>
      </c>
      <c r="L106" s="20">
        <v>3249.3429999999998</v>
      </c>
      <c r="M106" s="4">
        <v>4060.0940000000001</v>
      </c>
      <c r="N106" s="110">
        <v>3064.8090000000002</v>
      </c>
      <c r="O106" s="20">
        <v>1699.2950000000001</v>
      </c>
      <c r="P106" s="4">
        <v>1571.4490000000001</v>
      </c>
      <c r="Q106" s="4">
        <v>2641.4279999999999</v>
      </c>
      <c r="R106" s="7">
        <f t="shared" si="95"/>
        <v>16286.418</v>
      </c>
      <c r="S106" s="11">
        <f t="shared" si="96"/>
        <v>0.38206820649729589</v>
      </c>
      <c r="T106" s="11">
        <f t="shared" si="97"/>
        <v>0.37712053403489748</v>
      </c>
      <c r="U106" s="11">
        <f t="shared" si="98"/>
        <v>0.3488562606698048</v>
      </c>
      <c r="V106" s="11">
        <f t="shared" si="99"/>
        <v>0.31726651492546093</v>
      </c>
      <c r="W106" s="11">
        <f t="shared" si="100"/>
        <v>0.33480055231633471</v>
      </c>
      <c r="X106" s="11">
        <f t="shared" si="101"/>
        <v>0.37278540171244623</v>
      </c>
      <c r="Y106" s="12">
        <f t="shared" si="102"/>
        <v>0.36038796629832776</v>
      </c>
    </row>
    <row r="107" spans="3:25" x14ac:dyDescent="0.4">
      <c r="C107" s="60" t="s">
        <v>10</v>
      </c>
      <c r="D107" s="22" t="s">
        <v>11</v>
      </c>
      <c r="E107" s="20">
        <v>706.80499999999995</v>
      </c>
      <c r="F107" s="20">
        <v>528.39599999999996</v>
      </c>
      <c r="G107" s="109">
        <v>69.48</v>
      </c>
      <c r="H107" s="20">
        <v>41.976999999999997</v>
      </c>
      <c r="I107" s="20">
        <v>891.601</v>
      </c>
      <c r="J107" s="20">
        <v>845.51300000000003</v>
      </c>
      <c r="K107" s="7">
        <f t="shared" si="94"/>
        <v>3083.7719999999999</v>
      </c>
      <c r="L107" s="20">
        <v>470.38</v>
      </c>
      <c r="M107" s="4">
        <v>323.30799999999999</v>
      </c>
      <c r="N107" s="110">
        <v>14.833</v>
      </c>
      <c r="O107" s="20">
        <v>24.608000000000001</v>
      </c>
      <c r="P107" s="4">
        <v>712.48099999999999</v>
      </c>
      <c r="Q107" s="4">
        <v>609.22</v>
      </c>
      <c r="R107" s="7">
        <f t="shared" si="95"/>
        <v>2154.83</v>
      </c>
      <c r="S107" s="11">
        <f t="shared" si="96"/>
        <v>0.66550180035511919</v>
      </c>
      <c r="T107" s="11">
        <f t="shared" si="97"/>
        <v>0.6118668574326831</v>
      </c>
      <c r="U107" s="11">
        <f t="shared" si="98"/>
        <v>0.21348589522164652</v>
      </c>
      <c r="V107" s="11">
        <f t="shared" si="99"/>
        <v>0.58622579031374333</v>
      </c>
      <c r="W107" s="11">
        <f t="shared" si="100"/>
        <v>0.79910296197514363</v>
      </c>
      <c r="X107" s="11">
        <f t="shared" si="101"/>
        <v>0.72053297820376505</v>
      </c>
      <c r="Y107" s="12">
        <f t="shared" si="102"/>
        <v>0.69876437038795347</v>
      </c>
    </row>
    <row r="108" spans="3:25" x14ac:dyDescent="0.4">
      <c r="C108" s="60" t="s">
        <v>12</v>
      </c>
      <c r="D108" s="22" t="s">
        <v>13</v>
      </c>
      <c r="E108" s="20">
        <v>3726.8890000000001</v>
      </c>
      <c r="F108" s="20">
        <v>6281.7910000000002</v>
      </c>
      <c r="G108" s="109">
        <v>5189.7830000000004</v>
      </c>
      <c r="H108" s="20">
        <v>4966.143</v>
      </c>
      <c r="I108" s="20">
        <v>1898.3430000000001</v>
      </c>
      <c r="J108" s="20">
        <v>3221.203</v>
      </c>
      <c r="K108" s="7">
        <f t="shared" si="94"/>
        <v>25284.152000000002</v>
      </c>
      <c r="L108" s="20">
        <v>1989.0070000000001</v>
      </c>
      <c r="M108" s="4">
        <v>3436.7269999999999</v>
      </c>
      <c r="N108" s="110">
        <v>2804.3440000000001</v>
      </c>
      <c r="O108" s="20">
        <v>2588.3629999999998</v>
      </c>
      <c r="P108" s="4">
        <v>1068.395</v>
      </c>
      <c r="Q108" s="4">
        <v>1871.836</v>
      </c>
      <c r="R108" s="7">
        <f t="shared" si="95"/>
        <v>13758.672</v>
      </c>
      <c r="S108" s="11">
        <f t="shared" si="96"/>
        <v>0.53369096852629638</v>
      </c>
      <c r="T108" s="11">
        <f t="shared" si="97"/>
        <v>0.54709349610644475</v>
      </c>
      <c r="U108" s="11">
        <f t="shared" si="98"/>
        <v>0.54035862385768341</v>
      </c>
      <c r="V108" s="11">
        <f t="shared" si="99"/>
        <v>0.52120186631758281</v>
      </c>
      <c r="W108" s="11">
        <f t="shared" si="100"/>
        <v>0.56280398220974814</v>
      </c>
      <c r="X108" s="11">
        <f t="shared" si="101"/>
        <v>0.58109842813383694</v>
      </c>
      <c r="Y108" s="12">
        <f t="shared" si="102"/>
        <v>0.54416189239805235</v>
      </c>
    </row>
    <row r="109" spans="3:25" x14ac:dyDescent="0.4">
      <c r="C109" s="60" t="s">
        <v>14</v>
      </c>
      <c r="D109" s="22"/>
      <c r="E109" s="4">
        <f t="shared" ref="E109:J109" si="103">SUM(E105:E108)</f>
        <v>20242.403999999999</v>
      </c>
      <c r="F109" s="4">
        <f t="shared" si="103"/>
        <v>23229.748000000003</v>
      </c>
      <c r="G109" s="4">
        <f t="shared" si="103"/>
        <v>16417.006000000001</v>
      </c>
      <c r="H109" s="4">
        <f t="shared" si="103"/>
        <v>11965.912</v>
      </c>
      <c r="I109" s="4">
        <f t="shared" si="103"/>
        <v>12047.208000000001</v>
      </c>
      <c r="J109" s="4">
        <f t="shared" si="103"/>
        <v>21808.286</v>
      </c>
      <c r="K109" s="7">
        <f t="shared" si="94"/>
        <v>105710.56400000001</v>
      </c>
      <c r="L109" s="4">
        <f t="shared" ref="L109:Q109" si="104">SUM(L105:L108)</f>
        <v>7056.6880000000001</v>
      </c>
      <c r="M109" s="4">
        <f t="shared" si="104"/>
        <v>8862.6810000000005</v>
      </c>
      <c r="N109" s="4">
        <f t="shared" si="104"/>
        <v>6310.5130000000008</v>
      </c>
      <c r="O109" s="4">
        <f t="shared" si="104"/>
        <v>4598.6840000000002</v>
      </c>
      <c r="P109" s="4">
        <f t="shared" si="104"/>
        <v>4089.7050000000004</v>
      </c>
      <c r="Q109" s="4">
        <f t="shared" si="104"/>
        <v>6854.5060000000003</v>
      </c>
      <c r="R109" s="7">
        <f t="shared" si="95"/>
        <v>37772.777000000002</v>
      </c>
      <c r="S109" s="11">
        <f t="shared" si="96"/>
        <v>0.34860918693254023</v>
      </c>
      <c r="T109" s="11">
        <f t="shared" si="97"/>
        <v>0.38152290760967356</v>
      </c>
      <c r="U109" s="11">
        <f t="shared" si="98"/>
        <v>0.38438878562875595</v>
      </c>
      <c r="V109" s="11">
        <f t="shared" si="99"/>
        <v>0.38431537855200676</v>
      </c>
      <c r="W109" s="11">
        <f t="shared" si="100"/>
        <v>0.3394732621865581</v>
      </c>
      <c r="X109" s="11">
        <f t="shared" si="101"/>
        <v>0.31430741508067167</v>
      </c>
      <c r="Y109" s="12">
        <f t="shared" si="102"/>
        <v>0.3573226323908365</v>
      </c>
    </row>
    <row r="110" spans="3:25" x14ac:dyDescent="0.4">
      <c r="C110" s="60" t="s">
        <v>15</v>
      </c>
      <c r="D110" s="22" t="s">
        <v>16</v>
      </c>
      <c r="E110" s="20">
        <v>9581.9169999999995</v>
      </c>
      <c r="F110" s="20">
        <v>8198.0889999999999</v>
      </c>
      <c r="G110" s="109">
        <v>7791.6729999999998</v>
      </c>
      <c r="H110" s="20">
        <v>4587.7089999999998</v>
      </c>
      <c r="I110" s="20">
        <v>4505.0600000000004</v>
      </c>
      <c r="J110" s="20">
        <v>11659.236999999999</v>
      </c>
      <c r="K110" s="7">
        <f t="shared" si="94"/>
        <v>46323.684999999998</v>
      </c>
      <c r="L110" s="4">
        <v>2282.3220000000001</v>
      </c>
      <c r="M110" s="4">
        <v>2022.106</v>
      </c>
      <c r="N110" s="110">
        <v>1573.684</v>
      </c>
      <c r="O110" s="4">
        <v>868.22699999999998</v>
      </c>
      <c r="P110" s="4">
        <v>973.83500000000004</v>
      </c>
      <c r="Q110" s="4">
        <v>2547.81</v>
      </c>
      <c r="R110" s="7">
        <f t="shared" si="95"/>
        <v>10267.984</v>
      </c>
      <c r="S110" s="11">
        <f t="shared" si="96"/>
        <v>0.23819054162126432</v>
      </c>
      <c r="T110" s="11">
        <f t="shared" si="97"/>
        <v>0.24665577551060985</v>
      </c>
      <c r="U110" s="11">
        <f t="shared" si="98"/>
        <v>0.20196997486932525</v>
      </c>
      <c r="V110" s="11">
        <f t="shared" si="99"/>
        <v>0.18925066956077641</v>
      </c>
      <c r="W110" s="11">
        <f t="shared" si="100"/>
        <v>0.21616471256764613</v>
      </c>
      <c r="X110" s="11">
        <f t="shared" si="101"/>
        <v>0.218522875896596</v>
      </c>
      <c r="Y110" s="12">
        <f t="shared" si="102"/>
        <v>0.22165732281445227</v>
      </c>
    </row>
    <row r="111" spans="3:25" x14ac:dyDescent="0.4">
      <c r="C111" s="60" t="s">
        <v>17</v>
      </c>
      <c r="D111" s="22" t="s">
        <v>18</v>
      </c>
      <c r="E111" s="20">
        <v>4166.8850000000002</v>
      </c>
      <c r="F111" s="20">
        <v>3870.5349999999999</v>
      </c>
      <c r="G111" s="109">
        <v>2740.64</v>
      </c>
      <c r="H111" s="20">
        <v>2087.9949999999999</v>
      </c>
      <c r="I111" s="20">
        <v>1503.8150000000001</v>
      </c>
      <c r="J111" s="20">
        <v>4028.6849999999999</v>
      </c>
      <c r="K111" s="7">
        <f t="shared" si="94"/>
        <v>18398.555</v>
      </c>
      <c r="L111" s="4">
        <v>2513.384</v>
      </c>
      <c r="M111" s="4">
        <v>2465.2489999999998</v>
      </c>
      <c r="N111" s="110">
        <v>2267.056</v>
      </c>
      <c r="O111" s="4">
        <v>1594.106</v>
      </c>
      <c r="P111" s="4">
        <v>1173.421</v>
      </c>
      <c r="Q111" s="4">
        <v>2585.018</v>
      </c>
      <c r="R111" s="7">
        <f t="shared" si="95"/>
        <v>12598.234</v>
      </c>
      <c r="S111" s="11">
        <f t="shared" si="96"/>
        <v>0.603180553339005</v>
      </c>
      <c r="T111" s="11">
        <f t="shared" si="97"/>
        <v>0.63692719481932081</v>
      </c>
      <c r="U111" s="11">
        <f t="shared" si="98"/>
        <v>0.82719948625138662</v>
      </c>
      <c r="V111" s="11">
        <f t="shared" si="99"/>
        <v>0.76346255618428205</v>
      </c>
      <c r="W111" s="11">
        <f t="shared" si="100"/>
        <v>0.78029611355120143</v>
      </c>
      <c r="X111" s="11">
        <f t="shared" si="101"/>
        <v>0.64165304559676417</v>
      </c>
      <c r="Y111" s="12">
        <f t="shared" si="102"/>
        <v>0.68474040488505761</v>
      </c>
    </row>
    <row r="112" spans="3:25" x14ac:dyDescent="0.4">
      <c r="C112" s="60" t="s">
        <v>19</v>
      </c>
      <c r="D112" s="22"/>
      <c r="E112" s="20">
        <f t="shared" ref="E112:R112" si="105">SUM(E110:E111)</f>
        <v>13748.802</v>
      </c>
      <c r="F112" s="20">
        <f t="shared" si="105"/>
        <v>12068.624</v>
      </c>
      <c r="G112" s="20">
        <f t="shared" si="105"/>
        <v>10532.313</v>
      </c>
      <c r="H112" s="20">
        <f t="shared" si="105"/>
        <v>6675.7039999999997</v>
      </c>
      <c r="I112" s="20">
        <f t="shared" si="105"/>
        <v>6008.875</v>
      </c>
      <c r="J112" s="20">
        <f t="shared" si="105"/>
        <v>15687.921999999999</v>
      </c>
      <c r="K112" s="7">
        <f t="shared" si="105"/>
        <v>64722.239999999998</v>
      </c>
      <c r="L112" s="20">
        <f t="shared" si="105"/>
        <v>4795.7060000000001</v>
      </c>
      <c r="M112" s="20">
        <f t="shared" si="105"/>
        <v>4487.3549999999996</v>
      </c>
      <c r="N112" s="20">
        <f t="shared" si="105"/>
        <v>3840.74</v>
      </c>
      <c r="O112" s="20">
        <f t="shared" si="105"/>
        <v>2462.3330000000001</v>
      </c>
      <c r="P112" s="20">
        <f t="shared" si="105"/>
        <v>2147.2560000000003</v>
      </c>
      <c r="Q112" s="20">
        <f t="shared" si="105"/>
        <v>5132.8279999999995</v>
      </c>
      <c r="R112" s="7">
        <f t="shared" si="105"/>
        <v>22866.218000000001</v>
      </c>
      <c r="S112" s="11">
        <f t="shared" si="96"/>
        <v>0.34880900895947153</v>
      </c>
      <c r="T112" s="11">
        <f t="shared" si="97"/>
        <v>0.37181993572755268</v>
      </c>
      <c r="U112" s="11">
        <f t="shared" si="98"/>
        <v>0.36466253898834944</v>
      </c>
      <c r="V112" s="11">
        <f t="shared" si="99"/>
        <v>0.36884993702536845</v>
      </c>
      <c r="W112" s="11">
        <f t="shared" si="100"/>
        <v>0.35734742360258787</v>
      </c>
      <c r="X112" s="11">
        <f t="shared" si="101"/>
        <v>0.32718342174317289</v>
      </c>
      <c r="Y112" s="12">
        <f t="shared" si="102"/>
        <v>0.35329769179805892</v>
      </c>
    </row>
    <row r="113" spans="3:25" x14ac:dyDescent="0.4">
      <c r="C113" s="60" t="s">
        <v>20</v>
      </c>
      <c r="D113" s="22" t="s">
        <v>21</v>
      </c>
      <c r="E113" s="20">
        <v>22233.101999999999</v>
      </c>
      <c r="F113" s="20">
        <v>19353.64</v>
      </c>
      <c r="G113" s="109">
        <v>29426.041000000001</v>
      </c>
      <c r="H113" s="20">
        <v>15433.341</v>
      </c>
      <c r="I113" s="20">
        <v>14647.605</v>
      </c>
      <c r="J113" s="20">
        <v>12966.356</v>
      </c>
      <c r="K113" s="7">
        <f>SUM(E113:J113)</f>
        <v>114060.08499999999</v>
      </c>
      <c r="L113" s="20">
        <v>4926.4040000000005</v>
      </c>
      <c r="M113" s="20">
        <v>4136.0379999999996</v>
      </c>
      <c r="N113" s="109">
        <v>6344.6509999999998</v>
      </c>
      <c r="O113" s="20">
        <v>2621.9389999999999</v>
      </c>
      <c r="P113" s="20">
        <v>2539.1959999999999</v>
      </c>
      <c r="Q113" s="20">
        <v>2247.9589999999998</v>
      </c>
      <c r="R113" s="7">
        <f>SUM(L113:Q113)</f>
        <v>22816.186999999998</v>
      </c>
      <c r="S113" s="11">
        <f t="shared" si="96"/>
        <v>0.22157969679624556</v>
      </c>
      <c r="T113" s="11">
        <f t="shared" si="97"/>
        <v>0.21370853234843676</v>
      </c>
      <c r="U113" s="11">
        <f t="shared" si="98"/>
        <v>0.21561347651218182</v>
      </c>
      <c r="V113" s="11">
        <f t="shared" si="99"/>
        <v>0.16988797176191467</v>
      </c>
      <c r="W113" s="11">
        <f t="shared" si="100"/>
        <v>0.17335229889118392</v>
      </c>
      <c r="X113" s="11">
        <f t="shared" si="101"/>
        <v>0.1733686010163534</v>
      </c>
      <c r="Y113" s="12">
        <f t="shared" si="102"/>
        <v>0.20003655967817313</v>
      </c>
    </row>
    <row r="114" spans="3:25" x14ac:dyDescent="0.4">
      <c r="C114" s="60" t="s">
        <v>22</v>
      </c>
      <c r="D114" s="83" t="s">
        <v>23</v>
      </c>
      <c r="E114" s="84">
        <v>0</v>
      </c>
      <c r="F114" s="84"/>
      <c r="G114" s="84"/>
      <c r="H114" s="84"/>
      <c r="I114" s="84">
        <v>0</v>
      </c>
      <c r="J114" s="84">
        <v>14.662000000000001</v>
      </c>
      <c r="K114" s="136">
        <f>SUM(E114:J114)</f>
        <v>14.662000000000001</v>
      </c>
      <c r="L114" s="84">
        <v>0</v>
      </c>
      <c r="M114" s="84"/>
      <c r="N114" s="84"/>
      <c r="O114" s="84"/>
      <c r="P114" s="84">
        <v>0</v>
      </c>
      <c r="Q114" s="84">
        <v>3.9870000000000001</v>
      </c>
      <c r="R114" s="136">
        <f>SUM(L114:Q114)</f>
        <v>3.9870000000000001</v>
      </c>
      <c r="S114" s="11" t="str">
        <f t="shared" ref="S114" si="106">IF(E114=0,"***",L114/E114)</f>
        <v>***</v>
      </c>
      <c r="T114" s="11" t="str">
        <f t="shared" ref="T114" si="107">IF(F114=0,"***",M114/F114)</f>
        <v>***</v>
      </c>
      <c r="U114" s="11" t="str">
        <f t="shared" ref="U114" si="108">IF(G114=0,"***",N114/G114)</f>
        <v>***</v>
      </c>
      <c r="V114" s="11" t="str">
        <f t="shared" ref="V114" si="109">IF(H114=0,"***",O114/H114)</f>
        <v>***</v>
      </c>
      <c r="W114" s="11" t="str">
        <f t="shared" ref="W114" si="110">IF(I114=0,"***",P114/I114)</f>
        <v>***</v>
      </c>
      <c r="X114" s="11">
        <f t="shared" ref="X114" si="111">IF(J114=0,"***",Q114/J114)</f>
        <v>0.27192743145546311</v>
      </c>
      <c r="Y114" s="12">
        <f t="shared" ref="Y114" si="112">IF(K114=0,"***",R114/K114)</f>
        <v>0.27192743145546311</v>
      </c>
    </row>
    <row r="115" spans="3:25" x14ac:dyDescent="0.4">
      <c r="C115" s="82" t="s">
        <v>24</v>
      </c>
      <c r="D115" s="83"/>
      <c r="E115" s="20">
        <f t="shared" ref="E115:R115" si="113">SUM(E113:E114)</f>
        <v>22233.101999999999</v>
      </c>
      <c r="F115" s="20">
        <f t="shared" si="113"/>
        <v>19353.64</v>
      </c>
      <c r="G115" s="20">
        <f t="shared" si="113"/>
        <v>29426.041000000001</v>
      </c>
      <c r="H115" s="20">
        <f t="shared" si="113"/>
        <v>15433.341</v>
      </c>
      <c r="I115" s="20">
        <f t="shared" si="113"/>
        <v>14647.605</v>
      </c>
      <c r="J115" s="20">
        <f t="shared" si="113"/>
        <v>12981.018</v>
      </c>
      <c r="K115" s="7">
        <f t="shared" si="113"/>
        <v>114074.74699999999</v>
      </c>
      <c r="L115" s="20">
        <f t="shared" si="113"/>
        <v>4926.4040000000005</v>
      </c>
      <c r="M115" s="20">
        <f t="shared" si="113"/>
        <v>4136.0379999999996</v>
      </c>
      <c r="N115" s="20">
        <f t="shared" si="113"/>
        <v>6344.6509999999998</v>
      </c>
      <c r="O115" s="20">
        <f t="shared" si="113"/>
        <v>2621.9389999999999</v>
      </c>
      <c r="P115" s="20">
        <f t="shared" si="113"/>
        <v>2539.1959999999999</v>
      </c>
      <c r="Q115" s="20">
        <f t="shared" si="113"/>
        <v>2251.9459999999999</v>
      </c>
      <c r="R115" s="7">
        <f t="shared" si="113"/>
        <v>22820.173999999999</v>
      </c>
      <c r="S115" s="11">
        <f t="shared" ref="S115" si="114">IF(E115=0,"***",L115/E115)</f>
        <v>0.22157969679624556</v>
      </c>
      <c r="T115" s="11">
        <f t="shared" ref="T115" si="115">IF(F115=0,"***",M115/F115)</f>
        <v>0.21370853234843676</v>
      </c>
      <c r="U115" s="11">
        <f t="shared" ref="U115" si="116">IF(G115=0,"***",N115/G115)</f>
        <v>0.21561347651218182</v>
      </c>
      <c r="V115" s="11">
        <f t="shared" ref="V115" si="117">IF(H115=0,"***",O115/H115)</f>
        <v>0.16988797176191467</v>
      </c>
      <c r="W115" s="11">
        <f t="shared" ref="W115" si="118">IF(I115=0,"***",P115/I115)</f>
        <v>0.17335229889118392</v>
      </c>
      <c r="X115" s="11">
        <f t="shared" ref="X114:X115" si="119">IF(J115=0,"***",Q115/J115)</f>
        <v>0.17347992276106541</v>
      </c>
      <c r="Y115" s="12">
        <f t="shared" ref="Y114:Y115" si="120">IF(K115=0,"***",R115/K115)</f>
        <v>0.20004579979476089</v>
      </c>
    </row>
    <row r="116" spans="3:25" x14ac:dyDescent="0.4">
      <c r="C116" s="53" t="s">
        <v>5</v>
      </c>
      <c r="D116" s="54"/>
      <c r="E116" s="8">
        <f t="shared" ref="E116:R116" si="121">E109+E112+E115</f>
        <v>56224.307999999997</v>
      </c>
      <c r="F116" s="8">
        <f t="shared" si="121"/>
        <v>54652.012000000002</v>
      </c>
      <c r="G116" s="8">
        <f t="shared" si="121"/>
        <v>56375.360000000001</v>
      </c>
      <c r="H116" s="8">
        <f t="shared" si="121"/>
        <v>34074.957000000002</v>
      </c>
      <c r="I116" s="8">
        <f t="shared" si="121"/>
        <v>32703.687999999998</v>
      </c>
      <c r="J116" s="8">
        <f t="shared" si="121"/>
        <v>50477.225999999995</v>
      </c>
      <c r="K116" s="9">
        <f t="shared" si="121"/>
        <v>284507.55099999998</v>
      </c>
      <c r="L116" s="8">
        <f t="shared" si="121"/>
        <v>16778.798000000003</v>
      </c>
      <c r="M116" s="8">
        <f t="shared" si="121"/>
        <v>17486.074000000001</v>
      </c>
      <c r="N116" s="8">
        <f t="shared" si="121"/>
        <v>16495.904000000002</v>
      </c>
      <c r="O116" s="8">
        <f t="shared" si="121"/>
        <v>9682.9560000000001</v>
      </c>
      <c r="P116" s="8">
        <f t="shared" si="121"/>
        <v>8776.1570000000011</v>
      </c>
      <c r="Q116" s="8">
        <f t="shared" si="121"/>
        <v>14239.279999999999</v>
      </c>
      <c r="R116" s="9">
        <f t="shared" si="121"/>
        <v>83459.168999999994</v>
      </c>
      <c r="S116" s="14">
        <f t="shared" ref="S116:Y117" si="122">IF(E116=0,"***",L116/E116)</f>
        <v>0.29842604732458428</v>
      </c>
      <c r="T116" s="14">
        <f t="shared" si="122"/>
        <v>0.31995297812640455</v>
      </c>
      <c r="U116" s="14">
        <f t="shared" si="122"/>
        <v>0.29260840196851962</v>
      </c>
      <c r="V116" s="14">
        <f t="shared" si="122"/>
        <v>0.28416634538966551</v>
      </c>
      <c r="W116" s="14">
        <f t="shared" si="122"/>
        <v>0.26835374040995014</v>
      </c>
      <c r="X116" s="14">
        <f t="shared" si="122"/>
        <v>0.28209315622851383</v>
      </c>
      <c r="Y116" s="15">
        <f t="shared" si="122"/>
        <v>0.29334605955678134</v>
      </c>
    </row>
    <row r="117" spans="3:25" x14ac:dyDescent="0.4">
      <c r="C117" s="74" t="s">
        <v>25</v>
      </c>
      <c r="D117" s="75"/>
      <c r="E117" s="76">
        <v>6468.2619999999997</v>
      </c>
      <c r="F117" s="76">
        <v>8671.2939999999999</v>
      </c>
      <c r="G117" s="115">
        <v>7118.5910000000003</v>
      </c>
      <c r="H117" s="76">
        <v>3619.471</v>
      </c>
      <c r="I117" s="76"/>
      <c r="J117" s="76"/>
      <c r="K117" s="77">
        <f>SUM(E117:J117)</f>
        <v>25877.618000000002</v>
      </c>
      <c r="L117" s="78">
        <v>2590.049</v>
      </c>
      <c r="M117" s="76">
        <v>3581.357</v>
      </c>
      <c r="N117" s="115">
        <v>2702.93</v>
      </c>
      <c r="O117" s="76">
        <v>1322.6089999999999</v>
      </c>
      <c r="P117" s="76"/>
      <c r="Q117" s="76"/>
      <c r="R117" s="77">
        <f>SUM(L117:Q117)</f>
        <v>10196.945</v>
      </c>
      <c r="S117" s="116">
        <f t="shared" si="122"/>
        <v>0.40042425616031013</v>
      </c>
      <c r="T117" s="116">
        <f t="shared" si="122"/>
        <v>0.41301298283739429</v>
      </c>
      <c r="U117" s="116">
        <f t="shared" si="122"/>
        <v>0.37970014009794911</v>
      </c>
      <c r="V117" s="80">
        <f t="shared" si="122"/>
        <v>0.36541500125294551</v>
      </c>
      <c r="W117" s="80" t="str">
        <f t="shared" si="122"/>
        <v>***</v>
      </c>
      <c r="X117" s="80" t="str">
        <f t="shared" si="122"/>
        <v>***</v>
      </c>
      <c r="Y117" s="81">
        <f t="shared" si="122"/>
        <v>0.39404496194356059</v>
      </c>
    </row>
    <row r="118" spans="3:25" x14ac:dyDescent="0.4">
      <c r="C118" s="18"/>
      <c r="E118" s="17"/>
      <c r="F118" s="17"/>
      <c r="G118" s="17"/>
      <c r="H118" s="17"/>
      <c r="I118" s="17"/>
      <c r="J118" s="17"/>
      <c r="K118" s="18"/>
      <c r="L118" s="17"/>
      <c r="M118" s="17"/>
      <c r="N118" s="17"/>
      <c r="O118" s="17"/>
      <c r="P118" s="17"/>
      <c r="Q118" s="17"/>
      <c r="R118" s="18"/>
      <c r="S118" s="19"/>
      <c r="T118" s="19"/>
      <c r="U118" s="19"/>
      <c r="V118" s="19"/>
      <c r="W118" s="19"/>
      <c r="X118" s="19"/>
      <c r="Y118" s="19"/>
    </row>
    <row r="119" spans="3:25" x14ac:dyDescent="0.4">
      <c r="C119" s="18" t="s">
        <v>33</v>
      </c>
    </row>
    <row r="120" spans="3:25" x14ac:dyDescent="0.4">
      <c r="C120" s="120"/>
      <c r="D120" s="119"/>
      <c r="E120" s="120" t="s">
        <v>2</v>
      </c>
      <c r="F120" s="118"/>
      <c r="G120" s="118"/>
      <c r="H120" s="118"/>
      <c r="I120" s="118"/>
      <c r="J120" s="118"/>
      <c r="K120" s="119"/>
      <c r="L120" s="117" t="s">
        <v>3</v>
      </c>
      <c r="M120" s="118"/>
      <c r="N120" s="118"/>
      <c r="O120" s="118"/>
      <c r="P120" s="118"/>
      <c r="Q120" s="118"/>
      <c r="R120" s="119"/>
      <c r="S120" s="117" t="s">
        <v>4</v>
      </c>
      <c r="T120" s="118"/>
      <c r="U120" s="118"/>
      <c r="V120" s="118"/>
      <c r="W120" s="118"/>
      <c r="X120" s="118"/>
      <c r="Y120" s="119"/>
    </row>
    <row r="121" spans="3:25" x14ac:dyDescent="0.4">
      <c r="C121" s="1"/>
      <c r="D121" s="21"/>
      <c r="E121" s="61">
        <v>46113</v>
      </c>
      <c r="F121" s="2">
        <v>46143</v>
      </c>
      <c r="G121" s="2">
        <v>46174</v>
      </c>
      <c r="H121" s="2">
        <v>46204</v>
      </c>
      <c r="I121" s="2">
        <v>46235</v>
      </c>
      <c r="J121" s="2">
        <v>46266</v>
      </c>
      <c r="K121" s="10" t="s">
        <v>5</v>
      </c>
      <c r="L121" s="95">
        <v>46113</v>
      </c>
      <c r="M121" s="2">
        <v>46143</v>
      </c>
      <c r="N121" s="2">
        <v>46174</v>
      </c>
      <c r="O121" s="2">
        <v>46204</v>
      </c>
      <c r="P121" s="2">
        <v>46235</v>
      </c>
      <c r="Q121" s="2">
        <v>46266</v>
      </c>
      <c r="R121" s="10" t="s">
        <v>5</v>
      </c>
      <c r="S121" s="95">
        <v>46113</v>
      </c>
      <c r="T121" s="2">
        <v>46143</v>
      </c>
      <c r="U121" s="2">
        <v>46174</v>
      </c>
      <c r="V121" s="2">
        <v>46204</v>
      </c>
      <c r="W121" s="2">
        <v>46235</v>
      </c>
      <c r="X121" s="2">
        <v>46266</v>
      </c>
      <c r="Y121" s="10" t="s">
        <v>5</v>
      </c>
    </row>
    <row r="122" spans="3:25" x14ac:dyDescent="0.4">
      <c r="C122" s="60" t="s">
        <v>6</v>
      </c>
      <c r="D122" s="22" t="s">
        <v>7</v>
      </c>
      <c r="E122" s="20">
        <f t="shared" ref="E122:J125" si="123">E105-E56</f>
        <v>-1385.9049999999997</v>
      </c>
      <c r="F122" s="20">
        <f t="shared" si="123"/>
        <v>1253.5230000000001</v>
      </c>
      <c r="G122" s="109">
        <f t="shared" si="123"/>
        <v>312.4369999999999</v>
      </c>
      <c r="H122" s="20">
        <f t="shared" si="123"/>
        <v>-1298.2570000000001</v>
      </c>
      <c r="I122" s="20">
        <f t="shared" si="123"/>
        <v>-746.42299999999977</v>
      </c>
      <c r="J122" s="20">
        <f t="shared" si="123"/>
        <v>2215.9169999999995</v>
      </c>
      <c r="K122" s="7">
        <f t="shared" ref="K122:K128" si="124">SUM(E122:J122)</f>
        <v>351.29199999999992</v>
      </c>
      <c r="L122" s="20">
        <f t="shared" ref="L122:Q125" si="125">L105-L56</f>
        <v>-1022.0419999999999</v>
      </c>
      <c r="M122" s="4">
        <f t="shared" si="125"/>
        <v>-267.44800000000009</v>
      </c>
      <c r="N122" s="110">
        <f t="shared" si="125"/>
        <v>-113.47300000000001</v>
      </c>
      <c r="O122" s="20">
        <f t="shared" si="125"/>
        <v>-363.58199999999999</v>
      </c>
      <c r="P122" s="20">
        <f t="shared" si="125"/>
        <v>-722.62</v>
      </c>
      <c r="Q122" s="20">
        <f t="shared" si="125"/>
        <v>42.021999999999935</v>
      </c>
      <c r="R122" s="7">
        <f t="shared" ref="R122:R128" si="126">SUM(L122:Q122)</f>
        <v>-2447.143</v>
      </c>
      <c r="S122" s="11">
        <f t="shared" ref="S122:Y133" si="127">S105-S56</f>
        <v>-8.8179015893263824E-2</v>
      </c>
      <c r="T122" s="11">
        <f t="shared" si="127"/>
        <v>-0.11331978026637712</v>
      </c>
      <c r="U122" s="11">
        <f t="shared" si="127"/>
        <v>-8.2351590859967433E-2</v>
      </c>
      <c r="V122" s="11">
        <f t="shared" si="127"/>
        <v>-4.5321479206692661E-2</v>
      </c>
      <c r="W122" s="11">
        <f t="shared" si="127"/>
        <v>-0.11337352636447251</v>
      </c>
      <c r="X122" s="11">
        <f t="shared" si="127"/>
        <v>-3.7696098685375073E-2</v>
      </c>
      <c r="Y122" s="12">
        <f t="shared" si="127"/>
        <v>-7.8868970002099137E-2</v>
      </c>
    </row>
    <row r="123" spans="3:25" x14ac:dyDescent="0.4">
      <c r="C123" s="60" t="s">
        <v>8</v>
      </c>
      <c r="D123" s="22" t="s">
        <v>9</v>
      </c>
      <c r="E123" s="20">
        <f t="shared" si="123"/>
        <v>4694.6149999999998</v>
      </c>
      <c r="F123" s="20">
        <f t="shared" si="123"/>
        <v>7466.0380000000005</v>
      </c>
      <c r="G123" s="109">
        <f t="shared" si="123"/>
        <v>4095.3060000000005</v>
      </c>
      <c r="H123" s="20">
        <f t="shared" si="123"/>
        <v>1696.049</v>
      </c>
      <c r="I123" s="20">
        <f t="shared" si="123"/>
        <v>1793.6869999999999</v>
      </c>
      <c r="J123" s="20">
        <f t="shared" si="123"/>
        <v>1975.6530000000002</v>
      </c>
      <c r="K123" s="7">
        <f t="shared" si="124"/>
        <v>21721.347999999998</v>
      </c>
      <c r="L123" s="20">
        <f t="shared" si="125"/>
        <v>2109.3429999999998</v>
      </c>
      <c r="M123" s="4">
        <f t="shared" si="125"/>
        <v>3070.0940000000001</v>
      </c>
      <c r="N123" s="110">
        <f t="shared" si="125"/>
        <v>1654.8090000000002</v>
      </c>
      <c r="O123" s="20">
        <f t="shared" si="125"/>
        <v>599.29500000000007</v>
      </c>
      <c r="P123" s="20">
        <f t="shared" si="125"/>
        <v>701.44900000000007</v>
      </c>
      <c r="Q123" s="20">
        <f t="shared" si="125"/>
        <v>1111.4279999999999</v>
      </c>
      <c r="R123" s="7">
        <f t="shared" si="126"/>
        <v>9246.4179999999997</v>
      </c>
      <c r="S123" s="11">
        <f t="shared" si="127"/>
        <v>8.2855608072099018E-2</v>
      </c>
      <c r="T123" s="11">
        <f t="shared" si="127"/>
        <v>7.7120534034897492E-2</v>
      </c>
      <c r="U123" s="11">
        <f t="shared" si="127"/>
        <v>4.8216601821190697E-2</v>
      </c>
      <c r="V123" s="11">
        <f t="shared" si="127"/>
        <v>1.6720066838029235E-2</v>
      </c>
      <c r="W123" s="11">
        <f t="shared" si="127"/>
        <v>3.4800552316334721E-2</v>
      </c>
      <c r="X123" s="11">
        <f t="shared" si="127"/>
        <v>7.337248586117423E-2</v>
      </c>
      <c r="Y123" s="12">
        <f t="shared" si="127"/>
        <v>6.0430573882477745E-2</v>
      </c>
    </row>
    <row r="124" spans="3:25" x14ac:dyDescent="0.4">
      <c r="C124" s="60" t="s">
        <v>10</v>
      </c>
      <c r="D124" s="22" t="s">
        <v>11</v>
      </c>
      <c r="E124" s="20">
        <f t="shared" si="123"/>
        <v>126.80499999999995</v>
      </c>
      <c r="F124" s="20">
        <f t="shared" si="123"/>
        <v>148.39599999999996</v>
      </c>
      <c r="G124" s="109">
        <f t="shared" si="123"/>
        <v>19.480000000000004</v>
      </c>
      <c r="H124" s="20">
        <f t="shared" si="123"/>
        <v>1.9769999999999968</v>
      </c>
      <c r="I124" s="20">
        <f t="shared" si="123"/>
        <v>291.601</v>
      </c>
      <c r="J124" s="20">
        <f t="shared" si="123"/>
        <v>325.51300000000003</v>
      </c>
      <c r="K124" s="7">
        <f t="shared" si="124"/>
        <v>913.77199999999993</v>
      </c>
      <c r="L124" s="20">
        <f t="shared" si="125"/>
        <v>210.38</v>
      </c>
      <c r="M124" s="4">
        <f t="shared" si="125"/>
        <v>153.30799999999999</v>
      </c>
      <c r="N124" s="110">
        <f t="shared" si="125"/>
        <v>-5.1669999999999998</v>
      </c>
      <c r="O124" s="20">
        <f t="shared" si="125"/>
        <v>4.6080000000000005</v>
      </c>
      <c r="P124" s="20">
        <f t="shared" si="125"/>
        <v>412.48099999999999</v>
      </c>
      <c r="Q124" s="20">
        <f t="shared" si="125"/>
        <v>249.22000000000003</v>
      </c>
      <c r="R124" s="7">
        <f t="shared" si="126"/>
        <v>1024.83</v>
      </c>
      <c r="S124" s="11">
        <f t="shared" si="127"/>
        <v>0.21722593828615366</v>
      </c>
      <c r="T124" s="11">
        <f t="shared" si="127"/>
        <v>0.16449843638005152</v>
      </c>
      <c r="U124" s="11">
        <f t="shared" si="127"/>
        <v>-0.18651410477835351</v>
      </c>
      <c r="V124" s="11">
        <f t="shared" si="127"/>
        <v>8.6225790313743333E-2</v>
      </c>
      <c r="W124" s="11">
        <f t="shared" si="127"/>
        <v>0.29910296197514363</v>
      </c>
      <c r="X124" s="11">
        <f t="shared" si="127"/>
        <v>2.822528589607276E-2</v>
      </c>
      <c r="Y124" s="12">
        <f t="shared" si="127"/>
        <v>0.17802704319901341</v>
      </c>
    </row>
    <row r="125" spans="3:25" x14ac:dyDescent="0.4">
      <c r="C125" s="60" t="s">
        <v>12</v>
      </c>
      <c r="D125" s="22" t="s">
        <v>13</v>
      </c>
      <c r="E125" s="20">
        <f t="shared" si="123"/>
        <v>46.889000000000124</v>
      </c>
      <c r="F125" s="20">
        <f t="shared" si="123"/>
        <v>1081.7910000000002</v>
      </c>
      <c r="G125" s="109">
        <f t="shared" si="123"/>
        <v>469.78300000000036</v>
      </c>
      <c r="H125" s="20">
        <f t="shared" si="123"/>
        <v>1116.143</v>
      </c>
      <c r="I125" s="20">
        <f t="shared" si="123"/>
        <v>-401.65699999999993</v>
      </c>
      <c r="J125" s="20">
        <f t="shared" si="123"/>
        <v>-318.79700000000003</v>
      </c>
      <c r="K125" s="7">
        <f t="shared" si="124"/>
        <v>1994.1520000000005</v>
      </c>
      <c r="L125" s="20">
        <f t="shared" si="125"/>
        <v>49.007000000000062</v>
      </c>
      <c r="M125" s="4">
        <f t="shared" si="125"/>
        <v>736.72699999999986</v>
      </c>
      <c r="N125" s="110">
        <f t="shared" si="125"/>
        <v>914.34400000000005</v>
      </c>
      <c r="O125" s="20">
        <f t="shared" si="125"/>
        <v>658.36299999999983</v>
      </c>
      <c r="P125" s="20">
        <f t="shared" si="125"/>
        <v>-181.60500000000002</v>
      </c>
      <c r="Q125" s="20">
        <f t="shared" si="125"/>
        <v>101.83600000000001</v>
      </c>
      <c r="R125" s="7">
        <f t="shared" si="126"/>
        <v>2278.6719999999996</v>
      </c>
      <c r="S125" s="11">
        <f t="shared" si="127"/>
        <v>6.5170554828181126E-3</v>
      </c>
      <c r="T125" s="11">
        <f t="shared" si="127"/>
        <v>2.7862726875675481E-2</v>
      </c>
      <c r="U125" s="11">
        <f t="shared" si="127"/>
        <v>0.1399348950441241</v>
      </c>
      <c r="V125" s="11">
        <f t="shared" si="127"/>
        <v>1.9903165018881563E-2</v>
      </c>
      <c r="W125" s="11">
        <f t="shared" si="127"/>
        <v>1.9325721340182955E-2</v>
      </c>
      <c r="X125" s="11">
        <f t="shared" si="127"/>
        <v>8.1098428133836942E-2</v>
      </c>
      <c r="Y125" s="12">
        <f t="shared" si="127"/>
        <v>5.1246478057133504E-2</v>
      </c>
    </row>
    <row r="126" spans="3:25" x14ac:dyDescent="0.4">
      <c r="C126" s="60" t="s">
        <v>14</v>
      </c>
      <c r="D126" s="22"/>
      <c r="E126" s="4">
        <f t="shared" ref="E126:J126" si="128">SUM(E122:E125)</f>
        <v>3482.404</v>
      </c>
      <c r="F126" s="4">
        <f t="shared" si="128"/>
        <v>9949.7480000000032</v>
      </c>
      <c r="G126" s="4">
        <f t="shared" si="128"/>
        <v>4897.0060000000003</v>
      </c>
      <c r="H126" s="4">
        <f t="shared" si="128"/>
        <v>1515.9119999999998</v>
      </c>
      <c r="I126" s="4">
        <f t="shared" si="128"/>
        <v>937.20800000000031</v>
      </c>
      <c r="J126" s="4">
        <f t="shared" si="128"/>
        <v>4198.2860000000001</v>
      </c>
      <c r="K126" s="7">
        <f t="shared" si="124"/>
        <v>24980.564000000002</v>
      </c>
      <c r="L126" s="4">
        <f t="shared" ref="L126:Q126" si="129">SUM(L122:L125)</f>
        <v>1346.6880000000001</v>
      </c>
      <c r="M126" s="4">
        <f t="shared" si="129"/>
        <v>3692.6809999999996</v>
      </c>
      <c r="N126" s="4">
        <f t="shared" si="129"/>
        <v>2450.5130000000004</v>
      </c>
      <c r="O126" s="4">
        <f t="shared" si="129"/>
        <v>898.68399999999997</v>
      </c>
      <c r="P126" s="4">
        <f t="shared" si="129"/>
        <v>209.70500000000004</v>
      </c>
      <c r="Q126" s="4">
        <f t="shared" si="129"/>
        <v>1504.5059999999999</v>
      </c>
      <c r="R126" s="7">
        <f t="shared" si="126"/>
        <v>10102.776999999998</v>
      </c>
      <c r="S126" s="11">
        <f t="shared" si="127"/>
        <v>7.9170628275282984E-3</v>
      </c>
      <c r="T126" s="11">
        <f t="shared" si="127"/>
        <v>-7.7843213059891059E-3</v>
      </c>
      <c r="U126" s="11">
        <f t="shared" si="127"/>
        <v>4.9319341184311527E-2</v>
      </c>
      <c r="V126" s="11">
        <f t="shared" si="127"/>
        <v>3.0248392906073729E-2</v>
      </c>
      <c r="W126" s="11">
        <f t="shared" si="127"/>
        <v>-9.7616613057911472E-3</v>
      </c>
      <c r="X126" s="11">
        <f t="shared" si="127"/>
        <v>1.0502758635470066E-2</v>
      </c>
      <c r="Y126" s="12">
        <f t="shared" si="127"/>
        <v>1.4575202686885058E-2</v>
      </c>
    </row>
    <row r="127" spans="3:25" x14ac:dyDescent="0.4">
      <c r="C127" s="60" t="s">
        <v>15</v>
      </c>
      <c r="D127" s="22" t="s">
        <v>16</v>
      </c>
      <c r="E127" s="20">
        <f t="shared" ref="E127:J128" si="130">E110-E61</f>
        <v>4081.9169999999995</v>
      </c>
      <c r="F127" s="20">
        <f t="shared" si="130"/>
        <v>1798.0889999999999</v>
      </c>
      <c r="G127" s="109">
        <f t="shared" si="130"/>
        <v>1091.6729999999998</v>
      </c>
      <c r="H127" s="20">
        <f t="shared" si="130"/>
        <v>-212.29100000000017</v>
      </c>
      <c r="I127" s="20">
        <f t="shared" si="130"/>
        <v>-1194.9399999999996</v>
      </c>
      <c r="J127" s="20">
        <f t="shared" si="130"/>
        <v>-840.76300000000083</v>
      </c>
      <c r="K127" s="7">
        <f t="shared" si="124"/>
        <v>4723.6849999999986</v>
      </c>
      <c r="L127" s="20">
        <f t="shared" ref="L127:Q128" si="131">L110-L61</f>
        <v>1182.3220000000001</v>
      </c>
      <c r="M127" s="4">
        <f t="shared" si="131"/>
        <v>452.10599999999999</v>
      </c>
      <c r="N127" s="110">
        <f t="shared" si="131"/>
        <v>263.68399999999997</v>
      </c>
      <c r="O127" s="4">
        <f t="shared" si="131"/>
        <v>118.22699999999998</v>
      </c>
      <c r="P127" s="4">
        <f t="shared" si="131"/>
        <v>-116.16499999999996</v>
      </c>
      <c r="Q127" s="4">
        <f t="shared" si="131"/>
        <v>207.80999999999995</v>
      </c>
      <c r="R127" s="7">
        <f t="shared" si="126"/>
        <v>2107.9839999999999</v>
      </c>
      <c r="S127" s="11">
        <f t="shared" si="127"/>
        <v>3.8190541621264312E-2</v>
      </c>
      <c r="T127" s="11">
        <f t="shared" si="127"/>
        <v>1.3432755106098648E-3</v>
      </c>
      <c r="U127" s="11">
        <f t="shared" si="127"/>
        <v>6.4475868096237621E-3</v>
      </c>
      <c r="V127" s="11">
        <f t="shared" si="127"/>
        <v>3.3000669560776408E-2</v>
      </c>
      <c r="W127" s="11">
        <f t="shared" si="127"/>
        <v>2.4936642392207525E-2</v>
      </c>
      <c r="X127" s="11">
        <f t="shared" si="127"/>
        <v>3.1322875896595992E-2</v>
      </c>
      <c r="Y127" s="12">
        <f t="shared" si="127"/>
        <v>2.5503476660606123E-2</v>
      </c>
    </row>
    <row r="128" spans="3:25" x14ac:dyDescent="0.4">
      <c r="C128" s="60" t="s">
        <v>17</v>
      </c>
      <c r="D128" s="22" t="s">
        <v>18</v>
      </c>
      <c r="E128" s="20">
        <f t="shared" si="130"/>
        <v>56.885000000000218</v>
      </c>
      <c r="F128" s="20">
        <f t="shared" si="130"/>
        <v>-669.46500000000015</v>
      </c>
      <c r="G128" s="109">
        <f t="shared" si="130"/>
        <v>-1359.3600000000001</v>
      </c>
      <c r="H128" s="20">
        <f t="shared" si="130"/>
        <v>-2322.0050000000001</v>
      </c>
      <c r="I128" s="20">
        <f t="shared" si="130"/>
        <v>-36.184999999999945</v>
      </c>
      <c r="J128" s="20">
        <f t="shared" si="130"/>
        <v>-921.31500000000005</v>
      </c>
      <c r="K128" s="7">
        <f t="shared" si="124"/>
        <v>-5251.4449999999997</v>
      </c>
      <c r="L128" s="20">
        <f t="shared" si="131"/>
        <v>-176.61599999999999</v>
      </c>
      <c r="M128" s="4">
        <f t="shared" si="131"/>
        <v>-414.7510000000002</v>
      </c>
      <c r="N128" s="110">
        <f t="shared" si="131"/>
        <v>-652.94399999999996</v>
      </c>
      <c r="O128" s="4">
        <f t="shared" si="131"/>
        <v>-1535.894</v>
      </c>
      <c r="P128" s="4">
        <f t="shared" si="131"/>
        <v>43.421000000000049</v>
      </c>
      <c r="Q128" s="4">
        <f t="shared" si="131"/>
        <v>-534.98199999999997</v>
      </c>
      <c r="R128" s="7">
        <f t="shared" si="126"/>
        <v>-3271.7659999999996</v>
      </c>
      <c r="S128" s="11">
        <f t="shared" si="127"/>
        <v>-5.1320663206007144E-2</v>
      </c>
      <c r="T128" s="11">
        <f t="shared" si="127"/>
        <v>2.5659613391445513E-3</v>
      </c>
      <c r="U128" s="11">
        <f t="shared" si="127"/>
        <v>0.11500436430016714</v>
      </c>
      <c r="V128" s="11">
        <f t="shared" si="127"/>
        <v>5.3711989290857964E-2</v>
      </c>
      <c r="W128" s="11">
        <f t="shared" si="127"/>
        <v>4.6529879784967698E-2</v>
      </c>
      <c r="X128" s="11">
        <f t="shared" si="127"/>
        <v>1.1350015293733917E-2</v>
      </c>
      <c r="Y128" s="12">
        <f t="shared" si="127"/>
        <v>1.3704464081674916E-2</v>
      </c>
    </row>
    <row r="129" spans="3:25" x14ac:dyDescent="0.4">
      <c r="C129" s="60" t="s">
        <v>19</v>
      </c>
      <c r="D129" s="22"/>
      <c r="E129" s="20">
        <f t="shared" ref="E129:R129" si="132">SUM(E127:E128)</f>
        <v>4138.8019999999997</v>
      </c>
      <c r="F129" s="20">
        <f t="shared" si="132"/>
        <v>1128.6239999999998</v>
      </c>
      <c r="G129" s="20">
        <f t="shared" si="132"/>
        <v>-267.68700000000035</v>
      </c>
      <c r="H129" s="20">
        <f t="shared" si="132"/>
        <v>-2534.2960000000003</v>
      </c>
      <c r="I129" s="20">
        <f t="shared" si="132"/>
        <v>-1231.1249999999995</v>
      </c>
      <c r="J129" s="20">
        <f t="shared" si="132"/>
        <v>-1762.0780000000009</v>
      </c>
      <c r="K129" s="7">
        <f t="shared" si="132"/>
        <v>-527.76000000000113</v>
      </c>
      <c r="L129" s="20">
        <f t="shared" si="132"/>
        <v>1005.7060000000001</v>
      </c>
      <c r="M129" s="20">
        <f t="shared" si="132"/>
        <v>37.354999999999791</v>
      </c>
      <c r="N129" s="20">
        <f t="shared" si="132"/>
        <v>-389.26</v>
      </c>
      <c r="O129" s="20">
        <f t="shared" si="132"/>
        <v>-1417.6669999999999</v>
      </c>
      <c r="P129" s="20">
        <f t="shared" si="132"/>
        <v>-72.743999999999915</v>
      </c>
      <c r="Q129" s="20">
        <f t="shared" si="132"/>
        <v>-327.17200000000003</v>
      </c>
      <c r="R129" s="7">
        <f t="shared" si="132"/>
        <v>-1163.7819999999997</v>
      </c>
      <c r="S129" s="11">
        <f t="shared" si="127"/>
        <v>-4.557184431836403E-2</v>
      </c>
      <c r="T129" s="11">
        <f t="shared" si="127"/>
        <v>-3.4944232462575275E-2</v>
      </c>
      <c r="U129" s="11">
        <f t="shared" si="127"/>
        <v>-2.7004127678317225E-2</v>
      </c>
      <c r="V129" s="11">
        <f t="shared" si="127"/>
        <v>-5.243127904412126E-2</v>
      </c>
      <c r="W129" s="11">
        <f t="shared" si="127"/>
        <v>5.0717589348444225E-2</v>
      </c>
      <c r="X129" s="11">
        <f t="shared" si="127"/>
        <v>1.4289438935149945E-2</v>
      </c>
      <c r="Y129" s="12">
        <f t="shared" si="127"/>
        <v>-1.4978170270906588E-2</v>
      </c>
    </row>
    <row r="130" spans="3:25" x14ac:dyDescent="0.4">
      <c r="C130" s="60" t="s">
        <v>20</v>
      </c>
      <c r="D130" s="22" t="s">
        <v>21</v>
      </c>
      <c r="E130" s="20">
        <f t="shared" ref="E130:J131" si="133">E113-E64</f>
        <v>6833.101999999999</v>
      </c>
      <c r="F130" s="20">
        <f t="shared" si="133"/>
        <v>-2736.3600000000006</v>
      </c>
      <c r="G130" s="109">
        <f t="shared" si="133"/>
        <v>9096.0410000000011</v>
      </c>
      <c r="H130" s="20">
        <f t="shared" si="133"/>
        <v>1743.3410000000003</v>
      </c>
      <c r="I130" s="20">
        <f t="shared" si="133"/>
        <v>4357.6049999999996</v>
      </c>
      <c r="J130" s="20">
        <f t="shared" si="133"/>
        <v>1876.3559999999998</v>
      </c>
      <c r="K130" s="7">
        <f>SUM(E130:J130)</f>
        <v>21170.084999999999</v>
      </c>
      <c r="L130" s="20">
        <f t="shared" ref="L130:Q131" si="134">L113-L64</f>
        <v>1016.4040000000005</v>
      </c>
      <c r="M130" s="20">
        <f t="shared" si="134"/>
        <v>-873.96200000000044</v>
      </c>
      <c r="N130" s="109">
        <f t="shared" si="134"/>
        <v>2074.6509999999998</v>
      </c>
      <c r="O130" s="20">
        <f t="shared" si="134"/>
        <v>-118.06100000000015</v>
      </c>
      <c r="P130" s="20">
        <f t="shared" si="134"/>
        <v>479.19599999999991</v>
      </c>
      <c r="Q130" s="20">
        <f t="shared" si="134"/>
        <v>27.958999999999833</v>
      </c>
      <c r="R130" s="7">
        <f>SUM(L130:Q130)</f>
        <v>2606.1869999999994</v>
      </c>
      <c r="S130" s="11">
        <f t="shared" si="127"/>
        <v>-3.2316407099858335E-2</v>
      </c>
      <c r="T130" s="11">
        <f t="shared" si="127"/>
        <v>-1.3090924419331462E-2</v>
      </c>
      <c r="U130" s="11">
        <f t="shared" si="127"/>
        <v>5.5790446381041026E-3</v>
      </c>
      <c r="V130" s="11">
        <f t="shared" si="127"/>
        <v>-3.025812027606925E-2</v>
      </c>
      <c r="W130" s="11">
        <f t="shared" si="127"/>
        <v>-2.6842064568485674E-2</v>
      </c>
      <c r="X130" s="11">
        <f t="shared" si="127"/>
        <v>-2.6811741634683556E-2</v>
      </c>
      <c r="Y130" s="12">
        <f t="shared" si="127"/>
        <v>-1.7532608154747525E-2</v>
      </c>
    </row>
    <row r="131" spans="3:25" x14ac:dyDescent="0.4">
      <c r="C131" s="60" t="s">
        <v>22</v>
      </c>
      <c r="D131" s="83" t="s">
        <v>23</v>
      </c>
      <c r="E131" s="20">
        <f t="shared" si="133"/>
        <v>-30</v>
      </c>
      <c r="F131" s="20">
        <f t="shared" si="133"/>
        <v>-30</v>
      </c>
      <c r="G131" s="109">
        <f t="shared" si="133"/>
        <v>-30</v>
      </c>
      <c r="H131" s="20">
        <f t="shared" si="133"/>
        <v>-30</v>
      </c>
      <c r="I131" s="20">
        <f t="shared" si="133"/>
        <v>-30</v>
      </c>
      <c r="J131" s="20">
        <f t="shared" si="133"/>
        <v>-15.337999999999999</v>
      </c>
      <c r="K131" s="7">
        <f>SUM(E131:J131)</f>
        <v>-165.33799999999999</v>
      </c>
      <c r="L131" s="20">
        <f t="shared" si="134"/>
        <v>-10</v>
      </c>
      <c r="M131" s="20">
        <f t="shared" si="134"/>
        <v>-10</v>
      </c>
      <c r="N131" s="109">
        <f t="shared" si="134"/>
        <v>-10</v>
      </c>
      <c r="O131" s="20">
        <f t="shared" si="134"/>
        <v>-10</v>
      </c>
      <c r="P131" s="20">
        <f t="shared" si="134"/>
        <v>-10</v>
      </c>
      <c r="Q131" s="20">
        <f t="shared" si="134"/>
        <v>-6.0129999999999999</v>
      </c>
      <c r="R131" s="7">
        <f>SUM(L131:Q131)</f>
        <v>-56.012999999999998</v>
      </c>
      <c r="S131" s="11" t="e">
        <f t="shared" si="127"/>
        <v>#VALUE!</v>
      </c>
      <c r="T131" s="11" t="e">
        <f t="shared" si="127"/>
        <v>#VALUE!</v>
      </c>
      <c r="U131" s="11" t="e">
        <f t="shared" si="127"/>
        <v>#VALUE!</v>
      </c>
      <c r="V131" s="11" t="e">
        <f t="shared" si="127"/>
        <v>#VALUE!</v>
      </c>
      <c r="W131" s="11" t="e">
        <f t="shared" si="127"/>
        <v>#VALUE!</v>
      </c>
      <c r="X131" s="11">
        <f t="shared" si="127"/>
        <v>-6.1405901877870206E-2</v>
      </c>
      <c r="Y131" s="12">
        <f t="shared" si="127"/>
        <v>-6.1405901877870206E-2</v>
      </c>
    </row>
    <row r="132" spans="3:25" x14ac:dyDescent="0.4">
      <c r="C132" s="82" t="s">
        <v>24</v>
      </c>
      <c r="D132" s="83"/>
      <c r="E132" s="20">
        <f t="shared" ref="E132:R132" si="135">SUM(E130:E131)</f>
        <v>6803.101999999999</v>
      </c>
      <c r="F132" s="20">
        <f t="shared" si="135"/>
        <v>-2766.3600000000006</v>
      </c>
      <c r="G132" s="20">
        <f t="shared" si="135"/>
        <v>9066.0410000000011</v>
      </c>
      <c r="H132" s="20">
        <f t="shared" si="135"/>
        <v>1713.3410000000003</v>
      </c>
      <c r="I132" s="20">
        <f t="shared" si="135"/>
        <v>4327.6049999999996</v>
      </c>
      <c r="J132" s="20">
        <f t="shared" si="135"/>
        <v>1861.0179999999998</v>
      </c>
      <c r="K132" s="7">
        <f t="shared" si="135"/>
        <v>21004.746999999999</v>
      </c>
      <c r="L132" s="20">
        <f t="shared" si="135"/>
        <v>1006.4040000000005</v>
      </c>
      <c r="M132" s="20">
        <f t="shared" si="135"/>
        <v>-883.96200000000044</v>
      </c>
      <c r="N132" s="20">
        <f t="shared" si="135"/>
        <v>2064.6509999999998</v>
      </c>
      <c r="O132" s="20">
        <f t="shared" si="135"/>
        <v>-128.06100000000015</v>
      </c>
      <c r="P132" s="20">
        <f t="shared" si="135"/>
        <v>469.19599999999991</v>
      </c>
      <c r="Q132" s="20">
        <f t="shared" si="135"/>
        <v>21.945999999999835</v>
      </c>
      <c r="R132" s="7">
        <f t="shared" si="135"/>
        <v>2550.1739999999995</v>
      </c>
      <c r="S132" s="86">
        <f t="shared" si="127"/>
        <v>-3.247085407867345E-2</v>
      </c>
      <c r="T132" s="86">
        <f t="shared" si="127"/>
        <v>-1.3235409785378793E-2</v>
      </c>
      <c r="U132" s="86">
        <f t="shared" si="127"/>
        <v>5.3973664925354714E-3</v>
      </c>
      <c r="V132" s="86">
        <f t="shared" si="127"/>
        <v>-3.0549346022341883E-2</v>
      </c>
      <c r="W132" s="86">
        <f t="shared" si="127"/>
        <v>-2.7229096457653285E-2</v>
      </c>
      <c r="X132" s="86">
        <f t="shared" si="127"/>
        <v>-2.7059645584258329E-2</v>
      </c>
      <c r="Y132" s="87">
        <f t="shared" si="127"/>
        <v>-1.774725919309772E-2</v>
      </c>
    </row>
    <row r="133" spans="3:25" x14ac:dyDescent="0.4">
      <c r="C133" s="53" t="s">
        <v>5</v>
      </c>
      <c r="D133" s="54"/>
      <c r="E133" s="8">
        <f t="shared" ref="E133:R133" si="136">E126+E129+E132</f>
        <v>14424.307999999999</v>
      </c>
      <c r="F133" s="8">
        <f t="shared" si="136"/>
        <v>8312.0120000000024</v>
      </c>
      <c r="G133" s="8">
        <f t="shared" si="136"/>
        <v>13695.36</v>
      </c>
      <c r="H133" s="8">
        <f t="shared" si="136"/>
        <v>694.95699999999988</v>
      </c>
      <c r="I133" s="8">
        <f t="shared" si="136"/>
        <v>4033.6880000000001</v>
      </c>
      <c r="J133" s="8">
        <f t="shared" si="136"/>
        <v>4297.2259999999987</v>
      </c>
      <c r="K133" s="9">
        <f t="shared" si="136"/>
        <v>45457.550999999999</v>
      </c>
      <c r="L133" s="8">
        <f t="shared" si="136"/>
        <v>3358.7980000000007</v>
      </c>
      <c r="M133" s="8">
        <f t="shared" si="136"/>
        <v>2846.0739999999987</v>
      </c>
      <c r="N133" s="8">
        <f t="shared" si="136"/>
        <v>4125.9040000000005</v>
      </c>
      <c r="O133" s="8">
        <f t="shared" si="136"/>
        <v>-647.0440000000001</v>
      </c>
      <c r="P133" s="8">
        <f t="shared" si="136"/>
        <v>606.15700000000004</v>
      </c>
      <c r="Q133" s="8">
        <f t="shared" si="136"/>
        <v>1199.2799999999997</v>
      </c>
      <c r="R133" s="9">
        <f t="shared" si="136"/>
        <v>11489.168999999998</v>
      </c>
      <c r="S133" s="14">
        <f t="shared" si="127"/>
        <v>-2.2626584254363091E-2</v>
      </c>
      <c r="T133" s="14">
        <f t="shared" si="127"/>
        <v>4.0272120495810637E-3</v>
      </c>
      <c r="U133" s="14">
        <f t="shared" si="127"/>
        <v>2.7770992506189751E-3</v>
      </c>
      <c r="V133" s="14">
        <f t="shared" si="127"/>
        <v>-2.5300401165157749E-2</v>
      </c>
      <c r="W133" s="14">
        <f t="shared" si="127"/>
        <v>-1.6613123908152394E-2</v>
      </c>
      <c r="X133" s="14">
        <f t="shared" si="127"/>
        <v>-2.8016555580839819E-4</v>
      </c>
      <c r="Y133" s="15">
        <f t="shared" si="127"/>
        <v>-7.720662886222196E-3</v>
      </c>
    </row>
    <row r="134" spans="3:25" x14ac:dyDescent="0.4">
      <c r="C134" s="18"/>
      <c r="E134" s="17"/>
      <c r="F134" s="17"/>
      <c r="G134" s="17"/>
      <c r="H134" s="17"/>
      <c r="I134" s="17"/>
      <c r="J134" s="17"/>
      <c r="K134" s="18"/>
      <c r="L134" s="17"/>
      <c r="M134" s="17"/>
      <c r="N134" s="17"/>
      <c r="O134" s="17"/>
      <c r="P134" s="17"/>
      <c r="Q134" s="17"/>
      <c r="R134" s="18"/>
      <c r="S134" s="19"/>
      <c r="T134" s="19"/>
      <c r="U134" s="19"/>
      <c r="V134" s="19"/>
      <c r="W134" s="19"/>
      <c r="X134" s="19"/>
      <c r="Y134" s="19"/>
    </row>
    <row r="135" spans="3:25" x14ac:dyDescent="0.4">
      <c r="C135" s="18" t="s">
        <v>34</v>
      </c>
    </row>
    <row r="136" spans="3:25" x14ac:dyDescent="0.4">
      <c r="C136" s="120"/>
      <c r="D136" s="119"/>
      <c r="E136" s="120" t="s">
        <v>2</v>
      </c>
      <c r="F136" s="118"/>
      <c r="G136" s="118"/>
      <c r="H136" s="118"/>
      <c r="I136" s="118"/>
      <c r="J136" s="118"/>
      <c r="K136" s="119"/>
      <c r="L136" s="117" t="s">
        <v>3</v>
      </c>
      <c r="M136" s="118"/>
      <c r="N136" s="118"/>
      <c r="O136" s="118"/>
      <c r="P136" s="118"/>
      <c r="Q136" s="118"/>
      <c r="R136" s="119"/>
      <c r="S136" s="117" t="s">
        <v>4</v>
      </c>
      <c r="T136" s="118"/>
      <c r="U136" s="118"/>
      <c r="V136" s="118"/>
      <c r="W136" s="118"/>
      <c r="X136" s="118"/>
      <c r="Y136" s="119"/>
    </row>
    <row r="137" spans="3:25" x14ac:dyDescent="0.4">
      <c r="C137" s="1"/>
      <c r="D137" s="21"/>
      <c r="E137" s="61">
        <v>46113</v>
      </c>
      <c r="F137" s="2">
        <v>46143</v>
      </c>
      <c r="G137" s="2">
        <v>46174</v>
      </c>
      <c r="H137" s="2">
        <v>46204</v>
      </c>
      <c r="I137" s="2">
        <v>46235</v>
      </c>
      <c r="J137" s="2">
        <v>46266</v>
      </c>
      <c r="K137" s="10" t="s">
        <v>5</v>
      </c>
      <c r="L137" s="95">
        <v>46113</v>
      </c>
      <c r="M137" s="2">
        <v>46143</v>
      </c>
      <c r="N137" s="2">
        <v>46174</v>
      </c>
      <c r="O137" s="2">
        <v>46204</v>
      </c>
      <c r="P137" s="2">
        <v>46235</v>
      </c>
      <c r="Q137" s="2">
        <v>46266</v>
      </c>
      <c r="R137" s="10" t="s">
        <v>5</v>
      </c>
      <c r="S137" s="95">
        <v>46113</v>
      </c>
      <c r="T137" s="2">
        <v>46143</v>
      </c>
      <c r="U137" s="2">
        <v>46174</v>
      </c>
      <c r="V137" s="2">
        <v>46204</v>
      </c>
      <c r="W137" s="2">
        <v>46235</v>
      </c>
      <c r="X137" s="2">
        <v>46266</v>
      </c>
      <c r="Y137" s="10" t="s">
        <v>5</v>
      </c>
    </row>
    <row r="138" spans="3:25" x14ac:dyDescent="0.4">
      <c r="C138" s="60" t="s">
        <v>6</v>
      </c>
      <c r="D138" s="22" t="s">
        <v>7</v>
      </c>
      <c r="E138" s="20">
        <f t="shared" ref="E138:J141" si="137">E105-E22</f>
        <v>-1843.701</v>
      </c>
      <c r="F138" s="20">
        <f t="shared" si="137"/>
        <v>1209.0510000000004</v>
      </c>
      <c r="G138" s="109">
        <f t="shared" si="137"/>
        <v>16.835000000000036</v>
      </c>
      <c r="H138" s="20">
        <f t="shared" si="137"/>
        <v>44.058999999999969</v>
      </c>
      <c r="I138" s="20">
        <f t="shared" si="137"/>
        <v>1265.1060000000002</v>
      </c>
      <c r="J138" s="20">
        <f t="shared" si="137"/>
        <v>3150.6869999999999</v>
      </c>
      <c r="K138" s="7">
        <f t="shared" ref="K138:K144" si="138">SUM(E138:J138)</f>
        <v>3842.0370000000003</v>
      </c>
      <c r="L138" s="20">
        <f t="shared" ref="L138:Q141" si="139">L105-L22</f>
        <v>-459.77699999999982</v>
      </c>
      <c r="M138" s="20">
        <f t="shared" si="139"/>
        <v>62.81899999999996</v>
      </c>
      <c r="N138" s="110">
        <f t="shared" si="139"/>
        <v>-186.84899999999999</v>
      </c>
      <c r="O138" s="20">
        <f t="shared" si="139"/>
        <v>-211.22800000000001</v>
      </c>
      <c r="P138" s="20">
        <f t="shared" si="139"/>
        <v>20.603999999999928</v>
      </c>
      <c r="Q138" s="20">
        <f t="shared" si="139"/>
        <v>192.33799999999997</v>
      </c>
      <c r="R138" s="7">
        <f t="shared" ref="R138:R144" si="140">SUM(L138:Q138)</f>
        <v>-582.09299999999996</v>
      </c>
      <c r="S138" s="11">
        <f t="shared" ref="S138:Y149" si="141">S105-S22</f>
        <v>-1.3066010034207237E-2</v>
      </c>
      <c r="T138" s="11">
        <f t="shared" si="141"/>
        <v>-3.6031065820043062E-2</v>
      </c>
      <c r="U138" s="11">
        <f t="shared" si="141"/>
        <v>-8.0606006116610368E-2</v>
      </c>
      <c r="V138" s="11">
        <f t="shared" si="141"/>
        <v>-0.14066169650011212</v>
      </c>
      <c r="W138" s="11">
        <f t="shared" si="141"/>
        <v>-5.572614072573906E-2</v>
      </c>
      <c r="X138" s="11">
        <f t="shared" si="141"/>
        <v>-4.2607275222093205E-2</v>
      </c>
      <c r="Y138" s="12">
        <f t="shared" si="141"/>
        <v>-4.4086008736400506E-2</v>
      </c>
    </row>
    <row r="139" spans="3:25" x14ac:dyDescent="0.4">
      <c r="C139" s="60" t="s">
        <v>8</v>
      </c>
      <c r="D139" s="22" t="s">
        <v>9</v>
      </c>
      <c r="E139" s="20">
        <f t="shared" si="137"/>
        <v>7861.2029999999995</v>
      </c>
      <c r="F139" s="20">
        <f t="shared" si="137"/>
        <v>9972.5600000000013</v>
      </c>
      <c r="G139" s="109">
        <f t="shared" si="137"/>
        <v>7024.1720000000005</v>
      </c>
      <c r="H139" s="20">
        <f t="shared" si="137"/>
        <v>1698.7089999999998</v>
      </c>
      <c r="I139" s="20">
        <f t="shared" si="137"/>
        <v>1794.8820000000001</v>
      </c>
      <c r="J139" s="20">
        <f t="shared" si="137"/>
        <v>1967.29</v>
      </c>
      <c r="K139" s="7">
        <f t="shared" si="138"/>
        <v>30318.815999999999</v>
      </c>
      <c r="L139" s="20">
        <f t="shared" si="139"/>
        <v>3074.7109999999998</v>
      </c>
      <c r="M139" s="20">
        <f t="shared" si="139"/>
        <v>3786.0030000000002</v>
      </c>
      <c r="N139" s="110">
        <f t="shared" si="139"/>
        <v>2316.915</v>
      </c>
      <c r="O139" s="20">
        <f t="shared" si="139"/>
        <v>412.86300000000006</v>
      </c>
      <c r="P139" s="20">
        <f t="shared" si="139"/>
        <v>723.02900000000011</v>
      </c>
      <c r="Q139" s="20">
        <f t="shared" si="139"/>
        <v>852.09599999999978</v>
      </c>
      <c r="R139" s="7">
        <f t="shared" si="140"/>
        <v>11165.617</v>
      </c>
      <c r="S139" s="11">
        <f t="shared" si="141"/>
        <v>0.11065269046713172</v>
      </c>
      <c r="T139" s="11">
        <f t="shared" si="141"/>
        <v>3.1690667044256271E-2</v>
      </c>
      <c r="U139" s="11">
        <f t="shared" si="141"/>
        <v>-7.5809891934142448E-2</v>
      </c>
      <c r="V139" s="11">
        <f t="shared" si="141"/>
        <v>-3.4473274101536833E-2</v>
      </c>
      <c r="W139" s="11">
        <f t="shared" si="141"/>
        <v>4.2121327601322811E-2</v>
      </c>
      <c r="X139" s="11">
        <f t="shared" si="141"/>
        <v>2.3194722036151305E-2</v>
      </c>
      <c r="Y139" s="12">
        <f t="shared" si="141"/>
        <v>1.6075309919440783E-2</v>
      </c>
    </row>
    <row r="140" spans="3:25" x14ac:dyDescent="0.4">
      <c r="C140" s="60" t="s">
        <v>10</v>
      </c>
      <c r="D140" s="22" t="s">
        <v>11</v>
      </c>
      <c r="E140" s="20">
        <f t="shared" si="137"/>
        <v>29.900999999999954</v>
      </c>
      <c r="F140" s="20">
        <f t="shared" si="137"/>
        <v>106.80299999999994</v>
      </c>
      <c r="G140" s="109">
        <f t="shared" si="137"/>
        <v>14.998000000000005</v>
      </c>
      <c r="H140" s="20">
        <f t="shared" si="137"/>
        <v>5.2629999999999981</v>
      </c>
      <c r="I140" s="20">
        <f t="shared" si="137"/>
        <v>2.7480000000000473</v>
      </c>
      <c r="J140" s="20">
        <f t="shared" si="137"/>
        <v>162.48099999999999</v>
      </c>
      <c r="K140" s="7">
        <f t="shared" si="138"/>
        <v>322.19399999999996</v>
      </c>
      <c r="L140" s="20">
        <f t="shared" si="139"/>
        <v>57.165999999999997</v>
      </c>
      <c r="M140" s="20">
        <f t="shared" si="139"/>
        <v>52.603999999999985</v>
      </c>
      <c r="N140" s="110">
        <f t="shared" si="139"/>
        <v>-7.6480000000000015</v>
      </c>
      <c r="O140" s="20">
        <f t="shared" si="139"/>
        <v>7.7439999999999998</v>
      </c>
      <c r="P140" s="20">
        <f t="shared" si="139"/>
        <v>-4.8759999999999764</v>
      </c>
      <c r="Q140" s="20">
        <f t="shared" si="139"/>
        <v>91.956999999999994</v>
      </c>
      <c r="R140" s="7">
        <f t="shared" si="140"/>
        <v>196.947</v>
      </c>
      <c r="S140" s="11">
        <f t="shared" si="141"/>
        <v>5.5054824122152568E-2</v>
      </c>
      <c r="T140" s="11">
        <f t="shared" si="141"/>
        <v>-3.0231090113884362E-2</v>
      </c>
      <c r="U140" s="11">
        <f t="shared" si="141"/>
        <v>-0.19914579965005424</v>
      </c>
      <c r="V140" s="11">
        <f t="shared" si="141"/>
        <v>0.12689147642803211</v>
      </c>
      <c r="W140" s="11">
        <f t="shared" si="141"/>
        <v>-7.9562480404608005E-3</v>
      </c>
      <c r="X140" s="11">
        <f t="shared" si="141"/>
        <v>-3.67712183785327E-2</v>
      </c>
      <c r="Y140" s="12">
        <f t="shared" si="141"/>
        <v>-1.0208180812845469E-2</v>
      </c>
    </row>
    <row r="141" spans="3:25" x14ac:dyDescent="0.4">
      <c r="C141" s="60" t="s">
        <v>12</v>
      </c>
      <c r="D141" s="22" t="s">
        <v>13</v>
      </c>
      <c r="E141" s="20">
        <f t="shared" si="137"/>
        <v>548.3090000000002</v>
      </c>
      <c r="F141" s="20">
        <f t="shared" si="137"/>
        <v>1578.9629999999997</v>
      </c>
      <c r="G141" s="109">
        <f t="shared" si="137"/>
        <v>787.56200000000172</v>
      </c>
      <c r="H141" s="20">
        <f t="shared" si="137"/>
        <v>968.0329999999999</v>
      </c>
      <c r="I141" s="20">
        <f t="shared" si="137"/>
        <v>-27.276999999999816</v>
      </c>
      <c r="J141" s="20">
        <f t="shared" si="137"/>
        <v>-325.26800000000094</v>
      </c>
      <c r="K141" s="7">
        <f t="shared" si="138"/>
        <v>3530.322000000001</v>
      </c>
      <c r="L141" s="20">
        <f t="shared" si="139"/>
        <v>245.62599999999998</v>
      </c>
      <c r="M141" s="20">
        <f t="shared" si="139"/>
        <v>671.94900000000007</v>
      </c>
      <c r="N141" s="110">
        <f t="shared" si="139"/>
        <v>474.74400000000014</v>
      </c>
      <c r="O141" s="20">
        <f t="shared" si="139"/>
        <v>546.67599999999993</v>
      </c>
      <c r="P141" s="20">
        <f t="shared" si="139"/>
        <v>123.39700000000016</v>
      </c>
      <c r="Q141" s="20">
        <f t="shared" si="139"/>
        <v>-77.598999999999933</v>
      </c>
      <c r="R141" s="7">
        <f t="shared" si="140"/>
        <v>1984.7930000000003</v>
      </c>
      <c r="S141" s="11">
        <f t="shared" si="141"/>
        <v>-1.4786968162413761E-2</v>
      </c>
      <c r="T141" s="11">
        <f t="shared" si="141"/>
        <v>-4.0803403376164282E-2</v>
      </c>
      <c r="U141" s="11">
        <f t="shared" si="141"/>
        <v>1.1171197783435782E-2</v>
      </c>
      <c r="V141" s="11">
        <f t="shared" si="141"/>
        <v>1.0538828031992908E-2</v>
      </c>
      <c r="W141" s="11">
        <f t="shared" si="141"/>
        <v>7.2053989999447121E-2</v>
      </c>
      <c r="X141" s="11">
        <f t="shared" si="141"/>
        <v>3.1415377010621914E-2</v>
      </c>
      <c r="Y141" s="12">
        <f t="shared" si="141"/>
        <v>2.9294289651764505E-3</v>
      </c>
    </row>
    <row r="142" spans="3:25" x14ac:dyDescent="0.4">
      <c r="C142" s="60" t="s">
        <v>14</v>
      </c>
      <c r="D142" s="22"/>
      <c r="E142" s="4">
        <f t="shared" ref="E142:J142" si="142">SUM(E138:E141)</f>
        <v>6595.7119999999995</v>
      </c>
      <c r="F142" s="4">
        <f t="shared" si="142"/>
        <v>12867.377</v>
      </c>
      <c r="G142" s="4">
        <f t="shared" si="142"/>
        <v>7843.5670000000018</v>
      </c>
      <c r="H142" s="4">
        <f t="shared" si="142"/>
        <v>2716.0639999999994</v>
      </c>
      <c r="I142" s="4">
        <f t="shared" si="142"/>
        <v>3035.4590000000007</v>
      </c>
      <c r="J142" s="4">
        <f t="shared" si="142"/>
        <v>4955.1899999999987</v>
      </c>
      <c r="K142" s="7">
        <f t="shared" si="138"/>
        <v>38013.369000000006</v>
      </c>
      <c r="L142" s="4">
        <f>SUM(L138:L141)</f>
        <v>2917.7260000000006</v>
      </c>
      <c r="M142" s="4">
        <f>SUM(M140:M141)</f>
        <v>724.55300000000011</v>
      </c>
      <c r="N142" s="4">
        <f>SUM(N140:N141)</f>
        <v>467.09600000000012</v>
      </c>
      <c r="O142" s="4">
        <f>SUM(O140:O141)</f>
        <v>554.41999999999996</v>
      </c>
      <c r="P142" s="4">
        <f>SUM(P140:P141)</f>
        <v>118.52100000000019</v>
      </c>
      <c r="Q142" s="4">
        <f>SUM(Q140:Q141)</f>
        <v>14.358000000000061</v>
      </c>
      <c r="R142" s="7">
        <f t="shared" si="140"/>
        <v>4796.6740000000009</v>
      </c>
      <c r="S142" s="11">
        <f t="shared" si="141"/>
        <v>4.5315025973972356E-2</v>
      </c>
      <c r="T142" s="11">
        <f t="shared" si="141"/>
        <v>-3.2408035414852376E-2</v>
      </c>
      <c r="U142" s="11">
        <f t="shared" si="141"/>
        <v>-4.8733908776604662E-2</v>
      </c>
      <c r="V142" s="11">
        <f t="shared" si="141"/>
        <v>-3.1110799261942157E-2</v>
      </c>
      <c r="W142" s="11">
        <f t="shared" si="141"/>
        <v>-1.8675971663607904E-2</v>
      </c>
      <c r="X142" s="11">
        <f t="shared" si="141"/>
        <v>-2.9588685671380011E-2</v>
      </c>
      <c r="Y142" s="12">
        <f t="shared" si="141"/>
        <v>-1.2079866486701896E-2</v>
      </c>
    </row>
    <row r="143" spans="3:25" x14ac:dyDescent="0.4">
      <c r="C143" s="60" t="s">
        <v>15</v>
      </c>
      <c r="D143" s="22" t="s">
        <v>16</v>
      </c>
      <c r="E143" s="20">
        <f t="shared" ref="E143:J144" si="143">E110-E27</f>
        <v>4049.1539999999995</v>
      </c>
      <c r="F143" s="20">
        <f t="shared" si="143"/>
        <v>1594.0540000000001</v>
      </c>
      <c r="G143" s="109">
        <f t="shared" si="143"/>
        <v>617.14699999999993</v>
      </c>
      <c r="H143" s="20">
        <f t="shared" si="143"/>
        <v>-498.92200000000048</v>
      </c>
      <c r="I143" s="20">
        <f t="shared" si="143"/>
        <v>-1408.4379999999992</v>
      </c>
      <c r="J143" s="20">
        <f t="shared" si="143"/>
        <v>-877.75200000000041</v>
      </c>
      <c r="K143" s="7">
        <f t="shared" si="138"/>
        <v>3475.2429999999995</v>
      </c>
      <c r="L143" s="20">
        <f t="shared" ref="L143:Q144" si="144">L110-L27</f>
        <v>992.8760000000002</v>
      </c>
      <c r="M143" s="20">
        <f t="shared" si="144"/>
        <v>394.69699999999989</v>
      </c>
      <c r="N143" s="110">
        <f t="shared" si="144"/>
        <v>165.94299999999998</v>
      </c>
      <c r="O143" s="4">
        <f t="shared" si="144"/>
        <v>-82.158000000000015</v>
      </c>
      <c r="P143" s="4">
        <f t="shared" si="144"/>
        <v>-309.096</v>
      </c>
      <c r="Q143" s="4">
        <f t="shared" si="144"/>
        <v>-62.037000000000262</v>
      </c>
      <c r="R143" s="7">
        <f t="shared" si="140"/>
        <v>1100.2249999999999</v>
      </c>
      <c r="S143" s="11">
        <f t="shared" si="141"/>
        <v>5.1341103228335072E-3</v>
      </c>
      <c r="T143" s="11">
        <f t="shared" si="141"/>
        <v>2.2931047824703565E-4</v>
      </c>
      <c r="U143" s="11">
        <f t="shared" si="141"/>
        <v>5.75617621558841E-3</v>
      </c>
      <c r="V143" s="11">
        <f t="shared" si="141"/>
        <v>2.4108928991707357E-3</v>
      </c>
      <c r="W143" s="11">
        <f t="shared" si="141"/>
        <v>-7.8488308622914893E-4</v>
      </c>
      <c r="X143" s="11">
        <f t="shared" si="141"/>
        <v>1.0351121099650723E-2</v>
      </c>
      <c r="Y143" s="12">
        <f t="shared" si="141"/>
        <v>7.6995084323097651E-3</v>
      </c>
    </row>
    <row r="144" spans="3:25" x14ac:dyDescent="0.4">
      <c r="C144" s="60" t="s">
        <v>17</v>
      </c>
      <c r="D144" s="22" t="s">
        <v>18</v>
      </c>
      <c r="E144" s="20">
        <f t="shared" si="143"/>
        <v>1390.48</v>
      </c>
      <c r="F144" s="20">
        <f t="shared" si="143"/>
        <v>-14.149999999999181</v>
      </c>
      <c r="G144" s="109">
        <f t="shared" si="143"/>
        <v>-1383.5700000000002</v>
      </c>
      <c r="H144" s="20">
        <f t="shared" si="143"/>
        <v>-588.20499999999993</v>
      </c>
      <c r="I144" s="20">
        <f t="shared" si="143"/>
        <v>57.019999999999982</v>
      </c>
      <c r="J144" s="20">
        <f t="shared" si="143"/>
        <v>-541.91000000000031</v>
      </c>
      <c r="K144" s="7">
        <f t="shared" si="138"/>
        <v>-1080.3349999999996</v>
      </c>
      <c r="L144" s="20">
        <f t="shared" si="144"/>
        <v>805.23</v>
      </c>
      <c r="M144" s="20">
        <f t="shared" si="144"/>
        <v>26.565999999999804</v>
      </c>
      <c r="N144" s="110">
        <f t="shared" si="144"/>
        <v>-1340.404</v>
      </c>
      <c r="O144" s="4">
        <f t="shared" si="144"/>
        <v>-615.09399999999982</v>
      </c>
      <c r="P144" s="4">
        <f t="shared" si="144"/>
        <v>0.37599999999997635</v>
      </c>
      <c r="Q144" s="4">
        <f t="shared" si="144"/>
        <v>-514.12300000000005</v>
      </c>
      <c r="R144" s="7">
        <f t="shared" si="140"/>
        <v>-1637.4490000000001</v>
      </c>
      <c r="S144" s="11">
        <f t="shared" si="141"/>
        <v>-1.2058938017623366E-2</v>
      </c>
      <c r="T144" s="11">
        <f t="shared" si="141"/>
        <v>9.158662750439861E-3</v>
      </c>
      <c r="U144" s="11">
        <f t="shared" si="141"/>
        <v>-4.7503790254901812E-2</v>
      </c>
      <c r="V144" s="11">
        <f t="shared" si="141"/>
        <v>-6.2036285456850915E-2</v>
      </c>
      <c r="W144" s="11">
        <f t="shared" si="141"/>
        <v>-3.0492560725389195E-2</v>
      </c>
      <c r="X144" s="11">
        <f t="shared" si="141"/>
        <v>-3.6407688290180484E-2</v>
      </c>
      <c r="Y144" s="12">
        <f t="shared" si="141"/>
        <v>-4.6085786956469255E-2</v>
      </c>
    </row>
    <row r="145" spans="3:25" x14ac:dyDescent="0.4">
      <c r="C145" s="60" t="s">
        <v>19</v>
      </c>
      <c r="D145" s="22"/>
      <c r="E145" s="20">
        <f>SUM(E143:E144)</f>
        <v>5439.634</v>
      </c>
      <c r="F145" s="20">
        <f>SUM(F141:F144)</f>
        <v>16026.244000000001</v>
      </c>
      <c r="G145" s="20">
        <f>SUM(G141:G144)</f>
        <v>7864.7060000000056</v>
      </c>
      <c r="H145" s="20">
        <f>SUM(H141:H144)</f>
        <v>2596.9699999999989</v>
      </c>
      <c r="I145" s="20">
        <f>SUM(I141:I144)</f>
        <v>1656.7640000000015</v>
      </c>
      <c r="J145" s="20">
        <f>SUM(J141:J144)</f>
        <v>3210.259999999997</v>
      </c>
      <c r="K145" s="7">
        <f t="shared" ref="K145:R145" si="145">SUM(K143:K144)</f>
        <v>2394.9079999999999</v>
      </c>
      <c r="L145" s="20">
        <f t="shared" si="145"/>
        <v>1798.1060000000002</v>
      </c>
      <c r="M145" s="20">
        <f t="shared" si="145"/>
        <v>421.26299999999969</v>
      </c>
      <c r="N145" s="20">
        <f t="shared" si="145"/>
        <v>-1174.461</v>
      </c>
      <c r="O145" s="20">
        <f t="shared" si="145"/>
        <v>-697.25199999999984</v>
      </c>
      <c r="P145" s="20">
        <f t="shared" si="145"/>
        <v>-308.72000000000003</v>
      </c>
      <c r="Q145" s="20">
        <f t="shared" si="145"/>
        <v>-576.16000000000031</v>
      </c>
      <c r="R145" s="7">
        <f t="shared" si="145"/>
        <v>-537.22400000000016</v>
      </c>
      <c r="S145" s="11">
        <f t="shared" si="141"/>
        <v>-1.1949131927799006E-2</v>
      </c>
      <c r="T145" s="11">
        <f t="shared" si="141"/>
        <v>-1.5843382580115029E-2</v>
      </c>
      <c r="U145" s="11">
        <f t="shared" si="141"/>
        <v>-7.9210209255347885E-2</v>
      </c>
      <c r="V145" s="11">
        <f t="shared" si="141"/>
        <v>-3.8164591566069384E-2</v>
      </c>
      <c r="W145" s="11">
        <f t="shared" si="141"/>
        <v>2.3668315990975075E-2</v>
      </c>
      <c r="X145" s="11">
        <f t="shared" si="141"/>
        <v>-6.5275218944559343E-3</v>
      </c>
      <c r="Y145" s="12">
        <f t="shared" si="141"/>
        <v>-2.2194748661288788E-2</v>
      </c>
    </row>
    <row r="146" spans="3:25" x14ac:dyDescent="0.4">
      <c r="C146" s="60" t="s">
        <v>20</v>
      </c>
      <c r="D146" s="22" t="s">
        <v>21</v>
      </c>
      <c r="E146" s="20">
        <f t="shared" ref="E146:J147" si="146">E113-E30</f>
        <v>9071.9139999999989</v>
      </c>
      <c r="F146" s="20">
        <f t="shared" si="146"/>
        <v>-3265.0640000000021</v>
      </c>
      <c r="G146" s="109">
        <f t="shared" si="146"/>
        <v>9127.7280000000028</v>
      </c>
      <c r="H146" s="20">
        <f t="shared" si="146"/>
        <v>1921.723</v>
      </c>
      <c r="I146" s="20">
        <f t="shared" si="146"/>
        <v>4470.58</v>
      </c>
      <c r="J146" s="20">
        <f t="shared" si="146"/>
        <v>2269.8199999999997</v>
      </c>
      <c r="K146" s="7">
        <f>SUM(E146:J146)</f>
        <v>23596.701000000001</v>
      </c>
      <c r="L146" s="20">
        <f t="shared" ref="L146:Q147" si="147">L113-L30</f>
        <v>1619.0780000000004</v>
      </c>
      <c r="M146" s="20">
        <f t="shared" si="147"/>
        <v>-1002.1400000000003</v>
      </c>
      <c r="N146" s="109">
        <f t="shared" si="147"/>
        <v>1951.2690000000002</v>
      </c>
      <c r="O146" s="20">
        <f t="shared" si="147"/>
        <v>-221.90700000000015</v>
      </c>
      <c r="P146" s="20">
        <f t="shared" si="147"/>
        <v>423.54399999999987</v>
      </c>
      <c r="Q146" s="20">
        <f t="shared" si="147"/>
        <v>60.713999999999942</v>
      </c>
      <c r="R146" s="7">
        <f>SUM(L146:Q146)</f>
        <v>2830.558</v>
      </c>
      <c r="S146" s="11">
        <f t="shared" si="141"/>
        <v>-2.9714183361077617E-2</v>
      </c>
      <c r="T146" s="11">
        <f t="shared" si="141"/>
        <v>-1.3456472330876407E-2</v>
      </c>
      <c r="U146" s="11">
        <f t="shared" si="141"/>
        <v>-8.2726908081401374E-4</v>
      </c>
      <c r="V146" s="11">
        <f t="shared" si="141"/>
        <v>-4.0586155022901166E-2</v>
      </c>
      <c r="W146" s="11">
        <f t="shared" si="141"/>
        <v>-3.4532814882242024E-2</v>
      </c>
      <c r="X146" s="11">
        <f t="shared" si="141"/>
        <v>-3.1113018079772653E-2</v>
      </c>
      <c r="Y146" s="12">
        <f t="shared" si="141"/>
        <v>-2.0888505428831916E-2</v>
      </c>
    </row>
    <row r="147" spans="3:25" x14ac:dyDescent="0.4">
      <c r="C147" s="60" t="s">
        <v>22</v>
      </c>
      <c r="D147" s="83" t="s">
        <v>23</v>
      </c>
      <c r="E147" s="20">
        <f t="shared" si="146"/>
        <v>-2.95</v>
      </c>
      <c r="F147" s="20">
        <f t="shared" si="146"/>
        <v>0</v>
      </c>
      <c r="G147" s="109">
        <f t="shared" si="146"/>
        <v>0</v>
      </c>
      <c r="H147" s="20">
        <f t="shared" si="146"/>
        <v>-16.815000000000001</v>
      </c>
      <c r="I147" s="20">
        <f t="shared" si="146"/>
        <v>-17.68</v>
      </c>
      <c r="J147" s="20">
        <f t="shared" si="146"/>
        <v>0.18200000000000038</v>
      </c>
      <c r="K147" s="20">
        <f>SUM(E147:J147)</f>
        <v>-37.262999999999998</v>
      </c>
      <c r="L147" s="20">
        <f t="shared" si="147"/>
        <v>-0.90900000000000003</v>
      </c>
      <c r="M147" s="20">
        <f t="shared" si="147"/>
        <v>0</v>
      </c>
      <c r="N147" s="109">
        <f t="shared" si="147"/>
        <v>0</v>
      </c>
      <c r="O147" s="20">
        <f t="shared" si="147"/>
        <v>-5.181</v>
      </c>
      <c r="P147" s="20">
        <f t="shared" si="147"/>
        <v>-4.5359999999999996</v>
      </c>
      <c r="Q147" s="20">
        <f t="shared" si="147"/>
        <v>2.0410000000000004</v>
      </c>
      <c r="R147" s="7">
        <f>SUM(L147:Q147)</f>
        <v>-8.5849999999999991</v>
      </c>
      <c r="S147" s="86" t="e">
        <f t="shared" si="141"/>
        <v>#VALUE!</v>
      </c>
      <c r="T147" s="86" t="e">
        <f t="shared" si="141"/>
        <v>#VALUE!</v>
      </c>
      <c r="U147" s="86" t="e">
        <f t="shared" si="141"/>
        <v>#VALUE!</v>
      </c>
      <c r="V147" s="86" t="e">
        <f t="shared" si="141"/>
        <v>#VALUE!</v>
      </c>
      <c r="W147" s="86" t="e">
        <f t="shared" si="141"/>
        <v>#VALUE!</v>
      </c>
      <c r="X147" s="86">
        <f t="shared" si="141"/>
        <v>0.13753516626209294</v>
      </c>
      <c r="Y147" s="87">
        <f t="shared" si="141"/>
        <v>2.9808991397687473E-2</v>
      </c>
    </row>
    <row r="148" spans="3:25" x14ac:dyDescent="0.4">
      <c r="C148" s="82" t="s">
        <v>24</v>
      </c>
      <c r="D148" s="83"/>
      <c r="E148" s="20">
        <f t="shared" ref="E148:R148" si="148">SUM(E146:E147)</f>
        <v>9068.9639999999981</v>
      </c>
      <c r="F148" s="20">
        <f t="shared" si="148"/>
        <v>-3265.0640000000021</v>
      </c>
      <c r="G148" s="20">
        <f t="shared" si="148"/>
        <v>9127.7280000000028</v>
      </c>
      <c r="H148" s="20">
        <f t="shared" si="148"/>
        <v>1904.9079999999999</v>
      </c>
      <c r="I148" s="20">
        <f t="shared" si="148"/>
        <v>4452.8999999999996</v>
      </c>
      <c r="J148" s="20">
        <f t="shared" si="148"/>
        <v>2270.0019999999995</v>
      </c>
      <c r="K148" s="7">
        <f t="shared" si="148"/>
        <v>23559.438000000002</v>
      </c>
      <c r="L148" s="20">
        <f t="shared" si="148"/>
        <v>1618.1690000000003</v>
      </c>
      <c r="M148" s="20">
        <f t="shared" si="148"/>
        <v>-1002.1400000000003</v>
      </c>
      <c r="N148" s="20">
        <f t="shared" si="148"/>
        <v>1951.2690000000002</v>
      </c>
      <c r="O148" s="20">
        <f t="shared" si="148"/>
        <v>-227.08800000000016</v>
      </c>
      <c r="P148" s="20">
        <f t="shared" si="148"/>
        <v>419.00799999999987</v>
      </c>
      <c r="Q148" s="20">
        <f t="shared" si="148"/>
        <v>62.754999999999939</v>
      </c>
      <c r="R148" s="7">
        <f t="shared" si="148"/>
        <v>2821.973</v>
      </c>
      <c r="S148" s="86">
        <f t="shared" si="141"/>
        <v>-2.9726921229180803E-2</v>
      </c>
      <c r="T148" s="86">
        <f t="shared" si="141"/>
        <v>-1.3456472330876407E-2</v>
      </c>
      <c r="U148" s="86">
        <f t="shared" si="141"/>
        <v>-8.2726908081401374E-4</v>
      </c>
      <c r="V148" s="86">
        <f t="shared" si="141"/>
        <v>-4.0707519970202416E-2</v>
      </c>
      <c r="W148" s="86">
        <f t="shared" si="141"/>
        <v>-3.4617230388966913E-2</v>
      </c>
      <c r="X148" s="86">
        <f t="shared" si="141"/>
        <v>-3.0906943993685015E-2</v>
      </c>
      <c r="Y148" s="87">
        <f t="shared" si="141"/>
        <v>-2.0891423100871026E-2</v>
      </c>
    </row>
    <row r="149" spans="3:25" x14ac:dyDescent="0.4">
      <c r="C149" s="53" t="s">
        <v>5</v>
      </c>
      <c r="D149" s="54"/>
      <c r="E149" s="8">
        <f t="shared" ref="E149:R149" si="149">E142+E145+E148</f>
        <v>21104.309999999998</v>
      </c>
      <c r="F149" s="8">
        <f t="shared" si="149"/>
        <v>25628.556999999997</v>
      </c>
      <c r="G149" s="8">
        <f t="shared" si="149"/>
        <v>24836.001000000011</v>
      </c>
      <c r="H149" s="8">
        <f t="shared" si="149"/>
        <v>7217.9419999999973</v>
      </c>
      <c r="I149" s="8">
        <f t="shared" si="149"/>
        <v>9145.1230000000014</v>
      </c>
      <c r="J149" s="8">
        <f t="shared" si="149"/>
        <v>10435.451999999994</v>
      </c>
      <c r="K149" s="9">
        <f t="shared" si="149"/>
        <v>63967.715000000011</v>
      </c>
      <c r="L149" s="8">
        <f t="shared" si="149"/>
        <v>6334.0010000000002</v>
      </c>
      <c r="M149" s="8">
        <f t="shared" si="149"/>
        <v>143.67599999999948</v>
      </c>
      <c r="N149" s="8">
        <f t="shared" si="149"/>
        <v>1243.9040000000005</v>
      </c>
      <c r="O149" s="8">
        <f t="shared" si="149"/>
        <v>-369.92000000000007</v>
      </c>
      <c r="P149" s="8">
        <f t="shared" si="149"/>
        <v>228.80900000000003</v>
      </c>
      <c r="Q149" s="8">
        <f t="shared" si="149"/>
        <v>-499.04700000000031</v>
      </c>
      <c r="R149" s="9">
        <f t="shared" si="149"/>
        <v>7081.4230000000007</v>
      </c>
      <c r="S149" s="14">
        <f t="shared" si="141"/>
        <v>1.0229267435409306E-3</v>
      </c>
      <c r="T149" s="14">
        <f t="shared" si="141"/>
        <v>9.5402881194698863E-3</v>
      </c>
      <c r="U149" s="14">
        <f t="shared" si="141"/>
        <v>-3.4047674502346248E-2</v>
      </c>
      <c r="V149" s="14">
        <f t="shared" si="141"/>
        <v>-3.8390377495866601E-2</v>
      </c>
      <c r="W149" s="14">
        <f t="shared" si="141"/>
        <v>-2.5386212020055698E-2</v>
      </c>
      <c r="X149" s="14">
        <f t="shared" si="141"/>
        <v>-2.4452021729359119E-2</v>
      </c>
      <c r="Y149" s="15">
        <f t="shared" si="141"/>
        <v>-1.6843506377238859E-2</v>
      </c>
    </row>
  </sheetData>
  <mergeCells count="36">
    <mergeCell ref="C136:D136"/>
    <mergeCell ref="L54:R54"/>
    <mergeCell ref="C87:D8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S37:Y37"/>
    <mergeCell ref="C37:D37"/>
    <mergeCell ref="S87:Y87"/>
    <mergeCell ref="S103:Y103"/>
    <mergeCell ref="L20:R20"/>
    <mergeCell ref="C20:D20"/>
    <mergeCell ref="E37:K37"/>
    <mergeCell ref="C3:D3"/>
    <mergeCell ref="C54:D54"/>
    <mergeCell ref="C103:D103"/>
    <mergeCell ref="E3:K3"/>
    <mergeCell ref="E71:K71"/>
    <mergeCell ref="S136:Y136"/>
    <mergeCell ref="E120:K120"/>
    <mergeCell ref="S20:Y20"/>
    <mergeCell ref="E54:K54"/>
    <mergeCell ref="E136:K136"/>
    <mergeCell ref="S54:Y54"/>
    <mergeCell ref="L120:R120"/>
    <mergeCell ref="L103:R103"/>
    <mergeCell ref="S71:Y71"/>
    <mergeCell ref="L37:R37"/>
    <mergeCell ref="L136:R136"/>
  </mergeCells>
  <phoneticPr fontId="2"/>
  <printOptions horizontalCentered="1" verticalCentered="1"/>
  <pageMargins left="0.70866141732283472" right="0.70866141732283472" top="0.74803149606299213" bottom="0.74803149606299213" header="0.31496062992125978" footer="0.31496062992125978"/>
  <pageSetup paperSize="8" scale="3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D1:U23"/>
  <sheetViews>
    <sheetView topLeftCell="A6" workbookViewId="0">
      <selection activeCell="P17" sqref="P17"/>
    </sheetView>
  </sheetViews>
  <sheetFormatPr defaultRowHeight="18.75" x14ac:dyDescent="0.4"/>
  <cols>
    <col min="4" max="5" width="1.625" style="108" customWidth="1"/>
    <col min="21" max="21" width="54.375" style="108" customWidth="1"/>
  </cols>
  <sheetData>
    <row r="1" spans="4:21" ht="21.75" customHeight="1" x14ac:dyDescent="0.4">
      <c r="D1" s="126" t="s">
        <v>37</v>
      </c>
      <c r="E1" s="127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7"/>
    </row>
    <row r="3" spans="4:21" x14ac:dyDescent="0.4">
      <c r="D3" s="36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8"/>
    </row>
    <row r="4" spans="4:21" x14ac:dyDescent="0.4">
      <c r="D4" s="39"/>
      <c r="U4" s="57"/>
    </row>
    <row r="5" spans="4:21" x14ac:dyDescent="0.4">
      <c r="D5" s="4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1"/>
    </row>
    <row r="7" spans="4:21" x14ac:dyDescent="0.4">
      <c r="D7" s="120"/>
      <c r="E7" s="129"/>
      <c r="F7" s="130"/>
      <c r="G7" s="123" t="s">
        <v>38</v>
      </c>
      <c r="H7" s="124"/>
      <c r="I7" s="125"/>
      <c r="J7" s="123" t="s">
        <v>39</v>
      </c>
      <c r="K7" s="124"/>
      <c r="L7" s="125"/>
      <c r="M7" s="123" t="s">
        <v>40</v>
      </c>
      <c r="N7" s="124"/>
      <c r="O7" s="125"/>
      <c r="P7" s="123" t="s">
        <v>41</v>
      </c>
      <c r="Q7" s="124"/>
      <c r="R7" s="124"/>
      <c r="S7" s="124"/>
      <c r="T7" s="125"/>
      <c r="U7" s="120" t="s">
        <v>42</v>
      </c>
    </row>
    <row r="8" spans="4:21" x14ac:dyDescent="0.4">
      <c r="D8" s="131"/>
      <c r="E8" s="132"/>
      <c r="F8" s="133"/>
      <c r="G8" s="46" t="s">
        <v>2</v>
      </c>
      <c r="H8" s="47" t="s">
        <v>3</v>
      </c>
      <c r="I8" s="48" t="s">
        <v>4</v>
      </c>
      <c r="J8" s="46" t="s">
        <v>2</v>
      </c>
      <c r="K8" s="47" t="s">
        <v>3</v>
      </c>
      <c r="L8" s="48" t="s">
        <v>4</v>
      </c>
      <c r="M8" s="46" t="s">
        <v>2</v>
      </c>
      <c r="N8" s="47" t="s">
        <v>3</v>
      </c>
      <c r="O8" s="48" t="s">
        <v>4</v>
      </c>
      <c r="P8" s="46" t="s">
        <v>2</v>
      </c>
      <c r="Q8" s="47" t="s">
        <v>3</v>
      </c>
      <c r="R8" s="49" t="s">
        <v>4</v>
      </c>
      <c r="S8" s="49" t="s">
        <v>43</v>
      </c>
      <c r="T8" s="48" t="s">
        <v>44</v>
      </c>
      <c r="U8" s="134"/>
    </row>
    <row r="9" spans="4:21" x14ac:dyDescent="0.4">
      <c r="D9" s="36" t="s">
        <v>45</v>
      </c>
      <c r="E9" s="37"/>
      <c r="F9" s="38"/>
      <c r="G9" s="58">
        <f>G13+G17+G21</f>
        <v>206941.92099999997</v>
      </c>
      <c r="H9" s="59">
        <f>H13+H17+H21</f>
        <v>54478.063000000002</v>
      </c>
      <c r="I9" s="43">
        <f t="shared" ref="I9:I23" si="0">H9/G9</f>
        <v>0.26325291046273802</v>
      </c>
      <c r="J9" s="58">
        <f>J13+J17+J21</f>
        <v>220539.83600000001</v>
      </c>
      <c r="K9" s="59">
        <f>K13+K17+K21</f>
        <v>68409.156000000003</v>
      </c>
      <c r="L9" s="43">
        <f t="shared" ref="L9:L23" si="1">K9/J9</f>
        <v>0.31018956593402019</v>
      </c>
      <c r="M9" s="41">
        <f t="shared" ref="M9:M23" si="2">(G9+J9)/2</f>
        <v>213740.87849999999</v>
      </c>
      <c r="N9" s="42">
        <f t="shared" ref="N9:N23" si="3">(H9+K9)/2</f>
        <v>61443.609500000006</v>
      </c>
      <c r="O9" s="43">
        <f t="shared" ref="O9:O23" si="4">N9/M9</f>
        <v>0.28746775034893479</v>
      </c>
      <c r="P9" s="41">
        <f>P13+P17+P21</f>
        <v>239050</v>
      </c>
      <c r="Q9" s="42">
        <f>Q13+Q17+Q21</f>
        <v>71970</v>
      </c>
      <c r="R9" s="44">
        <f t="shared" ref="R9:R23" si="5">Q9/P9</f>
        <v>0.30106672244300353</v>
      </c>
      <c r="S9" s="44">
        <f t="shared" ref="S9:S23" si="6">P9/J9-1</f>
        <v>8.3931158813412621E-2</v>
      </c>
      <c r="T9" s="43">
        <f t="shared" ref="T9:T23" si="7">Q9/K9-1</f>
        <v>5.2052155123796462E-2</v>
      </c>
      <c r="U9" s="45"/>
    </row>
    <row r="10" spans="4:21" x14ac:dyDescent="0.4">
      <c r="D10" s="39"/>
      <c r="F10" s="31" t="s">
        <v>46</v>
      </c>
      <c r="G10" s="41">
        <f>G9-G11-G12</f>
        <v>161178.90999999997</v>
      </c>
      <c r="H10" s="42">
        <f>H9-H11-H12</f>
        <v>29042.896000000004</v>
      </c>
      <c r="I10" s="43">
        <f t="shared" si="0"/>
        <v>0.18019042317633249</v>
      </c>
      <c r="J10" s="41">
        <f>J9-J11-J12</f>
        <v>178400.26</v>
      </c>
      <c r="K10" s="42">
        <f>K9-K11-K12</f>
        <v>42225.593999999997</v>
      </c>
      <c r="L10" s="43">
        <f t="shared" si="1"/>
        <v>0.23669020437526264</v>
      </c>
      <c r="M10" s="3">
        <f t="shared" si="2"/>
        <v>169789.58499999999</v>
      </c>
      <c r="N10" s="4">
        <f t="shared" si="3"/>
        <v>35634.245000000003</v>
      </c>
      <c r="O10" s="25">
        <f t="shared" si="4"/>
        <v>0.20987297306840114</v>
      </c>
      <c r="P10" s="41">
        <f>P9-P12-P11</f>
        <v>191810</v>
      </c>
      <c r="Q10" s="42">
        <f>Q9-Q12-Q11</f>
        <v>44560</v>
      </c>
      <c r="R10" s="29">
        <f t="shared" si="5"/>
        <v>0.23231322663051979</v>
      </c>
      <c r="S10" s="29">
        <f t="shared" si="6"/>
        <v>7.5166594488146998E-2</v>
      </c>
      <c r="T10" s="25">
        <f t="shared" si="7"/>
        <v>5.5284148282200629E-2</v>
      </c>
      <c r="U10" s="27"/>
    </row>
    <row r="11" spans="4:21" x14ac:dyDescent="0.4">
      <c r="D11" s="39"/>
      <c r="F11" s="35" t="s">
        <v>47</v>
      </c>
      <c r="G11" s="41">
        <f>G15+G19</f>
        <v>43305.251000000004</v>
      </c>
      <c r="H11" s="42">
        <f>H15+H19</f>
        <v>24966.441999999999</v>
      </c>
      <c r="I11" s="43">
        <f t="shared" si="0"/>
        <v>0.57652227901877295</v>
      </c>
      <c r="J11" s="41">
        <f>J15+J19</f>
        <v>41232.720000000001</v>
      </c>
      <c r="K11" s="42">
        <f>K15+K19</f>
        <v>26009.562000000002</v>
      </c>
      <c r="L11" s="43">
        <f t="shared" si="1"/>
        <v>0.63079908383439176</v>
      </c>
      <c r="M11" s="3">
        <f t="shared" si="2"/>
        <v>42268.985500000003</v>
      </c>
      <c r="N11" s="4">
        <f t="shared" si="3"/>
        <v>25488.002</v>
      </c>
      <c r="O11" s="25">
        <f t="shared" si="4"/>
        <v>0.60299535696213946</v>
      </c>
      <c r="P11" s="41">
        <f>P15+P19</f>
        <v>46940</v>
      </c>
      <c r="Q11" s="42">
        <f>Q15+Q19</f>
        <v>27350</v>
      </c>
      <c r="R11" s="29">
        <f t="shared" si="5"/>
        <v>0.58265871325095864</v>
      </c>
      <c r="S11" s="29">
        <f t="shared" si="6"/>
        <v>0.13841628687120333</v>
      </c>
      <c r="T11" s="25">
        <f t="shared" si="7"/>
        <v>5.153635420696423E-2</v>
      </c>
      <c r="U11" s="45"/>
    </row>
    <row r="12" spans="4:21" x14ac:dyDescent="0.4">
      <c r="D12" s="39"/>
      <c r="F12" s="35" t="s">
        <v>48</v>
      </c>
      <c r="G12" s="41">
        <f>G16+G20+G23</f>
        <v>2457.7600000000002</v>
      </c>
      <c r="H12" s="42">
        <f>H16+H20+H23</f>
        <v>468.72499999999997</v>
      </c>
      <c r="I12" s="43">
        <f t="shared" si="0"/>
        <v>0.19071227459149792</v>
      </c>
      <c r="J12" s="41">
        <f>J16+J20+J23</f>
        <v>906.85599999999999</v>
      </c>
      <c r="K12" s="42">
        <f>K16+K20+K23</f>
        <v>174</v>
      </c>
      <c r="L12" s="43">
        <f t="shared" si="1"/>
        <v>0.19187169738084106</v>
      </c>
      <c r="M12" s="3">
        <f t="shared" si="2"/>
        <v>1682.308</v>
      </c>
      <c r="N12" s="4">
        <f t="shared" si="3"/>
        <v>321.36249999999995</v>
      </c>
      <c r="O12" s="25">
        <f t="shared" si="4"/>
        <v>0.19102477073163771</v>
      </c>
      <c r="P12" s="41">
        <f>P16+P20+P23</f>
        <v>300</v>
      </c>
      <c r="Q12" s="42">
        <f>Q16+Q20+Q23</f>
        <v>60</v>
      </c>
      <c r="R12" s="29">
        <f t="shared" si="5"/>
        <v>0.2</v>
      </c>
      <c r="S12" s="29">
        <f t="shared" si="6"/>
        <v>-0.66918672865372231</v>
      </c>
      <c r="T12" s="25">
        <f t="shared" si="7"/>
        <v>-0.65517241379310343</v>
      </c>
      <c r="U12" s="45"/>
    </row>
    <row r="13" spans="4:21" x14ac:dyDescent="0.4">
      <c r="D13" s="39"/>
      <c r="E13" s="32" t="s">
        <v>49</v>
      </c>
      <c r="F13" s="33"/>
      <c r="G13" s="3">
        <v>66081.909</v>
      </c>
      <c r="H13" s="4">
        <v>23129.887999999999</v>
      </c>
      <c r="I13" s="25">
        <f t="shared" si="0"/>
        <v>0.35001845966647238</v>
      </c>
      <c r="J13" s="3">
        <v>67697.195000000007</v>
      </c>
      <c r="K13" s="4">
        <v>25007.512999999999</v>
      </c>
      <c r="L13" s="25">
        <f t="shared" si="1"/>
        <v>0.3694024988775384</v>
      </c>
      <c r="M13" s="3">
        <f t="shared" si="2"/>
        <v>66889.551999999996</v>
      </c>
      <c r="N13" s="4">
        <f t="shared" si="3"/>
        <v>24068.700499999999</v>
      </c>
      <c r="O13" s="25">
        <f t="shared" si="4"/>
        <v>0.3598275034044181</v>
      </c>
      <c r="P13" s="3">
        <f>P14+P16+P15</f>
        <v>80730</v>
      </c>
      <c r="Q13" s="4">
        <f>Q14+Q16+Q15</f>
        <v>27670</v>
      </c>
      <c r="R13" s="29">
        <f t="shared" si="5"/>
        <v>0.34274742970395145</v>
      </c>
      <c r="S13" s="29">
        <f t="shared" si="6"/>
        <v>0.192516174414612</v>
      </c>
      <c r="T13" s="25">
        <f t="shared" si="7"/>
        <v>0.10646748439159071</v>
      </c>
      <c r="U13" s="27"/>
    </row>
    <row r="14" spans="4:21" x14ac:dyDescent="0.4">
      <c r="D14" s="39"/>
      <c r="E14" s="34"/>
      <c r="F14" s="31" t="s">
        <v>46</v>
      </c>
      <c r="G14" s="3">
        <f>G13-G15-G16</f>
        <v>37786.872999999992</v>
      </c>
      <c r="H14" s="4">
        <f>H13-H15-H16</f>
        <v>8753.982</v>
      </c>
      <c r="I14" s="25">
        <f t="shared" si="0"/>
        <v>0.23166727768132606</v>
      </c>
      <c r="J14" s="3">
        <f>J13-J15-J16</f>
        <v>45817.365000000005</v>
      </c>
      <c r="K14" s="4">
        <f>K13-K15-K16</f>
        <v>13190.633999999998</v>
      </c>
      <c r="L14" s="25">
        <f t="shared" si="1"/>
        <v>0.28789595385941547</v>
      </c>
      <c r="M14" s="3">
        <f t="shared" si="2"/>
        <v>41802.118999999999</v>
      </c>
      <c r="N14" s="4">
        <f t="shared" si="3"/>
        <v>10972.307999999999</v>
      </c>
      <c r="O14" s="25">
        <f t="shared" si="4"/>
        <v>0.26248210048873361</v>
      </c>
      <c r="P14" s="3">
        <v>57140</v>
      </c>
      <c r="Q14" s="4">
        <v>16130</v>
      </c>
      <c r="R14" s="29">
        <f t="shared" si="5"/>
        <v>0.2822891144557228</v>
      </c>
      <c r="S14" s="29">
        <f t="shared" si="6"/>
        <v>0.24712540758291079</v>
      </c>
      <c r="T14" s="25">
        <f t="shared" si="7"/>
        <v>0.22283735565705198</v>
      </c>
      <c r="U14" s="70" t="s">
        <v>50</v>
      </c>
    </row>
    <row r="15" spans="4:21" x14ac:dyDescent="0.4">
      <c r="D15" s="39"/>
      <c r="E15" s="34"/>
      <c r="F15" s="35" t="s">
        <v>47</v>
      </c>
      <c r="G15" s="41">
        <v>26163.236000000001</v>
      </c>
      <c r="H15" s="42">
        <v>13947.505999999999</v>
      </c>
      <c r="I15" s="25">
        <f t="shared" si="0"/>
        <v>0.53309560025373004</v>
      </c>
      <c r="J15" s="41">
        <v>21753.83</v>
      </c>
      <c r="K15" s="42">
        <v>11773.879000000001</v>
      </c>
      <c r="L15" s="25">
        <f t="shared" si="1"/>
        <v>0.5412324634328759</v>
      </c>
      <c r="M15" s="3">
        <f t="shared" si="2"/>
        <v>23958.533000000003</v>
      </c>
      <c r="N15" s="4">
        <f t="shared" si="3"/>
        <v>12860.692500000001</v>
      </c>
      <c r="O15" s="25">
        <f t="shared" si="4"/>
        <v>0.53678964818087982</v>
      </c>
      <c r="P15" s="3">
        <v>23290</v>
      </c>
      <c r="Q15" s="4">
        <v>11480</v>
      </c>
      <c r="R15" s="29">
        <f t="shared" si="5"/>
        <v>0.49291541434091884</v>
      </c>
      <c r="S15" s="29">
        <f t="shared" si="6"/>
        <v>7.0616070825229249E-2</v>
      </c>
      <c r="T15" s="25">
        <f t="shared" si="7"/>
        <v>-2.4960253116241504E-2</v>
      </c>
      <c r="U15" s="27"/>
    </row>
    <row r="16" spans="4:21" x14ac:dyDescent="0.4">
      <c r="D16" s="39"/>
      <c r="E16" s="34"/>
      <c r="F16" s="35" t="s">
        <v>48</v>
      </c>
      <c r="G16" s="41">
        <v>2131.8000000000002</v>
      </c>
      <c r="H16" s="42">
        <v>428.4</v>
      </c>
      <c r="I16" s="25">
        <f t="shared" si="0"/>
        <v>0.20095693779904303</v>
      </c>
      <c r="J16" s="41">
        <v>126</v>
      </c>
      <c r="K16" s="42">
        <v>43</v>
      </c>
      <c r="L16" s="25">
        <f t="shared" si="1"/>
        <v>0.34126984126984128</v>
      </c>
      <c r="M16" s="3">
        <f t="shared" si="2"/>
        <v>1128.9000000000001</v>
      </c>
      <c r="N16" s="4">
        <f t="shared" si="3"/>
        <v>235.7</v>
      </c>
      <c r="O16" s="25">
        <f t="shared" si="4"/>
        <v>0.20878731508548143</v>
      </c>
      <c r="P16" s="3">
        <v>300</v>
      </c>
      <c r="Q16" s="4">
        <v>60</v>
      </c>
      <c r="R16" s="29">
        <f t="shared" si="5"/>
        <v>0.2</v>
      </c>
      <c r="S16" s="29">
        <f t="shared" si="6"/>
        <v>1.3809523809523809</v>
      </c>
      <c r="T16" s="25">
        <f t="shared" si="7"/>
        <v>0.39534883720930236</v>
      </c>
      <c r="U16" s="27" t="s">
        <v>51</v>
      </c>
    </row>
    <row r="17" spans="4:21" x14ac:dyDescent="0.4">
      <c r="D17" s="39"/>
      <c r="E17" s="32" t="s">
        <v>52</v>
      </c>
      <c r="F17" s="33"/>
      <c r="G17" s="3">
        <v>55752.067999999999</v>
      </c>
      <c r="H17" s="4">
        <v>18201.506000000001</v>
      </c>
      <c r="I17" s="25">
        <f t="shared" si="0"/>
        <v>0.32647230233683888</v>
      </c>
      <c r="J17" s="3">
        <v>62327.332000000002</v>
      </c>
      <c r="K17" s="4">
        <v>23403.441999999999</v>
      </c>
      <c r="L17" s="25">
        <f t="shared" si="1"/>
        <v>0.37549244045934771</v>
      </c>
      <c r="M17" s="3">
        <f t="shared" si="2"/>
        <v>59039.7</v>
      </c>
      <c r="N17" s="4">
        <f t="shared" si="3"/>
        <v>20802.474000000002</v>
      </c>
      <c r="O17" s="25">
        <f t="shared" si="4"/>
        <v>0.35234721721146961</v>
      </c>
      <c r="P17" s="3">
        <f>P18+P19+P20</f>
        <v>65250</v>
      </c>
      <c r="Q17" s="4">
        <f>Q18+Q19+Q20</f>
        <v>24030</v>
      </c>
      <c r="R17" s="29">
        <f t="shared" si="5"/>
        <v>0.36827586206896551</v>
      </c>
      <c r="S17" s="29">
        <f t="shared" si="6"/>
        <v>4.6892236619401562E-2</v>
      </c>
      <c r="T17" s="25">
        <f t="shared" si="7"/>
        <v>2.6772044898353053E-2</v>
      </c>
      <c r="U17" s="27"/>
    </row>
    <row r="18" spans="4:21" x14ac:dyDescent="0.4">
      <c r="D18" s="39"/>
      <c r="E18" s="34"/>
      <c r="F18" s="31" t="s">
        <v>46</v>
      </c>
      <c r="G18" s="3">
        <f>G17-G19-G20</f>
        <v>38610.053</v>
      </c>
      <c r="H18" s="4">
        <f>H17-H19-H20</f>
        <v>7182.5700000000015</v>
      </c>
      <c r="I18" s="25">
        <f t="shared" si="0"/>
        <v>0.18602849366718044</v>
      </c>
      <c r="J18" s="3">
        <f>J17-J19-J20</f>
        <v>42848.442000000003</v>
      </c>
      <c r="K18" s="4">
        <f>K17-K19-K20</f>
        <v>9167.7589999999982</v>
      </c>
      <c r="L18" s="25">
        <f t="shared" si="1"/>
        <v>0.21395781438214248</v>
      </c>
      <c r="M18" s="3">
        <f t="shared" si="2"/>
        <v>40729.247499999998</v>
      </c>
      <c r="N18" s="4">
        <f t="shared" si="3"/>
        <v>8175.1644999999999</v>
      </c>
      <c r="O18" s="25">
        <f t="shared" si="4"/>
        <v>0.20071975304724204</v>
      </c>
      <c r="P18" s="3">
        <v>41600</v>
      </c>
      <c r="Q18" s="4">
        <v>8160</v>
      </c>
      <c r="R18" s="29">
        <f t="shared" si="5"/>
        <v>0.19615384615384615</v>
      </c>
      <c r="S18" s="29">
        <f t="shared" si="6"/>
        <v>-2.9136228570457723E-2</v>
      </c>
      <c r="T18" s="25">
        <f t="shared" si="7"/>
        <v>-0.10992424648161003</v>
      </c>
      <c r="U18" s="70" t="s">
        <v>53</v>
      </c>
    </row>
    <row r="19" spans="4:21" x14ac:dyDescent="0.4">
      <c r="D19" s="39"/>
      <c r="E19" s="34"/>
      <c r="F19" s="35" t="s">
        <v>47</v>
      </c>
      <c r="G19" s="3">
        <v>17142.014999999999</v>
      </c>
      <c r="H19" s="4">
        <v>11018.936</v>
      </c>
      <c r="I19" s="25">
        <f t="shared" si="0"/>
        <v>0.64280284435639568</v>
      </c>
      <c r="J19" s="3">
        <v>19478.89</v>
      </c>
      <c r="K19" s="4">
        <v>14235.683000000001</v>
      </c>
      <c r="L19" s="25">
        <f t="shared" si="1"/>
        <v>0.73082619184152697</v>
      </c>
      <c r="M19" s="3">
        <f t="shared" si="2"/>
        <v>18310.452499999999</v>
      </c>
      <c r="N19" s="4">
        <f t="shared" si="3"/>
        <v>12627.309499999999</v>
      </c>
      <c r="O19" s="25">
        <f t="shared" si="4"/>
        <v>0.68962301723564723</v>
      </c>
      <c r="P19" s="3">
        <v>23650</v>
      </c>
      <c r="Q19" s="4">
        <v>15870</v>
      </c>
      <c r="R19" s="29">
        <f t="shared" si="5"/>
        <v>0.67103594080338269</v>
      </c>
      <c r="S19" s="29">
        <f t="shared" si="6"/>
        <v>0.21413489166990529</v>
      </c>
      <c r="T19" s="25">
        <f t="shared" si="7"/>
        <v>0.11480425631843572</v>
      </c>
      <c r="U19" s="27"/>
    </row>
    <row r="20" spans="4:21" x14ac:dyDescent="0.4">
      <c r="D20" s="52"/>
      <c r="E20" s="56"/>
      <c r="F20" s="35" t="s">
        <v>48</v>
      </c>
      <c r="G20" s="3">
        <v>0</v>
      </c>
      <c r="H20" s="4">
        <v>0</v>
      </c>
      <c r="I20" s="25" t="e">
        <f t="shared" si="0"/>
        <v>#DIV/0!</v>
      </c>
      <c r="J20" s="3">
        <v>0</v>
      </c>
      <c r="K20" s="4">
        <v>0</v>
      </c>
      <c r="L20" s="25" t="e">
        <f t="shared" si="1"/>
        <v>#DIV/0!</v>
      </c>
      <c r="M20" s="3">
        <f t="shared" si="2"/>
        <v>0</v>
      </c>
      <c r="N20" s="4">
        <f t="shared" si="3"/>
        <v>0</v>
      </c>
      <c r="O20" s="25" t="e">
        <f t="shared" si="4"/>
        <v>#DIV/0!</v>
      </c>
      <c r="P20" s="3">
        <v>0</v>
      </c>
      <c r="Q20" s="4">
        <v>0</v>
      </c>
      <c r="R20" s="29" t="e">
        <f t="shared" si="5"/>
        <v>#DIV/0!</v>
      </c>
      <c r="S20" s="29" t="e">
        <f t="shared" si="6"/>
        <v>#DIV/0!</v>
      </c>
      <c r="T20" s="25" t="e">
        <f t="shared" si="7"/>
        <v>#DIV/0!</v>
      </c>
      <c r="U20" s="27"/>
    </row>
    <row r="21" spans="4:21" x14ac:dyDescent="0.4">
      <c r="D21" s="52"/>
      <c r="E21" s="32" t="s">
        <v>54</v>
      </c>
      <c r="F21" s="33"/>
      <c r="G21" s="3">
        <v>85107.943999999989</v>
      </c>
      <c r="H21" s="4">
        <v>13146.669</v>
      </c>
      <c r="I21" s="25">
        <f t="shared" si="0"/>
        <v>0.15447052745158552</v>
      </c>
      <c r="J21" s="3">
        <v>90515.309000000008</v>
      </c>
      <c r="K21" s="4">
        <v>19998.201000000001</v>
      </c>
      <c r="L21" s="25">
        <f t="shared" si="1"/>
        <v>0.22093722289563192</v>
      </c>
      <c r="M21" s="3">
        <f t="shared" si="2"/>
        <v>87811.626499999998</v>
      </c>
      <c r="N21" s="4">
        <f t="shared" si="3"/>
        <v>16572.435000000001</v>
      </c>
      <c r="O21" s="25">
        <f t="shared" si="4"/>
        <v>0.18872711576524553</v>
      </c>
      <c r="P21" s="3">
        <f>P22+P23</f>
        <v>93070</v>
      </c>
      <c r="Q21" s="4">
        <f>Q22+Q23</f>
        <v>20270</v>
      </c>
      <c r="R21" s="29">
        <f t="shared" si="5"/>
        <v>0.21779305898785861</v>
      </c>
      <c r="S21" s="29">
        <f t="shared" si="6"/>
        <v>2.8223855480623561E-2</v>
      </c>
      <c r="T21" s="25">
        <f t="shared" si="7"/>
        <v>1.3591172525968753E-2</v>
      </c>
      <c r="U21" s="27"/>
    </row>
    <row r="22" spans="4:21" x14ac:dyDescent="0.4">
      <c r="D22" s="39"/>
      <c r="E22" s="34"/>
      <c r="F22" s="31" t="s">
        <v>46</v>
      </c>
      <c r="G22" s="3">
        <f>G21-G23</f>
        <v>84781.983999999982</v>
      </c>
      <c r="H22" s="4">
        <f>H21-H23</f>
        <v>13106.343999999999</v>
      </c>
      <c r="I22" s="25">
        <f t="shared" si="0"/>
        <v>0.15458878622137459</v>
      </c>
      <c r="J22" s="3">
        <f>J21-J23</f>
        <v>89734.453000000009</v>
      </c>
      <c r="K22" s="4">
        <f>K21-K23</f>
        <v>19867.201000000001</v>
      </c>
      <c r="L22" s="25">
        <f t="shared" si="1"/>
        <v>0.22139992317109236</v>
      </c>
      <c r="M22" s="3">
        <f t="shared" si="2"/>
        <v>87258.218499999988</v>
      </c>
      <c r="N22" s="4">
        <f t="shared" si="3"/>
        <v>16486.772499999999</v>
      </c>
      <c r="O22" s="25">
        <f t="shared" si="4"/>
        <v>0.18894234587198228</v>
      </c>
      <c r="P22" s="3">
        <v>93070</v>
      </c>
      <c r="Q22" s="4">
        <v>20270</v>
      </c>
      <c r="R22" s="29">
        <f t="shared" si="5"/>
        <v>0.21779305898785861</v>
      </c>
      <c r="S22" s="29">
        <f t="shared" si="6"/>
        <v>3.7171308103922884E-2</v>
      </c>
      <c r="T22" s="25">
        <f t="shared" si="7"/>
        <v>2.0274572145316139E-2</v>
      </c>
      <c r="U22" s="27"/>
    </row>
    <row r="23" spans="4:21" x14ac:dyDescent="0.4">
      <c r="D23" s="40"/>
      <c r="E23" s="55"/>
      <c r="F23" s="23" t="s">
        <v>48</v>
      </c>
      <c r="G23" s="5">
        <v>325.95999999999998</v>
      </c>
      <c r="H23" s="6">
        <v>40.325000000000003</v>
      </c>
      <c r="I23" s="26">
        <f t="shared" si="0"/>
        <v>0.12371149834335503</v>
      </c>
      <c r="J23" s="5">
        <v>780.85599999999999</v>
      </c>
      <c r="K23" s="6">
        <v>131</v>
      </c>
      <c r="L23" s="26">
        <f t="shared" si="1"/>
        <v>0.16776460704662577</v>
      </c>
      <c r="M23" s="5">
        <f t="shared" si="2"/>
        <v>553.40800000000002</v>
      </c>
      <c r="N23" s="6">
        <f t="shared" si="3"/>
        <v>85.662499999999994</v>
      </c>
      <c r="O23" s="26">
        <f t="shared" si="4"/>
        <v>0.15479085954666358</v>
      </c>
      <c r="P23" s="5">
        <v>0</v>
      </c>
      <c r="Q23" s="6">
        <v>0</v>
      </c>
      <c r="R23" s="30" t="e">
        <f t="shared" si="5"/>
        <v>#DIV/0!</v>
      </c>
      <c r="S23" s="30">
        <f t="shared" si="6"/>
        <v>-1</v>
      </c>
      <c r="T23" s="26">
        <f t="shared" si="7"/>
        <v>-1</v>
      </c>
      <c r="U23" s="28"/>
    </row>
  </sheetData>
  <mergeCells count="7">
    <mergeCell ref="J7:L7"/>
    <mergeCell ref="D1:U1"/>
    <mergeCell ref="P7:T7"/>
    <mergeCell ref="M7:O7"/>
    <mergeCell ref="G7:I7"/>
    <mergeCell ref="D7:F8"/>
    <mergeCell ref="U7:U8"/>
  </mergeCells>
  <phoneticPr fontId="2"/>
  <pageMargins left="0.70866141732283472" right="0.70866141732283472" top="0.74803149606299213" bottom="0.74803149606299213" header="0.31496062992125978" footer="0.31496062992125978"/>
  <pageSetup paperSize="9" scale="6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包装資材</vt:lpstr>
      <vt:lpstr>機械</vt:lpstr>
      <vt:lpstr>全体</vt:lpstr>
      <vt:lpstr>総括</vt:lpstr>
      <vt:lpstr>機械!Print_Area</vt:lpstr>
      <vt:lpstr>全体!Print_Area</vt:lpstr>
      <vt:lpstr>総括!Print_Area</vt:lpstr>
      <vt:lpstr>包装資材!Print_Area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ma-takahashi</dc:creator>
  <cp:lastModifiedBy>ma-takahashi</cp:lastModifiedBy>
  <cp:lastPrinted>2026-03-25T18:42:16Z</cp:lastPrinted>
  <dcterms:created xsi:type="dcterms:W3CDTF">2024-06-27T00:13:49Z</dcterms:created>
  <dcterms:modified xsi:type="dcterms:W3CDTF">2026-10-07T04:36:44Z</dcterms:modified>
</cp:coreProperties>
</file>