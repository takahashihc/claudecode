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包装資材" sheetId="1" state="visible" r:id="rId1"/>
    <sheet xmlns:r="http://schemas.openxmlformats.org/officeDocument/2006/relationships" name="機械" sheetId="2" state="visible" r:id="rId2"/>
    <sheet xmlns:r="http://schemas.openxmlformats.org/officeDocument/2006/relationships" name="全体" sheetId="3" state="visible" r:id="rId3"/>
    <sheet xmlns:r="http://schemas.openxmlformats.org/officeDocument/2006/relationships" name="総括" sheetId="4" state="visible" r:id="rId4"/>
  </sheets>
  <definedNames>
    <definedName name="_xlnm.Print_Area" localSheetId="0">'包装資材'!$C$1:$Y$100</definedName>
    <definedName name="_xlnm.Print_Area" localSheetId="1">'機械'!$C$1:$Y$100</definedName>
    <definedName name="_xlnm.Print_Area" localSheetId="2">'全体'!$C$1:$Y$100</definedName>
    <definedName name="_xlnm.Print_Area" localSheetId="3">'総括'!$D$1:$U$23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0"/>
      <scheme val="minor"/>
    </font>
    <font>
      <name val="HGP創英角ｺﾞｼｯｸUB"/>
      <charset val="128"/>
      <family val="3"/>
      <color theme="1"/>
      <sz val="16"/>
    </font>
    <font>
      <name val="游ゴシック"/>
      <charset val="128"/>
      <family val="2"/>
      <color theme="1"/>
      <sz val="9"/>
      <scheme val="minor"/>
    </font>
    <font>
      <name val="游ゴシック"/>
      <charset val="128"/>
      <family val="2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gray0625"/>
    </fill>
    <fill>
      <patternFill patternType="gray0625">
        <bgColor rgb="FFFFFF00"/>
      </patternFill>
    </fill>
    <fill>
      <patternFill patternType="solid">
        <fgColor indexed="65"/>
        <bgColor theme="0"/>
      </patternFill>
    </fill>
    <fill>
      <patternFill patternType="gray0625">
        <fgColor theme="0"/>
      </patternFill>
    </fill>
    <fill>
      <patternFill patternType="gray0625">
        <fgColor theme="0"/>
        <bgColor rgb="FFFFFF00"/>
      </patternFill>
    </fill>
  </fills>
  <borders count="5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9" fontId="1" fillId="0" borderId="0" applyAlignment="1">
      <alignment vertical="center"/>
    </xf>
  </cellStyleXfs>
  <cellXfs count="16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55" fontId="3" fillId="0" borderId="2" applyAlignment="1" pivotButton="0" quotePrefix="0" xfId="0">
      <alignment horizontal="center" vertical="center"/>
    </xf>
    <xf numFmtId="38" fontId="0" fillId="0" borderId="4" applyAlignment="1" pivotButton="0" quotePrefix="0" xfId="1">
      <alignment vertical="center"/>
    </xf>
    <xf numFmtId="38" fontId="0" fillId="0" borderId="5" applyAlignment="1" pivotButton="0" quotePrefix="0" xfId="1">
      <alignment vertical="center"/>
    </xf>
    <xf numFmtId="38" fontId="0" fillId="0" borderId="7" applyAlignment="1" pivotButton="0" quotePrefix="0" xfId="1">
      <alignment vertical="center"/>
    </xf>
    <xf numFmtId="38" fontId="0" fillId="0" borderId="8" applyAlignment="1" pivotButton="0" quotePrefix="0" xfId="1">
      <alignment vertical="center"/>
    </xf>
    <xf numFmtId="38" fontId="0" fillId="2" borderId="5" applyAlignment="1" pivotButton="0" quotePrefix="0" xfId="1">
      <alignment vertical="center"/>
    </xf>
    <xf numFmtId="38" fontId="0" fillId="3" borderId="8" applyAlignment="1" pivotButton="0" quotePrefix="0" xfId="0">
      <alignment vertical="center"/>
    </xf>
    <xf numFmtId="38" fontId="0" fillId="4" borderId="8" applyAlignment="1" pivotButton="0" quotePrefix="0" xfId="1">
      <alignment vertical="center"/>
    </xf>
    <xf numFmtId="0" fontId="0" fillId="2" borderId="3" applyAlignment="1" pivotButton="0" quotePrefix="0" xfId="0">
      <alignment horizontal="center" vertical="center"/>
    </xf>
    <xf numFmtId="164" fontId="0" fillId="0" borderId="5" applyAlignment="1" pivotButton="0" quotePrefix="0" xfId="2">
      <alignment horizontal="right" vertical="center"/>
    </xf>
    <xf numFmtId="164" fontId="0" fillId="2" borderId="5" applyAlignment="1" pivotButton="0" quotePrefix="0" xfId="2">
      <alignment horizontal="right" vertical="center"/>
    </xf>
    <xf numFmtId="164" fontId="0" fillId="2" borderId="6" applyAlignment="1" pivotButton="0" quotePrefix="0" xfId="2">
      <alignment horizontal="right" vertical="center"/>
    </xf>
    <xf numFmtId="164" fontId="0" fillId="3" borderId="8" applyAlignment="1" pivotButton="0" quotePrefix="0" xfId="2">
      <alignment horizontal="right" vertical="center"/>
    </xf>
    <xf numFmtId="164" fontId="0" fillId="4" borderId="8" applyAlignment="1" pivotButton="0" quotePrefix="0" xfId="2">
      <alignment horizontal="right" vertical="center"/>
    </xf>
    <xf numFmtId="164" fontId="0" fillId="4" borderId="9" applyAlignment="1" pivotButton="0" quotePrefix="0" xfId="2">
      <alignment horizontal="right" vertical="center"/>
    </xf>
    <xf numFmtId="38" fontId="0" fillId="0" borderId="0" applyAlignment="1" pivotButton="0" quotePrefix="0" xfId="0">
      <alignment vertical="center"/>
    </xf>
    <xf numFmtId="38" fontId="0" fillId="0" borderId="0" applyAlignment="1" pivotButton="0" quotePrefix="0" xfId="1">
      <alignment vertical="center"/>
    </xf>
    <xf numFmtId="164" fontId="0" fillId="0" borderId="0" applyAlignment="1" pivotButton="0" quotePrefix="0" xfId="2">
      <alignment horizontal="right" vertical="center"/>
    </xf>
    <xf numFmtId="38" fontId="0" fillId="0" borderId="17" applyAlignment="1" pivotButton="0" quotePrefix="0" xfId="1">
      <alignment vertical="center"/>
    </xf>
    <xf numFmtId="0" fontId="0" fillId="0" borderId="3" applyAlignment="1" pivotButton="0" quotePrefix="0" xfId="0">
      <alignment vertical="center"/>
    </xf>
    <xf numFmtId="38" fontId="0" fillId="0" borderId="6" applyAlignment="1" pivotButton="0" quotePrefix="0" xfId="1">
      <alignment vertical="center"/>
    </xf>
    <xf numFmtId="0" fontId="0" fillId="0" borderId="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0" fillId="0" borderId="6" applyAlignment="1" pivotButton="0" quotePrefix="0" xfId="2">
      <alignment vertical="center"/>
    </xf>
    <xf numFmtId="164" fontId="0" fillId="0" borderId="9" applyAlignment="1" pivotButton="0" quotePrefix="0" xfId="2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164" fontId="0" fillId="0" borderId="23" applyAlignment="1" pivotButton="0" quotePrefix="0" xfId="2">
      <alignment vertical="center"/>
    </xf>
    <xf numFmtId="164" fontId="0" fillId="0" borderId="24" applyAlignment="1" pivotButton="0" quotePrefix="0" xfId="2">
      <alignment vertical="center"/>
    </xf>
    <xf numFmtId="0" fontId="0" fillId="0" borderId="6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38" fontId="0" fillId="0" borderId="31" applyAlignment="1" pivotButton="0" quotePrefix="0" xfId="1">
      <alignment vertical="center"/>
    </xf>
    <xf numFmtId="38" fontId="0" fillId="0" borderId="32" applyAlignment="1" pivotButton="0" quotePrefix="0" xfId="1">
      <alignment vertical="center"/>
    </xf>
    <xf numFmtId="164" fontId="0" fillId="0" borderId="33" applyAlignment="1" pivotButton="0" quotePrefix="0" xfId="2">
      <alignment vertical="center"/>
    </xf>
    <xf numFmtId="164" fontId="0" fillId="0" borderId="34" applyAlignment="1" pivotButton="0" quotePrefix="0" xfId="2">
      <alignment vertical="center"/>
    </xf>
    <xf numFmtId="0" fontId="0" fillId="0" borderId="35" applyAlignment="1" pivotButton="0" quotePrefix="0" xfId="0">
      <alignment vertical="center"/>
    </xf>
    <xf numFmtId="38" fontId="0" fillId="0" borderId="7" applyAlignment="1" pivotButton="0" quotePrefix="0" xfId="1">
      <alignment horizontal="center" vertical="center"/>
    </xf>
    <xf numFmtId="38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38" fontId="0" fillId="3" borderId="7" applyAlignment="1" pivotButton="0" quotePrefix="0" xfId="1">
      <alignment vertical="center"/>
    </xf>
    <xf numFmtId="0" fontId="0" fillId="3" borderId="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38" fontId="0" fillId="0" borderId="1" applyAlignment="1" pivotButton="0" quotePrefix="0" xfId="1">
      <alignment vertical="center"/>
    </xf>
    <xf numFmtId="38" fontId="0" fillId="0" borderId="2" applyAlignment="1" pivotButton="0" quotePrefix="0" xfId="1">
      <alignment vertical="center"/>
    </xf>
    <xf numFmtId="0" fontId="0" fillId="0" borderId="4" applyAlignment="1" pivotButton="0" quotePrefix="0" xfId="0">
      <alignment vertical="center"/>
    </xf>
    <xf numFmtId="55" fontId="3" fillId="0" borderId="1" applyAlignment="1" pivotButton="0" quotePrefix="0" xfId="0">
      <alignment horizontal="center" vertical="center"/>
    </xf>
    <xf numFmtId="38" fontId="0" fillId="2" borderId="6" applyAlignment="1" pivotButton="0" quotePrefix="0" xfId="1">
      <alignment vertical="center"/>
    </xf>
    <xf numFmtId="38" fontId="0" fillId="3" borderId="7" applyAlignment="1" pivotButton="0" quotePrefix="0" xfId="0">
      <alignment vertical="center"/>
    </xf>
    <xf numFmtId="38" fontId="0" fillId="4" borderId="9" applyAlignment="1" pivotButton="0" quotePrefix="0" xfId="1">
      <alignment vertical="center"/>
    </xf>
    <xf numFmtId="164" fontId="0" fillId="0" borderId="4" applyAlignment="1" pivotButton="0" quotePrefix="0" xfId="2">
      <alignment horizontal="right" vertical="center"/>
    </xf>
    <xf numFmtId="164" fontId="0" fillId="3" borderId="7" applyAlignment="1" pivotButton="0" quotePrefix="0" xfId="2">
      <alignment horizontal="right" vertical="center"/>
    </xf>
    <xf numFmtId="0" fontId="0" fillId="2" borderId="40" applyAlignment="1" pivotButton="0" quotePrefix="0" xfId="0">
      <alignment horizontal="center" vertical="center"/>
    </xf>
    <xf numFmtId="38" fontId="0" fillId="2" borderId="23" applyAlignment="1" pivotButton="0" quotePrefix="0" xfId="1">
      <alignment vertical="center"/>
    </xf>
    <xf numFmtId="38" fontId="0" fillId="4" borderId="24" applyAlignment="1" pivotButton="0" quotePrefix="0" xfId="1">
      <alignment vertical="center"/>
    </xf>
    <xf numFmtId="0" fontId="5" fillId="0" borderId="19" applyAlignment="1" pivotButton="0" quotePrefix="0" xfId="0">
      <alignment vertical="center"/>
    </xf>
    <xf numFmtId="38" fontId="6" fillId="0" borderId="17" applyAlignment="1" pivotButton="0" quotePrefix="0" xfId="1">
      <alignment vertical="center"/>
    </xf>
    <xf numFmtId="38" fontId="6" fillId="2" borderId="5" applyAlignment="1" pivotButton="0" quotePrefix="0" xfId="1">
      <alignment vertical="center"/>
    </xf>
    <xf numFmtId="38" fontId="6" fillId="0" borderId="5" applyAlignment="1" pivotButton="0" quotePrefix="0" xfId="1">
      <alignment vertical="center"/>
    </xf>
    <xf numFmtId="38" fontId="0" fillId="5" borderId="7" applyAlignment="1" pivotButton="0" quotePrefix="0" xfId="1">
      <alignment vertical="center"/>
    </xf>
    <xf numFmtId="0" fontId="0" fillId="5" borderId="9" applyAlignment="1" pivotButton="0" quotePrefix="0" xfId="0">
      <alignment vertical="center"/>
    </xf>
    <xf numFmtId="38" fontId="0" fillId="6" borderId="8" applyAlignment="1" pivotButton="0" quotePrefix="0" xfId="0">
      <alignment vertical="center"/>
    </xf>
    <xf numFmtId="38" fontId="0" fillId="7" borderId="24" applyAlignment="1" pivotButton="0" quotePrefix="0" xfId="1">
      <alignment vertical="center"/>
    </xf>
    <xf numFmtId="38" fontId="0" fillId="6" borderId="7" applyAlignment="1" pivotButton="0" quotePrefix="0" xfId="0">
      <alignment vertical="center"/>
    </xf>
    <xf numFmtId="164" fontId="0" fillId="6" borderId="7" applyAlignment="1" pivotButton="0" quotePrefix="0" xfId="2">
      <alignment horizontal="right" vertical="center"/>
    </xf>
    <xf numFmtId="164" fontId="0" fillId="6" borderId="8" applyAlignment="1" pivotButton="0" quotePrefix="0" xfId="2">
      <alignment horizontal="right" vertical="center"/>
    </xf>
    <xf numFmtId="164" fontId="0" fillId="7" borderId="9" applyAlignment="1" pivotButton="0" quotePrefix="0" xfId="2">
      <alignment horizontal="right" vertical="center"/>
    </xf>
    <xf numFmtId="0" fontId="0" fillId="0" borderId="41" applyAlignment="1" pivotButton="0" quotePrefix="0" xfId="0">
      <alignment vertical="center"/>
    </xf>
    <xf numFmtId="38" fontId="0" fillId="0" borderId="10" applyAlignment="1" pivotButton="0" quotePrefix="0" xfId="1">
      <alignment vertical="center"/>
    </xf>
    <xf numFmtId="38" fontId="0" fillId="0" borderId="42" applyAlignment="1" pivotButton="0" quotePrefix="0" xfId="1">
      <alignment vertical="center"/>
    </xf>
    <xf numFmtId="38" fontId="0" fillId="2" borderId="43" applyAlignment="1" pivotButton="0" quotePrefix="0" xfId="1">
      <alignment vertical="center"/>
    </xf>
    <xf numFmtId="164" fontId="0" fillId="0" borderId="43" applyAlignment="1" pivotButton="0" quotePrefix="0" xfId="2">
      <alignment horizontal="right" vertical="center"/>
    </xf>
    <xf numFmtId="164" fontId="0" fillId="2" borderId="43" applyAlignment="1" pivotButton="0" quotePrefix="0" xfId="2">
      <alignment horizontal="right" vertical="center"/>
    </xf>
    <xf numFmtId="38" fontId="0" fillId="0" borderId="41" applyAlignment="1" pivotButton="0" quotePrefix="0" xfId="1">
      <alignment vertical="center"/>
    </xf>
    <xf numFmtId="38" fontId="0" fillId="2" borderId="10" applyAlignment="1" pivotButton="0" quotePrefix="0" xfId="1">
      <alignment vertical="center"/>
    </xf>
    <xf numFmtId="164" fontId="0" fillId="2" borderId="10" applyAlignment="1" pivotButton="0" quotePrefix="0" xfId="2">
      <alignment horizontal="right" vertical="center"/>
    </xf>
    <xf numFmtId="164" fontId="0" fillId="3" borderId="44" applyAlignment="1" pivotButton="0" quotePrefix="0" xfId="2">
      <alignment horizontal="right" vertical="center"/>
    </xf>
    <xf numFmtId="38" fontId="6" fillId="0" borderId="42" applyAlignment="1" pivotButton="0" quotePrefix="0" xfId="1">
      <alignment vertical="center"/>
    </xf>
    <xf numFmtId="38" fontId="6" fillId="2" borderId="43" applyAlignment="1" pivotButton="0" quotePrefix="0" xfId="1">
      <alignment vertical="center"/>
    </xf>
    <xf numFmtId="38" fontId="6" fillId="0" borderId="43" applyAlignment="1" pivotButton="0" quotePrefix="0" xfId="1">
      <alignment vertical="center"/>
    </xf>
    <xf numFmtId="55" fontId="3" fillId="0" borderId="45" applyAlignment="1" pivotButton="0" quotePrefix="0" xfId="0">
      <alignment horizontal="center" vertical="center"/>
    </xf>
    <xf numFmtId="164" fontId="0" fillId="0" borderId="17" applyAlignment="1" pivotButton="0" quotePrefix="0" xfId="2">
      <alignment horizontal="right" vertical="center"/>
    </xf>
    <xf numFmtId="164" fontId="0" fillId="0" borderId="42" applyAlignment="1" pivotButton="0" quotePrefix="0" xfId="2">
      <alignment horizontal="right" vertical="center"/>
    </xf>
    <xf numFmtId="38" fontId="0" fillId="0" borderId="44" applyAlignment="1" pivotButton="0" quotePrefix="0" xfId="1">
      <alignment vertical="center"/>
    </xf>
    <xf numFmtId="38" fontId="0" fillId="2" borderId="9" applyAlignment="1" pivotButton="0" quotePrefix="0" xfId="1">
      <alignment vertical="center"/>
    </xf>
    <xf numFmtId="164" fontId="0" fillId="0" borderId="7" applyAlignment="1" pivotButton="0" quotePrefix="0" xfId="2">
      <alignment horizontal="right" vertical="center"/>
    </xf>
    <xf numFmtId="164" fontId="0" fillId="0" borderId="8" applyAlignment="1" pivotButton="0" quotePrefix="0" xfId="2">
      <alignment horizontal="right" vertical="center"/>
    </xf>
    <xf numFmtId="164" fontId="0" fillId="2" borderId="9" applyAlignment="1" pivotButton="0" quotePrefix="0" xfId="2">
      <alignment horizontal="right" vertical="center"/>
    </xf>
    <xf numFmtId="38" fontId="0" fillId="2" borderId="8" applyAlignment="1" pivotButton="0" quotePrefix="0" xfId="1">
      <alignment vertical="center"/>
    </xf>
    <xf numFmtId="38" fontId="0" fillId="3" borderId="44" applyAlignment="1" pivotButton="0" quotePrefix="0" xfId="0">
      <alignment vertical="center"/>
    </xf>
    <xf numFmtId="164" fontId="0" fillId="0" borderId="44" applyAlignment="1" pivotButton="0" quotePrefix="0" xfId="2">
      <alignment horizontal="right" vertical="center"/>
    </xf>
    <xf numFmtId="38" fontId="0" fillId="2" borderId="24" applyAlignment="1" pivotButton="0" quotePrefix="0" xfId="1">
      <alignment vertical="center"/>
    </xf>
    <xf numFmtId="38" fontId="0" fillId="2" borderId="46" applyAlignment="1" pivotButton="0" quotePrefix="0" xfId="1">
      <alignment vertical="center"/>
    </xf>
    <xf numFmtId="0" fontId="0" fillId="0" borderId="0" pivotButton="0" quotePrefix="0" xfId="0"/>
    <xf numFmtId="38" fontId="1" fillId="0" borderId="17" applyAlignment="1" pivotButton="0" quotePrefix="0" xfId="1">
      <alignment vertical="center"/>
    </xf>
    <xf numFmtId="38" fontId="1" fillId="0" borderId="5" applyAlignment="1" pivotButton="0" quotePrefix="0" xfId="1">
      <alignment vertical="center"/>
    </xf>
    <xf numFmtId="38" fontId="6" fillId="0" borderId="49" applyAlignment="1" pivotButton="0" quotePrefix="0" xfId="1">
      <alignment vertical="center"/>
    </xf>
    <xf numFmtId="38" fontId="6" fillId="0" borderId="50" applyAlignment="1" pivotButton="0" quotePrefix="0" xfId="1">
      <alignment vertical="center"/>
    </xf>
    <xf numFmtId="38" fontId="0" fillId="6" borderId="51" applyAlignment="1" pivotButton="0" quotePrefix="0" xfId="0">
      <alignment vertical="center"/>
    </xf>
    <xf numFmtId="38" fontId="0" fillId="7" borderId="52" applyAlignment="1" pivotButton="0" quotePrefix="0" xfId="1">
      <alignment vertical="center"/>
    </xf>
    <xf numFmtId="38" fontId="1" fillId="6" borderId="8" applyAlignment="1" pivotButton="0" quotePrefix="0" xfId="0">
      <alignment vertical="center"/>
    </xf>
    <xf numFmtId="164" fontId="0" fillId="0" borderId="51" applyAlignment="1" pivotButton="0" quotePrefix="0" xfId="2">
      <alignment horizontal="right" vertical="center"/>
    </xf>
    <xf numFmtId="0" fontId="0" fillId="0" borderId="47" applyAlignment="1" pivotButton="0" quotePrefix="0" xfId="0">
      <alignment horizontal="center" vertical="center"/>
    </xf>
    <xf numFmtId="0" fontId="0" fillId="0" borderId="14" pivotButton="0" quotePrefix="0" xfId="0"/>
    <xf numFmtId="38" fontId="0" fillId="0" borderId="14" applyAlignment="1" pivotButton="0" quotePrefix="0" xfId="1">
      <alignment horizontal="center" vertical="center"/>
    </xf>
    <xf numFmtId="0" fontId="0" fillId="0" borderId="13" pivotButton="0" quotePrefix="0" xfId="0"/>
    <xf numFmtId="38" fontId="0" fillId="0" borderId="47" applyAlignment="1" pivotButton="0" quotePrefix="0" xfId="1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1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6" pivotButton="0" quotePrefix="0" xfId="0"/>
    <xf numFmtId="0" fontId="0" fillId="0" borderId="39" pivotButton="0" quotePrefix="0" xfId="0"/>
    <xf numFmtId="164" fontId="0" fillId="0" borderId="17" applyAlignment="1" pivotButton="0" quotePrefix="0" xfId="2">
      <alignment horizontal="right" vertical="center"/>
    </xf>
    <xf numFmtId="164" fontId="0" fillId="0" borderId="5" applyAlignment="1" pivotButton="0" quotePrefix="0" xfId="2">
      <alignment horizontal="right" vertical="center"/>
    </xf>
    <xf numFmtId="164" fontId="0" fillId="2" borderId="6" applyAlignment="1" pivotButton="0" quotePrefix="0" xfId="2">
      <alignment horizontal="right" vertical="center"/>
    </xf>
    <xf numFmtId="164" fontId="0" fillId="3" borderId="44" applyAlignment="1" pivotButton="0" quotePrefix="0" xfId="2">
      <alignment horizontal="right" vertical="center"/>
    </xf>
    <xf numFmtId="164" fontId="0" fillId="3" borderId="8" applyAlignment="1" pivotButton="0" quotePrefix="0" xfId="2">
      <alignment horizontal="right" vertical="center"/>
    </xf>
    <xf numFmtId="164" fontId="0" fillId="4" borderId="9" applyAlignment="1" pivotButton="0" quotePrefix="0" xfId="2">
      <alignment horizontal="right" vertical="center"/>
    </xf>
    <xf numFmtId="164" fontId="0" fillId="0" borderId="44" applyAlignment="1" pivotButton="0" quotePrefix="0" xfId="2">
      <alignment horizontal="right" vertical="center"/>
    </xf>
    <xf numFmtId="164" fontId="0" fillId="0" borderId="8" applyAlignment="1" pivotButton="0" quotePrefix="0" xfId="2">
      <alignment horizontal="right" vertical="center"/>
    </xf>
    <xf numFmtId="164" fontId="0" fillId="2" borderId="9" applyAlignment="1" pivotButton="0" quotePrefix="0" xfId="2">
      <alignment horizontal="right" vertical="center"/>
    </xf>
    <xf numFmtId="164" fontId="0" fillId="0" borderId="0" applyAlignment="1" pivotButton="0" quotePrefix="0" xfId="2">
      <alignment horizontal="right" vertical="center"/>
    </xf>
    <xf numFmtId="164" fontId="0" fillId="0" borderId="4" applyAlignment="1" pivotButton="0" quotePrefix="0" xfId="2">
      <alignment horizontal="right" vertical="center"/>
    </xf>
    <xf numFmtId="164" fontId="0" fillId="3" borderId="7" applyAlignment="1" pivotButton="0" quotePrefix="0" xfId="2">
      <alignment horizontal="right" vertical="center"/>
    </xf>
    <xf numFmtId="164" fontId="0" fillId="2" borderId="5" applyAlignment="1" pivotButton="0" quotePrefix="0" xfId="2">
      <alignment horizontal="right" vertical="center"/>
    </xf>
    <xf numFmtId="164" fontId="0" fillId="0" borderId="42" applyAlignment="1" pivotButton="0" quotePrefix="0" xfId="2">
      <alignment horizontal="right" vertical="center"/>
    </xf>
    <xf numFmtId="164" fontId="0" fillId="0" borderId="43" applyAlignment="1" pivotButton="0" quotePrefix="0" xfId="2">
      <alignment horizontal="right" vertical="center"/>
    </xf>
    <xf numFmtId="164" fontId="0" fillId="2" borderId="43" applyAlignment="1" pivotButton="0" quotePrefix="0" xfId="2">
      <alignment horizontal="right" vertical="center"/>
    </xf>
    <xf numFmtId="164" fontId="0" fillId="4" borderId="8" applyAlignment="1" pivotButton="0" quotePrefix="0" xfId="2">
      <alignment horizontal="right" vertical="center"/>
    </xf>
    <xf numFmtId="164" fontId="0" fillId="6" borderId="7" applyAlignment="1" pivotButton="0" quotePrefix="0" xfId="2">
      <alignment horizontal="right" vertical="center"/>
    </xf>
    <xf numFmtId="164" fontId="0" fillId="6" borderId="8" applyAlignment="1" pivotButton="0" quotePrefix="0" xfId="2">
      <alignment horizontal="right" vertical="center"/>
    </xf>
    <xf numFmtId="164" fontId="0" fillId="7" borderId="9" applyAlignment="1" pivotButton="0" quotePrefix="0" xfId="2">
      <alignment horizontal="right" vertical="center"/>
    </xf>
    <xf numFmtId="164" fontId="0" fillId="2" borderId="10" applyAlignment="1" pivotButton="0" quotePrefix="0" xfId="2">
      <alignment horizontal="right" vertical="center"/>
    </xf>
    <xf numFmtId="164" fontId="0" fillId="0" borderId="7" applyAlignment="1" pivotButton="0" quotePrefix="0" xfId="2">
      <alignment horizontal="right" vertical="center"/>
    </xf>
    <xf numFmtId="164" fontId="0" fillId="0" borderId="51" applyAlignment="1" pivotButton="0" quotePrefix="0" xfId="2">
      <alignment horizontal="right" vertical="center"/>
    </xf>
    <xf numFmtId="164" fontId="0" fillId="0" borderId="33" applyAlignment="1" pivotButton="0" quotePrefix="0" xfId="2">
      <alignment vertical="center"/>
    </xf>
    <xf numFmtId="164" fontId="0" fillId="0" borderId="34" applyAlignment="1" pivotButton="0" quotePrefix="0" xfId="2">
      <alignment vertical="center"/>
    </xf>
    <xf numFmtId="164" fontId="0" fillId="0" borderId="6" applyAlignment="1" pivotButton="0" quotePrefix="0" xfId="2">
      <alignment vertical="center"/>
    </xf>
    <xf numFmtId="164" fontId="0" fillId="0" borderId="23" applyAlignment="1" pivotButton="0" quotePrefix="0" xfId="2">
      <alignment vertical="center"/>
    </xf>
    <xf numFmtId="164" fontId="0" fillId="0" borderId="9" applyAlignment="1" pivotButton="0" quotePrefix="0" xfId="2">
      <alignment vertical="center"/>
    </xf>
    <xf numFmtId="164" fontId="0" fillId="0" borderId="24" applyAlignment="1" pivotButton="0" quotePrefix="0" xfId="2">
      <alignment vertical="center"/>
    </xf>
  </cellXfs>
  <cellStyles count="3">
    <cellStyle name="標準" xfId="0" builtinId="0"/>
    <cellStyle name="桁区切り" xfId="1" builtinId="6"/>
    <cellStyle name="パーセント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Y149"/>
  <sheetViews>
    <sheetView topLeftCell="B1" workbookViewId="0">
      <pane xSplit="3" ySplit="1" topLeftCell="E108" activePane="bottomRight" state="frozen"/>
      <selection activeCell="E47" sqref="E47"/>
      <selection pane="topRight" activeCell="E47" sqref="E47"/>
      <selection pane="bottomLeft" activeCell="E47" sqref="E47"/>
      <selection pane="bottomRight" activeCell="V116" sqref="V116"/>
    </sheetView>
  </sheetViews>
  <sheetFormatPr baseColWidth="8" defaultRowHeight="18.75"/>
  <cols>
    <col width="9.75" bestFit="1" customWidth="1" style="127" min="3" max="3"/>
    <col width="10.125" customWidth="1" style="127" min="5" max="25"/>
  </cols>
  <sheetData>
    <row r="1" ht="24" customHeight="1" s="127">
      <c r="C1" s="24" t="inlineStr">
        <is>
          <t>水産部包装資材</t>
        </is>
      </c>
    </row>
    <row r="2">
      <c r="C2" s="128" t="inlineStr">
        <is>
          <t>1．2024年</t>
        </is>
      </c>
    </row>
    <row r="3">
      <c r="C3" s="117" t="n"/>
      <c r="D3" s="118" t="n"/>
      <c r="E3" s="117" t="inlineStr">
        <is>
          <t>売上</t>
        </is>
      </c>
      <c r="F3" s="120" t="n"/>
      <c r="G3" s="120" t="n"/>
      <c r="H3" s="120" t="n"/>
      <c r="I3" s="120" t="n"/>
      <c r="J3" s="120" t="n"/>
      <c r="K3" s="118" t="n"/>
      <c r="L3" s="119" t="inlineStr">
        <is>
          <t>粗利益</t>
        </is>
      </c>
      <c r="M3" s="120" t="n"/>
      <c r="N3" s="120" t="n"/>
      <c r="O3" s="120" t="n"/>
      <c r="P3" s="120" t="n"/>
      <c r="Q3" s="120" t="n"/>
      <c r="R3" s="118" t="n"/>
      <c r="S3" s="119" t="inlineStr">
        <is>
          <t>粗利益率</t>
        </is>
      </c>
      <c r="T3" s="120" t="n"/>
      <c r="U3" s="120" t="n"/>
      <c r="V3" s="120" t="n"/>
      <c r="W3" s="120" t="n"/>
      <c r="X3" s="120" t="n"/>
      <c r="Y3" s="118" t="n"/>
    </row>
    <row r="4">
      <c r="C4" s="1" t="n"/>
      <c r="D4" s="21" t="n"/>
      <c r="E4" s="61" t="n">
        <v>45383</v>
      </c>
      <c r="F4" s="2" t="n">
        <v>45413</v>
      </c>
      <c r="G4" s="2" t="n">
        <v>45444</v>
      </c>
      <c r="H4" s="2" t="n">
        <v>45474</v>
      </c>
      <c r="I4" s="2" t="n">
        <v>45505</v>
      </c>
      <c r="J4" s="2" t="n">
        <v>45536</v>
      </c>
      <c r="K4" s="10" t="inlineStr">
        <is>
          <t>合計</t>
        </is>
      </c>
      <c r="L4" s="95" t="n">
        <v>45383</v>
      </c>
      <c r="M4" s="2" t="n">
        <v>45413</v>
      </c>
      <c r="N4" s="2" t="n">
        <v>45444</v>
      </c>
      <c r="O4" s="2" t="n">
        <v>45474</v>
      </c>
      <c r="P4" s="2" t="n">
        <v>45505</v>
      </c>
      <c r="Q4" s="2" t="n">
        <v>45536</v>
      </c>
      <c r="R4" s="10" t="inlineStr">
        <is>
          <t>合計</t>
        </is>
      </c>
      <c r="S4" s="95" t="n">
        <v>45383</v>
      </c>
      <c r="T4" s="2" t="n">
        <v>45413</v>
      </c>
      <c r="U4" s="2" t="n">
        <v>45444</v>
      </c>
      <c r="V4" s="2" t="n">
        <v>45474</v>
      </c>
      <c r="W4" s="2" t="n">
        <v>45505</v>
      </c>
      <c r="X4" s="2" t="n">
        <v>45536</v>
      </c>
      <c r="Y4" s="10" t="inlineStr">
        <is>
          <t>合計</t>
        </is>
      </c>
    </row>
    <row r="5">
      <c r="C5" s="60" t="inlineStr">
        <is>
          <t>0010 集計</t>
        </is>
      </c>
      <c r="D5" s="22" t="inlineStr">
        <is>
          <t>JF</t>
        </is>
      </c>
      <c r="E5" s="3">
        <f>全体!E5-機械!E5</f>
        <v/>
      </c>
      <c r="F5" s="4">
        <f>全体!F5-機械!F5</f>
        <v/>
      </c>
      <c r="G5" s="4">
        <f>全体!G5-機械!G5</f>
        <v/>
      </c>
      <c r="H5" s="4">
        <f>全体!H5-機械!H5</f>
        <v/>
      </c>
      <c r="I5" s="4">
        <f>全体!I5-機械!I5</f>
        <v/>
      </c>
      <c r="J5" s="4">
        <f>全体!J5-機械!J5</f>
        <v/>
      </c>
      <c r="K5" s="62">
        <f>SUM(E5:J5)</f>
        <v/>
      </c>
      <c r="L5" s="20">
        <f>全体!L5-機械!L5</f>
        <v/>
      </c>
      <c r="M5" s="4">
        <f>全体!M5-機械!M5</f>
        <v/>
      </c>
      <c r="N5" s="4">
        <f>全体!N5-機械!N5</f>
        <v/>
      </c>
      <c r="O5" s="4">
        <f>全体!O5-機械!O5</f>
        <v/>
      </c>
      <c r="P5" s="4">
        <f>全体!P5-機械!P5</f>
        <v/>
      </c>
      <c r="Q5" s="4">
        <f>全体!Q5-機械!Q5</f>
        <v/>
      </c>
      <c r="R5" s="62">
        <f>SUM(L5:Q5)</f>
        <v/>
      </c>
      <c r="S5" s="135">
        <f>IF(E5=0,"***",L5/E5)</f>
        <v/>
      </c>
      <c r="T5" s="136">
        <f>IF(F5=0,"***",M5/F5)</f>
        <v/>
      </c>
      <c r="U5" s="136">
        <f>IF(G5=0,"***",N5/G5)</f>
        <v/>
      </c>
      <c r="V5" s="136">
        <f>IF(H5=0,"***",O5/H5)</f>
        <v/>
      </c>
      <c r="W5" s="136">
        <f>IF(I5=0,"***",P5/I5)</f>
        <v/>
      </c>
      <c r="X5" s="136">
        <f>IF(J5=0,"***",Q5/J5)</f>
        <v/>
      </c>
      <c r="Y5" s="137">
        <f>IF(K5=0,"***",R5/K5)</f>
        <v/>
      </c>
    </row>
    <row r="6">
      <c r="C6" s="60" t="inlineStr">
        <is>
          <t>0017 集計</t>
        </is>
      </c>
      <c r="D6" s="22" t="inlineStr">
        <is>
          <t>鮮魚</t>
        </is>
      </c>
      <c r="E6" s="3">
        <f>全体!E6-機械!E6</f>
        <v/>
      </c>
      <c r="F6" s="4">
        <f>全体!F6-機械!F6</f>
        <v/>
      </c>
      <c r="G6" s="4">
        <f>全体!G6-機械!G6</f>
        <v/>
      </c>
      <c r="H6" s="4">
        <f>全体!H6-機械!H6</f>
        <v/>
      </c>
      <c r="I6" s="4">
        <f>全体!I6-機械!I6</f>
        <v/>
      </c>
      <c r="J6" s="4">
        <f>全体!J6-機械!J6</f>
        <v/>
      </c>
      <c r="K6" s="62">
        <f>SUM(E6:J6)</f>
        <v/>
      </c>
      <c r="L6" s="20">
        <f>全体!L6-機械!L6</f>
        <v/>
      </c>
      <c r="M6" s="4">
        <f>全体!M6-機械!M6</f>
        <v/>
      </c>
      <c r="N6" s="4">
        <f>全体!N6-機械!N6</f>
        <v/>
      </c>
      <c r="O6" s="4">
        <f>全体!O6-機械!O6</f>
        <v/>
      </c>
      <c r="P6" s="4">
        <f>全体!P6-機械!P6</f>
        <v/>
      </c>
      <c r="Q6" s="4">
        <f>全体!Q6-機械!Q6</f>
        <v/>
      </c>
      <c r="R6" s="62">
        <f>SUM(L6:Q6)</f>
        <v/>
      </c>
      <c r="S6" s="135">
        <f>IF(E6=0,"***",L6/E6)</f>
        <v/>
      </c>
      <c r="T6" s="136">
        <f>IF(F6=0,"***",M6/F6)</f>
        <v/>
      </c>
      <c r="U6" s="136">
        <f>IF(G6=0,"***",N6/G6)</f>
        <v/>
      </c>
      <c r="V6" s="136">
        <f>IF(H6=0,"***",O6/H6)</f>
        <v/>
      </c>
      <c r="W6" s="136">
        <f>IF(I6=0,"***",P6/I6)</f>
        <v/>
      </c>
      <c r="X6" s="136">
        <f>IF(J6=0,"***",Q6/J6)</f>
        <v/>
      </c>
      <c r="Y6" s="137">
        <f>IF(K6=0,"***",R6/K6)</f>
        <v/>
      </c>
    </row>
    <row r="7">
      <c r="C7" s="60" t="inlineStr">
        <is>
          <t>0101 集計</t>
        </is>
      </c>
      <c r="D7" s="22" t="inlineStr">
        <is>
          <t>GS</t>
        </is>
      </c>
      <c r="E7" s="3">
        <f>全体!E7-機械!E7</f>
        <v/>
      </c>
      <c r="F7" s="4">
        <f>全体!F7-機械!F7</f>
        <v/>
      </c>
      <c r="G7" s="4">
        <f>全体!G7-機械!G7</f>
        <v/>
      </c>
      <c r="H7" s="4">
        <f>全体!H7-機械!H7</f>
        <v/>
      </c>
      <c r="I7" s="4">
        <f>全体!I7-機械!I7</f>
        <v/>
      </c>
      <c r="J7" s="4">
        <f>全体!J7-機械!J7</f>
        <v/>
      </c>
      <c r="K7" s="62">
        <f>SUM(E7:J7)</f>
        <v/>
      </c>
      <c r="L7" s="20">
        <f>全体!L7-機械!L7</f>
        <v/>
      </c>
      <c r="M7" s="4">
        <f>全体!M7-機械!M7</f>
        <v/>
      </c>
      <c r="N7" s="4">
        <f>全体!N7-機械!N7</f>
        <v/>
      </c>
      <c r="O7" s="4">
        <f>全体!O7-機械!O7</f>
        <v/>
      </c>
      <c r="P7" s="4">
        <f>全体!P7-機械!P7</f>
        <v/>
      </c>
      <c r="Q7" s="4">
        <f>全体!Q7-機械!Q7</f>
        <v/>
      </c>
      <c r="R7" s="62">
        <f>SUM(L7:Q7)</f>
        <v/>
      </c>
      <c r="S7" s="135">
        <f>IF(E7=0,"***",L7/E7)</f>
        <v/>
      </c>
      <c r="T7" s="136">
        <f>IF(F7=0,"***",M7/F7)</f>
        <v/>
      </c>
      <c r="U7" s="136">
        <f>IF(G7=0,"***",N7/G7)</f>
        <v/>
      </c>
      <c r="V7" s="136">
        <f>IF(H7=0,"***",O7/H7)</f>
        <v/>
      </c>
      <c r="W7" s="136">
        <f>IF(I7=0,"***",P7/I7)</f>
        <v/>
      </c>
      <c r="X7" s="136">
        <f>IF(J7=0,"***",Q7/J7)</f>
        <v/>
      </c>
      <c r="Y7" s="137">
        <f>IF(K7=0,"***",R7/K7)</f>
        <v/>
      </c>
    </row>
    <row r="8">
      <c r="C8" s="60" t="inlineStr">
        <is>
          <t>0106 集計</t>
        </is>
      </c>
      <c r="D8" s="22" t="inlineStr">
        <is>
          <t>浜田荷役</t>
        </is>
      </c>
      <c r="E8" s="3">
        <f>全体!E8-機械!E8</f>
        <v/>
      </c>
      <c r="F8" s="4">
        <f>全体!F8-機械!F8</f>
        <v/>
      </c>
      <c r="G8" s="4">
        <f>全体!G8-機械!G8</f>
        <v/>
      </c>
      <c r="H8" s="4">
        <f>全体!H8-機械!H8</f>
        <v/>
      </c>
      <c r="I8" s="4">
        <f>全体!I8-機械!I8</f>
        <v/>
      </c>
      <c r="J8" s="4">
        <f>全体!J8-機械!J8</f>
        <v/>
      </c>
      <c r="K8" s="62">
        <f>SUM(E8:J8)</f>
        <v/>
      </c>
      <c r="L8" s="20">
        <f>全体!L8-機械!L8</f>
        <v/>
      </c>
      <c r="M8" s="4">
        <f>全体!M8-機械!M8</f>
        <v/>
      </c>
      <c r="N8" s="4">
        <f>全体!N8-機械!N8</f>
        <v/>
      </c>
      <c r="O8" s="4">
        <f>全体!O8-機械!O8</f>
        <v/>
      </c>
      <c r="P8" s="4">
        <f>全体!P8-機械!P8</f>
        <v/>
      </c>
      <c r="Q8" s="4">
        <f>全体!Q8-機械!Q8</f>
        <v/>
      </c>
      <c r="R8" s="62">
        <f>SUM(L8:Q8)</f>
        <v/>
      </c>
      <c r="S8" s="135">
        <f>IF(E8=0,"***",L8/E8)</f>
        <v/>
      </c>
      <c r="T8" s="136">
        <f>IF(F8=0,"***",M8/F8)</f>
        <v/>
      </c>
      <c r="U8" s="136">
        <f>IF(G8=0,"***",N8/G8)</f>
        <v/>
      </c>
      <c r="V8" s="136">
        <f>IF(H8=0,"***",O8/H8)</f>
        <v/>
      </c>
      <c r="W8" s="136">
        <f>IF(I8=0,"***",P8/I8)</f>
        <v/>
      </c>
      <c r="X8" s="136">
        <f>IF(J8=0,"***",Q8/J8)</f>
        <v/>
      </c>
      <c r="Y8" s="137">
        <f>IF(K8=0,"***",R8/K8)</f>
        <v/>
      </c>
    </row>
    <row r="9">
      <c r="C9" s="60" t="inlineStr">
        <is>
          <t>浜田水産部合計</t>
        </is>
      </c>
      <c r="D9" s="22" t="n"/>
      <c r="E9" s="3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  <c r="J9" s="4">
        <f>SUM(J5:J8)</f>
        <v/>
      </c>
      <c r="K9" s="62">
        <f>SUM(K5:K8)</f>
        <v/>
      </c>
      <c r="L9" s="20">
        <f>SUM(L5:L8)</f>
        <v/>
      </c>
      <c r="M9" s="4">
        <f>SUM(M5:M8)</f>
        <v/>
      </c>
      <c r="N9" s="4">
        <f>SUM(N5:N8)</f>
        <v/>
      </c>
      <c r="O9" s="4">
        <f>SUM(O5:O8)</f>
        <v/>
      </c>
      <c r="P9" s="4">
        <f>SUM(P5:P8)</f>
        <v/>
      </c>
      <c r="Q9" s="4">
        <f>SUM(Q5:Q8)</f>
        <v/>
      </c>
      <c r="R9" s="62">
        <f>SUM(R5:R8)</f>
        <v/>
      </c>
      <c r="S9" s="135">
        <f>IF(E9=0,"***",L9/E9)</f>
        <v/>
      </c>
      <c r="T9" s="136">
        <f>IF(F9=0,"***",M9/F9)</f>
        <v/>
      </c>
      <c r="U9" s="136">
        <f>IF(G9=0,"***",N9/G9)</f>
        <v/>
      </c>
      <c r="V9" s="136">
        <f>IF(H9=0,"***",O9/H9)</f>
        <v/>
      </c>
      <c r="W9" s="136">
        <f>IF(I9=0,"***",P9/I9)</f>
        <v/>
      </c>
      <c r="X9" s="136">
        <f>IF(J9=0,"***",Q9/J9)</f>
        <v/>
      </c>
      <c r="Y9" s="137">
        <f>IF(K9=0,"***",R9/K9)</f>
        <v/>
      </c>
    </row>
    <row r="10">
      <c r="C10" s="60" t="inlineStr">
        <is>
          <t>0102 集計</t>
        </is>
      </c>
      <c r="D10" s="22" t="inlineStr">
        <is>
          <t>JF大田</t>
        </is>
      </c>
      <c r="E10" s="3">
        <f>全体!E10-機械!E10</f>
        <v/>
      </c>
      <c r="F10" s="4">
        <f>全体!F10-機械!F10</f>
        <v/>
      </c>
      <c r="G10" s="4">
        <f>全体!G10-機械!G10</f>
        <v/>
      </c>
      <c r="H10" s="4">
        <f>全体!H10-機械!H10</f>
        <v/>
      </c>
      <c r="I10" s="4">
        <f>全体!I10-機械!I10</f>
        <v/>
      </c>
      <c r="J10" s="4">
        <f>全体!J10-機械!J10</f>
        <v/>
      </c>
      <c r="K10" s="62">
        <f>SUM(E10:J10)</f>
        <v/>
      </c>
      <c r="L10" s="20">
        <f>全体!L10-機械!L10</f>
        <v/>
      </c>
      <c r="M10" s="4">
        <f>全体!M10-機械!M10</f>
        <v/>
      </c>
      <c r="N10" s="4">
        <f>全体!N10-機械!N10</f>
        <v/>
      </c>
      <c r="O10" s="4">
        <f>全体!O10-機械!O10</f>
        <v/>
      </c>
      <c r="P10" s="4">
        <f>全体!P10-機械!P10</f>
        <v/>
      </c>
      <c r="Q10" s="4">
        <f>全体!Q10-機械!Q10</f>
        <v/>
      </c>
      <c r="R10" s="62">
        <f>SUM(L10:Q10)</f>
        <v/>
      </c>
      <c r="S10" s="135">
        <f>IF(E10=0,"***",L10/E10)</f>
        <v/>
      </c>
      <c r="T10" s="136">
        <f>IF(F10=0,"***",M10/F10)</f>
        <v/>
      </c>
      <c r="U10" s="136">
        <f>IF(G10=0,"***",N10/G10)</f>
        <v/>
      </c>
      <c r="V10" s="136">
        <f>IF(H10=0,"***",O10/H10)</f>
        <v/>
      </c>
      <c r="W10" s="136">
        <f>IF(I10=0,"***",P10/I10)</f>
        <v/>
      </c>
      <c r="X10" s="136">
        <f>IF(J10=0,"***",Q10/J10)</f>
        <v/>
      </c>
      <c r="Y10" s="137">
        <f>IF(K10=0,"***",R10/K10)</f>
        <v/>
      </c>
    </row>
    <row r="11">
      <c r="C11" s="60" t="inlineStr">
        <is>
          <t>0104 集計</t>
        </is>
      </c>
      <c r="D11" s="22" t="inlineStr">
        <is>
          <t>大田荷役</t>
        </is>
      </c>
      <c r="E11" s="3">
        <f>全体!E11-機械!E11</f>
        <v/>
      </c>
      <c r="F11" s="4">
        <f>全体!F11-機械!F11</f>
        <v/>
      </c>
      <c r="G11" s="4">
        <f>全体!G11-機械!G11</f>
        <v/>
      </c>
      <c r="H11" s="4">
        <f>全体!H11-機械!H11</f>
        <v/>
      </c>
      <c r="I11" s="4">
        <f>全体!I11-機械!I11</f>
        <v/>
      </c>
      <c r="J11" s="4">
        <f>全体!J11-機械!J11</f>
        <v/>
      </c>
      <c r="K11" s="62">
        <f>SUM(E11:J11)</f>
        <v/>
      </c>
      <c r="L11" s="20">
        <f>全体!L11-機械!L11</f>
        <v/>
      </c>
      <c r="M11" s="4">
        <f>全体!M11-機械!M11</f>
        <v/>
      </c>
      <c r="N11" s="4">
        <f>全体!N11-機械!N11</f>
        <v/>
      </c>
      <c r="O11" s="4">
        <f>全体!O11-機械!O11</f>
        <v/>
      </c>
      <c r="P11" s="4">
        <f>全体!P11-機械!P11</f>
        <v/>
      </c>
      <c r="Q11" s="4">
        <f>全体!Q11-機械!Q11</f>
        <v/>
      </c>
      <c r="R11" s="62">
        <f>SUM(L11:Q11)</f>
        <v/>
      </c>
      <c r="S11" s="135">
        <f>IF(E11=0,"***",L11/E11)</f>
        <v/>
      </c>
      <c r="T11" s="136">
        <f>IF(F11=0,"***",M11/F11)</f>
        <v/>
      </c>
      <c r="U11" s="136">
        <f>IF(G11=0,"***",N11/G11)</f>
        <v/>
      </c>
      <c r="V11" s="136">
        <f>IF(H11=0,"***",O11/H11)</f>
        <v/>
      </c>
      <c r="W11" s="136">
        <f>IF(I11=0,"***",P11/I11)</f>
        <v/>
      </c>
      <c r="X11" s="136">
        <f>IF(J11=0,"***",Q11/J11)</f>
        <v/>
      </c>
      <c r="Y11" s="137">
        <f>IF(K11=0,"***",R11/K11)</f>
        <v/>
      </c>
    </row>
    <row r="12">
      <c r="C12" s="60" t="inlineStr">
        <is>
          <t>大田水産部</t>
        </is>
      </c>
      <c r="D12" s="22" t="n"/>
      <c r="E12" s="3">
        <f>E10+E11</f>
        <v/>
      </c>
      <c r="F12" s="20">
        <f>F10+F11</f>
        <v/>
      </c>
      <c r="G12" s="20">
        <f>G10+G11</f>
        <v/>
      </c>
      <c r="H12" s="20">
        <f>H10+H11</f>
        <v/>
      </c>
      <c r="I12" s="20">
        <f>I10+I11</f>
        <v/>
      </c>
      <c r="J12" s="20">
        <f>J10+J11</f>
        <v/>
      </c>
      <c r="K12" s="62">
        <f>K10+K11</f>
        <v/>
      </c>
      <c r="L12" s="20">
        <f>L10+L11</f>
        <v/>
      </c>
      <c r="M12" s="20">
        <f>M10+M11</f>
        <v/>
      </c>
      <c r="N12" s="20">
        <f>N10+N11</f>
        <v/>
      </c>
      <c r="O12" s="20">
        <f>O10+O11</f>
        <v/>
      </c>
      <c r="P12" s="20">
        <f>P10+P11</f>
        <v/>
      </c>
      <c r="Q12" s="20">
        <f>Q10+Q11</f>
        <v/>
      </c>
      <c r="R12" s="62">
        <f>R10+R11</f>
        <v/>
      </c>
      <c r="S12" s="135">
        <f>IF(E12=0,"***",L12/E12)</f>
        <v/>
      </c>
      <c r="T12" s="136">
        <f>IF(F12=0,"***",M12/F12)</f>
        <v/>
      </c>
      <c r="U12" s="136">
        <f>IF(G12=0,"***",N12/G12)</f>
        <v/>
      </c>
      <c r="V12" s="136">
        <f>IF(H12=0,"***",O12/H12)</f>
        <v/>
      </c>
      <c r="W12" s="136">
        <f>IF(I12=0,"***",P12/I12)</f>
        <v/>
      </c>
      <c r="X12" s="136">
        <f>IF(J12=0,"***",Q12/J12)</f>
        <v/>
      </c>
      <c r="Y12" s="137">
        <f>IF(K12=0,"***",R12/K12)</f>
        <v/>
      </c>
    </row>
    <row r="13">
      <c r="C13" s="60" t="inlineStr">
        <is>
          <t>0031 集計</t>
        </is>
      </c>
      <c r="D13" s="22" t="inlineStr">
        <is>
          <t>JF境</t>
        </is>
      </c>
      <c r="E13" s="3">
        <f>全体!E13-機械!E13</f>
        <v/>
      </c>
      <c r="F13" s="20">
        <f>全体!F13-機械!F13</f>
        <v/>
      </c>
      <c r="G13" s="20">
        <f>全体!G13-機械!G13</f>
        <v/>
      </c>
      <c r="H13" s="20">
        <f>全体!H13-機械!H13</f>
        <v/>
      </c>
      <c r="I13" s="20">
        <f>全体!I13-機械!I13</f>
        <v/>
      </c>
      <c r="J13" s="20">
        <f>全体!J13-機械!J13</f>
        <v/>
      </c>
      <c r="K13" s="62">
        <f>SUM(E13:J13)</f>
        <v/>
      </c>
      <c r="L13" s="20">
        <f>全体!L13-機械!L13</f>
        <v/>
      </c>
      <c r="M13" s="20">
        <f>全体!M13-機械!M13</f>
        <v/>
      </c>
      <c r="N13" s="20">
        <f>全体!N13-機械!N13</f>
        <v/>
      </c>
      <c r="O13" s="20">
        <f>全体!O13-機械!O13</f>
        <v/>
      </c>
      <c r="P13" s="20">
        <f>全体!P13-機械!P13</f>
        <v/>
      </c>
      <c r="Q13" s="20">
        <f>全体!Q13-機械!Q13</f>
        <v/>
      </c>
      <c r="R13" s="62">
        <f>SUM(L13:Q13)</f>
        <v/>
      </c>
      <c r="S13" s="135">
        <f>IF(E13=0,"***",L13/E13)</f>
        <v/>
      </c>
      <c r="T13" s="136">
        <f>IF(F13=0,"***",M13/F13)</f>
        <v/>
      </c>
      <c r="U13" s="136">
        <f>IF(G13=0,"***",N13/G13)</f>
        <v/>
      </c>
      <c r="V13" s="136">
        <f>IF(H13=0,"***",O13/H13)</f>
        <v/>
      </c>
      <c r="W13" s="136">
        <f>IF(I13=0,"***",P13/I13)</f>
        <v/>
      </c>
      <c r="X13" s="136">
        <f>IF(J13=0,"***",Q13/J13)</f>
        <v/>
      </c>
      <c r="Y13" s="137">
        <f>IF(K13=0,"***",R13/K13)</f>
        <v/>
      </c>
    </row>
    <row r="14">
      <c r="C14" s="60" t="inlineStr">
        <is>
          <t>0038 集計</t>
        </is>
      </c>
      <c r="D14" s="83" t="inlineStr">
        <is>
          <t>境その他</t>
        </is>
      </c>
      <c r="E14" s="88">
        <f>全体!E14-機械!E14</f>
        <v/>
      </c>
      <c r="F14" s="84">
        <f>全体!F14-機械!F14</f>
        <v/>
      </c>
      <c r="G14" s="84">
        <f>全体!G14-機械!G14</f>
        <v/>
      </c>
      <c r="H14" s="84">
        <f>全体!H14-機械!H14</f>
        <v/>
      </c>
      <c r="I14" s="84">
        <f>全体!I14-機械!I14</f>
        <v/>
      </c>
      <c r="J14" s="84">
        <f>全体!J14-機械!J14</f>
        <v/>
      </c>
      <c r="K14" s="62">
        <f>SUM(E14:J14)</f>
        <v/>
      </c>
      <c r="L14" s="84">
        <f>全体!L14-機械!L14</f>
        <v/>
      </c>
      <c r="M14" s="84">
        <f>全体!M14-機械!M14</f>
        <v/>
      </c>
      <c r="N14" s="84">
        <f>全体!N14-機械!N14</f>
        <v/>
      </c>
      <c r="O14" s="84">
        <f>全体!O14-機械!O14</f>
        <v/>
      </c>
      <c r="P14" s="84">
        <f>全体!P14-機械!P14</f>
        <v/>
      </c>
      <c r="Q14" s="84">
        <f>全体!Q14-機械!Q14</f>
        <v/>
      </c>
      <c r="R14" s="62">
        <f>SUM(L14:Q14)</f>
        <v/>
      </c>
      <c r="S14" s="135">
        <f>IF(E14=0,"***",L14/E14)</f>
        <v/>
      </c>
      <c r="T14" s="136">
        <f>IF(F14=0,"***",M14/F14)</f>
        <v/>
      </c>
      <c r="U14" s="136">
        <f>IF(G14=0,"***",N14/G14)</f>
        <v/>
      </c>
      <c r="V14" s="136">
        <f>IF(H14=0,"***",O14/H14)</f>
        <v/>
      </c>
      <c r="W14" s="136">
        <f>IF(I14=0,"***",P14/I14)</f>
        <v/>
      </c>
      <c r="X14" s="136">
        <f>IF(J14=0,"***",Q14/J14)</f>
        <v/>
      </c>
      <c r="Y14" s="137">
        <f>IF(K14=0,"***",R14/K14)</f>
        <v/>
      </c>
    </row>
    <row r="15">
      <c r="C15" s="82" t="inlineStr">
        <is>
          <t>境港水産部合計</t>
        </is>
      </c>
      <c r="D15" s="83" t="n"/>
      <c r="E15" s="88">
        <f>E13+E14</f>
        <v/>
      </c>
      <c r="F15" s="84">
        <f>F13+F14</f>
        <v/>
      </c>
      <c r="G15" s="84">
        <f>G13+G14</f>
        <v/>
      </c>
      <c r="H15" s="84">
        <f>H13+H14</f>
        <v/>
      </c>
      <c r="I15" s="84">
        <f>I13+I14</f>
        <v/>
      </c>
      <c r="J15" s="84">
        <f>J13+J14</f>
        <v/>
      </c>
      <c r="K15" s="89">
        <f>K13+K14</f>
        <v/>
      </c>
      <c r="L15" s="84">
        <f>L13+L14</f>
        <v/>
      </c>
      <c r="M15" s="84">
        <f>M13+M14</f>
        <v/>
      </c>
      <c r="N15" s="84">
        <f>N13+N14</f>
        <v/>
      </c>
      <c r="O15" s="84">
        <f>O13+O14</f>
        <v/>
      </c>
      <c r="P15" s="84">
        <f>P13+P14</f>
        <v/>
      </c>
      <c r="Q15" s="84">
        <f>Q13+Q14</f>
        <v/>
      </c>
      <c r="R15" s="89">
        <f>R13+R14</f>
        <v/>
      </c>
      <c r="S15" s="135">
        <f>IF(E15=0,"***",L15/E15)</f>
        <v/>
      </c>
      <c r="T15" s="136">
        <f>IF(F15=0,"***",M15/F15)</f>
        <v/>
      </c>
      <c r="U15" s="136">
        <f>IF(G15=0,"***",N15/G15)</f>
        <v/>
      </c>
      <c r="V15" s="136">
        <f>IF(H15=0,"***",O15/H15)</f>
        <v/>
      </c>
      <c r="W15" s="136">
        <f>IF(I15=0,"***",P15/I15)</f>
        <v/>
      </c>
      <c r="X15" s="136">
        <f>IF(J15=0,"***",Q15/J15)</f>
        <v/>
      </c>
      <c r="Y15" s="137">
        <f>IF(K15=0,"***",R15/K15)</f>
        <v/>
      </c>
    </row>
    <row r="16">
      <c r="C16" s="53" t="inlineStr">
        <is>
          <t>合計</t>
        </is>
      </c>
      <c r="D16" s="54" t="n"/>
      <c r="E16" s="63">
        <f>E9+E12+E15</f>
        <v/>
      </c>
      <c r="F16" s="8">
        <f>F9+F12+F15</f>
        <v/>
      </c>
      <c r="G16" s="8">
        <f>G9+G12+G15</f>
        <v/>
      </c>
      <c r="H16" s="8">
        <f>H9+H12+H15</f>
        <v/>
      </c>
      <c r="I16" s="8">
        <f>I9+I12+I15</f>
        <v/>
      </c>
      <c r="J16" s="8">
        <f>J9+J12+J15</f>
        <v/>
      </c>
      <c r="K16" s="64">
        <f>K9+K12+K15</f>
        <v/>
      </c>
      <c r="L16" s="104">
        <f>L9+L12+L15</f>
        <v/>
      </c>
      <c r="M16" s="8">
        <f>M9+M12+M15</f>
        <v/>
      </c>
      <c r="N16" s="8">
        <f>N9+N12+N15</f>
        <v/>
      </c>
      <c r="O16" s="8">
        <f>O9+O12+O15</f>
        <v/>
      </c>
      <c r="P16" s="8">
        <f>P9+P12+P15</f>
        <v/>
      </c>
      <c r="Q16" s="8">
        <f>Q9+Q12+Q15</f>
        <v/>
      </c>
      <c r="R16" s="64">
        <f>R9+R12+R15</f>
        <v/>
      </c>
      <c r="S16" s="138">
        <f>IF(E16=0,"***",L16/E16)</f>
        <v/>
      </c>
      <c r="T16" s="139">
        <f>IF(F16=0,"***",M16/F16)</f>
        <v/>
      </c>
      <c r="U16" s="139">
        <f>IF(G16=0,"***",N16/G16)</f>
        <v/>
      </c>
      <c r="V16" s="139">
        <f>IF(H16=0,"***",O16/H16)</f>
        <v/>
      </c>
      <c r="W16" s="139">
        <f>IF(I16=0,"***",P16/I16)</f>
        <v/>
      </c>
      <c r="X16" s="139">
        <f>IF(J16=0,"***",Q16/J16)</f>
        <v/>
      </c>
      <c r="Y16" s="140">
        <f>IF(K16=0,"***",R16/K16)</f>
        <v/>
      </c>
    </row>
    <row r="17">
      <c r="C17" s="74" t="inlineStr">
        <is>
          <t>【参考】大海分</t>
        </is>
      </c>
      <c r="D17" s="75" t="n"/>
      <c r="E17" s="5" t="n"/>
      <c r="F17" s="98" t="n">
        <v>8671.294</v>
      </c>
      <c r="G17" s="98" t="n"/>
      <c r="H17" s="98" t="n"/>
      <c r="I17" s="98" t="n"/>
      <c r="J17" s="98" t="n"/>
      <c r="K17" s="99">
        <f>SUM(E17:J17)</f>
        <v/>
      </c>
      <c r="L17" s="98" t="n"/>
      <c r="M17" s="98" t="n">
        <v>3581.357</v>
      </c>
      <c r="N17" s="98" t="n"/>
      <c r="O17" s="98" t="n"/>
      <c r="P17" s="98" t="n"/>
      <c r="Q17" s="98" t="n"/>
      <c r="R17" s="99">
        <f>SUM(L17:Q17)</f>
        <v/>
      </c>
      <c r="S17" s="141">
        <f>IF(E17=0,"***",L17/E17)</f>
        <v/>
      </c>
      <c r="T17" s="142">
        <f>IF(F17=0,"***",M17/F17)</f>
        <v/>
      </c>
      <c r="U17" s="142">
        <f>IF(G17=0,"***",N17/G17)</f>
        <v/>
      </c>
      <c r="V17" s="142">
        <f>IF(H17=0,"***",O17/H17)</f>
        <v/>
      </c>
      <c r="W17" s="142">
        <f>IF(I17=0,"***",P17/I17)</f>
        <v/>
      </c>
      <c r="X17" s="142">
        <f>IF(J17=0,"***",Q17/J17)</f>
        <v/>
      </c>
      <c r="Y17" s="143">
        <f>IF(K17=0,"***",R17/K17)</f>
        <v/>
      </c>
    </row>
    <row r="18">
      <c r="C18" s="18" t="n"/>
      <c r="E18" s="17" t="n"/>
      <c r="F18" s="17" t="n"/>
      <c r="G18" s="17" t="n"/>
      <c r="H18" s="17" t="n"/>
      <c r="I18" s="17" t="n"/>
      <c r="J18" s="17" t="n"/>
      <c r="K18" s="18" t="n"/>
      <c r="L18" s="17" t="n"/>
      <c r="M18" s="17" t="n"/>
      <c r="N18" s="17" t="n"/>
      <c r="O18" s="17" t="n"/>
      <c r="P18" s="17" t="n"/>
      <c r="Q18" s="17" t="n"/>
      <c r="R18" s="18" t="n"/>
      <c r="S18" s="144" t="n"/>
      <c r="T18" s="144" t="n"/>
      <c r="U18" s="144" t="n"/>
      <c r="V18" s="144" t="n"/>
      <c r="W18" s="144" t="n"/>
      <c r="X18" s="144" t="n"/>
      <c r="Y18" s="144" t="n"/>
    </row>
    <row r="19">
      <c r="C19" s="18" t="inlineStr">
        <is>
          <t>2．2025年</t>
        </is>
      </c>
    </row>
    <row r="20">
      <c r="C20" s="117" t="n"/>
      <c r="D20" s="118" t="n"/>
      <c r="E20" s="117" t="inlineStr">
        <is>
          <t>売上</t>
        </is>
      </c>
      <c r="F20" s="120" t="n"/>
      <c r="G20" s="120" t="n"/>
      <c r="H20" s="120" t="n"/>
      <c r="I20" s="120" t="n"/>
      <c r="J20" s="120" t="n"/>
      <c r="K20" s="118" t="n"/>
      <c r="L20" s="121" t="inlineStr">
        <is>
          <t>粗利益</t>
        </is>
      </c>
      <c r="M20" s="120" t="n"/>
      <c r="N20" s="120" t="n"/>
      <c r="O20" s="120" t="n"/>
      <c r="P20" s="120" t="n"/>
      <c r="Q20" s="120" t="n"/>
      <c r="R20" s="118" t="n"/>
      <c r="S20" s="121" t="inlineStr">
        <is>
          <t>粗利益率</t>
        </is>
      </c>
      <c r="T20" s="120" t="n"/>
      <c r="U20" s="120" t="n"/>
      <c r="V20" s="120" t="n"/>
      <c r="W20" s="120" t="n"/>
      <c r="X20" s="120" t="n"/>
      <c r="Y20" s="118" t="n"/>
    </row>
    <row r="21">
      <c r="C21" s="1" t="n"/>
      <c r="D21" s="21" t="n"/>
      <c r="E21" s="61" t="n">
        <v>45748</v>
      </c>
      <c r="F21" s="2" t="n">
        <v>45778</v>
      </c>
      <c r="G21" s="2" t="n">
        <v>45809</v>
      </c>
      <c r="H21" s="2" t="n">
        <v>45839</v>
      </c>
      <c r="I21" s="2" t="n">
        <v>45870</v>
      </c>
      <c r="J21" s="2" t="n">
        <v>45901</v>
      </c>
      <c r="K21" s="10" t="inlineStr">
        <is>
          <t>合計</t>
        </is>
      </c>
      <c r="L21" s="61" t="n">
        <v>45748</v>
      </c>
      <c r="M21" s="2" t="n">
        <v>45778</v>
      </c>
      <c r="N21" s="2" t="n">
        <v>45809</v>
      </c>
      <c r="O21" s="2" t="n">
        <v>45839</v>
      </c>
      <c r="P21" s="2" t="n">
        <v>45870</v>
      </c>
      <c r="Q21" s="2" t="n">
        <v>45901</v>
      </c>
      <c r="R21" s="10" t="inlineStr">
        <is>
          <t>合計</t>
        </is>
      </c>
      <c r="S21" s="61" t="n">
        <v>45748</v>
      </c>
      <c r="T21" s="2" t="n">
        <v>45778</v>
      </c>
      <c r="U21" s="2" t="n">
        <v>45809</v>
      </c>
      <c r="V21" s="2" t="n">
        <v>45839</v>
      </c>
      <c r="W21" s="2" t="n">
        <v>45870</v>
      </c>
      <c r="X21" s="2" t="n">
        <v>45901</v>
      </c>
      <c r="Y21" s="10" t="inlineStr">
        <is>
          <t>合計</t>
        </is>
      </c>
    </row>
    <row r="22">
      <c r="C22" s="60" t="inlineStr">
        <is>
          <t>0010 集計</t>
        </is>
      </c>
      <c r="D22" s="22" t="inlineStr">
        <is>
          <t>JF</t>
        </is>
      </c>
      <c r="E22" s="3">
        <f>全体!E22-機械!E22</f>
        <v/>
      </c>
      <c r="F22" s="4">
        <f>全体!F22-機械!F22</f>
        <v/>
      </c>
      <c r="G22" s="4">
        <f>全体!G22-機械!G22</f>
        <v/>
      </c>
      <c r="H22" s="4">
        <f>全体!H22-機械!H22</f>
        <v/>
      </c>
      <c r="I22" s="4">
        <f>全体!I22-機械!I22</f>
        <v/>
      </c>
      <c r="J22" s="4">
        <f>全体!J22-機械!J22</f>
        <v/>
      </c>
      <c r="K22" s="62">
        <f>SUM(E22:J22)</f>
        <v/>
      </c>
      <c r="L22" s="20">
        <f>全体!L22-機械!L22</f>
        <v/>
      </c>
      <c r="M22" s="4">
        <f>全体!M22-機械!M22</f>
        <v/>
      </c>
      <c r="N22" s="4">
        <f>全体!N22-機械!N22</f>
        <v/>
      </c>
      <c r="O22" s="4">
        <f>全体!O22-機械!O22</f>
        <v/>
      </c>
      <c r="P22" s="4">
        <f>全体!P22-機械!P22</f>
        <v/>
      </c>
      <c r="Q22" s="4">
        <f>全体!Q22-機械!Q22</f>
        <v/>
      </c>
      <c r="R22" s="62">
        <f>SUM(L22:Q22)</f>
        <v/>
      </c>
      <c r="S22" s="145">
        <f>IF(E22=0,"***",L22/E22)</f>
        <v/>
      </c>
      <c r="T22" s="136">
        <f>IF(F22=0,"***",M22/F22)</f>
        <v/>
      </c>
      <c r="U22" s="136">
        <f>IF(G22=0,"***",N22/G22)</f>
        <v/>
      </c>
      <c r="V22" s="136">
        <f>IF(H22=0,"***",O22/H22)</f>
        <v/>
      </c>
      <c r="W22" s="136">
        <f>IF(I22=0,"***",P22/I22)</f>
        <v/>
      </c>
      <c r="X22" s="136">
        <f>IF(J22=0,"***",Q22/J22)</f>
        <v/>
      </c>
      <c r="Y22" s="137">
        <f>IF(K22=0,"***",R22/K22)</f>
        <v/>
      </c>
    </row>
    <row r="23">
      <c r="C23" s="60" t="inlineStr">
        <is>
          <t>0017 集計</t>
        </is>
      </c>
      <c r="D23" s="22" t="inlineStr">
        <is>
          <t>鮮魚</t>
        </is>
      </c>
      <c r="E23" s="3">
        <f>全体!E23-機械!E23</f>
        <v/>
      </c>
      <c r="F23" s="4">
        <f>全体!F23-機械!F23</f>
        <v/>
      </c>
      <c r="G23" s="4">
        <f>全体!G23-機械!G23</f>
        <v/>
      </c>
      <c r="H23" s="4">
        <f>全体!H23-機械!H23</f>
        <v/>
      </c>
      <c r="I23" s="4">
        <f>全体!I23-機械!I23</f>
        <v/>
      </c>
      <c r="J23" s="4">
        <f>全体!J23-機械!J23</f>
        <v/>
      </c>
      <c r="K23" s="62">
        <f>SUM(E23:J23)</f>
        <v/>
      </c>
      <c r="L23" s="20">
        <f>全体!L23-機械!L23</f>
        <v/>
      </c>
      <c r="M23" s="4">
        <f>全体!M23-機械!M23</f>
        <v/>
      </c>
      <c r="N23" s="4">
        <f>全体!N23-機械!N23</f>
        <v/>
      </c>
      <c r="O23" s="4">
        <f>全体!O23-機械!O23</f>
        <v/>
      </c>
      <c r="P23" s="4">
        <f>全体!P23-機械!P23</f>
        <v/>
      </c>
      <c r="Q23" s="4">
        <f>全体!Q23-機械!Q23</f>
        <v/>
      </c>
      <c r="R23" s="62">
        <f>SUM(L23:Q23)</f>
        <v/>
      </c>
      <c r="S23" s="145">
        <f>IF(E23=0,"***",L23/E23)</f>
        <v/>
      </c>
      <c r="T23" s="136">
        <f>IF(F23=0,"***",M23/F23)</f>
        <v/>
      </c>
      <c r="U23" s="136">
        <f>IF(G23=0,"***",N23/G23)</f>
        <v/>
      </c>
      <c r="V23" s="136">
        <f>IF(H23=0,"***",O23/H23)</f>
        <v/>
      </c>
      <c r="W23" s="136">
        <f>IF(I23=0,"***",P23/I23)</f>
        <v/>
      </c>
      <c r="X23" s="136">
        <f>IF(J23=0,"***",Q23/J23)</f>
        <v/>
      </c>
      <c r="Y23" s="137">
        <f>IF(K23=0,"***",R23/K23)</f>
        <v/>
      </c>
    </row>
    <row r="24">
      <c r="C24" s="60" t="inlineStr">
        <is>
          <t>0101 集計</t>
        </is>
      </c>
      <c r="D24" s="22" t="inlineStr">
        <is>
          <t>GS</t>
        </is>
      </c>
      <c r="E24" s="3">
        <f>全体!E24-機械!E24</f>
        <v/>
      </c>
      <c r="F24" s="4">
        <f>全体!F24-機械!F24</f>
        <v/>
      </c>
      <c r="G24" s="4">
        <f>全体!G24-機械!G24</f>
        <v/>
      </c>
      <c r="H24" s="4">
        <f>全体!H24-機械!H24</f>
        <v/>
      </c>
      <c r="I24" s="4">
        <f>全体!I24-機械!I24</f>
        <v/>
      </c>
      <c r="J24" s="4">
        <f>全体!J24-機械!J24</f>
        <v/>
      </c>
      <c r="K24" s="62">
        <f>SUM(E24:J24)</f>
        <v/>
      </c>
      <c r="L24" s="20">
        <f>全体!L24-機械!L24</f>
        <v/>
      </c>
      <c r="M24" s="4">
        <f>全体!M24-機械!M24</f>
        <v/>
      </c>
      <c r="N24" s="4">
        <f>全体!N24-機械!N24</f>
        <v/>
      </c>
      <c r="O24" s="4">
        <f>全体!O24-機械!O24</f>
        <v/>
      </c>
      <c r="P24" s="4">
        <f>全体!P24-機械!P24</f>
        <v/>
      </c>
      <c r="Q24" s="4">
        <f>全体!Q24-機械!Q24</f>
        <v/>
      </c>
      <c r="R24" s="62">
        <f>SUM(L24:Q24)</f>
        <v/>
      </c>
      <c r="S24" s="145">
        <f>IF(E24=0,"***",L24/E24)</f>
        <v/>
      </c>
      <c r="T24" s="136">
        <f>IF(F24=0,"***",M24/F24)</f>
        <v/>
      </c>
      <c r="U24" s="136">
        <f>IF(G24=0,"***",N24/G24)</f>
        <v/>
      </c>
      <c r="V24" s="136">
        <f>IF(H24=0,"***",O24/H24)</f>
        <v/>
      </c>
      <c r="W24" s="136">
        <f>IF(I24=0,"***",P24/I24)</f>
        <v/>
      </c>
      <c r="X24" s="136">
        <f>IF(J24=0,"***",Q24/J24)</f>
        <v/>
      </c>
      <c r="Y24" s="137">
        <f>IF(K24=0,"***",R24/K24)</f>
        <v/>
      </c>
    </row>
    <row r="25">
      <c r="C25" s="60" t="inlineStr">
        <is>
          <t>0106 集計</t>
        </is>
      </c>
      <c r="D25" s="22" t="inlineStr">
        <is>
          <t>浜田荷役</t>
        </is>
      </c>
      <c r="E25" s="3">
        <f>全体!E25-機械!E25</f>
        <v/>
      </c>
      <c r="F25" s="4">
        <f>全体!F25-機械!F25</f>
        <v/>
      </c>
      <c r="G25" s="4">
        <f>全体!G25-機械!G25</f>
        <v/>
      </c>
      <c r="H25" s="4">
        <f>全体!H25-機械!H25</f>
        <v/>
      </c>
      <c r="I25" s="4">
        <f>全体!I25-機械!I25</f>
        <v/>
      </c>
      <c r="J25" s="4">
        <f>全体!J25-機械!J25</f>
        <v/>
      </c>
      <c r="K25" s="62">
        <f>SUM(E25:J25)</f>
        <v/>
      </c>
      <c r="L25" s="20">
        <f>全体!L25-機械!L25</f>
        <v/>
      </c>
      <c r="M25" s="4">
        <f>全体!M25-機械!M25</f>
        <v/>
      </c>
      <c r="N25" s="4">
        <f>全体!N25-機械!N25</f>
        <v/>
      </c>
      <c r="O25" s="4">
        <f>全体!O25-機械!O25</f>
        <v/>
      </c>
      <c r="P25" s="4">
        <f>全体!P25-機械!P25</f>
        <v/>
      </c>
      <c r="Q25" s="4">
        <f>全体!Q25-機械!Q25</f>
        <v/>
      </c>
      <c r="R25" s="62">
        <f>SUM(L25:Q25)</f>
        <v/>
      </c>
      <c r="S25" s="145">
        <f>IF(E25=0,"***",L25/E25)</f>
        <v/>
      </c>
      <c r="T25" s="136">
        <f>IF(F25=0,"***",M25/F25)</f>
        <v/>
      </c>
      <c r="U25" s="136">
        <f>IF(G25=0,"***",N25/G25)</f>
        <v/>
      </c>
      <c r="V25" s="136">
        <f>IF(H25=0,"***",O25/H25)</f>
        <v/>
      </c>
      <c r="W25" s="136">
        <f>IF(I25=0,"***",P25/I25)</f>
        <v/>
      </c>
      <c r="X25" s="136">
        <f>IF(J25=0,"***",Q25/J25)</f>
        <v/>
      </c>
      <c r="Y25" s="137">
        <f>IF(K25=0,"***",R25/K25)</f>
        <v/>
      </c>
    </row>
    <row r="26">
      <c r="C26" s="60" t="inlineStr">
        <is>
          <t>浜田水産部合計</t>
        </is>
      </c>
      <c r="D26" s="22" t="n"/>
      <c r="E26" s="3">
        <f>SUM(E22:E25)</f>
        <v/>
      </c>
      <c r="F26" s="4">
        <f>SUM(F22:F25)</f>
        <v/>
      </c>
      <c r="G26" s="4">
        <f>SUM(G22:G25)</f>
        <v/>
      </c>
      <c r="H26" s="4">
        <f>SUM(H22:H25)</f>
        <v/>
      </c>
      <c r="I26" s="4">
        <f>SUM(I22:I25)</f>
        <v/>
      </c>
      <c r="J26" s="4">
        <f>SUM(J22:J25)</f>
        <v/>
      </c>
      <c r="K26" s="62">
        <f>SUM(K22:K25)</f>
        <v/>
      </c>
      <c r="L26" s="20">
        <f>SUM(L22:L25)</f>
        <v/>
      </c>
      <c r="M26" s="4">
        <f>SUM(M22:M25)</f>
        <v/>
      </c>
      <c r="N26" s="4">
        <f>SUM(N22:N25)</f>
        <v/>
      </c>
      <c r="O26" s="4">
        <f>SUM(O22:O25)</f>
        <v/>
      </c>
      <c r="P26" s="4">
        <f>SUM(P22:P25)</f>
        <v/>
      </c>
      <c r="Q26" s="4">
        <f>SUM(Q22:Q25)</f>
        <v/>
      </c>
      <c r="R26" s="62">
        <f>SUM(R22:R25)</f>
        <v/>
      </c>
      <c r="S26" s="145">
        <f>IF(E26=0,"***",L26/E26)</f>
        <v/>
      </c>
      <c r="T26" s="136">
        <f>IF(F26=0,"***",M26/F26)</f>
        <v/>
      </c>
      <c r="U26" s="136">
        <f>IF(G26=0,"***",N26/G26)</f>
        <v/>
      </c>
      <c r="V26" s="136">
        <f>IF(H26=0,"***",O26/H26)</f>
        <v/>
      </c>
      <c r="W26" s="136">
        <f>IF(I26=0,"***",P26/I26)</f>
        <v/>
      </c>
      <c r="X26" s="136">
        <f>IF(J26=0,"***",Q26/J26)</f>
        <v/>
      </c>
      <c r="Y26" s="137">
        <f>IF(K26=0,"***",R26/K26)</f>
        <v/>
      </c>
    </row>
    <row r="27">
      <c r="C27" s="60" t="inlineStr">
        <is>
          <t>0102 集計</t>
        </is>
      </c>
      <c r="D27" s="22" t="inlineStr">
        <is>
          <t>JF大田</t>
        </is>
      </c>
      <c r="E27" s="3">
        <f>全体!E27-機械!E27</f>
        <v/>
      </c>
      <c r="F27" s="4">
        <f>全体!F27-機械!F27</f>
        <v/>
      </c>
      <c r="G27" s="4">
        <f>全体!G27-機械!G27</f>
        <v/>
      </c>
      <c r="H27" s="4">
        <f>全体!H27-機械!H27</f>
        <v/>
      </c>
      <c r="I27" s="4">
        <f>全体!I27-機械!I27</f>
        <v/>
      </c>
      <c r="J27" s="4">
        <f>全体!J27-機械!J27</f>
        <v/>
      </c>
      <c r="K27" s="62">
        <f>SUM(E27:J27)</f>
        <v/>
      </c>
      <c r="L27" s="20">
        <f>全体!L27-機械!L27</f>
        <v/>
      </c>
      <c r="M27" s="4">
        <f>全体!M27-機械!M27</f>
        <v/>
      </c>
      <c r="N27" s="4">
        <f>全体!N27-機械!N27</f>
        <v/>
      </c>
      <c r="O27" s="4">
        <f>全体!O27-機械!O27</f>
        <v/>
      </c>
      <c r="P27" s="4">
        <f>全体!P27-機械!P27</f>
        <v/>
      </c>
      <c r="Q27" s="4">
        <f>全体!Q27-機械!Q27</f>
        <v/>
      </c>
      <c r="R27" s="62">
        <f>SUM(L27:Q27)</f>
        <v/>
      </c>
      <c r="S27" s="145">
        <f>IF(E27=0,"***",L27/E27)</f>
        <v/>
      </c>
      <c r="T27" s="136">
        <f>IF(F27=0,"***",M27/F27)</f>
        <v/>
      </c>
      <c r="U27" s="136">
        <f>IF(G27=0,"***",N27/G27)</f>
        <v/>
      </c>
      <c r="V27" s="136">
        <f>IF(H27=0,"***",O27/H27)</f>
        <v/>
      </c>
      <c r="W27" s="136">
        <f>IF(I27=0,"***",P27/I27)</f>
        <v/>
      </c>
      <c r="X27" s="136">
        <f>IF(J27=0,"***",Q27/J27)</f>
        <v/>
      </c>
      <c r="Y27" s="137">
        <f>IF(K27=0,"***",R27/K27)</f>
        <v/>
      </c>
    </row>
    <row r="28">
      <c r="C28" s="60" t="inlineStr">
        <is>
          <t>0104 集計</t>
        </is>
      </c>
      <c r="D28" s="22" t="inlineStr">
        <is>
          <t>大田荷役</t>
        </is>
      </c>
      <c r="E28" s="3">
        <f>全体!E28-機械!E28</f>
        <v/>
      </c>
      <c r="F28" s="4">
        <f>全体!F28-機械!F28</f>
        <v/>
      </c>
      <c r="G28" s="4">
        <f>全体!G28-機械!G28</f>
        <v/>
      </c>
      <c r="H28" s="4">
        <f>全体!H28-機械!H28</f>
        <v/>
      </c>
      <c r="I28" s="4">
        <f>全体!I28-機械!I28</f>
        <v/>
      </c>
      <c r="J28" s="4">
        <f>全体!J28-機械!J28</f>
        <v/>
      </c>
      <c r="K28" s="62">
        <f>SUM(E28:J28)</f>
        <v/>
      </c>
      <c r="L28" s="20">
        <f>全体!L28-機械!L28</f>
        <v/>
      </c>
      <c r="M28" s="4">
        <f>全体!M28-機械!M28</f>
        <v/>
      </c>
      <c r="N28" s="4">
        <f>全体!N28-機械!N28</f>
        <v/>
      </c>
      <c r="O28" s="4">
        <f>全体!O28-機械!O28</f>
        <v/>
      </c>
      <c r="P28" s="4">
        <f>全体!P28-機械!P28</f>
        <v/>
      </c>
      <c r="Q28" s="4">
        <f>全体!Q28-機械!Q28</f>
        <v/>
      </c>
      <c r="R28" s="62">
        <f>SUM(L28:Q28)</f>
        <v/>
      </c>
      <c r="S28" s="145">
        <f>IF(E28=0,"***",L28/E28)</f>
        <v/>
      </c>
      <c r="T28" s="136">
        <f>IF(F28=0,"***",M28/F28)</f>
        <v/>
      </c>
      <c r="U28" s="136">
        <f>IF(G28=0,"***",N28/G28)</f>
        <v/>
      </c>
      <c r="V28" s="136">
        <f>IF(H28=0,"***",O28/H28)</f>
        <v/>
      </c>
      <c r="W28" s="136">
        <f>IF(I28=0,"***",P28/I28)</f>
        <v/>
      </c>
      <c r="X28" s="136">
        <f>IF(J28=0,"***",Q28/J28)</f>
        <v/>
      </c>
      <c r="Y28" s="137">
        <f>IF(K28=0,"***",R28/K28)</f>
        <v/>
      </c>
    </row>
    <row r="29">
      <c r="C29" s="60" t="inlineStr">
        <is>
          <t>大田水産部</t>
        </is>
      </c>
      <c r="D29" s="22" t="n"/>
      <c r="E29" s="3">
        <f>E27+E28</f>
        <v/>
      </c>
      <c r="F29" s="20">
        <f>F27+F28</f>
        <v/>
      </c>
      <c r="G29" s="20">
        <f>G27+G28</f>
        <v/>
      </c>
      <c r="H29" s="20">
        <f>H27+H28</f>
        <v/>
      </c>
      <c r="I29" s="20">
        <f>I27+I28</f>
        <v/>
      </c>
      <c r="J29" s="20">
        <f>J27+J28</f>
        <v/>
      </c>
      <c r="K29" s="62">
        <f>K27+K28</f>
        <v/>
      </c>
      <c r="L29" s="20">
        <f>L27+L28</f>
        <v/>
      </c>
      <c r="M29" s="20">
        <f>M27+M28</f>
        <v/>
      </c>
      <c r="N29" s="20">
        <f>N27+N28</f>
        <v/>
      </c>
      <c r="O29" s="20">
        <f>O27+O28</f>
        <v/>
      </c>
      <c r="P29" s="20">
        <f>P27+P28</f>
        <v/>
      </c>
      <c r="Q29" s="20">
        <f>Q27+Q28</f>
        <v/>
      </c>
      <c r="R29" s="62">
        <f>R27+R28</f>
        <v/>
      </c>
      <c r="S29" s="145">
        <f>IF(E29=0,"***",L29/E29)</f>
        <v/>
      </c>
      <c r="T29" s="136">
        <f>IF(F29=0,"***",M29/F29)</f>
        <v/>
      </c>
      <c r="U29" s="136">
        <f>IF(G29=0,"***",N29/G29)</f>
        <v/>
      </c>
      <c r="V29" s="136">
        <f>IF(H29=0,"***",O29/H29)</f>
        <v/>
      </c>
      <c r="W29" s="136">
        <f>IF(I29=0,"***",P29/I29)</f>
        <v/>
      </c>
      <c r="X29" s="136">
        <f>IF(J29=0,"***",Q29/J29)</f>
        <v/>
      </c>
      <c r="Y29" s="137">
        <f>IF(K29=0,"***",R29/K29)</f>
        <v/>
      </c>
    </row>
    <row r="30">
      <c r="C30" s="60" t="inlineStr">
        <is>
          <t>0031 集計</t>
        </is>
      </c>
      <c r="D30" s="22" t="inlineStr">
        <is>
          <t>JF境</t>
        </is>
      </c>
      <c r="E30" s="3">
        <f>全体!E30-機械!E30</f>
        <v/>
      </c>
      <c r="F30" s="20">
        <f>全体!F30-機械!F30</f>
        <v/>
      </c>
      <c r="G30" s="20">
        <f>全体!G30-機械!G30</f>
        <v/>
      </c>
      <c r="H30" s="20">
        <f>全体!H30-機械!H30</f>
        <v/>
      </c>
      <c r="I30" s="20">
        <f>全体!I30-機械!I30</f>
        <v/>
      </c>
      <c r="J30" s="20">
        <f>全体!J30-機械!J30</f>
        <v/>
      </c>
      <c r="K30" s="62">
        <f>SUM(E30:J30)</f>
        <v/>
      </c>
      <c r="L30" s="20">
        <f>全体!L30-機械!L30</f>
        <v/>
      </c>
      <c r="M30" s="20">
        <f>全体!M30-機械!M30</f>
        <v/>
      </c>
      <c r="N30" s="20">
        <f>全体!N30-機械!N30</f>
        <v/>
      </c>
      <c r="O30" s="20">
        <f>全体!O30-機械!O30</f>
        <v/>
      </c>
      <c r="P30" s="20">
        <f>全体!P30-機械!P30</f>
        <v/>
      </c>
      <c r="Q30" s="20">
        <f>全体!Q30-機械!Q30</f>
        <v/>
      </c>
      <c r="R30" s="62">
        <f>SUM(L30:Q30)</f>
        <v/>
      </c>
      <c r="S30" s="145">
        <f>IF(E30=0,"***",L30/E30)</f>
        <v/>
      </c>
      <c r="T30" s="136">
        <f>IF(F30=0,"***",M30/F30)</f>
        <v/>
      </c>
      <c r="U30" s="136">
        <f>IF(G30=0,"***",N30/G30)</f>
        <v/>
      </c>
      <c r="V30" s="136">
        <f>IF(H30=0,"***",O30/H30)</f>
        <v/>
      </c>
      <c r="W30" s="136">
        <f>IF(I30=0,"***",P30/I30)</f>
        <v/>
      </c>
      <c r="X30" s="136">
        <f>IF(J30=0,"***",Q30/J30)</f>
        <v/>
      </c>
      <c r="Y30" s="137">
        <f>IF(K30=0,"***",R30/K30)</f>
        <v/>
      </c>
    </row>
    <row r="31">
      <c r="C31" s="60" t="inlineStr">
        <is>
          <t>0038 集計</t>
        </is>
      </c>
      <c r="D31" s="83" t="inlineStr">
        <is>
          <t>境その他</t>
        </is>
      </c>
      <c r="E31" s="88">
        <f>全体!E31-機械!E31</f>
        <v/>
      </c>
      <c r="F31" s="84">
        <f>全体!F31-機械!F31</f>
        <v/>
      </c>
      <c r="G31" s="84">
        <f>全体!G31-機械!G31</f>
        <v/>
      </c>
      <c r="H31" s="84">
        <f>全体!H31-機械!H31</f>
        <v/>
      </c>
      <c r="I31" s="84">
        <f>全体!I31-機械!I31</f>
        <v/>
      </c>
      <c r="J31" s="84">
        <f>全体!J31-機械!J31</f>
        <v/>
      </c>
      <c r="K31" s="62">
        <f>SUM(E31:J31)</f>
        <v/>
      </c>
      <c r="L31" s="84">
        <f>全体!L31-機械!L31</f>
        <v/>
      </c>
      <c r="M31" s="84">
        <f>全体!M31-機械!M31</f>
        <v/>
      </c>
      <c r="N31" s="84">
        <f>全体!N31-機械!N31</f>
        <v/>
      </c>
      <c r="O31" s="84">
        <f>全体!O31-機械!O31</f>
        <v/>
      </c>
      <c r="P31" s="84">
        <f>全体!P31-機械!P31</f>
        <v/>
      </c>
      <c r="Q31" s="84">
        <f>全体!Q31-機械!Q31</f>
        <v/>
      </c>
      <c r="R31" s="62">
        <f>SUM(L31:Q31)</f>
        <v/>
      </c>
      <c r="S31" s="145">
        <f>IF(E31=0,"***",L31/E31)</f>
        <v/>
      </c>
      <c r="T31" s="136">
        <f>IF(F31=0,"***",M31/F31)</f>
        <v/>
      </c>
      <c r="U31" s="136">
        <f>IF(G31=0,"***",N31/G31)</f>
        <v/>
      </c>
      <c r="V31" s="136">
        <f>IF(H31=0,"***",O31/H31)</f>
        <v/>
      </c>
      <c r="W31" s="136">
        <f>IF(I31=0,"***",P31/I31)</f>
        <v/>
      </c>
      <c r="X31" s="136">
        <f>IF(J31=0,"***",Q31/J31)</f>
        <v/>
      </c>
      <c r="Y31" s="137">
        <f>IF(K31=0,"***",R31/K31)</f>
        <v/>
      </c>
    </row>
    <row r="32">
      <c r="C32" s="82" t="inlineStr">
        <is>
          <t>境港水産部合計</t>
        </is>
      </c>
      <c r="D32" s="83" t="n"/>
      <c r="E32" s="88">
        <f>E30+E31</f>
        <v/>
      </c>
      <c r="F32" s="84">
        <f>F30+F31</f>
        <v/>
      </c>
      <c r="G32" s="84">
        <f>G30+G31</f>
        <v/>
      </c>
      <c r="H32" s="84">
        <f>H30+H31</f>
        <v/>
      </c>
      <c r="I32" s="84">
        <f>I30+I31</f>
        <v/>
      </c>
      <c r="J32" s="84">
        <f>J30+J31</f>
        <v/>
      </c>
      <c r="K32" s="89">
        <f>K30+K31</f>
        <v/>
      </c>
      <c r="L32" s="84">
        <f>L30+L31</f>
        <v/>
      </c>
      <c r="M32" s="84">
        <f>M30+M31</f>
        <v/>
      </c>
      <c r="N32" s="84">
        <f>N30+N31</f>
        <v/>
      </c>
      <c r="O32" s="84">
        <f>O30+O31</f>
        <v/>
      </c>
      <c r="P32" s="84">
        <f>P30+P31</f>
        <v/>
      </c>
      <c r="Q32" s="84">
        <f>Q30+Q31</f>
        <v/>
      </c>
      <c r="R32" s="89">
        <f>R30+R31</f>
        <v/>
      </c>
      <c r="S32" s="145">
        <f>IF(E32=0,"***",L32/E32)</f>
        <v/>
      </c>
      <c r="T32" s="136">
        <f>IF(F32=0,"***",M32/F32)</f>
        <v/>
      </c>
      <c r="U32" s="136">
        <f>IF(G32=0,"***",N32/G32)</f>
        <v/>
      </c>
      <c r="V32" s="136">
        <f>IF(H32=0,"***",O32/H32)</f>
        <v/>
      </c>
      <c r="W32" s="136">
        <f>IF(I32=0,"***",P32/I32)</f>
        <v/>
      </c>
      <c r="X32" s="136">
        <f>IF(J32=0,"***",Q32/J32)</f>
        <v/>
      </c>
      <c r="Y32" s="137">
        <f>IF(K32=0,"***",R32/K32)</f>
        <v/>
      </c>
    </row>
    <row r="33">
      <c r="C33" s="53" t="inlineStr">
        <is>
          <t>合計</t>
        </is>
      </c>
      <c r="D33" s="54" t="n"/>
      <c r="E33" s="63">
        <f>E26+E29+E32</f>
        <v/>
      </c>
      <c r="F33" s="8">
        <f>F26+F29+F32</f>
        <v/>
      </c>
      <c r="G33" s="8">
        <f>G26+G29+G32</f>
        <v/>
      </c>
      <c r="H33" s="8">
        <f>H26+H29+H32</f>
        <v/>
      </c>
      <c r="I33" s="8">
        <f>I26+I29+I32</f>
        <v/>
      </c>
      <c r="J33" s="8">
        <f>J26+J29+J32</f>
        <v/>
      </c>
      <c r="K33" s="64">
        <f>K26+K29+K32</f>
        <v/>
      </c>
      <c r="L33" s="104">
        <f>L26+L29+L32</f>
        <v/>
      </c>
      <c r="M33" s="8">
        <f>M26+M29+M32</f>
        <v/>
      </c>
      <c r="N33" s="8">
        <f>N26+N29+N32</f>
        <v/>
      </c>
      <c r="O33" s="8">
        <f>O26+O29+O32</f>
        <v/>
      </c>
      <c r="P33" s="8">
        <f>P26+P29+P32</f>
        <v/>
      </c>
      <c r="Q33" s="8">
        <f>Q26+Q29+Q32</f>
        <v/>
      </c>
      <c r="R33" s="64">
        <f>R26+R29+R32</f>
        <v/>
      </c>
      <c r="S33" s="146">
        <f>IF(E33=0,"***",L33/E33)</f>
        <v/>
      </c>
      <c r="T33" s="139">
        <f>IF(F33=0,"***",M33/F33)</f>
        <v/>
      </c>
      <c r="U33" s="139">
        <f>IF(G33=0,"***",N33/G33)</f>
        <v/>
      </c>
      <c r="V33" s="139">
        <f>IF(H33=0,"***",O33/H33)</f>
        <v/>
      </c>
      <c r="W33" s="139">
        <f>IF(I33=0,"***",P33/I33)</f>
        <v/>
      </c>
      <c r="X33" s="139">
        <f>IF(J33=0,"***",Q33/J33)</f>
        <v/>
      </c>
      <c r="Y33" s="140">
        <f>IF(K33=0,"***",R33/K33)</f>
        <v/>
      </c>
    </row>
    <row r="34">
      <c r="C34" s="74" t="inlineStr">
        <is>
          <t>【参考】大海分</t>
        </is>
      </c>
      <c r="D34" s="75" t="n"/>
      <c r="E34" s="5" t="n"/>
      <c r="F34" s="98" t="n">
        <v>8671.294</v>
      </c>
      <c r="G34" s="98" t="n"/>
      <c r="H34" s="98" t="n"/>
      <c r="I34" s="98" t="n"/>
      <c r="J34" s="98" t="n"/>
      <c r="K34" s="99">
        <f>SUM(E34:J34)</f>
        <v/>
      </c>
      <c r="L34" s="98" t="n"/>
      <c r="M34" s="98" t="n">
        <v>3581.357</v>
      </c>
      <c r="N34" s="98" t="n"/>
      <c r="O34" s="98" t="n"/>
      <c r="P34" s="98" t="n"/>
      <c r="Q34" s="98" t="n"/>
      <c r="R34" s="99">
        <f>SUM(L34:Q34)</f>
        <v/>
      </c>
      <c r="S34" s="142">
        <f>IF(E34=0,"***",L34/E34)</f>
        <v/>
      </c>
      <c r="T34" s="142">
        <f>IF(F34=0,"***",M34/F34)</f>
        <v/>
      </c>
      <c r="U34" s="142">
        <f>IF(G34=0,"***",N34/G34)</f>
        <v/>
      </c>
      <c r="V34" s="142">
        <f>IF(H34=0,"***",O34/H34)</f>
        <v/>
      </c>
      <c r="W34" s="142">
        <f>IF(I34=0,"***",P34/I34)</f>
        <v/>
      </c>
      <c r="X34" s="142">
        <f>IF(J34=0,"***",Q34/J34)</f>
        <v/>
      </c>
      <c r="Y34" s="143">
        <f>IF(K34=0,"***",R34/K34)</f>
        <v/>
      </c>
    </row>
    <row r="35">
      <c r="C35" s="18" t="n"/>
      <c r="E35" s="17" t="n"/>
      <c r="F35" s="17" t="n"/>
      <c r="G35" s="17" t="n"/>
      <c r="H35" s="17" t="n"/>
      <c r="I35" s="17" t="n"/>
      <c r="J35" s="17" t="n"/>
      <c r="K35" s="18" t="n"/>
      <c r="L35" s="17" t="n"/>
      <c r="M35" s="17" t="n"/>
      <c r="N35" s="17" t="n"/>
      <c r="O35" s="17" t="n"/>
      <c r="P35" s="17" t="n"/>
      <c r="Q35" s="17" t="n"/>
      <c r="R35" s="18" t="n"/>
      <c r="S35" s="144" t="n"/>
      <c r="T35" s="144" t="n"/>
      <c r="U35" s="144" t="n"/>
      <c r="V35" s="144" t="n"/>
      <c r="W35" s="144" t="n"/>
      <c r="X35" s="144" t="n"/>
      <c r="Y35" s="144" t="n"/>
    </row>
    <row r="36">
      <c r="C36" s="18" t="inlineStr">
        <is>
          <t>3．過年度平均</t>
        </is>
      </c>
    </row>
    <row r="37">
      <c r="C37" s="117" t="n"/>
      <c r="D37" s="118" t="n"/>
      <c r="E37" s="122" t="inlineStr">
        <is>
          <t>売上</t>
        </is>
      </c>
      <c r="F37" s="120" t="n"/>
      <c r="G37" s="120" t="n"/>
      <c r="H37" s="120" t="n"/>
      <c r="I37" s="120" t="n"/>
      <c r="J37" s="120" t="n"/>
      <c r="K37" s="120" t="n"/>
      <c r="L37" s="121" t="inlineStr">
        <is>
          <t>粗利益</t>
        </is>
      </c>
      <c r="M37" s="120" t="n"/>
      <c r="N37" s="120" t="n"/>
      <c r="O37" s="120" t="n"/>
      <c r="P37" s="120" t="n"/>
      <c r="Q37" s="120" t="n"/>
      <c r="R37" s="118" t="n"/>
      <c r="S37" s="121" t="inlineStr">
        <is>
          <t>粗利益率</t>
        </is>
      </c>
      <c r="T37" s="120" t="n"/>
      <c r="U37" s="120" t="n"/>
      <c r="V37" s="120" t="n"/>
      <c r="W37" s="120" t="n"/>
      <c r="X37" s="120" t="n"/>
      <c r="Y37" s="118" t="n"/>
    </row>
    <row r="38">
      <c r="C38" s="1" t="n"/>
      <c r="D38" s="21" t="n"/>
      <c r="E38" s="61" t="n">
        <v>45748</v>
      </c>
      <c r="F38" s="2" t="n">
        <v>45778</v>
      </c>
      <c r="G38" s="2" t="n">
        <v>45809</v>
      </c>
      <c r="H38" s="2" t="n">
        <v>45839</v>
      </c>
      <c r="I38" s="2" t="n">
        <v>45870</v>
      </c>
      <c r="J38" s="2" t="n">
        <v>45901</v>
      </c>
      <c r="K38" s="10" t="inlineStr">
        <is>
          <t>合計</t>
        </is>
      </c>
      <c r="L38" s="61" t="n">
        <v>45748</v>
      </c>
      <c r="M38" s="2" t="n">
        <v>45778</v>
      </c>
      <c r="N38" s="2" t="n">
        <v>45809</v>
      </c>
      <c r="O38" s="2" t="n">
        <v>45839</v>
      </c>
      <c r="P38" s="2" t="n">
        <v>45870</v>
      </c>
      <c r="Q38" s="2" t="n">
        <v>45901</v>
      </c>
      <c r="R38" s="10" t="inlineStr">
        <is>
          <t>合計</t>
        </is>
      </c>
      <c r="S38" s="61" t="n">
        <v>45748</v>
      </c>
      <c r="T38" s="2" t="n">
        <v>45778</v>
      </c>
      <c r="U38" s="2" t="n">
        <v>45809</v>
      </c>
      <c r="V38" s="2" t="n">
        <v>45839</v>
      </c>
      <c r="W38" s="2" t="n">
        <v>45870</v>
      </c>
      <c r="X38" s="2" t="n">
        <v>45901</v>
      </c>
      <c r="Y38" s="10" t="inlineStr">
        <is>
          <t>合計</t>
        </is>
      </c>
    </row>
    <row r="39">
      <c r="C39" s="60" t="inlineStr">
        <is>
          <t>0010 集計</t>
        </is>
      </c>
      <c r="D39" s="22" t="inlineStr">
        <is>
          <t>JF</t>
        </is>
      </c>
      <c r="E39" s="4">
        <f>(E22+E5)/2</f>
        <v/>
      </c>
      <c r="F39" s="4">
        <f>(F22+F5)/2</f>
        <v/>
      </c>
      <c r="G39" s="4">
        <f>(G22+G5)/2</f>
        <v/>
      </c>
      <c r="H39" s="4">
        <f>(H22+H5)/2</f>
        <v/>
      </c>
      <c r="I39" s="4">
        <f>(I22+I5)/2</f>
        <v/>
      </c>
      <c r="J39" s="4">
        <f>(J22+J5)/2</f>
        <v/>
      </c>
      <c r="K39" s="7">
        <f>SUM(E39:J39)</f>
        <v/>
      </c>
      <c r="L39" s="4">
        <f>(L22+L5)/2</f>
        <v/>
      </c>
      <c r="M39" s="4">
        <f>(M22+M5)/2</f>
        <v/>
      </c>
      <c r="N39" s="4">
        <f>(N22+N5)/2</f>
        <v/>
      </c>
      <c r="O39" s="4">
        <f>(O22+O5)/2</f>
        <v/>
      </c>
      <c r="P39" s="4">
        <f>(P22+P5)/2</f>
        <v/>
      </c>
      <c r="Q39" s="4">
        <f>(Q22+Q5)/2</f>
        <v/>
      </c>
      <c r="R39" s="7">
        <f>SUM(L39:Q39)</f>
        <v/>
      </c>
      <c r="S39" s="136">
        <f>IF(E39=0,"***",L39/E39)</f>
        <v/>
      </c>
      <c r="T39" s="136">
        <f>IF(F39=0,"***",M39/F39)</f>
        <v/>
      </c>
      <c r="U39" s="136">
        <f>IF(G39=0,"***",N39/G39)</f>
        <v/>
      </c>
      <c r="V39" s="136">
        <f>IF(H39=0,"***",O39/H39)</f>
        <v/>
      </c>
      <c r="W39" s="136">
        <f>IF(I39=0,"***",P39/I39)</f>
        <v/>
      </c>
      <c r="X39" s="136">
        <f>IF(J39=0,"***",Q39/J39)</f>
        <v/>
      </c>
      <c r="Y39" s="137">
        <f>IF(K39=0,"***",R39/K39)</f>
        <v/>
      </c>
    </row>
    <row r="40">
      <c r="C40" s="60" t="inlineStr">
        <is>
          <t>0017 集計</t>
        </is>
      </c>
      <c r="D40" s="22" t="inlineStr">
        <is>
          <t>鮮魚</t>
        </is>
      </c>
      <c r="E40" s="4">
        <f>(E23+E6)/2</f>
        <v/>
      </c>
      <c r="F40" s="4">
        <f>(F23+F6)/2</f>
        <v/>
      </c>
      <c r="G40" s="4">
        <f>(G23+G6)/2</f>
        <v/>
      </c>
      <c r="H40" s="4">
        <f>(H23+H6)/2</f>
        <v/>
      </c>
      <c r="I40" s="4">
        <f>(I23+I6)/2</f>
        <v/>
      </c>
      <c r="J40" s="4">
        <f>(J23+J6)/2</f>
        <v/>
      </c>
      <c r="K40" s="7">
        <f>SUM(E40:J40)</f>
        <v/>
      </c>
      <c r="L40" s="4">
        <f>(L23+L6)/2</f>
        <v/>
      </c>
      <c r="M40" s="4">
        <f>(M23+M6)/2</f>
        <v/>
      </c>
      <c r="N40" s="4">
        <f>(N23+N6)/2</f>
        <v/>
      </c>
      <c r="O40" s="4">
        <f>(O23+O6)/2</f>
        <v/>
      </c>
      <c r="P40" s="4">
        <f>(P23+P6)/2</f>
        <v/>
      </c>
      <c r="Q40" s="4">
        <f>(Q23+Q6)/2</f>
        <v/>
      </c>
      <c r="R40" s="7">
        <f>SUM(L40:Q40)</f>
        <v/>
      </c>
      <c r="S40" s="136">
        <f>IF(E40=0,"***",L40/E40)</f>
        <v/>
      </c>
      <c r="T40" s="136">
        <f>IF(F40=0,"***",M40/F40)</f>
        <v/>
      </c>
      <c r="U40" s="136">
        <f>IF(G40=0,"***",N40/G40)</f>
        <v/>
      </c>
      <c r="V40" s="136">
        <f>IF(H40=0,"***",O40/H40)</f>
        <v/>
      </c>
      <c r="W40" s="136">
        <f>IF(I40=0,"***",P40/I40)</f>
        <v/>
      </c>
      <c r="X40" s="136">
        <f>IF(J40=0,"***",Q40/J40)</f>
        <v/>
      </c>
      <c r="Y40" s="137">
        <f>IF(K40=0,"***",R40/K40)</f>
        <v/>
      </c>
    </row>
    <row r="41">
      <c r="C41" s="60" t="inlineStr">
        <is>
          <t>0101 集計</t>
        </is>
      </c>
      <c r="D41" s="22" t="inlineStr">
        <is>
          <t>GS</t>
        </is>
      </c>
      <c r="E41" s="4">
        <f>(E24+E7)/2</f>
        <v/>
      </c>
      <c r="F41" s="4">
        <f>(F24+F7)/2</f>
        <v/>
      </c>
      <c r="G41" s="4">
        <f>(G24+G7)/2</f>
        <v/>
      </c>
      <c r="H41" s="4">
        <f>(H24+H7)/2</f>
        <v/>
      </c>
      <c r="I41" s="4">
        <f>(I24+I7)/2</f>
        <v/>
      </c>
      <c r="J41" s="4">
        <f>(J24+J7)/2</f>
        <v/>
      </c>
      <c r="K41" s="7">
        <f>SUM(E41:J41)</f>
        <v/>
      </c>
      <c r="L41" s="4">
        <f>(L24+L7)/2</f>
        <v/>
      </c>
      <c r="M41" s="4">
        <f>(M24+M7)/2</f>
        <v/>
      </c>
      <c r="N41" s="4">
        <f>(N24+N7)/2</f>
        <v/>
      </c>
      <c r="O41" s="4">
        <f>(O24+O7)/2</f>
        <v/>
      </c>
      <c r="P41" s="4">
        <f>(P24+P7)/2</f>
        <v/>
      </c>
      <c r="Q41" s="4">
        <f>(Q24+Q7)/2</f>
        <v/>
      </c>
      <c r="R41" s="7">
        <f>SUM(L41:Q41)</f>
        <v/>
      </c>
      <c r="S41" s="136">
        <f>IF(E41=0,"***",L41/E41)</f>
        <v/>
      </c>
      <c r="T41" s="136">
        <f>IF(F41=0,"***",M41/F41)</f>
        <v/>
      </c>
      <c r="U41" s="136">
        <f>IF(G41=0,"***",N41/G41)</f>
        <v/>
      </c>
      <c r="V41" s="136">
        <f>IF(H41=0,"***",O41/H41)</f>
        <v/>
      </c>
      <c r="W41" s="136">
        <f>IF(I41=0,"***",P41/I41)</f>
        <v/>
      </c>
      <c r="X41" s="136">
        <f>IF(J41=0,"***",Q41/J41)</f>
        <v/>
      </c>
      <c r="Y41" s="137">
        <f>IF(K41=0,"***",R41/K41)</f>
        <v/>
      </c>
    </row>
    <row r="42">
      <c r="C42" s="60" t="inlineStr">
        <is>
          <t>0106 集計</t>
        </is>
      </c>
      <c r="D42" s="22" t="inlineStr">
        <is>
          <t>浜田荷役</t>
        </is>
      </c>
      <c r="E42" s="4">
        <f>(E25+E8)/2</f>
        <v/>
      </c>
      <c r="F42" s="4">
        <f>(F25+F8)/2</f>
        <v/>
      </c>
      <c r="G42" s="4">
        <f>(G25+G8)/2</f>
        <v/>
      </c>
      <c r="H42" s="4">
        <f>(H25+H8)/2</f>
        <v/>
      </c>
      <c r="I42" s="4">
        <f>(I25+I8)/2</f>
        <v/>
      </c>
      <c r="J42" s="4">
        <f>(J25+J8)/2</f>
        <v/>
      </c>
      <c r="K42" s="7">
        <f>SUM(E42:J42)</f>
        <v/>
      </c>
      <c r="L42" s="4">
        <f>(L25+L8)/2</f>
        <v/>
      </c>
      <c r="M42" s="4">
        <f>(M25+M8)/2</f>
        <v/>
      </c>
      <c r="N42" s="4">
        <f>(N25+N8)/2</f>
        <v/>
      </c>
      <c r="O42" s="4">
        <f>(O25+O8)/2</f>
        <v/>
      </c>
      <c r="P42" s="4">
        <f>(P25+P8)/2</f>
        <v/>
      </c>
      <c r="Q42" s="4">
        <f>(Q25+Q8)/2</f>
        <v/>
      </c>
      <c r="R42" s="7">
        <f>SUM(L42:Q42)</f>
        <v/>
      </c>
      <c r="S42" s="136">
        <f>IF(E42=0,"***",L42/E42)</f>
        <v/>
      </c>
      <c r="T42" s="136">
        <f>IF(F42=0,"***",M42/F42)</f>
        <v/>
      </c>
      <c r="U42" s="136">
        <f>IF(G42=0,"***",N42/G42)</f>
        <v/>
      </c>
      <c r="V42" s="136">
        <f>IF(H42=0,"***",O42/H42)</f>
        <v/>
      </c>
      <c r="W42" s="136">
        <f>IF(I42=0,"***",P42/I42)</f>
        <v/>
      </c>
      <c r="X42" s="136">
        <f>IF(J42=0,"***",Q42/J42)</f>
        <v/>
      </c>
      <c r="Y42" s="137">
        <f>IF(K42=0,"***",R42/K42)</f>
        <v/>
      </c>
    </row>
    <row r="43">
      <c r="C43" s="60" t="inlineStr">
        <is>
          <t>浜田水産部合計</t>
        </is>
      </c>
      <c r="D43" s="22" t="n"/>
      <c r="E43" s="4">
        <f>SUM(E39:E42)</f>
        <v/>
      </c>
      <c r="F43" s="4">
        <f>SUM(F39:F42)</f>
        <v/>
      </c>
      <c r="G43" s="4">
        <f>SUM(G39:G42)</f>
        <v/>
      </c>
      <c r="H43" s="4">
        <f>SUM(H39:H42)</f>
        <v/>
      </c>
      <c r="I43" s="4">
        <f>SUM(I39:I42)</f>
        <v/>
      </c>
      <c r="J43" s="4">
        <f>SUM(J39:J42)</f>
        <v/>
      </c>
      <c r="K43" s="7">
        <f>SUM(E43:J43)</f>
        <v/>
      </c>
      <c r="L43" s="4">
        <f>SUM(L39:L42)</f>
        <v/>
      </c>
      <c r="M43" s="4">
        <f>SUM(M39:M42)</f>
        <v/>
      </c>
      <c r="N43" s="4">
        <f>SUM(N39:N42)</f>
        <v/>
      </c>
      <c r="O43" s="4">
        <f>SUM(O39:O42)</f>
        <v/>
      </c>
      <c r="P43" s="4">
        <f>SUM(P39:P42)</f>
        <v/>
      </c>
      <c r="Q43" s="4">
        <f>SUM(Q39:Q42)</f>
        <v/>
      </c>
      <c r="R43" s="7">
        <f>SUM(L43:Q43)</f>
        <v/>
      </c>
      <c r="S43" s="136">
        <f>IF(E43=0,"***",L43/E43)</f>
        <v/>
      </c>
      <c r="T43" s="136">
        <f>IF(F43=0,"***",M43/F43)</f>
        <v/>
      </c>
      <c r="U43" s="136">
        <f>IF(G43=0,"***",N43/G43)</f>
        <v/>
      </c>
      <c r="V43" s="136">
        <f>IF(H43=0,"***",O43/H43)</f>
        <v/>
      </c>
      <c r="W43" s="136">
        <f>IF(I43=0,"***",P43/I43)</f>
        <v/>
      </c>
      <c r="X43" s="136">
        <f>IF(J43=0,"***",Q43/J43)</f>
        <v/>
      </c>
      <c r="Y43" s="137">
        <f>IF(K43=0,"***",R43/K43)</f>
        <v/>
      </c>
    </row>
    <row r="44">
      <c r="C44" s="60" t="inlineStr">
        <is>
          <t>0102 集計</t>
        </is>
      </c>
      <c r="D44" s="22" t="inlineStr">
        <is>
          <t>JF大田</t>
        </is>
      </c>
      <c r="E44" s="4">
        <f>(E27+E10)/2</f>
        <v/>
      </c>
      <c r="F44" s="4">
        <f>(F27+F10)/2</f>
        <v/>
      </c>
      <c r="G44" s="4">
        <f>(G27+G10)/2</f>
        <v/>
      </c>
      <c r="H44" s="4">
        <f>(H27+H10)/2</f>
        <v/>
      </c>
      <c r="I44" s="4">
        <f>(I27+I10)/2</f>
        <v/>
      </c>
      <c r="J44" s="4">
        <f>(J27+J10)/2</f>
        <v/>
      </c>
      <c r="K44" s="7">
        <f>SUM(E44:J44)</f>
        <v/>
      </c>
      <c r="L44" s="4">
        <f>(L27+L10)/2</f>
        <v/>
      </c>
      <c r="M44" s="4">
        <f>(M27+M10)/2</f>
        <v/>
      </c>
      <c r="N44" s="4">
        <f>(N27+N10)/2</f>
        <v/>
      </c>
      <c r="O44" s="4">
        <f>(O27+O10)/2</f>
        <v/>
      </c>
      <c r="P44" s="4">
        <f>(P27+P10)/2</f>
        <v/>
      </c>
      <c r="Q44" s="4">
        <f>(Q27+Q10)/2</f>
        <v/>
      </c>
      <c r="R44" s="7">
        <f>SUM(L44:Q44)</f>
        <v/>
      </c>
      <c r="S44" s="136">
        <f>IF(E44=0,"***",L44/E44)</f>
        <v/>
      </c>
      <c r="T44" s="136">
        <f>IF(F44=0,"***",M44/F44)</f>
        <v/>
      </c>
      <c r="U44" s="136">
        <f>IF(G44=0,"***",N44/G44)</f>
        <v/>
      </c>
      <c r="V44" s="136">
        <f>IF(H44=0,"***",O44/H44)</f>
        <v/>
      </c>
      <c r="W44" s="136">
        <f>IF(I44=0,"***",P44/I44)</f>
        <v/>
      </c>
      <c r="X44" s="136">
        <f>IF(J44=0,"***",Q44/J44)</f>
        <v/>
      </c>
      <c r="Y44" s="137">
        <f>IF(K44=0,"***",R44/K44)</f>
        <v/>
      </c>
    </row>
    <row r="45">
      <c r="C45" s="60" t="inlineStr">
        <is>
          <t>0104 集計</t>
        </is>
      </c>
      <c r="D45" s="22" t="inlineStr">
        <is>
          <t>大田荷役</t>
        </is>
      </c>
      <c r="E45" s="4">
        <f>(E28+E11)/2</f>
        <v/>
      </c>
      <c r="F45" s="4">
        <f>(F28+F11)/2</f>
        <v/>
      </c>
      <c r="G45" s="4">
        <f>(G28+G11)/2</f>
        <v/>
      </c>
      <c r="H45" s="4">
        <f>(H28+H11)/2</f>
        <v/>
      </c>
      <c r="I45" s="4">
        <f>(I28+I11)/2</f>
        <v/>
      </c>
      <c r="J45" s="4">
        <f>(J28+J11)/2</f>
        <v/>
      </c>
      <c r="K45" s="7">
        <f>SUM(E45:J45)</f>
        <v/>
      </c>
      <c r="L45" s="4">
        <f>(L28+L11)/2</f>
        <v/>
      </c>
      <c r="M45" s="4">
        <f>(M28+M11)/2</f>
        <v/>
      </c>
      <c r="N45" s="4">
        <f>(N28+N11)/2</f>
        <v/>
      </c>
      <c r="O45" s="4">
        <f>(O28+O11)/2</f>
        <v/>
      </c>
      <c r="P45" s="4">
        <f>(P28+P11)/2</f>
        <v/>
      </c>
      <c r="Q45" s="4">
        <f>(Q28+Q11)/2</f>
        <v/>
      </c>
      <c r="R45" s="7">
        <f>SUM(L45:Q45)</f>
        <v/>
      </c>
      <c r="S45" s="136">
        <f>IF(E45=0,"***",L45/E45)</f>
        <v/>
      </c>
      <c r="T45" s="136">
        <f>IF(F45=0,"***",M45/F45)</f>
        <v/>
      </c>
      <c r="U45" s="136">
        <f>IF(G45=0,"***",N45/G45)</f>
        <v/>
      </c>
      <c r="V45" s="136">
        <f>IF(H45=0,"***",O45/H45)</f>
        <v/>
      </c>
      <c r="W45" s="136">
        <f>IF(I45=0,"***",P45/I45)</f>
        <v/>
      </c>
      <c r="X45" s="136">
        <f>IF(J45=0,"***",Q45/J45)</f>
        <v/>
      </c>
      <c r="Y45" s="137">
        <f>IF(K45=0,"***",R45/K45)</f>
        <v/>
      </c>
    </row>
    <row r="46">
      <c r="C46" s="60" t="inlineStr">
        <is>
          <t>大田水産部</t>
        </is>
      </c>
      <c r="D46" s="22" t="n"/>
      <c r="E46" s="20">
        <f>SUM(E44:E45)</f>
        <v/>
      </c>
      <c r="F46" s="20">
        <f>SUM(F44:F45)</f>
        <v/>
      </c>
      <c r="G46" s="20">
        <f>SUM(G44:G45)</f>
        <v/>
      </c>
      <c r="H46" s="20">
        <f>SUM(H44:H45)</f>
        <v/>
      </c>
      <c r="I46" s="20">
        <f>SUM(I44:I45)</f>
        <v/>
      </c>
      <c r="J46" s="20">
        <f>SUM(J44:J45)</f>
        <v/>
      </c>
      <c r="K46" s="7">
        <f>SUM(K44:K45)</f>
        <v/>
      </c>
      <c r="L46" s="20">
        <f>SUM(L44:L45)</f>
        <v/>
      </c>
      <c r="M46" s="20">
        <f>SUM(M44:M45)</f>
        <v/>
      </c>
      <c r="N46" s="20">
        <f>SUM(N44:N45)</f>
        <v/>
      </c>
      <c r="O46" s="20">
        <f>SUM(O44:O45)</f>
        <v/>
      </c>
      <c r="P46" s="20">
        <f>SUM(P44:P45)</f>
        <v/>
      </c>
      <c r="Q46" s="20">
        <f>SUM(Q44:Q45)</f>
        <v/>
      </c>
      <c r="R46" s="7">
        <f>SUM(R44:R45)</f>
        <v/>
      </c>
      <c r="S46" s="136">
        <f>IF(E46=0,"***",L46/E46)</f>
        <v/>
      </c>
      <c r="T46" s="136">
        <f>IF(F46=0,"***",M46/F46)</f>
        <v/>
      </c>
      <c r="U46" s="136">
        <f>IF(G46=0,"***",N46/G46)</f>
        <v/>
      </c>
      <c r="V46" s="136">
        <f>IF(H46=0,"***",O46/H46)</f>
        <v/>
      </c>
      <c r="W46" s="136">
        <f>IF(I46=0,"***",P46/I46)</f>
        <v/>
      </c>
      <c r="X46" s="136">
        <f>IF(J46=0,"***",Q46/J46)</f>
        <v/>
      </c>
      <c r="Y46" s="137">
        <f>IF(K46=0,"***",R46/K46)</f>
        <v/>
      </c>
    </row>
    <row r="47">
      <c r="C47" s="60" t="inlineStr">
        <is>
          <t>0031 集計</t>
        </is>
      </c>
      <c r="D47" s="22" t="inlineStr">
        <is>
          <t>JF境</t>
        </is>
      </c>
      <c r="E47" s="20">
        <f>(E30+E13)/2</f>
        <v/>
      </c>
      <c r="F47" s="20">
        <f>(F30+F13)/2</f>
        <v/>
      </c>
      <c r="G47" s="20">
        <f>(G30+G13)/2</f>
        <v/>
      </c>
      <c r="H47" s="20">
        <f>(H30+H13)/2</f>
        <v/>
      </c>
      <c r="I47" s="20">
        <f>(I30+I13)/2</f>
        <v/>
      </c>
      <c r="J47" s="20">
        <f>(J30+J13)/2</f>
        <v/>
      </c>
      <c r="K47" s="7">
        <f>SUM(E47:J47)</f>
        <v/>
      </c>
      <c r="L47" s="20">
        <f>(L30+L13)/2</f>
        <v/>
      </c>
      <c r="M47" s="20">
        <f>(M30+M13)/2</f>
        <v/>
      </c>
      <c r="N47" s="20">
        <f>(N30+N13)/2</f>
        <v/>
      </c>
      <c r="O47" s="20">
        <f>(O30+O13)/2</f>
        <v/>
      </c>
      <c r="P47" s="20">
        <f>(P30+P13)/2</f>
        <v/>
      </c>
      <c r="Q47" s="20">
        <f>(Q30+Q13)/2</f>
        <v/>
      </c>
      <c r="R47" s="7">
        <f>SUM(L47:Q47)</f>
        <v/>
      </c>
      <c r="S47" s="136">
        <f>IF(E47=0,"***",L47/E47)</f>
        <v/>
      </c>
      <c r="T47" s="136">
        <f>IF(F47=0,"***",M47/F47)</f>
        <v/>
      </c>
      <c r="U47" s="136">
        <f>IF(G47=0,"***",N47/G47)</f>
        <v/>
      </c>
      <c r="V47" s="136">
        <f>IF(H47=0,"***",O47/H47)</f>
        <v/>
      </c>
      <c r="W47" s="136">
        <f>IF(I47=0,"***",P47/I47)</f>
        <v/>
      </c>
      <c r="X47" s="136">
        <f>IF(J47=0,"***",Q47/J47)</f>
        <v/>
      </c>
      <c r="Y47" s="137">
        <f>IF(K47=0,"***",R47/K47)</f>
        <v/>
      </c>
    </row>
    <row r="48">
      <c r="C48" s="60" t="inlineStr">
        <is>
          <t>0038 集計</t>
        </is>
      </c>
      <c r="D48" s="83" t="inlineStr">
        <is>
          <t>境その他</t>
        </is>
      </c>
      <c r="E48" s="20">
        <f>(E31+E14)/2</f>
        <v/>
      </c>
      <c r="F48" s="20">
        <f>(F31+F14)/2</f>
        <v/>
      </c>
      <c r="G48" s="20">
        <f>(G31+G14)/2</f>
        <v/>
      </c>
      <c r="H48" s="20">
        <f>(H31+H14)/2</f>
        <v/>
      </c>
      <c r="I48" s="20">
        <f>(I31+I14)/2</f>
        <v/>
      </c>
      <c r="J48" s="20">
        <f>(J31+J14)/2</f>
        <v/>
      </c>
      <c r="K48" s="7">
        <f>SUM(E48:J48)</f>
        <v/>
      </c>
      <c r="L48" s="20">
        <f>(L31+L14)/2</f>
        <v/>
      </c>
      <c r="M48" s="20">
        <f>(M31+M14)/2</f>
        <v/>
      </c>
      <c r="N48" s="20">
        <f>(N31+N14)/2</f>
        <v/>
      </c>
      <c r="O48" s="20">
        <f>(O31+O14)/2</f>
        <v/>
      </c>
      <c r="P48" s="20">
        <f>(P31+P14)/2</f>
        <v/>
      </c>
      <c r="Q48" s="20">
        <f>(Q31+Q14)/2</f>
        <v/>
      </c>
      <c r="R48" s="7">
        <f>SUM(L48:Q48)</f>
        <v/>
      </c>
      <c r="S48" s="136">
        <f>IF(E48=0,"***",L48/E48)</f>
        <v/>
      </c>
      <c r="T48" s="136">
        <f>IF(F48=0,"***",M48/F48)</f>
        <v/>
      </c>
      <c r="U48" s="136">
        <f>IF(G48=0,"***",N48/G48)</f>
        <v/>
      </c>
      <c r="V48" s="136">
        <f>IF(H48=0,"***",O48/H48)</f>
        <v/>
      </c>
      <c r="W48" s="136">
        <f>IF(I48=0,"***",P48/I48)</f>
        <v/>
      </c>
      <c r="X48" s="136">
        <f>IF(J48=0,"***",Q48/J48)</f>
        <v/>
      </c>
      <c r="Y48" s="137">
        <f>IF(K48=0,"***",R48/K48)</f>
        <v/>
      </c>
    </row>
    <row r="49">
      <c r="C49" s="82" t="inlineStr">
        <is>
          <t>境港水産部合計</t>
        </is>
      </c>
      <c r="D49" s="83" t="n"/>
      <c r="E49" s="20">
        <f>SUM(E47:E48)</f>
        <v/>
      </c>
      <c r="F49" s="20">
        <f>SUM(F47:F48)</f>
        <v/>
      </c>
      <c r="G49" s="20">
        <f>SUM(G47:G48)</f>
        <v/>
      </c>
      <c r="H49" s="20">
        <f>SUM(H47:H48)</f>
        <v/>
      </c>
      <c r="I49" s="20">
        <f>SUM(I47:I48)</f>
        <v/>
      </c>
      <c r="J49" s="20">
        <f>SUM(J47:J48)</f>
        <v/>
      </c>
      <c r="K49" s="7">
        <f>SUM(E49:J49)</f>
        <v/>
      </c>
      <c r="L49" s="20">
        <f>SUM(L47:L48)</f>
        <v/>
      </c>
      <c r="M49" s="20">
        <f>SUM(M47:M48)</f>
        <v/>
      </c>
      <c r="N49" s="20">
        <f>SUM(N47:N48)</f>
        <v/>
      </c>
      <c r="O49" s="20">
        <f>SUM(O47:O48)</f>
        <v/>
      </c>
      <c r="P49" s="20">
        <f>SUM(P47:P48)</f>
        <v/>
      </c>
      <c r="Q49" s="20">
        <f>SUM(Q47:Q48)</f>
        <v/>
      </c>
      <c r="R49" s="7">
        <f>SUM(L49:Q49)</f>
        <v/>
      </c>
      <c r="S49" s="136">
        <f>IF(E49=0,"***",L49/E49)</f>
        <v/>
      </c>
      <c r="T49" s="136">
        <f>IF(F49=0,"***",M49/F49)</f>
        <v/>
      </c>
      <c r="U49" s="136">
        <f>IF(G49=0,"***",N49/G49)</f>
        <v/>
      </c>
      <c r="V49" s="136">
        <f>IF(H49=0,"***",O49/H49)</f>
        <v/>
      </c>
      <c r="W49" s="136">
        <f>IF(I49=0,"***",P49/I49)</f>
        <v/>
      </c>
      <c r="X49" s="136">
        <f>IF(J49=0,"***",Q49/J49)</f>
        <v/>
      </c>
      <c r="Y49" s="137">
        <f>IF(K49=0,"***",R49/K49)</f>
        <v/>
      </c>
    </row>
    <row r="50">
      <c r="C50" s="53" t="inlineStr">
        <is>
          <t>合計</t>
        </is>
      </c>
      <c r="D50" s="54" t="n"/>
      <c r="E50" s="8">
        <f>E43+E46+E49</f>
        <v/>
      </c>
      <c r="F50" s="8">
        <f>F43+F46+F49</f>
        <v/>
      </c>
      <c r="G50" s="8">
        <f>G43+G46+G49</f>
        <v/>
      </c>
      <c r="H50" s="8">
        <f>H43+H46+H49</f>
        <v/>
      </c>
      <c r="I50" s="8">
        <f>I43+I46+I49</f>
        <v/>
      </c>
      <c r="J50" s="8">
        <f>J43+J46+J49</f>
        <v/>
      </c>
      <c r="K50" s="64">
        <f>K43+K46+K49</f>
        <v/>
      </c>
      <c r="L50" s="8">
        <f>L43+L46+L49</f>
        <v/>
      </c>
      <c r="M50" s="8">
        <f>M43+M46+M49</f>
        <v/>
      </c>
      <c r="N50" s="8">
        <f>N43+N46+N49</f>
        <v/>
      </c>
      <c r="O50" s="8">
        <f>O43+O46+O49</f>
        <v/>
      </c>
      <c r="P50" s="8">
        <f>P43+P46+P49</f>
        <v/>
      </c>
      <c r="Q50" s="8">
        <f>Q43+Q46+Q49</f>
        <v/>
      </c>
      <c r="R50" s="64">
        <f>R43+R46+R49</f>
        <v/>
      </c>
      <c r="S50" s="139">
        <f>IF(E50=0,"***",L50/E50)</f>
        <v/>
      </c>
      <c r="T50" s="139">
        <f>IF(F50=0,"***",M50/F50)</f>
        <v/>
      </c>
      <c r="U50" s="139">
        <f>IF(G50=0,"***",N50/G50)</f>
        <v/>
      </c>
      <c r="V50" s="139">
        <f>IF(H50=0,"***",O50/H50)</f>
        <v/>
      </c>
      <c r="W50" s="139">
        <f>IF(I50=0,"***",P50/I50)</f>
        <v/>
      </c>
      <c r="X50" s="139">
        <f>IF(J50=0,"***",Q50/J50)</f>
        <v/>
      </c>
      <c r="Y50" s="140">
        <f>IF(K50=0,"***",R50/K50)</f>
        <v/>
      </c>
    </row>
    <row r="51">
      <c r="C51" s="74" t="inlineStr">
        <is>
          <t>【参考】大海分</t>
        </is>
      </c>
      <c r="D51" s="75" t="n"/>
      <c r="E51" s="98">
        <f>(E34+E17)/2</f>
        <v/>
      </c>
      <c r="F51" s="98">
        <f>(F34+F17)/2</f>
        <v/>
      </c>
      <c r="G51" s="98">
        <f>(G34+G17)/2</f>
        <v/>
      </c>
      <c r="H51" s="98">
        <f>(H34+H17)/2</f>
        <v/>
      </c>
      <c r="I51" s="98">
        <f>(I34+I17)/2</f>
        <v/>
      </c>
      <c r="J51" s="98">
        <f>(J34+J17)/2</f>
        <v/>
      </c>
      <c r="K51" s="103">
        <f>SUM(E51:J51)</f>
        <v/>
      </c>
      <c r="L51" s="98">
        <f>(L34+L17)/2</f>
        <v/>
      </c>
      <c r="M51" s="98">
        <f>(M34+M17)/2</f>
        <v/>
      </c>
      <c r="N51" s="98">
        <f>(N34+N17)/2</f>
        <v/>
      </c>
      <c r="O51" s="98">
        <f>(O34+O17)/2</f>
        <v/>
      </c>
      <c r="P51" s="98">
        <f>(P34+P17)/2</f>
        <v/>
      </c>
      <c r="Q51" s="98">
        <f>(Q34+Q17)/2</f>
        <v/>
      </c>
      <c r="R51" s="103">
        <f>SUM(L51:Q51)</f>
        <v/>
      </c>
      <c r="S51" s="142">
        <f>IF(E51=0,"***",L51/E51)</f>
        <v/>
      </c>
      <c r="T51" s="142">
        <f>IF(F51=0,"***",M51/F51)</f>
        <v/>
      </c>
      <c r="U51" s="142">
        <f>IF(G51=0,"***",N51/G51)</f>
        <v/>
      </c>
      <c r="V51" s="142">
        <f>IF(H51=0,"***",O51/H51)</f>
        <v/>
      </c>
      <c r="W51" s="142">
        <f>IF(I51=0,"***",P51/I51)</f>
        <v/>
      </c>
      <c r="X51" s="142">
        <f>IF(J51=0,"***",Q51/J51)</f>
        <v/>
      </c>
      <c r="Y51" s="143">
        <f>IF(K51=0,"***",R51/K51)</f>
        <v/>
      </c>
    </row>
    <row r="52">
      <c r="E52" s="17" t="n"/>
      <c r="F52" s="17" t="n"/>
      <c r="G52" s="17" t="n"/>
      <c r="H52" s="17" t="n"/>
      <c r="I52" s="17" t="n"/>
      <c r="J52" s="17" t="n"/>
      <c r="K52" s="18" t="n"/>
      <c r="L52" s="17" t="n"/>
      <c r="M52" s="17" t="n"/>
      <c r="N52" s="17" t="n"/>
      <c r="O52" s="17" t="n"/>
      <c r="P52" s="17" t="n"/>
      <c r="Q52" s="17" t="n"/>
      <c r="R52" s="18" t="n"/>
      <c r="S52" s="144" t="n"/>
      <c r="T52" s="144" t="n"/>
      <c r="U52" s="144" t="n"/>
      <c r="V52" s="144" t="n"/>
      <c r="W52" s="144" t="n"/>
      <c r="X52" s="144" t="n"/>
      <c r="Y52" s="144" t="n"/>
    </row>
    <row r="53">
      <c r="C53" s="18" t="inlineStr">
        <is>
          <t>4．計画</t>
        </is>
      </c>
    </row>
    <row r="54">
      <c r="C54" s="117" t="n"/>
      <c r="D54" s="118" t="n"/>
      <c r="E54" s="117" t="inlineStr">
        <is>
          <t>売上</t>
        </is>
      </c>
      <c r="F54" s="120" t="n"/>
      <c r="G54" s="120" t="n"/>
      <c r="H54" s="120" t="n"/>
      <c r="I54" s="120" t="n"/>
      <c r="J54" s="120" t="n"/>
      <c r="K54" s="118" t="n"/>
      <c r="L54" s="119" t="inlineStr">
        <is>
          <t>粗利益</t>
        </is>
      </c>
      <c r="M54" s="120" t="n"/>
      <c r="N54" s="120" t="n"/>
      <c r="O54" s="120" t="n"/>
      <c r="P54" s="120" t="n"/>
      <c r="Q54" s="120" t="n"/>
      <c r="R54" s="118" t="n"/>
      <c r="S54" s="119" t="inlineStr">
        <is>
          <t>粗利益率</t>
        </is>
      </c>
      <c r="T54" s="120" t="n"/>
      <c r="U54" s="120" t="n"/>
      <c r="V54" s="120" t="n"/>
      <c r="W54" s="120" t="n"/>
      <c r="X54" s="120" t="n"/>
      <c r="Y54" s="118" t="n"/>
    </row>
    <row r="55">
      <c r="C55" s="1" t="n"/>
      <c r="D55" s="21" t="n"/>
      <c r="E55" s="61" t="n">
        <v>46113</v>
      </c>
      <c r="F55" s="2" t="n">
        <v>46143</v>
      </c>
      <c r="G55" s="2" t="n">
        <v>46174</v>
      </c>
      <c r="H55" s="2" t="n">
        <v>46204</v>
      </c>
      <c r="I55" s="2" t="n">
        <v>46235</v>
      </c>
      <c r="J55" s="2" t="n">
        <v>46266</v>
      </c>
      <c r="K55" s="10" t="inlineStr">
        <is>
          <t>合計</t>
        </is>
      </c>
      <c r="L55" s="95" t="n">
        <v>46113</v>
      </c>
      <c r="M55" s="2" t="n">
        <v>46143</v>
      </c>
      <c r="N55" s="2" t="n">
        <v>46174</v>
      </c>
      <c r="O55" s="2" t="n">
        <v>46204</v>
      </c>
      <c r="P55" s="2" t="n">
        <v>46235</v>
      </c>
      <c r="Q55" s="2" t="n">
        <v>46266</v>
      </c>
      <c r="R55" s="10" t="inlineStr">
        <is>
          <t>合計</t>
        </is>
      </c>
      <c r="S55" s="95" t="n">
        <v>46113</v>
      </c>
      <c r="T55" s="2" t="n">
        <v>46143</v>
      </c>
      <c r="U55" s="2" t="n">
        <v>46174</v>
      </c>
      <c r="V55" s="2" t="n">
        <v>46204</v>
      </c>
      <c r="W55" s="2" t="n">
        <v>46235</v>
      </c>
      <c r="X55" s="2" t="n">
        <v>46266</v>
      </c>
      <c r="Y55" s="10" t="inlineStr">
        <is>
          <t>合計</t>
        </is>
      </c>
    </row>
    <row r="56">
      <c r="C56" s="60" t="inlineStr">
        <is>
          <t>0010 集計</t>
        </is>
      </c>
      <c r="D56" s="22" t="inlineStr">
        <is>
          <t>JF</t>
        </is>
      </c>
      <c r="E56" s="3" t="n">
        <v>8690</v>
      </c>
      <c r="F56" s="20" t="n">
        <v>4400</v>
      </c>
      <c r="G56" s="20" t="n">
        <v>2060</v>
      </c>
      <c r="H56" s="20" t="n">
        <v>2600</v>
      </c>
      <c r="I56" s="20" t="n">
        <v>5310</v>
      </c>
      <c r="J56" s="20" t="n">
        <v>8440</v>
      </c>
      <c r="K56" s="62">
        <f>SUM(E56:J56)</f>
        <v/>
      </c>
      <c r="L56" s="20" t="n">
        <v>2370</v>
      </c>
      <c r="M56" s="4" t="n">
        <v>1310</v>
      </c>
      <c r="N56" s="4" t="n">
        <v>540</v>
      </c>
      <c r="O56" s="20" t="n">
        <v>590</v>
      </c>
      <c r="P56" s="4" t="n">
        <v>1460</v>
      </c>
      <c r="Q56" s="4" t="n">
        <v>1690</v>
      </c>
      <c r="R56" s="62">
        <f>SUM(L56:Q56)</f>
        <v/>
      </c>
      <c r="S56" s="135">
        <f>IF(E56=0,"***",L56/E56)</f>
        <v/>
      </c>
      <c r="T56" s="136">
        <f>IF(F56=0,"***",M56/F56)</f>
        <v/>
      </c>
      <c r="U56" s="136">
        <f>IF(G56=0,"***",N56/G56)</f>
        <v/>
      </c>
      <c r="V56" s="136">
        <f>IF(H56=0,"***",O56/H56)</f>
        <v/>
      </c>
      <c r="W56" s="136">
        <f>IF(I56=0,"***",P56/I56)</f>
        <v/>
      </c>
      <c r="X56" s="136">
        <f>IF(J56=0,"***",Q56/J56)</f>
        <v/>
      </c>
      <c r="Y56" s="137">
        <f>IF(K56=0,"***",R56/K56)</f>
        <v/>
      </c>
    </row>
    <row r="57">
      <c r="C57" s="60" t="inlineStr">
        <is>
          <t>0017 集計</t>
        </is>
      </c>
      <c r="D57" s="22" t="inlineStr">
        <is>
          <t>鮮魚</t>
        </is>
      </c>
      <c r="E57" s="3" t="n">
        <v>3810</v>
      </c>
      <c r="F57" s="20" t="n">
        <v>3300</v>
      </c>
      <c r="G57" s="20" t="n">
        <v>4690</v>
      </c>
      <c r="H57" s="20" t="n">
        <v>3660</v>
      </c>
      <c r="I57" s="20" t="n">
        <v>2900</v>
      </c>
      <c r="J57" s="20" t="n">
        <v>5110</v>
      </c>
      <c r="K57" s="62">
        <f>SUM(E57:J57)</f>
        <v/>
      </c>
      <c r="L57" s="20" t="n">
        <v>1140</v>
      </c>
      <c r="M57" s="4" t="n">
        <v>990</v>
      </c>
      <c r="N57" s="4" t="n">
        <v>1410</v>
      </c>
      <c r="O57" s="20" t="n">
        <v>1100</v>
      </c>
      <c r="P57" s="4" t="n">
        <v>870</v>
      </c>
      <c r="Q57" s="4" t="n">
        <v>1530</v>
      </c>
      <c r="R57" s="62">
        <f>SUM(L57:Q57)</f>
        <v/>
      </c>
      <c r="S57" s="135">
        <f>IF(E57=0,"***",L57/E57)</f>
        <v/>
      </c>
      <c r="T57" s="136">
        <f>IF(F57=0,"***",M57/F57)</f>
        <v/>
      </c>
      <c r="U57" s="136">
        <f>IF(G57=0,"***",N57/G57)</f>
        <v/>
      </c>
      <c r="V57" s="136">
        <f>IF(H57=0,"***",O57/H57)</f>
        <v/>
      </c>
      <c r="W57" s="136">
        <f>IF(I57=0,"***",P57/I57)</f>
        <v/>
      </c>
      <c r="X57" s="136">
        <f>IF(J57=0,"***",Q57/J57)</f>
        <v/>
      </c>
      <c r="Y57" s="137">
        <f>IF(K57=0,"***",R57/K57)</f>
        <v/>
      </c>
    </row>
    <row r="58">
      <c r="C58" s="60" t="inlineStr">
        <is>
          <t>0101 集計</t>
        </is>
      </c>
      <c r="D58" s="22" t="inlineStr">
        <is>
          <t>GS</t>
        </is>
      </c>
      <c r="E58" s="3" t="n">
        <v>580</v>
      </c>
      <c r="F58" s="20" t="n">
        <v>380</v>
      </c>
      <c r="G58" s="20" t="n">
        <v>50</v>
      </c>
      <c r="H58" s="20" t="n">
        <v>40</v>
      </c>
      <c r="I58" s="20" t="n">
        <v>600</v>
      </c>
      <c r="J58" s="20" t="n">
        <v>520</v>
      </c>
      <c r="K58" s="62">
        <f>SUM(E58:J58)</f>
        <v/>
      </c>
      <c r="L58" s="20" t="n">
        <v>260</v>
      </c>
      <c r="M58" s="4" t="n">
        <v>170</v>
      </c>
      <c r="N58" s="4" t="n">
        <v>20</v>
      </c>
      <c r="O58" s="20" t="n">
        <v>20</v>
      </c>
      <c r="P58" s="4" t="n">
        <v>300</v>
      </c>
      <c r="Q58" s="4" t="n">
        <v>360</v>
      </c>
      <c r="R58" s="62">
        <f>SUM(L58:Q58)</f>
        <v/>
      </c>
      <c r="S58" s="135">
        <f>IF(E58=0,"***",L58/E58)</f>
        <v/>
      </c>
      <c r="T58" s="136">
        <f>IF(F58=0,"***",M58/F58)</f>
        <v/>
      </c>
      <c r="U58" s="136">
        <f>IF(G58=0,"***",N58/G58)</f>
        <v/>
      </c>
      <c r="V58" s="136">
        <f>IF(H58=0,"***",O58/H58)</f>
        <v/>
      </c>
      <c r="W58" s="136">
        <f>IF(I58=0,"***",P58/I58)</f>
        <v/>
      </c>
      <c r="X58" s="136">
        <f>IF(J58=0,"***",Q58/J58)</f>
        <v/>
      </c>
      <c r="Y58" s="137">
        <f>IF(K58=0,"***",R58/K58)</f>
        <v/>
      </c>
    </row>
    <row r="59">
      <c r="C59" s="60" t="inlineStr">
        <is>
          <t>0106 集計</t>
        </is>
      </c>
      <c r="D59" s="22" t="inlineStr">
        <is>
          <t>浜田荷役</t>
        </is>
      </c>
      <c r="E59" s="3" t="n">
        <v>3680</v>
      </c>
      <c r="F59" s="20" t="n">
        <v>5200</v>
      </c>
      <c r="G59" s="20" t="n">
        <v>4720</v>
      </c>
      <c r="H59" s="20" t="n">
        <v>3850</v>
      </c>
      <c r="I59" s="20" t="n">
        <v>2300</v>
      </c>
      <c r="J59" s="20" t="n">
        <v>3540</v>
      </c>
      <c r="K59" s="62">
        <f>SUM(E59:J59)</f>
        <v/>
      </c>
      <c r="L59" s="20" t="n">
        <v>1940</v>
      </c>
      <c r="M59" s="4" t="n">
        <v>2700</v>
      </c>
      <c r="N59" s="4" t="n">
        <v>1890</v>
      </c>
      <c r="O59" s="20" t="n">
        <v>1930</v>
      </c>
      <c r="P59" s="4" t="n">
        <v>1250</v>
      </c>
      <c r="Q59" s="4" t="n">
        <v>1770</v>
      </c>
      <c r="R59" s="62">
        <f>SUM(L59:Q59)</f>
        <v/>
      </c>
      <c r="S59" s="135">
        <f>IF(E59=0,"***",L59/E59)</f>
        <v/>
      </c>
      <c r="T59" s="136">
        <f>IF(F59=0,"***",M59/F59)</f>
        <v/>
      </c>
      <c r="U59" s="136">
        <f>IF(G59=0,"***",N59/G59)</f>
        <v/>
      </c>
      <c r="V59" s="136">
        <f>IF(H59=0,"***",O59/H59)</f>
        <v/>
      </c>
      <c r="W59" s="136">
        <f>IF(I59=0,"***",P59/I59)</f>
        <v/>
      </c>
      <c r="X59" s="136">
        <f>IF(J59=0,"***",Q59/J59)</f>
        <v/>
      </c>
      <c r="Y59" s="137">
        <f>IF(K59=0,"***",R59/K59)</f>
        <v/>
      </c>
    </row>
    <row r="60">
      <c r="C60" s="60" t="inlineStr">
        <is>
          <t>浜田水産部合計</t>
        </is>
      </c>
      <c r="D60" s="22" t="n"/>
      <c r="E60" s="3">
        <f>SUM(E56:E59)</f>
        <v/>
      </c>
      <c r="F60" s="4">
        <f>SUM(F56:F59)</f>
        <v/>
      </c>
      <c r="G60" s="4">
        <f>SUM(G56:G59)</f>
        <v/>
      </c>
      <c r="H60" s="4">
        <f>SUM(H56:H59)</f>
        <v/>
      </c>
      <c r="I60" s="4">
        <f>SUM(I56:I59)</f>
        <v/>
      </c>
      <c r="J60" s="4">
        <f>SUM(J56:J59)</f>
        <v/>
      </c>
      <c r="K60" s="62">
        <f>SUM(E60:J60)</f>
        <v/>
      </c>
      <c r="L60" s="3">
        <f>SUM(L56:L59)</f>
        <v/>
      </c>
      <c r="M60" s="4">
        <f>SUM(M56:M59)</f>
        <v/>
      </c>
      <c r="N60" s="4">
        <f>SUM(N56:N59)</f>
        <v/>
      </c>
      <c r="O60" s="4">
        <f>SUM(O56:O59)</f>
        <v/>
      </c>
      <c r="P60" s="4">
        <f>SUM(P56:P59)</f>
        <v/>
      </c>
      <c r="Q60" s="4">
        <f>SUM(Q56:Q59)</f>
        <v/>
      </c>
      <c r="R60" s="62">
        <f>SUM(L60:Q60)</f>
        <v/>
      </c>
      <c r="S60" s="135">
        <f>IF(E60=0,"***",L60/E60)</f>
        <v/>
      </c>
      <c r="T60" s="136">
        <f>IF(F60=0,"***",M60/F60)</f>
        <v/>
      </c>
      <c r="U60" s="136">
        <f>IF(G60=0,"***",N60/G60)</f>
        <v/>
      </c>
      <c r="V60" s="136">
        <f>IF(H60=0,"***",O60/H60)</f>
        <v/>
      </c>
      <c r="W60" s="136">
        <f>IF(I60=0,"***",P60/I60)</f>
        <v/>
      </c>
      <c r="X60" s="136">
        <f>IF(J60=0,"***",Q60/J60)</f>
        <v/>
      </c>
      <c r="Y60" s="137">
        <f>IF(K60=0,"***",R60/K60)</f>
        <v/>
      </c>
    </row>
    <row r="61">
      <c r="C61" s="60" t="inlineStr">
        <is>
          <t>0102 集計</t>
        </is>
      </c>
      <c r="D61" s="22" t="inlineStr">
        <is>
          <t>JF大田</t>
        </is>
      </c>
      <c r="E61" s="3" t="n">
        <v>5500</v>
      </c>
      <c r="F61" s="20" t="n">
        <v>6400</v>
      </c>
      <c r="G61" s="20" t="n">
        <v>6700</v>
      </c>
      <c r="H61" s="20" t="n">
        <v>4800</v>
      </c>
      <c r="I61" s="20" t="n">
        <v>5700</v>
      </c>
      <c r="J61" s="20" t="n">
        <v>12500</v>
      </c>
      <c r="K61" s="62">
        <f>SUM(E61:J61)</f>
        <v/>
      </c>
      <c r="L61" s="20" t="n">
        <v>1100</v>
      </c>
      <c r="M61" s="4" t="n">
        <v>1570</v>
      </c>
      <c r="N61" s="4" t="n">
        <v>1310</v>
      </c>
      <c r="O61" s="4" t="n">
        <v>750</v>
      </c>
      <c r="P61" s="4" t="n">
        <v>1090</v>
      </c>
      <c r="Q61" s="4" t="n">
        <v>2340</v>
      </c>
      <c r="R61" s="62">
        <f>SUM(L61:Q61)</f>
        <v/>
      </c>
      <c r="S61" s="135">
        <f>IF(E61=0,"***",L61/E61)</f>
        <v/>
      </c>
      <c r="T61" s="136">
        <f>IF(F61=0,"***",M61/F61)</f>
        <v/>
      </c>
      <c r="U61" s="136">
        <f>IF(G61=0,"***",N61/G61)</f>
        <v/>
      </c>
      <c r="V61" s="136">
        <f>IF(H61=0,"***",O61/H61)</f>
        <v/>
      </c>
      <c r="W61" s="136">
        <f>IF(I61=0,"***",P61/I61)</f>
        <v/>
      </c>
      <c r="X61" s="136">
        <f>IF(J61=0,"***",Q61/J61)</f>
        <v/>
      </c>
      <c r="Y61" s="137">
        <f>IF(K61=0,"***",R61/K61)</f>
        <v/>
      </c>
    </row>
    <row r="62">
      <c r="C62" s="60" t="inlineStr">
        <is>
          <t>0104 集計</t>
        </is>
      </c>
      <c r="D62" s="22" t="inlineStr">
        <is>
          <t>大田荷役</t>
        </is>
      </c>
      <c r="E62" s="3" t="n">
        <v>4110</v>
      </c>
      <c r="F62" s="20" t="n">
        <v>4540</v>
      </c>
      <c r="G62" s="20" t="n">
        <v>4100</v>
      </c>
      <c r="H62" s="20" t="n">
        <v>4410</v>
      </c>
      <c r="I62" s="20" t="n">
        <v>1540</v>
      </c>
      <c r="J62" s="20" t="n">
        <v>4950</v>
      </c>
      <c r="K62" s="62">
        <f>SUM(E62:J62)</f>
        <v/>
      </c>
      <c r="L62" s="20" t="n">
        <v>2690</v>
      </c>
      <c r="M62" s="4" t="n">
        <v>2880</v>
      </c>
      <c r="N62" s="4" t="n">
        <v>2920</v>
      </c>
      <c r="O62" s="4" t="n">
        <v>3130</v>
      </c>
      <c r="P62" s="4" t="n">
        <v>1130</v>
      </c>
      <c r="Q62" s="4" t="n">
        <v>3120</v>
      </c>
      <c r="R62" s="62">
        <f>SUM(L62:Q62)</f>
        <v/>
      </c>
      <c r="S62" s="135">
        <f>IF(E62=0,"***",L62/E62)</f>
        <v/>
      </c>
      <c r="T62" s="136">
        <f>IF(F62=0,"***",M62/F62)</f>
        <v/>
      </c>
      <c r="U62" s="136">
        <f>IF(G62=0,"***",N62/G62)</f>
        <v/>
      </c>
      <c r="V62" s="136">
        <f>IF(H62=0,"***",O62/H62)</f>
        <v/>
      </c>
      <c r="W62" s="136">
        <f>IF(I62=0,"***",P62/I62)</f>
        <v/>
      </c>
      <c r="X62" s="136">
        <f>IF(J62=0,"***",Q62/J62)</f>
        <v/>
      </c>
      <c r="Y62" s="137">
        <f>IF(K62=0,"***",R62/K62)</f>
        <v/>
      </c>
    </row>
    <row r="63">
      <c r="C63" s="60" t="inlineStr">
        <is>
          <t>大田水産部</t>
        </is>
      </c>
      <c r="D63" s="22" t="n"/>
      <c r="E63" s="3">
        <f>SUM(E61:E62)</f>
        <v/>
      </c>
      <c r="F63" s="20">
        <f>SUM(F61:F62)</f>
        <v/>
      </c>
      <c r="G63" s="20">
        <f>SUM(G61:G62)</f>
        <v/>
      </c>
      <c r="H63" s="20">
        <f>SUM(H61:H62)</f>
        <v/>
      </c>
      <c r="I63" s="20">
        <f>SUM(I61:I62)</f>
        <v/>
      </c>
      <c r="J63" s="20">
        <f>SUM(J61:J62)</f>
        <v/>
      </c>
      <c r="K63" s="62">
        <f>SUM(K61:K62)</f>
        <v/>
      </c>
      <c r="L63" s="3">
        <f>SUM(L61:L62)</f>
        <v/>
      </c>
      <c r="M63" s="20">
        <f>SUM(M61:M62)</f>
        <v/>
      </c>
      <c r="N63" s="20">
        <f>SUM(N61:N62)</f>
        <v/>
      </c>
      <c r="O63" s="20">
        <f>SUM(O61:O62)</f>
        <v/>
      </c>
      <c r="P63" s="20">
        <f>SUM(P61:P62)</f>
        <v/>
      </c>
      <c r="Q63" s="20">
        <f>SUM(Q61:Q62)</f>
        <v/>
      </c>
      <c r="R63" s="62">
        <f>SUM(R61:R62)</f>
        <v/>
      </c>
      <c r="S63" s="135">
        <f>IF(E63=0,"***",L63/E63)</f>
        <v/>
      </c>
      <c r="T63" s="136">
        <f>IF(F63=0,"***",M63/F63)</f>
        <v/>
      </c>
      <c r="U63" s="136">
        <f>IF(G63=0,"***",N63/G63)</f>
        <v/>
      </c>
      <c r="V63" s="136">
        <f>IF(H63=0,"***",O63/H63)</f>
        <v/>
      </c>
      <c r="W63" s="136">
        <f>IF(I63=0,"***",P63/I63)</f>
        <v/>
      </c>
      <c r="X63" s="136">
        <f>IF(J63=0,"***",Q63/J63)</f>
        <v/>
      </c>
      <c r="Y63" s="137">
        <f>IF(K63=0,"***",R63/K63)</f>
        <v/>
      </c>
    </row>
    <row r="64">
      <c r="C64" s="60" t="inlineStr">
        <is>
          <t>0031 集計</t>
        </is>
      </c>
      <c r="D64" s="22" t="inlineStr">
        <is>
          <t>JF境</t>
        </is>
      </c>
      <c r="E64" s="3" t="n">
        <v>15310</v>
      </c>
      <c r="F64" s="20" t="n">
        <v>22000</v>
      </c>
      <c r="G64" s="20" t="n">
        <v>20240</v>
      </c>
      <c r="H64" s="20" t="n">
        <v>13600</v>
      </c>
      <c r="I64" s="20" t="n">
        <v>10200</v>
      </c>
      <c r="J64" s="20" t="n">
        <v>11000</v>
      </c>
      <c r="K64" s="62">
        <f>SUM(E64:J64)</f>
        <v/>
      </c>
      <c r="L64" s="20" t="n">
        <v>3890</v>
      </c>
      <c r="M64" s="20" t="n">
        <v>4990</v>
      </c>
      <c r="N64" s="20" t="n">
        <v>4250</v>
      </c>
      <c r="O64" s="20" t="n">
        <v>2720</v>
      </c>
      <c r="P64" s="20" t="n">
        <v>2040</v>
      </c>
      <c r="Q64" s="20" t="n">
        <v>2200</v>
      </c>
      <c r="R64" s="62">
        <f>SUM(L64:Q64)</f>
        <v/>
      </c>
      <c r="S64" s="135">
        <f>IF(E64=0,"***",L64/E64)</f>
        <v/>
      </c>
      <c r="T64" s="136">
        <f>IF(F64=0,"***",M64/F64)</f>
        <v/>
      </c>
      <c r="U64" s="136">
        <f>IF(G64=0,"***",N64/G64)</f>
        <v/>
      </c>
      <c r="V64" s="136">
        <f>IF(H64=0,"***",O64/H64)</f>
        <v/>
      </c>
      <c r="W64" s="136">
        <f>IF(I64=0,"***",P64/I64)</f>
        <v/>
      </c>
      <c r="X64" s="136">
        <f>IF(J64=0,"***",Q64/J64)</f>
        <v/>
      </c>
      <c r="Y64" s="137">
        <f>IF(K64=0,"***",R64/K64)</f>
        <v/>
      </c>
    </row>
    <row r="65">
      <c r="C65" s="60" t="inlineStr">
        <is>
          <t>0038 集計</t>
        </is>
      </c>
      <c r="D65" s="83" t="inlineStr">
        <is>
          <t>境その他</t>
        </is>
      </c>
      <c r="E65" s="88" t="n">
        <v>30</v>
      </c>
      <c r="F65" s="84" t="n">
        <v>30</v>
      </c>
      <c r="G65" s="84" t="n">
        <v>30</v>
      </c>
      <c r="H65" s="84" t="n">
        <v>30</v>
      </c>
      <c r="I65" s="84" t="n">
        <v>30</v>
      </c>
      <c r="J65" s="84" t="n">
        <v>30</v>
      </c>
      <c r="K65" s="89">
        <f>SUM(E65:J65)</f>
        <v/>
      </c>
      <c r="L65" s="84" t="n">
        <v>10</v>
      </c>
      <c r="M65" s="84" t="n">
        <v>10</v>
      </c>
      <c r="N65" s="84" t="n">
        <v>10</v>
      </c>
      <c r="O65" s="84" t="n">
        <v>10</v>
      </c>
      <c r="P65" s="84" t="n">
        <v>10</v>
      </c>
      <c r="Q65" s="84" t="n">
        <v>10</v>
      </c>
      <c r="R65" s="62">
        <f>SUM(L65:Q65)</f>
        <v/>
      </c>
      <c r="S65" s="135">
        <f>IF(E65=0,"***",L65/E65)</f>
        <v/>
      </c>
      <c r="T65" s="136">
        <f>IF(F65=0,"***",M65/F65)</f>
        <v/>
      </c>
      <c r="U65" s="136">
        <f>IF(G65=0,"***",N65/G65)</f>
        <v/>
      </c>
      <c r="V65" s="136">
        <f>IF(H65=0,"***",O65/H65)</f>
        <v/>
      </c>
      <c r="W65" s="136">
        <f>IF(I65=0,"***",P65/I65)</f>
        <v/>
      </c>
      <c r="X65" s="136">
        <f>IF(J65=0,"***",Q65/J65)</f>
        <v/>
      </c>
      <c r="Y65" s="137">
        <f>IF(K65=0,"***",R65/K65)</f>
        <v/>
      </c>
    </row>
    <row r="66">
      <c r="C66" s="82" t="inlineStr">
        <is>
          <t>境港水産部合計</t>
        </is>
      </c>
      <c r="D66" s="83" t="n"/>
      <c r="E66" s="84">
        <f>E64+E65</f>
        <v/>
      </c>
      <c r="F66" s="84">
        <f>F64+F65</f>
        <v/>
      </c>
      <c r="G66" s="84">
        <f>G64+G65</f>
        <v/>
      </c>
      <c r="H66" s="84">
        <f>H64+H65</f>
        <v/>
      </c>
      <c r="I66" s="84">
        <f>I64+I65</f>
        <v/>
      </c>
      <c r="J66" s="84">
        <f>J64+J65</f>
        <v/>
      </c>
      <c r="K66" s="62">
        <f>SUM(E66:J66)</f>
        <v/>
      </c>
      <c r="L66" s="84">
        <f>L64+L65</f>
        <v/>
      </c>
      <c r="M66" s="84">
        <f>M64+M65</f>
        <v/>
      </c>
      <c r="N66" s="84">
        <f>N64+N65</f>
        <v/>
      </c>
      <c r="O66" s="84">
        <f>O64+O65</f>
        <v/>
      </c>
      <c r="P66" s="84">
        <f>P64+P65</f>
        <v/>
      </c>
      <c r="Q66" s="84">
        <f>Q64+Q65</f>
        <v/>
      </c>
      <c r="R66" s="62">
        <f>SUM(L66:Q66)</f>
        <v/>
      </c>
      <c r="S66" s="145">
        <f>IF(E66=0,"***",L66/E66)</f>
        <v/>
      </c>
      <c r="T66" s="136">
        <f>IF(F66=0,"***",M66/F66)</f>
        <v/>
      </c>
      <c r="U66" s="136">
        <f>IF(G66=0,"***",N66/G66)</f>
        <v/>
      </c>
      <c r="V66" s="136">
        <f>IF(H66=0,"***",O66/H66)</f>
        <v/>
      </c>
      <c r="W66" s="136">
        <f>IF(I66=0,"***",P66/I66)</f>
        <v/>
      </c>
      <c r="X66" s="136">
        <f>IF(J66=0,"***",Q66/J66)</f>
        <v/>
      </c>
      <c r="Y66" s="137">
        <f>IF(K66=0,"***",R66/K66)</f>
        <v/>
      </c>
    </row>
    <row r="67">
      <c r="C67" s="53" t="inlineStr">
        <is>
          <t>合計</t>
        </is>
      </c>
      <c r="D67" s="54" t="n"/>
      <c r="E67" s="8">
        <f>E60+E63+E66</f>
        <v/>
      </c>
      <c r="F67" s="8">
        <f>F60+F63+F66</f>
        <v/>
      </c>
      <c r="G67" s="8">
        <f>G60+G63+G66</f>
        <v/>
      </c>
      <c r="H67" s="8">
        <f>H60+H63+H66</f>
        <v/>
      </c>
      <c r="I67" s="8">
        <f>I60+I63+I66</f>
        <v/>
      </c>
      <c r="J67" s="8">
        <f>J60+J63+J66</f>
        <v/>
      </c>
      <c r="K67" s="64">
        <f>K60+K63+K66</f>
        <v/>
      </c>
      <c r="L67" s="8">
        <f>L60+L63+L66</f>
        <v/>
      </c>
      <c r="M67" s="8">
        <f>M60+M63+M66</f>
        <v/>
      </c>
      <c r="N67" s="8">
        <f>N60+N63+N66</f>
        <v/>
      </c>
      <c r="O67" s="8">
        <f>O60+O63+O66</f>
        <v/>
      </c>
      <c r="P67" s="8">
        <f>P60+P63+P66</f>
        <v/>
      </c>
      <c r="Q67" s="8">
        <f>Q60+Q63+Q66</f>
        <v/>
      </c>
      <c r="R67" s="64">
        <f>R60+R63+R66</f>
        <v/>
      </c>
      <c r="S67" s="138">
        <f>IF(E67=0,"***",L67/E67)</f>
        <v/>
      </c>
      <c r="T67" s="139">
        <f>IF(F67=0,"***",M67/F67)</f>
        <v/>
      </c>
      <c r="U67" s="139">
        <f>IF(G67=0,"***",N67/G67)</f>
        <v/>
      </c>
      <c r="V67" s="139">
        <f>IF(H67=0,"***",O67/H67)</f>
        <v/>
      </c>
      <c r="W67" s="139">
        <f>IF(I67=0,"***",P67/I67)</f>
        <v/>
      </c>
      <c r="X67" s="139">
        <f>IF(J67=0,"***",Q67/J67)</f>
        <v/>
      </c>
      <c r="Y67" s="140">
        <f>IF(K67=0,"***",R67/K67)</f>
        <v/>
      </c>
    </row>
    <row r="68">
      <c r="C68" s="74" t="inlineStr">
        <is>
          <t>【参考】大海分</t>
        </is>
      </c>
      <c r="D68" s="75" t="n"/>
      <c r="E68" s="98">
        <f>(E51+E34)/2</f>
        <v/>
      </c>
      <c r="F68" s="98">
        <f>(F51+F34)/2</f>
        <v/>
      </c>
      <c r="G68" s="98">
        <f>(G51+G34)/2</f>
        <v/>
      </c>
      <c r="H68" s="98">
        <f>(H51+H34)/2</f>
        <v/>
      </c>
      <c r="I68" s="98">
        <f>(I51+I34)/2</f>
        <v/>
      </c>
      <c r="J68" s="98">
        <f>(J51+J34)/2</f>
        <v/>
      </c>
      <c r="K68" s="103">
        <f>SUM(E68:J68)</f>
        <v/>
      </c>
      <c r="L68" s="98">
        <f>(L51+L34)/2</f>
        <v/>
      </c>
      <c r="M68" s="98">
        <f>(M51+M34)/2</f>
        <v/>
      </c>
      <c r="N68" s="98">
        <f>(N51+N34)/2</f>
        <v/>
      </c>
      <c r="O68" s="98">
        <f>(O51+O34)/2</f>
        <v/>
      </c>
      <c r="P68" s="98">
        <f>(P51+P34)/2</f>
        <v/>
      </c>
      <c r="Q68" s="98">
        <f>(Q51+Q34)/2</f>
        <v/>
      </c>
      <c r="R68" s="103">
        <f>SUM(L68:Q68)</f>
        <v/>
      </c>
      <c r="S68" s="142">
        <f>IF(E68=0,"***",L68/E68)</f>
        <v/>
      </c>
      <c r="T68" s="142">
        <f>IF(F68=0,"***",M68/F68)</f>
        <v/>
      </c>
      <c r="U68" s="142">
        <f>IF(G68=0,"***",N68/G68)</f>
        <v/>
      </c>
      <c r="V68" s="142">
        <f>IF(H68=0,"***",O68/H68)</f>
        <v/>
      </c>
      <c r="W68" s="142">
        <f>IF(I68=0,"***",P68/I68)</f>
        <v/>
      </c>
      <c r="X68" s="142">
        <f>IF(J68=0,"***",Q68/J68)</f>
        <v/>
      </c>
      <c r="Y68" s="143">
        <f>IF(K68=0,"***",R68/K68)</f>
        <v/>
      </c>
    </row>
    <row r="69">
      <c r="C69" s="18" t="inlineStr">
        <is>
          <t>＊大海分の計画入力は不要</t>
        </is>
      </c>
      <c r="E69" s="17" t="n"/>
      <c r="F69" s="17" t="n">
        <v>8671.294</v>
      </c>
      <c r="G69" s="17" t="n"/>
      <c r="H69" s="17" t="n"/>
      <c r="I69" s="17" t="n"/>
      <c r="J69" s="17" t="n"/>
      <c r="K69" s="18" t="n"/>
      <c r="L69" s="17" t="n"/>
      <c r="M69" s="17" t="n">
        <v>3581.357</v>
      </c>
      <c r="N69" s="17" t="n"/>
      <c r="O69" s="17" t="n"/>
      <c r="P69" s="17" t="n"/>
      <c r="Q69" s="17" t="n"/>
      <c r="R69" s="18" t="n"/>
      <c r="S69" s="144" t="n"/>
      <c r="T69" s="144" t="n"/>
      <c r="U69" s="144" t="n"/>
      <c r="V69" s="144" t="n"/>
      <c r="W69" s="144" t="n"/>
      <c r="X69" s="144" t="n"/>
      <c r="Y69" s="144" t="n"/>
    </row>
    <row r="70" hidden="1" s="127">
      <c r="C70" s="18" t="inlineStr">
        <is>
          <t>5．前期比</t>
        </is>
      </c>
    </row>
    <row r="71" hidden="1" s="127">
      <c r="C71" s="117" t="n"/>
      <c r="D71" s="118" t="n"/>
      <c r="E71" s="122" t="inlineStr">
        <is>
          <t>売上</t>
        </is>
      </c>
      <c r="F71" s="120" t="n"/>
      <c r="G71" s="120" t="n"/>
      <c r="H71" s="120" t="n"/>
      <c r="I71" s="120" t="n"/>
      <c r="J71" s="120" t="n"/>
      <c r="K71" s="120" t="n"/>
      <c r="L71" s="121" t="inlineStr">
        <is>
          <t>粗利益</t>
        </is>
      </c>
      <c r="M71" s="120" t="n"/>
      <c r="N71" s="120" t="n"/>
      <c r="O71" s="120" t="n"/>
      <c r="P71" s="120" t="n"/>
      <c r="Q71" s="120" t="n"/>
      <c r="R71" s="118" t="n"/>
      <c r="S71" s="119" t="inlineStr">
        <is>
          <t>粗利益率</t>
        </is>
      </c>
      <c r="T71" s="120" t="n"/>
      <c r="U71" s="120" t="n"/>
      <c r="V71" s="120" t="n"/>
      <c r="W71" s="120" t="n"/>
      <c r="X71" s="120" t="n"/>
      <c r="Y71" s="118" t="n"/>
    </row>
    <row r="72" hidden="1" s="127">
      <c r="C72" s="1" t="n"/>
      <c r="D72" s="21" t="n"/>
      <c r="E72" s="61" t="n">
        <v>46113</v>
      </c>
      <c r="F72" s="2" t="n">
        <v>46143</v>
      </c>
      <c r="G72" s="2" t="n">
        <v>46174</v>
      </c>
      <c r="H72" s="2" t="n">
        <v>46204</v>
      </c>
      <c r="I72" s="2" t="n">
        <v>46235</v>
      </c>
      <c r="J72" s="2" t="n">
        <v>46266</v>
      </c>
      <c r="K72" s="67" t="inlineStr">
        <is>
          <t>合計</t>
        </is>
      </c>
      <c r="L72" s="61" t="n">
        <v>46113</v>
      </c>
      <c r="M72" s="2" t="n">
        <v>46143</v>
      </c>
      <c r="N72" s="2" t="n">
        <v>46174</v>
      </c>
      <c r="O72" s="2" t="n">
        <v>46204</v>
      </c>
      <c r="P72" s="2" t="n">
        <v>46235</v>
      </c>
      <c r="Q72" s="2" t="n">
        <v>46266</v>
      </c>
      <c r="R72" s="10" t="inlineStr">
        <is>
          <t>合計</t>
        </is>
      </c>
      <c r="S72" s="95" t="n">
        <v>46113</v>
      </c>
      <c r="T72" s="2" t="n">
        <v>46143</v>
      </c>
      <c r="U72" s="2" t="n">
        <v>46174</v>
      </c>
      <c r="V72" s="2" t="n">
        <v>46204</v>
      </c>
      <c r="W72" s="2" t="n">
        <v>46235</v>
      </c>
      <c r="X72" s="2" t="n">
        <v>46266</v>
      </c>
      <c r="Y72" s="10" t="inlineStr">
        <is>
          <t>合計</t>
        </is>
      </c>
    </row>
    <row r="73" hidden="1" s="127">
      <c r="C73" s="60" t="inlineStr">
        <is>
          <t>0010 集計</t>
        </is>
      </c>
      <c r="D73" s="22" t="inlineStr">
        <is>
          <t>JF</t>
        </is>
      </c>
      <c r="E73" s="4">
        <f>E56-E22</f>
        <v/>
      </c>
      <c r="F73" s="4">
        <f>F56-F22</f>
        <v/>
      </c>
      <c r="G73" s="4">
        <f>G56-G22</f>
        <v/>
      </c>
      <c r="H73" s="4">
        <f>H56-H22</f>
        <v/>
      </c>
      <c r="I73" s="4">
        <f>I56-I22</f>
        <v/>
      </c>
      <c r="J73" s="4">
        <f>J56-J22</f>
        <v/>
      </c>
      <c r="K73" s="68">
        <f>SUM(E73:J73)</f>
        <v/>
      </c>
      <c r="L73" s="3">
        <f>L56-L22</f>
        <v/>
      </c>
      <c r="M73" s="4">
        <f>M56-M22</f>
        <v/>
      </c>
      <c r="N73" s="4">
        <f>N56-N22</f>
        <v/>
      </c>
      <c r="O73" s="4">
        <f>O56-O22</f>
        <v/>
      </c>
      <c r="P73" s="4">
        <f>P56-P22</f>
        <v/>
      </c>
      <c r="Q73" s="4">
        <f>Q56-Q22</f>
        <v/>
      </c>
      <c r="R73" s="62">
        <f>SUM(L73:Q73)</f>
        <v/>
      </c>
      <c r="S73" s="135">
        <f>-S22</f>
        <v/>
      </c>
      <c r="T73" s="136">
        <f>-T22</f>
        <v/>
      </c>
      <c r="U73" s="136">
        <f>-U22</f>
        <v/>
      </c>
      <c r="V73" s="136">
        <f>-V22</f>
        <v/>
      </c>
      <c r="W73" s="136">
        <f>-W22</f>
        <v/>
      </c>
      <c r="X73" s="136">
        <f>-X22</f>
        <v/>
      </c>
      <c r="Y73" s="147">
        <f>-Y22</f>
        <v/>
      </c>
    </row>
    <row r="74" hidden="1" s="127">
      <c r="C74" s="60" t="inlineStr">
        <is>
          <t>0017 集計</t>
        </is>
      </c>
      <c r="D74" s="22" t="inlineStr">
        <is>
          <t>鮮魚</t>
        </is>
      </c>
      <c r="E74" s="4">
        <f>E57-E23</f>
        <v/>
      </c>
      <c r="F74" s="4">
        <f>F57-F23</f>
        <v/>
      </c>
      <c r="G74" s="4">
        <f>G57-G23</f>
        <v/>
      </c>
      <c r="H74" s="4">
        <f>H57-H23</f>
        <v/>
      </c>
      <c r="I74" s="4">
        <f>I57-I23</f>
        <v/>
      </c>
      <c r="J74" s="4">
        <f>J57-J23</f>
        <v/>
      </c>
      <c r="K74" s="68">
        <f>SUM(E74:J74)</f>
        <v/>
      </c>
      <c r="L74" s="3">
        <f>L57-L23</f>
        <v/>
      </c>
      <c r="M74" s="4">
        <f>M57-M23</f>
        <v/>
      </c>
      <c r="N74" s="4">
        <f>N57-N23</f>
        <v/>
      </c>
      <c r="O74" s="4">
        <f>O57-O23</f>
        <v/>
      </c>
      <c r="P74" s="4">
        <f>P57-P23</f>
        <v/>
      </c>
      <c r="Q74" s="4">
        <f>Q57-Q23</f>
        <v/>
      </c>
      <c r="R74" s="62">
        <f>SUM(L74:Q74)</f>
        <v/>
      </c>
      <c r="S74" s="135">
        <f>-S23</f>
        <v/>
      </c>
      <c r="T74" s="136">
        <f>-T23</f>
        <v/>
      </c>
      <c r="U74" s="136">
        <f>-U23</f>
        <v/>
      </c>
      <c r="V74" s="136">
        <f>-V23</f>
        <v/>
      </c>
      <c r="W74" s="136">
        <f>-W23</f>
        <v/>
      </c>
      <c r="X74" s="136">
        <f>-X23</f>
        <v/>
      </c>
      <c r="Y74" s="147">
        <f>-Y23</f>
        <v/>
      </c>
    </row>
    <row r="75" hidden="1" s="127">
      <c r="C75" s="60" t="inlineStr">
        <is>
          <t>0101 集計</t>
        </is>
      </c>
      <c r="D75" s="22" t="inlineStr">
        <is>
          <t>GS</t>
        </is>
      </c>
      <c r="E75" s="4">
        <f>E58-E24</f>
        <v/>
      </c>
      <c r="F75" s="4">
        <f>F58-F24</f>
        <v/>
      </c>
      <c r="G75" s="4">
        <f>G58-G24</f>
        <v/>
      </c>
      <c r="H75" s="4">
        <f>H58-H24</f>
        <v/>
      </c>
      <c r="I75" s="4">
        <f>I58-I24</f>
        <v/>
      </c>
      <c r="J75" s="4">
        <f>J58-J24</f>
        <v/>
      </c>
      <c r="K75" s="68">
        <f>SUM(E75:J75)</f>
        <v/>
      </c>
      <c r="L75" s="3">
        <f>L58-L24</f>
        <v/>
      </c>
      <c r="M75" s="4">
        <f>M58-M24</f>
        <v/>
      </c>
      <c r="N75" s="4">
        <f>N58-N24</f>
        <v/>
      </c>
      <c r="O75" s="4">
        <f>O58-O24</f>
        <v/>
      </c>
      <c r="P75" s="4">
        <f>P58-P24</f>
        <v/>
      </c>
      <c r="Q75" s="4">
        <f>Q58-Q24</f>
        <v/>
      </c>
      <c r="R75" s="62">
        <f>SUM(L75:Q75)</f>
        <v/>
      </c>
      <c r="S75" s="135">
        <f>-S24</f>
        <v/>
      </c>
      <c r="T75" s="136">
        <f>-T24</f>
        <v/>
      </c>
      <c r="U75" s="136">
        <f>-U24</f>
        <v/>
      </c>
      <c r="V75" s="136">
        <f>-V24</f>
        <v/>
      </c>
      <c r="W75" s="136">
        <f>-W24</f>
        <v/>
      </c>
      <c r="X75" s="136">
        <f>-X24</f>
        <v/>
      </c>
      <c r="Y75" s="147">
        <f>-Y24</f>
        <v/>
      </c>
    </row>
    <row r="76" hidden="1" s="127">
      <c r="C76" s="60" t="inlineStr">
        <is>
          <t>0106 集計</t>
        </is>
      </c>
      <c r="D76" s="22" t="inlineStr">
        <is>
          <t>浜田荷役</t>
        </is>
      </c>
      <c r="E76" s="4">
        <f>E59-E25</f>
        <v/>
      </c>
      <c r="F76" s="4">
        <f>F59-F25</f>
        <v/>
      </c>
      <c r="G76" s="4">
        <f>G59-G25</f>
        <v/>
      </c>
      <c r="H76" s="4">
        <f>H59-H25</f>
        <v/>
      </c>
      <c r="I76" s="4">
        <f>I59-I25</f>
        <v/>
      </c>
      <c r="J76" s="4">
        <f>J59-J25</f>
        <v/>
      </c>
      <c r="K76" s="68">
        <f>SUM(E76:J76)</f>
        <v/>
      </c>
      <c r="L76" s="3">
        <f>L59-L25</f>
        <v/>
      </c>
      <c r="M76" s="4">
        <f>M59-M25</f>
        <v/>
      </c>
      <c r="N76" s="4">
        <f>N59-N25</f>
        <v/>
      </c>
      <c r="O76" s="4">
        <f>O59-O25</f>
        <v/>
      </c>
      <c r="P76" s="4">
        <f>P59-P25</f>
        <v/>
      </c>
      <c r="Q76" s="4">
        <f>Q59-Q25</f>
        <v/>
      </c>
      <c r="R76" s="62">
        <f>SUM(L76:Q76)</f>
        <v/>
      </c>
      <c r="S76" s="135">
        <f>-S25</f>
        <v/>
      </c>
      <c r="T76" s="136">
        <f>-T25</f>
        <v/>
      </c>
      <c r="U76" s="136">
        <f>-U25</f>
        <v/>
      </c>
      <c r="V76" s="136">
        <f>-V25</f>
        <v/>
      </c>
      <c r="W76" s="136">
        <f>-W25</f>
        <v/>
      </c>
      <c r="X76" s="136">
        <f>-X25</f>
        <v/>
      </c>
      <c r="Y76" s="147">
        <f>-Y25</f>
        <v/>
      </c>
    </row>
    <row r="77" hidden="1" s="127">
      <c r="C77" s="60" t="inlineStr">
        <is>
          <t>浜田水産部合計</t>
        </is>
      </c>
      <c r="D77" s="22" t="n"/>
      <c r="E77" s="4">
        <f>SUM(E73:E76)</f>
        <v/>
      </c>
      <c r="F77" s="4">
        <f>SUM(F73:F76)</f>
        <v/>
      </c>
      <c r="G77" s="4">
        <f>SUM(G73:G76)</f>
        <v/>
      </c>
      <c r="H77" s="4">
        <f>SUM(H73:H76)</f>
        <v/>
      </c>
      <c r="I77" s="4">
        <f>SUM(I73:I76)</f>
        <v/>
      </c>
      <c r="J77" s="4">
        <f>SUM(J73:J76)</f>
        <v/>
      </c>
      <c r="K77" s="68">
        <f>SUM(E77:J77)</f>
        <v/>
      </c>
      <c r="L77" s="3">
        <f>SUM(L73:L76)</f>
        <v/>
      </c>
      <c r="M77" s="4">
        <f>SUM(M73:M76)</f>
        <v/>
      </c>
      <c r="N77" s="4">
        <f>SUM(N73:N76)</f>
        <v/>
      </c>
      <c r="O77" s="4">
        <f>SUM(O73:O76)</f>
        <v/>
      </c>
      <c r="P77" s="4">
        <f>SUM(P73:P76)</f>
        <v/>
      </c>
      <c r="Q77" s="4">
        <f>SUM(Q73:Q76)</f>
        <v/>
      </c>
      <c r="R77" s="62">
        <f>SUM(L77:Q77)</f>
        <v/>
      </c>
      <c r="S77" s="135">
        <f>-S26</f>
        <v/>
      </c>
      <c r="T77" s="136">
        <f>-T26</f>
        <v/>
      </c>
      <c r="U77" s="136">
        <f>-U26</f>
        <v/>
      </c>
      <c r="V77" s="136">
        <f>-V26</f>
        <v/>
      </c>
      <c r="W77" s="136">
        <f>-W26</f>
        <v/>
      </c>
      <c r="X77" s="136">
        <f>-X26</f>
        <v/>
      </c>
      <c r="Y77" s="147">
        <f>-Y26</f>
        <v/>
      </c>
    </row>
    <row r="78" hidden="1" s="127">
      <c r="C78" s="60" t="inlineStr">
        <is>
          <t>0102 集計</t>
        </is>
      </c>
      <c r="D78" s="22" t="inlineStr">
        <is>
          <t>JF大田</t>
        </is>
      </c>
      <c r="E78" s="4">
        <f>E61-E27</f>
        <v/>
      </c>
      <c r="F78" s="4">
        <f>F61-F27</f>
        <v/>
      </c>
      <c r="G78" s="4">
        <f>G61-G27</f>
        <v/>
      </c>
      <c r="H78" s="4">
        <f>H61-H27</f>
        <v/>
      </c>
      <c r="I78" s="4">
        <f>I61-I27</f>
        <v/>
      </c>
      <c r="J78" s="4">
        <f>J61-J27</f>
        <v/>
      </c>
      <c r="K78" s="68">
        <f>SUM(E78:J78)</f>
        <v/>
      </c>
      <c r="L78" s="3">
        <f>L61-L27</f>
        <v/>
      </c>
      <c r="M78" s="4">
        <f>M61-M27</f>
        <v/>
      </c>
      <c r="N78" s="4">
        <f>N61-N27</f>
        <v/>
      </c>
      <c r="O78" s="4">
        <f>O61-O27</f>
        <v/>
      </c>
      <c r="P78" s="4">
        <f>P61-P27</f>
        <v/>
      </c>
      <c r="Q78" s="4">
        <f>Q61-Q27</f>
        <v/>
      </c>
      <c r="R78" s="62">
        <f>SUM(L78:Q78)</f>
        <v/>
      </c>
      <c r="S78" s="135">
        <f>-S27</f>
        <v/>
      </c>
      <c r="T78" s="136">
        <f>-T27</f>
        <v/>
      </c>
      <c r="U78" s="136">
        <f>-U27</f>
        <v/>
      </c>
      <c r="V78" s="136">
        <f>-V27</f>
        <v/>
      </c>
      <c r="W78" s="136">
        <f>-W27</f>
        <v/>
      </c>
      <c r="X78" s="136">
        <f>-X27</f>
        <v/>
      </c>
      <c r="Y78" s="147">
        <f>-Y27</f>
        <v/>
      </c>
    </row>
    <row r="79" hidden="1" s="127">
      <c r="C79" s="60" t="inlineStr">
        <is>
          <t>0104 集計</t>
        </is>
      </c>
      <c r="D79" s="22" t="inlineStr">
        <is>
          <t>大田荷役</t>
        </is>
      </c>
      <c r="E79" s="4">
        <f>E62-E28</f>
        <v/>
      </c>
      <c r="F79" s="4">
        <f>F62-F28</f>
        <v/>
      </c>
      <c r="G79" s="4">
        <f>G62-G28</f>
        <v/>
      </c>
      <c r="H79" s="4">
        <f>H62-H28</f>
        <v/>
      </c>
      <c r="I79" s="4">
        <f>I62-I28</f>
        <v/>
      </c>
      <c r="J79" s="4">
        <f>J62-J28</f>
        <v/>
      </c>
      <c r="K79" s="68">
        <f>SUM(E79:J79)</f>
        <v/>
      </c>
      <c r="L79" s="3">
        <f>L62-L28</f>
        <v/>
      </c>
      <c r="M79" s="4">
        <f>M62-M28</f>
        <v/>
      </c>
      <c r="N79" s="4">
        <f>N62-N28</f>
        <v/>
      </c>
      <c r="O79" s="4">
        <f>O62-O28</f>
        <v/>
      </c>
      <c r="P79" s="4">
        <f>P62-P28</f>
        <v/>
      </c>
      <c r="Q79" s="4">
        <f>Q62-Q28</f>
        <v/>
      </c>
      <c r="R79" s="62">
        <f>SUM(L79:Q79)</f>
        <v/>
      </c>
      <c r="S79" s="135">
        <f>-S28</f>
        <v/>
      </c>
      <c r="T79" s="136">
        <f>-T28</f>
        <v/>
      </c>
      <c r="U79" s="136">
        <f>-U28</f>
        <v/>
      </c>
      <c r="V79" s="136">
        <f>-V28</f>
        <v/>
      </c>
      <c r="W79" s="136">
        <f>-W28</f>
        <v/>
      </c>
      <c r="X79" s="136">
        <f>-X28</f>
        <v/>
      </c>
      <c r="Y79" s="147">
        <f>-Y28</f>
        <v/>
      </c>
    </row>
    <row r="80" hidden="1" s="127">
      <c r="C80" s="60" t="inlineStr">
        <is>
          <t>大田水産部</t>
        </is>
      </c>
      <c r="D80" s="22" t="n"/>
      <c r="E80" s="20">
        <f>SUM(E78:E79)</f>
        <v/>
      </c>
      <c r="F80" s="20">
        <f>SUM(F78:F79)</f>
        <v/>
      </c>
      <c r="G80" s="20">
        <f>SUM(G78:G79)</f>
        <v/>
      </c>
      <c r="H80" s="20">
        <f>SUM(H78:H79)</f>
        <v/>
      </c>
      <c r="I80" s="20">
        <f>SUM(I78:I79)</f>
        <v/>
      </c>
      <c r="J80" s="20">
        <f>SUM(J78:J79)</f>
        <v/>
      </c>
      <c r="K80" s="68">
        <f>SUM(K78:K79)</f>
        <v/>
      </c>
      <c r="L80" s="3">
        <f>SUM(L78:L79)</f>
        <v/>
      </c>
      <c r="M80" s="20">
        <f>SUM(M78:M79)</f>
        <v/>
      </c>
      <c r="N80" s="20">
        <f>SUM(N78:N79)</f>
        <v/>
      </c>
      <c r="O80" s="20">
        <f>SUM(O78:O79)</f>
        <v/>
      </c>
      <c r="P80" s="20">
        <f>SUM(P78:P79)</f>
        <v/>
      </c>
      <c r="Q80" s="20">
        <f>SUM(Q78:Q79)</f>
        <v/>
      </c>
      <c r="R80" s="62">
        <f>SUM(R78:R79)</f>
        <v/>
      </c>
      <c r="S80" s="135">
        <f>-S29</f>
        <v/>
      </c>
      <c r="T80" s="136">
        <f>-T29</f>
        <v/>
      </c>
      <c r="U80" s="136">
        <f>-U29</f>
        <v/>
      </c>
      <c r="V80" s="136">
        <f>-V29</f>
        <v/>
      </c>
      <c r="W80" s="136">
        <f>-W29</f>
        <v/>
      </c>
      <c r="X80" s="136">
        <f>-X29</f>
        <v/>
      </c>
      <c r="Y80" s="147">
        <f>-Y29</f>
        <v/>
      </c>
    </row>
    <row r="81" hidden="1" s="127">
      <c r="C81" s="60" t="inlineStr">
        <is>
          <t>0031 集計</t>
        </is>
      </c>
      <c r="D81" s="22" t="inlineStr">
        <is>
          <t>JF境</t>
        </is>
      </c>
      <c r="E81" s="20">
        <f>E64-E30</f>
        <v/>
      </c>
      <c r="F81" s="20">
        <f>F64-F30</f>
        <v/>
      </c>
      <c r="G81" s="20">
        <f>G64-G30</f>
        <v/>
      </c>
      <c r="H81" s="20">
        <f>H64-H30</f>
        <v/>
      </c>
      <c r="I81" s="20">
        <f>I64-I30</f>
        <v/>
      </c>
      <c r="J81" s="20">
        <f>J64-J30</f>
        <v/>
      </c>
      <c r="K81" s="68">
        <f>SUM(E81:J81)</f>
        <v/>
      </c>
      <c r="L81" s="3">
        <f>L64-L30</f>
        <v/>
      </c>
      <c r="M81" s="20">
        <f>M64-M30</f>
        <v/>
      </c>
      <c r="N81" s="20">
        <f>N64-N30</f>
        <v/>
      </c>
      <c r="O81" s="20">
        <f>O64-O30</f>
        <v/>
      </c>
      <c r="P81" s="20">
        <f>P64-P30</f>
        <v/>
      </c>
      <c r="Q81" s="20">
        <f>Q64-Q30</f>
        <v/>
      </c>
      <c r="R81" s="62">
        <f>SUM(L81:Q81)</f>
        <v/>
      </c>
      <c r="S81" s="135">
        <f>-S30</f>
        <v/>
      </c>
      <c r="T81" s="136">
        <f>-T30</f>
        <v/>
      </c>
      <c r="U81" s="136">
        <f>-U30</f>
        <v/>
      </c>
      <c r="V81" s="136">
        <f>-V30</f>
        <v/>
      </c>
      <c r="W81" s="136">
        <f>-W30</f>
        <v/>
      </c>
      <c r="X81" s="136">
        <f>-X30</f>
        <v/>
      </c>
      <c r="Y81" s="147">
        <f>-Y30</f>
        <v/>
      </c>
    </row>
    <row r="82" hidden="1" s="127">
      <c r="C82" s="60" t="inlineStr">
        <is>
          <t>0038 集計</t>
        </is>
      </c>
      <c r="D82" s="83" t="inlineStr">
        <is>
          <t>境その他</t>
        </is>
      </c>
      <c r="E82" s="84">
        <f>E65-E31</f>
        <v/>
      </c>
      <c r="F82" s="84">
        <f>F65-F31</f>
        <v/>
      </c>
      <c r="G82" s="84">
        <f>G65-G31</f>
        <v/>
      </c>
      <c r="H82" s="84">
        <f>H65-H31</f>
        <v/>
      </c>
      <c r="I82" s="84">
        <f>I65-I31</f>
        <v/>
      </c>
      <c r="J82" s="84">
        <f>J65-J31</f>
        <v/>
      </c>
      <c r="K82" s="68">
        <f>SUM(E82:J82)</f>
        <v/>
      </c>
      <c r="L82" s="88">
        <f>L65-L31</f>
        <v/>
      </c>
      <c r="M82" s="84">
        <f>M65-M31</f>
        <v/>
      </c>
      <c r="N82" s="84">
        <f>N65-N31</f>
        <v/>
      </c>
      <c r="O82" s="84">
        <f>O65-O31</f>
        <v/>
      </c>
      <c r="P82" s="84">
        <f>P65-P31</f>
        <v/>
      </c>
      <c r="Q82" s="84">
        <f>Q65-Q31</f>
        <v/>
      </c>
      <c r="R82" s="62">
        <f>SUM(L82:Q82)</f>
        <v/>
      </c>
      <c r="S82" s="148">
        <f>-S31</f>
        <v/>
      </c>
      <c r="T82" s="149">
        <f>-T31</f>
        <v/>
      </c>
      <c r="U82" s="149">
        <f>-U31</f>
        <v/>
      </c>
      <c r="V82" s="149">
        <f>-V31</f>
        <v/>
      </c>
      <c r="W82" s="149">
        <f>-W31</f>
        <v/>
      </c>
      <c r="X82" s="149">
        <f>-X31</f>
        <v/>
      </c>
      <c r="Y82" s="150">
        <f>-Y31</f>
        <v/>
      </c>
    </row>
    <row r="83" hidden="1" s="127">
      <c r="C83" s="82" t="inlineStr">
        <is>
          <t>境港水産部合計</t>
        </is>
      </c>
      <c r="D83" s="83" t="n"/>
      <c r="E83" s="84">
        <f>E81+E82</f>
        <v/>
      </c>
      <c r="F83" s="84">
        <f>F81+F82</f>
        <v/>
      </c>
      <c r="G83" s="84">
        <f>G81+G82</f>
        <v/>
      </c>
      <c r="H83" s="84">
        <f>H81+H82</f>
        <v/>
      </c>
      <c r="I83" s="84">
        <f>I81+I82</f>
        <v/>
      </c>
      <c r="J83" s="84">
        <f>J81+J82</f>
        <v/>
      </c>
      <c r="K83" s="68">
        <f>SUM(E83:J83)</f>
        <v/>
      </c>
      <c r="L83" s="88">
        <f>L81+L82</f>
        <v/>
      </c>
      <c r="M83" s="84">
        <f>M81+M82</f>
        <v/>
      </c>
      <c r="N83" s="84">
        <f>N81+N82</f>
        <v/>
      </c>
      <c r="O83" s="84">
        <f>O81+O82</f>
        <v/>
      </c>
      <c r="P83" s="84">
        <f>P81+P82</f>
        <v/>
      </c>
      <c r="Q83" s="84">
        <f>Q81+Q82</f>
        <v/>
      </c>
      <c r="R83" s="62">
        <f>SUM(L83:Q83)</f>
        <v/>
      </c>
      <c r="S83" s="148">
        <f>-S32</f>
        <v/>
      </c>
      <c r="T83" s="149">
        <f>-T32</f>
        <v/>
      </c>
      <c r="U83" s="149">
        <f>-U32</f>
        <v/>
      </c>
      <c r="V83" s="149">
        <f>-V32</f>
        <v/>
      </c>
      <c r="W83" s="149">
        <f>-W32</f>
        <v/>
      </c>
      <c r="X83" s="149">
        <f>-X32</f>
        <v/>
      </c>
      <c r="Y83" s="150">
        <f>-Y32</f>
        <v/>
      </c>
    </row>
    <row r="84" hidden="1" s="127">
      <c r="C84" s="53" t="inlineStr">
        <is>
          <t>合計</t>
        </is>
      </c>
      <c r="D84" s="54" t="n"/>
      <c r="E84" s="8">
        <f>E77+E80+E83</f>
        <v/>
      </c>
      <c r="F84" s="8">
        <f>F77+F80+F83</f>
        <v/>
      </c>
      <c r="G84" s="8">
        <f>G77+G80+G83</f>
        <v/>
      </c>
      <c r="H84" s="8">
        <f>H77+H80+H83</f>
        <v/>
      </c>
      <c r="I84" s="8">
        <f>I77+I80+I83</f>
        <v/>
      </c>
      <c r="J84" s="8">
        <f>J77+J80+J83</f>
        <v/>
      </c>
      <c r="K84" s="69">
        <f>K77+K80+K83</f>
        <v/>
      </c>
      <c r="L84" s="63">
        <f>L77+L80+L83</f>
        <v/>
      </c>
      <c r="M84" s="8">
        <f>M77+M80+M83</f>
        <v/>
      </c>
      <c r="N84" s="8">
        <f>N77+N80+N83</f>
        <v/>
      </c>
      <c r="O84" s="8">
        <f>O77+O80+O83</f>
        <v/>
      </c>
      <c r="P84" s="8">
        <f>P77+P80+P83</f>
        <v/>
      </c>
      <c r="Q84" s="8">
        <f>Q77+Q80+Q83</f>
        <v/>
      </c>
      <c r="R84" s="64">
        <f>R77+R80+R83</f>
        <v/>
      </c>
      <c r="S84" s="138">
        <f>-S33</f>
        <v/>
      </c>
      <c r="T84" s="139">
        <f>-T33</f>
        <v/>
      </c>
      <c r="U84" s="139">
        <f>-U33</f>
        <v/>
      </c>
      <c r="V84" s="139">
        <f>-V33</f>
        <v/>
      </c>
      <c r="W84" s="139">
        <f>-W33</f>
        <v/>
      </c>
      <c r="X84" s="139">
        <f>-X33</f>
        <v/>
      </c>
      <c r="Y84" s="151">
        <f>-Y33</f>
        <v/>
      </c>
    </row>
    <row r="85" hidden="1" s="127">
      <c r="C85" s="18" t="n"/>
      <c r="E85" s="17" t="n"/>
      <c r="F85" s="17" t="n"/>
      <c r="G85" s="17" t="n"/>
      <c r="H85" s="17" t="n"/>
      <c r="I85" s="17" t="n"/>
      <c r="J85" s="17" t="n"/>
      <c r="K85" s="18" t="n"/>
      <c r="L85" s="17" t="n"/>
      <c r="M85" s="17" t="n"/>
      <c r="N85" s="17" t="n"/>
      <c r="O85" s="17" t="n"/>
      <c r="P85" s="17" t="n"/>
      <c r="Q85" s="17" t="n"/>
      <c r="R85" s="18" t="n"/>
      <c r="S85" s="144" t="n"/>
      <c r="T85" s="144" t="n"/>
      <c r="U85" s="144" t="n"/>
      <c r="V85" s="144" t="n"/>
      <c r="W85" s="144" t="n"/>
      <c r="X85" s="144" t="n"/>
      <c r="Y85" s="144" t="n"/>
    </row>
    <row r="86" hidden="1" s="127">
      <c r="C86" s="18" t="inlineStr">
        <is>
          <t>6．過年度平均比</t>
        </is>
      </c>
    </row>
    <row r="87" hidden="1" s="127">
      <c r="C87" s="117" t="n"/>
      <c r="D87" s="118" t="n"/>
      <c r="E87" s="117" t="inlineStr">
        <is>
          <t>売上</t>
        </is>
      </c>
      <c r="F87" s="120" t="n"/>
      <c r="G87" s="120" t="n"/>
      <c r="H87" s="120" t="n"/>
      <c r="I87" s="120" t="n"/>
      <c r="J87" s="120" t="n"/>
      <c r="K87" s="118" t="n"/>
      <c r="L87" s="119" t="inlineStr">
        <is>
          <t>粗利益</t>
        </is>
      </c>
      <c r="M87" s="120" t="n"/>
      <c r="N87" s="120" t="n"/>
      <c r="O87" s="120" t="n"/>
      <c r="P87" s="120" t="n"/>
      <c r="Q87" s="120" t="n"/>
      <c r="R87" s="118" t="n"/>
      <c r="S87" s="119" t="inlineStr">
        <is>
          <t>粗利益率</t>
        </is>
      </c>
      <c r="T87" s="120" t="n"/>
      <c r="U87" s="120" t="n"/>
      <c r="V87" s="120" t="n"/>
      <c r="W87" s="120" t="n"/>
      <c r="X87" s="120" t="n"/>
      <c r="Y87" s="118" t="n"/>
    </row>
    <row r="88" hidden="1" s="127">
      <c r="C88" s="1" t="n"/>
      <c r="D88" s="21" t="n"/>
      <c r="E88" s="61" t="n">
        <v>46113</v>
      </c>
      <c r="F88" s="2" t="n">
        <v>46143</v>
      </c>
      <c r="G88" s="2" t="n">
        <v>46174</v>
      </c>
      <c r="H88" s="2" t="n">
        <v>46204</v>
      </c>
      <c r="I88" s="2" t="n">
        <v>46235</v>
      </c>
      <c r="J88" s="2" t="n">
        <v>46266</v>
      </c>
      <c r="K88" s="10" t="inlineStr">
        <is>
          <t>合計</t>
        </is>
      </c>
      <c r="L88" s="95" t="n">
        <v>46113</v>
      </c>
      <c r="M88" s="2" t="n">
        <v>46143</v>
      </c>
      <c r="N88" s="2" t="n">
        <v>46174</v>
      </c>
      <c r="O88" s="2" t="n">
        <v>46204</v>
      </c>
      <c r="P88" s="2" t="n">
        <v>46235</v>
      </c>
      <c r="Q88" s="2" t="n">
        <v>46266</v>
      </c>
      <c r="R88" s="10" t="inlineStr">
        <is>
          <t>合計</t>
        </is>
      </c>
      <c r="S88" s="95" t="n">
        <v>46113</v>
      </c>
      <c r="T88" s="2" t="n">
        <v>46143</v>
      </c>
      <c r="U88" s="2" t="n">
        <v>46174</v>
      </c>
      <c r="V88" s="2" t="n">
        <v>46204</v>
      </c>
      <c r="W88" s="2" t="n">
        <v>46235</v>
      </c>
      <c r="X88" s="2" t="n">
        <v>46266</v>
      </c>
      <c r="Y88" s="10" t="inlineStr">
        <is>
          <t>合計</t>
        </is>
      </c>
    </row>
    <row r="89" hidden="1" s="127">
      <c r="C89" s="60" t="inlineStr">
        <is>
          <t>0010 集計</t>
        </is>
      </c>
      <c r="D89" s="22" t="inlineStr">
        <is>
          <t>JF</t>
        </is>
      </c>
      <c r="E89" s="4">
        <f>E56-E39</f>
        <v/>
      </c>
      <c r="F89" s="4">
        <f>F56-F39</f>
        <v/>
      </c>
      <c r="G89" s="4">
        <f>G56-G39</f>
        <v/>
      </c>
      <c r="H89" s="4">
        <f>H56-H39</f>
        <v/>
      </c>
      <c r="I89" s="4">
        <f>I56-I39</f>
        <v/>
      </c>
      <c r="J89" s="4">
        <f>J56-J39</f>
        <v/>
      </c>
      <c r="K89" s="7">
        <f>SUM(E89:J89)</f>
        <v/>
      </c>
      <c r="L89" s="4">
        <f>L56-L39</f>
        <v/>
      </c>
      <c r="M89" s="4">
        <f>M56-M39</f>
        <v/>
      </c>
      <c r="N89" s="4">
        <f>N56-N39</f>
        <v/>
      </c>
      <c r="O89" s="4">
        <f>O56-O39</f>
        <v/>
      </c>
      <c r="P89" s="4">
        <f>P56-P39</f>
        <v/>
      </c>
      <c r="Q89" s="4">
        <f>Q56-Q39</f>
        <v/>
      </c>
      <c r="R89" s="7">
        <f>SUM(L89:Q89)</f>
        <v/>
      </c>
      <c r="S89" s="136">
        <f>S56-S39</f>
        <v/>
      </c>
      <c r="T89" s="136">
        <f>T56-T39</f>
        <v/>
      </c>
      <c r="U89" s="136">
        <f>U56-U39</f>
        <v/>
      </c>
      <c r="V89" s="136">
        <f>V56-V39</f>
        <v/>
      </c>
      <c r="W89" s="136">
        <f>W56-W39</f>
        <v/>
      </c>
      <c r="X89" s="136">
        <f>X56-X39</f>
        <v/>
      </c>
      <c r="Y89" s="147">
        <f>Y56-Y39</f>
        <v/>
      </c>
    </row>
    <row r="90" hidden="1" s="127">
      <c r="C90" s="60" t="inlineStr">
        <is>
          <t>0017 集計</t>
        </is>
      </c>
      <c r="D90" s="22" t="inlineStr">
        <is>
          <t>鮮魚</t>
        </is>
      </c>
      <c r="E90" s="4">
        <f>E57-E40</f>
        <v/>
      </c>
      <c r="F90" s="4">
        <f>F57-F40</f>
        <v/>
      </c>
      <c r="G90" s="4">
        <f>G57-G40</f>
        <v/>
      </c>
      <c r="H90" s="4">
        <f>H57-H40</f>
        <v/>
      </c>
      <c r="I90" s="4">
        <f>I57-I40</f>
        <v/>
      </c>
      <c r="J90" s="4">
        <f>J57-J40</f>
        <v/>
      </c>
      <c r="K90" s="7">
        <f>SUM(E90:J90)</f>
        <v/>
      </c>
      <c r="L90" s="4">
        <f>L57-L40</f>
        <v/>
      </c>
      <c r="M90" s="4">
        <f>M57-M40</f>
        <v/>
      </c>
      <c r="N90" s="4">
        <f>N57-N40</f>
        <v/>
      </c>
      <c r="O90" s="4">
        <f>O57-O40</f>
        <v/>
      </c>
      <c r="P90" s="4">
        <f>P57-P40</f>
        <v/>
      </c>
      <c r="Q90" s="4">
        <f>Q57-Q40</f>
        <v/>
      </c>
      <c r="R90" s="7">
        <f>SUM(L90:Q90)</f>
        <v/>
      </c>
      <c r="S90" s="136">
        <f>S57-S40</f>
        <v/>
      </c>
      <c r="T90" s="136">
        <f>T57-T40</f>
        <v/>
      </c>
      <c r="U90" s="136">
        <f>U57-U40</f>
        <v/>
      </c>
      <c r="V90" s="136">
        <f>V57-V40</f>
        <v/>
      </c>
      <c r="W90" s="136">
        <f>W57-W40</f>
        <v/>
      </c>
      <c r="X90" s="136">
        <f>X57-X40</f>
        <v/>
      </c>
      <c r="Y90" s="147">
        <f>Y57-Y40</f>
        <v/>
      </c>
    </row>
    <row r="91" hidden="1" s="127">
      <c r="C91" s="60" t="inlineStr">
        <is>
          <t>0101 集計</t>
        </is>
      </c>
      <c r="D91" s="22" t="inlineStr">
        <is>
          <t>GS</t>
        </is>
      </c>
      <c r="E91" s="4">
        <f>E58-E41</f>
        <v/>
      </c>
      <c r="F91" s="4">
        <f>F58-F41</f>
        <v/>
      </c>
      <c r="G91" s="4">
        <f>G58-G41</f>
        <v/>
      </c>
      <c r="H91" s="4">
        <f>H58-H41</f>
        <v/>
      </c>
      <c r="I91" s="4">
        <f>I58-I41</f>
        <v/>
      </c>
      <c r="J91" s="4">
        <f>J58-J41</f>
        <v/>
      </c>
      <c r="K91" s="7">
        <f>SUM(E91:J91)</f>
        <v/>
      </c>
      <c r="L91" s="4">
        <f>L58-L41</f>
        <v/>
      </c>
      <c r="M91" s="4">
        <f>M58-M41</f>
        <v/>
      </c>
      <c r="N91" s="4">
        <f>N58-N41</f>
        <v/>
      </c>
      <c r="O91" s="4">
        <f>O58-O41</f>
        <v/>
      </c>
      <c r="P91" s="4">
        <f>P58-P41</f>
        <v/>
      </c>
      <c r="Q91" s="4">
        <f>Q58-Q41</f>
        <v/>
      </c>
      <c r="R91" s="7">
        <f>SUM(L91:Q91)</f>
        <v/>
      </c>
      <c r="S91" s="136">
        <f>S58-S41</f>
        <v/>
      </c>
      <c r="T91" s="136">
        <f>T58-T41</f>
        <v/>
      </c>
      <c r="U91" s="136">
        <f>U58-U41</f>
        <v/>
      </c>
      <c r="V91" s="136">
        <f>V58-V41</f>
        <v/>
      </c>
      <c r="W91" s="136">
        <f>W58-W41</f>
        <v/>
      </c>
      <c r="X91" s="136">
        <f>X58-X41</f>
        <v/>
      </c>
      <c r="Y91" s="147">
        <f>Y58-Y41</f>
        <v/>
      </c>
    </row>
    <row r="92" hidden="1" s="127">
      <c r="C92" s="60" t="inlineStr">
        <is>
          <t>0106 集計</t>
        </is>
      </c>
      <c r="D92" s="22" t="inlineStr">
        <is>
          <t>浜田荷役</t>
        </is>
      </c>
      <c r="E92" s="4">
        <f>E59-E42</f>
        <v/>
      </c>
      <c r="F92" s="4">
        <f>F59-F42</f>
        <v/>
      </c>
      <c r="G92" s="4">
        <f>G59-G42</f>
        <v/>
      </c>
      <c r="H92" s="4">
        <f>H59-H42</f>
        <v/>
      </c>
      <c r="I92" s="4">
        <f>I59-I42</f>
        <v/>
      </c>
      <c r="J92" s="4">
        <f>J59-J42</f>
        <v/>
      </c>
      <c r="K92" s="7">
        <f>SUM(E92:J92)</f>
        <v/>
      </c>
      <c r="L92" s="4">
        <f>L59-L42</f>
        <v/>
      </c>
      <c r="M92" s="4">
        <f>M59-M42</f>
        <v/>
      </c>
      <c r="N92" s="4">
        <f>N59-N42</f>
        <v/>
      </c>
      <c r="O92" s="4">
        <f>O59-O42</f>
        <v/>
      </c>
      <c r="P92" s="4">
        <f>P59-P42</f>
        <v/>
      </c>
      <c r="Q92" s="4">
        <f>Q59-Q42</f>
        <v/>
      </c>
      <c r="R92" s="7">
        <f>SUM(L92:Q92)</f>
        <v/>
      </c>
      <c r="S92" s="136">
        <f>S59-S42</f>
        <v/>
      </c>
      <c r="T92" s="136">
        <f>T59-T42</f>
        <v/>
      </c>
      <c r="U92" s="136">
        <f>U59-U42</f>
        <v/>
      </c>
      <c r="V92" s="136">
        <f>V59-V42</f>
        <v/>
      </c>
      <c r="W92" s="136">
        <f>W59-W42</f>
        <v/>
      </c>
      <c r="X92" s="136">
        <f>X59-X42</f>
        <v/>
      </c>
      <c r="Y92" s="147">
        <f>Y59-Y42</f>
        <v/>
      </c>
    </row>
    <row r="93" hidden="1" s="127">
      <c r="C93" s="60" t="inlineStr">
        <is>
          <t>浜田水産部合計</t>
        </is>
      </c>
      <c r="D93" s="22" t="n"/>
      <c r="E93" s="4">
        <f>SUM(E89:E92)</f>
        <v/>
      </c>
      <c r="F93" s="4">
        <f>SUM(F89:F92)</f>
        <v/>
      </c>
      <c r="G93" s="4">
        <f>SUM(G89:G92)</f>
        <v/>
      </c>
      <c r="H93" s="4">
        <f>SUM(H89:H92)</f>
        <v/>
      </c>
      <c r="I93" s="4">
        <f>SUM(I89:I92)</f>
        <v/>
      </c>
      <c r="J93" s="4">
        <f>SUM(J89:J92)</f>
        <v/>
      </c>
      <c r="K93" s="7">
        <f>SUM(E93:J93)</f>
        <v/>
      </c>
      <c r="L93" s="4">
        <f>SUM(L89:L92)</f>
        <v/>
      </c>
      <c r="M93" s="4">
        <f>SUM(M89:M92)</f>
        <v/>
      </c>
      <c r="N93" s="4">
        <f>SUM(N89:N92)</f>
        <v/>
      </c>
      <c r="O93" s="4">
        <f>SUM(O89:O92)</f>
        <v/>
      </c>
      <c r="P93" s="4">
        <f>SUM(P89:P92)</f>
        <v/>
      </c>
      <c r="Q93" s="4">
        <f>SUM(Q89:Q92)</f>
        <v/>
      </c>
      <c r="R93" s="7">
        <f>SUM(L93:Q93)</f>
        <v/>
      </c>
      <c r="S93" s="136">
        <f>S60-S43</f>
        <v/>
      </c>
      <c r="T93" s="136">
        <f>T60-T43</f>
        <v/>
      </c>
      <c r="U93" s="136">
        <f>U60-U43</f>
        <v/>
      </c>
      <c r="V93" s="136">
        <f>V60-V43</f>
        <v/>
      </c>
      <c r="W93" s="136">
        <f>W60-W43</f>
        <v/>
      </c>
      <c r="X93" s="136">
        <f>X60-X43</f>
        <v/>
      </c>
      <c r="Y93" s="147">
        <f>Y60-Y43</f>
        <v/>
      </c>
    </row>
    <row r="94" hidden="1" s="127">
      <c r="C94" s="60" t="inlineStr">
        <is>
          <t>0102 集計</t>
        </is>
      </c>
      <c r="D94" s="22" t="inlineStr">
        <is>
          <t>JF大田</t>
        </is>
      </c>
      <c r="E94" s="4">
        <f>E61-E44</f>
        <v/>
      </c>
      <c r="F94" s="4">
        <f>F61-F44</f>
        <v/>
      </c>
      <c r="G94" s="4">
        <f>G61-G44</f>
        <v/>
      </c>
      <c r="H94" s="4">
        <f>H61-H44</f>
        <v/>
      </c>
      <c r="I94" s="4">
        <f>I61-I44</f>
        <v/>
      </c>
      <c r="J94" s="4">
        <f>J61-J44</f>
        <v/>
      </c>
      <c r="K94" s="7">
        <f>SUM(E94:J94)</f>
        <v/>
      </c>
      <c r="L94" s="4">
        <f>L61-L44</f>
        <v/>
      </c>
      <c r="M94" s="4">
        <f>M61-M44</f>
        <v/>
      </c>
      <c r="N94" s="4">
        <f>N61-N44</f>
        <v/>
      </c>
      <c r="O94" s="4">
        <f>O61-O44</f>
        <v/>
      </c>
      <c r="P94" s="4">
        <f>P61-P44</f>
        <v/>
      </c>
      <c r="Q94" s="4">
        <f>Q61-Q44</f>
        <v/>
      </c>
      <c r="R94" s="7">
        <f>SUM(L94:Q94)</f>
        <v/>
      </c>
      <c r="S94" s="136">
        <f>S61-S44</f>
        <v/>
      </c>
      <c r="T94" s="136">
        <f>T61-T44</f>
        <v/>
      </c>
      <c r="U94" s="136">
        <f>U61-U44</f>
        <v/>
      </c>
      <c r="V94" s="136">
        <f>V61-V44</f>
        <v/>
      </c>
      <c r="W94" s="136">
        <f>W61-W44</f>
        <v/>
      </c>
      <c r="X94" s="136">
        <f>X61-X44</f>
        <v/>
      </c>
      <c r="Y94" s="147">
        <f>Y61-Y44</f>
        <v/>
      </c>
    </row>
    <row r="95" hidden="1" s="127">
      <c r="C95" s="60" t="inlineStr">
        <is>
          <t>0104 集計</t>
        </is>
      </c>
      <c r="D95" s="22" t="inlineStr">
        <is>
          <t>大田荷役</t>
        </is>
      </c>
      <c r="E95" s="4">
        <f>E62-E45</f>
        <v/>
      </c>
      <c r="F95" s="4">
        <f>F62-F45</f>
        <v/>
      </c>
      <c r="G95" s="4">
        <f>G62-G45</f>
        <v/>
      </c>
      <c r="H95" s="4">
        <f>H62-H45</f>
        <v/>
      </c>
      <c r="I95" s="4">
        <f>I62-I45</f>
        <v/>
      </c>
      <c r="J95" s="4">
        <f>J62-J45</f>
        <v/>
      </c>
      <c r="K95" s="7">
        <f>SUM(E95:J95)</f>
        <v/>
      </c>
      <c r="L95" s="4">
        <f>L62-L45</f>
        <v/>
      </c>
      <c r="M95" s="4">
        <f>M62-M45</f>
        <v/>
      </c>
      <c r="N95" s="4">
        <f>N62-N45</f>
        <v/>
      </c>
      <c r="O95" s="4">
        <f>O62-O45</f>
        <v/>
      </c>
      <c r="P95" s="4">
        <f>P62-P45</f>
        <v/>
      </c>
      <c r="Q95" s="4">
        <f>Q62-Q45</f>
        <v/>
      </c>
      <c r="R95" s="7">
        <f>SUM(L95:Q95)</f>
        <v/>
      </c>
      <c r="S95" s="136">
        <f>S62-S45</f>
        <v/>
      </c>
      <c r="T95" s="136">
        <f>T62-T45</f>
        <v/>
      </c>
      <c r="U95" s="136">
        <f>U62-U45</f>
        <v/>
      </c>
      <c r="V95" s="136">
        <f>V62-V45</f>
        <v/>
      </c>
      <c r="W95" s="136">
        <f>W62-W45</f>
        <v/>
      </c>
      <c r="X95" s="136">
        <f>X62-X45</f>
        <v/>
      </c>
      <c r="Y95" s="147">
        <f>Y62-Y45</f>
        <v/>
      </c>
    </row>
    <row r="96" hidden="1" s="127">
      <c r="C96" s="60" t="inlineStr">
        <is>
          <t>大田水産部</t>
        </is>
      </c>
      <c r="D96" s="22" t="n"/>
      <c r="E96" s="20">
        <f>SUM(E94:E95)</f>
        <v/>
      </c>
      <c r="F96" s="20">
        <f>SUM(F94:F95)</f>
        <v/>
      </c>
      <c r="G96" s="20">
        <f>SUM(G94:G95)</f>
        <v/>
      </c>
      <c r="H96" s="20">
        <f>SUM(H94:H95)</f>
        <v/>
      </c>
      <c r="I96" s="20">
        <f>SUM(I94:I95)</f>
        <v/>
      </c>
      <c r="J96" s="20">
        <f>SUM(J94:J95)</f>
        <v/>
      </c>
      <c r="K96" s="7">
        <f>SUM(K94:K95)</f>
        <v/>
      </c>
      <c r="L96" s="20">
        <f>SUM(L94:L95)</f>
        <v/>
      </c>
      <c r="M96" s="20">
        <f>SUM(M94:M95)</f>
        <v/>
      </c>
      <c r="N96" s="20">
        <f>SUM(N94:N95)</f>
        <v/>
      </c>
      <c r="O96" s="20">
        <f>SUM(O94:O95)</f>
        <v/>
      </c>
      <c r="P96" s="20">
        <f>SUM(P94:P95)</f>
        <v/>
      </c>
      <c r="Q96" s="20">
        <f>SUM(Q94:Q95)</f>
        <v/>
      </c>
      <c r="R96" s="7">
        <f>SUM(R94:R95)</f>
        <v/>
      </c>
      <c r="S96" s="136">
        <f>S63-S46</f>
        <v/>
      </c>
      <c r="T96" s="136">
        <f>T63-T46</f>
        <v/>
      </c>
      <c r="U96" s="136">
        <f>U63-U46</f>
        <v/>
      </c>
      <c r="V96" s="136">
        <f>V63-V46</f>
        <v/>
      </c>
      <c r="W96" s="136">
        <f>W63-W46</f>
        <v/>
      </c>
      <c r="X96" s="136">
        <f>X63-X46</f>
        <v/>
      </c>
      <c r="Y96" s="147">
        <f>Y63-Y46</f>
        <v/>
      </c>
    </row>
    <row r="97" hidden="1" s="127">
      <c r="C97" s="60" t="inlineStr">
        <is>
          <t>0031 集計</t>
        </is>
      </c>
      <c r="D97" s="22" t="inlineStr">
        <is>
          <t>JF境</t>
        </is>
      </c>
      <c r="E97" s="20">
        <f>E64-E47</f>
        <v/>
      </c>
      <c r="F97" s="20">
        <f>F64-F47</f>
        <v/>
      </c>
      <c r="G97" s="20">
        <f>G64-G47</f>
        <v/>
      </c>
      <c r="H97" s="20">
        <f>H64-H47</f>
        <v/>
      </c>
      <c r="I97" s="20">
        <f>I64-I47</f>
        <v/>
      </c>
      <c r="J97" s="20">
        <f>J64-J47</f>
        <v/>
      </c>
      <c r="K97" s="7">
        <f>SUM(E97:J97)</f>
        <v/>
      </c>
      <c r="L97" s="20">
        <f>L64-L47</f>
        <v/>
      </c>
      <c r="M97" s="20">
        <f>M64-M47</f>
        <v/>
      </c>
      <c r="N97" s="20">
        <f>N64-N47</f>
        <v/>
      </c>
      <c r="O97" s="20">
        <f>O64-O47</f>
        <v/>
      </c>
      <c r="P97" s="20">
        <f>P64-P47</f>
        <v/>
      </c>
      <c r="Q97" s="20">
        <f>Q64-Q47</f>
        <v/>
      </c>
      <c r="R97" s="7">
        <f>SUM(L97:Q97)</f>
        <v/>
      </c>
      <c r="S97" s="136">
        <f>S64-S47</f>
        <v/>
      </c>
      <c r="T97" s="136">
        <f>T64-T47</f>
        <v/>
      </c>
      <c r="U97" s="136">
        <f>U64-U47</f>
        <v/>
      </c>
      <c r="V97" s="136">
        <f>V64-V47</f>
        <v/>
      </c>
      <c r="W97" s="136">
        <f>W64-W47</f>
        <v/>
      </c>
      <c r="X97" s="136">
        <f>X64-X47</f>
        <v/>
      </c>
      <c r="Y97" s="147">
        <f>Y64-Y47</f>
        <v/>
      </c>
    </row>
    <row r="98" hidden="1" s="127">
      <c r="C98" s="60" t="inlineStr">
        <is>
          <t>0038 集計</t>
        </is>
      </c>
      <c r="D98" s="83" t="inlineStr">
        <is>
          <t>境その他</t>
        </is>
      </c>
      <c r="E98" s="20">
        <f>E65-E48</f>
        <v/>
      </c>
      <c r="F98" s="20">
        <f>F65-F48</f>
        <v/>
      </c>
      <c r="G98" s="20">
        <f>G65-G48</f>
        <v/>
      </c>
      <c r="H98" s="20">
        <f>H65-H48</f>
        <v/>
      </c>
      <c r="I98" s="20">
        <f>I65-I48</f>
        <v/>
      </c>
      <c r="J98" s="20">
        <f>J65-J48</f>
        <v/>
      </c>
      <c r="K98" s="7">
        <f>SUM(E98:J98)</f>
        <v/>
      </c>
      <c r="L98" s="20">
        <f>L65-L48</f>
        <v/>
      </c>
      <c r="M98" s="20">
        <f>M65-M48</f>
        <v/>
      </c>
      <c r="N98" s="20">
        <f>N65-N48</f>
        <v/>
      </c>
      <c r="O98" s="20">
        <f>O65-O48</f>
        <v/>
      </c>
      <c r="P98" s="20">
        <f>P65-P48</f>
        <v/>
      </c>
      <c r="Q98" s="20">
        <f>Q65-Q48</f>
        <v/>
      </c>
      <c r="R98" s="7">
        <f>SUM(L98:Q98)</f>
        <v/>
      </c>
      <c r="S98" s="136">
        <f>S65-S48</f>
        <v/>
      </c>
      <c r="T98" s="136">
        <f>T65-T48</f>
        <v/>
      </c>
      <c r="U98" s="136">
        <f>U65-U48</f>
        <v/>
      </c>
      <c r="V98" s="136">
        <f>V65-V48</f>
        <v/>
      </c>
      <c r="W98" s="136">
        <f>W65-W48</f>
        <v/>
      </c>
      <c r="X98" s="136">
        <f>X65-X48</f>
        <v/>
      </c>
      <c r="Y98" s="147">
        <f>Y65-Y48</f>
        <v/>
      </c>
    </row>
    <row r="99" hidden="1" s="127">
      <c r="C99" s="82" t="inlineStr">
        <is>
          <t>境港水産部合計</t>
        </is>
      </c>
      <c r="D99" s="83" t="n"/>
      <c r="E99" s="20">
        <f>SUM(E97:E98)</f>
        <v/>
      </c>
      <c r="F99" s="20">
        <f>SUM(F97:F98)</f>
        <v/>
      </c>
      <c r="G99" s="20">
        <f>SUM(G97:G98)</f>
        <v/>
      </c>
      <c r="H99" s="20">
        <f>SUM(H97:H98)</f>
        <v/>
      </c>
      <c r="I99" s="20">
        <f>SUM(I97:I98)</f>
        <v/>
      </c>
      <c r="J99" s="20">
        <f>SUM(J97:J98)</f>
        <v/>
      </c>
      <c r="K99" s="7">
        <f>SUM(K97:K98)</f>
        <v/>
      </c>
      <c r="L99" s="20">
        <f>SUM(L97:L98)</f>
        <v/>
      </c>
      <c r="M99" s="20">
        <f>SUM(M97:M98)</f>
        <v/>
      </c>
      <c r="N99" s="20">
        <f>SUM(N97:N98)</f>
        <v/>
      </c>
      <c r="O99" s="20">
        <f>SUM(O97:O98)</f>
        <v/>
      </c>
      <c r="P99" s="20">
        <f>SUM(P97:P98)</f>
        <v/>
      </c>
      <c r="Q99" s="20">
        <f>SUM(Q97:Q98)</f>
        <v/>
      </c>
      <c r="R99" s="7">
        <f>SUM(R97:R98)</f>
        <v/>
      </c>
      <c r="S99" s="136">
        <f>S66-S49</f>
        <v/>
      </c>
      <c r="T99" s="136">
        <f>T66-T49</f>
        <v/>
      </c>
      <c r="U99" s="136">
        <f>U66-U49</f>
        <v/>
      </c>
      <c r="V99" s="136">
        <f>V66-V49</f>
        <v/>
      </c>
      <c r="W99" s="136">
        <f>W66-W49</f>
        <v/>
      </c>
      <c r="X99" s="136">
        <f>X66-X49</f>
        <v/>
      </c>
      <c r="Y99" s="147">
        <f>Y66-Y49</f>
        <v/>
      </c>
    </row>
    <row r="100" hidden="1" s="127">
      <c r="C100" s="53" t="inlineStr">
        <is>
          <t>合計</t>
        </is>
      </c>
      <c r="D100" s="54" t="n"/>
      <c r="E100" s="8">
        <f>E93+E96+E99</f>
        <v/>
      </c>
      <c r="F100" s="8">
        <f>F93+F96+F99</f>
        <v/>
      </c>
      <c r="G100" s="8">
        <f>G93+G96+G99</f>
        <v/>
      </c>
      <c r="H100" s="8">
        <f>H93+H96+H99</f>
        <v/>
      </c>
      <c r="I100" s="8">
        <f>I93+I96+I99</f>
        <v/>
      </c>
      <c r="J100" s="8">
        <f>J93+J96+J99</f>
        <v/>
      </c>
      <c r="K100" s="9">
        <f>K93+K96+K99</f>
        <v/>
      </c>
      <c r="L100" s="8">
        <f>L93+L96+L99</f>
        <v/>
      </c>
      <c r="M100" s="8">
        <f>M93+M96+M99</f>
        <v/>
      </c>
      <c r="N100" s="8">
        <f>N93+N96+N99</f>
        <v/>
      </c>
      <c r="O100" s="8">
        <f>O93+O96+O99</f>
        <v/>
      </c>
      <c r="P100" s="8">
        <f>P93+P96+P99</f>
        <v/>
      </c>
      <c r="Q100" s="8">
        <f>Q93+Q96+Q99</f>
        <v/>
      </c>
      <c r="R100" s="9">
        <f>R93+R96+R99</f>
        <v/>
      </c>
      <c r="S100" s="139">
        <f>S67-S50</f>
        <v/>
      </c>
      <c r="T100" s="139">
        <f>T67-T50</f>
        <v/>
      </c>
      <c r="U100" s="139">
        <f>U67-U50</f>
        <v/>
      </c>
      <c r="V100" s="139">
        <f>V67-V50</f>
        <v/>
      </c>
      <c r="W100" s="139">
        <f>W67-W50</f>
        <v/>
      </c>
      <c r="X100" s="139">
        <f>X67-X50</f>
        <v/>
      </c>
      <c r="Y100" s="151">
        <f>Y67-Y50</f>
        <v/>
      </c>
    </row>
    <row r="101" hidden="1" s="127">
      <c r="C101" s="18" t="n"/>
      <c r="E101" s="17" t="n"/>
      <c r="F101" s="17" t="n"/>
      <c r="G101" s="17" t="n"/>
      <c r="H101" s="17" t="n"/>
      <c r="I101" s="17" t="n"/>
      <c r="J101" s="17" t="n"/>
      <c r="K101" s="18" t="n"/>
      <c r="L101" s="17" t="n"/>
      <c r="M101" s="17" t="n"/>
      <c r="N101" s="17" t="n"/>
      <c r="O101" s="17" t="n"/>
      <c r="P101" s="17" t="n"/>
      <c r="Q101" s="17" t="n"/>
      <c r="R101" s="18" t="n"/>
      <c r="S101" s="144" t="n"/>
      <c r="T101" s="144" t="n"/>
      <c r="U101" s="144" t="n"/>
      <c r="V101" s="144" t="n"/>
      <c r="W101" s="144" t="n"/>
      <c r="X101" s="144" t="n"/>
      <c r="Y101" s="144" t="n"/>
    </row>
    <row r="102">
      <c r="C102" s="18" t="inlineStr">
        <is>
          <t>7．実績</t>
        </is>
      </c>
    </row>
    <row r="103">
      <c r="C103" s="117" t="n"/>
      <c r="D103" s="118" t="n"/>
      <c r="E103" s="117" t="inlineStr">
        <is>
          <t>売上</t>
        </is>
      </c>
      <c r="F103" s="120" t="n"/>
      <c r="G103" s="120" t="n"/>
      <c r="H103" s="120" t="n"/>
      <c r="I103" s="120" t="n"/>
      <c r="J103" s="120" t="n"/>
      <c r="K103" s="118" t="n"/>
      <c r="L103" s="119" t="inlineStr">
        <is>
          <t>粗利益</t>
        </is>
      </c>
      <c r="M103" s="120" t="n"/>
      <c r="N103" s="120" t="n"/>
      <c r="O103" s="120" t="n"/>
      <c r="P103" s="120" t="n"/>
      <c r="Q103" s="120" t="n"/>
      <c r="R103" s="118" t="n"/>
      <c r="S103" s="119" t="inlineStr">
        <is>
          <t>粗利益率</t>
        </is>
      </c>
      <c r="T103" s="120" t="n"/>
      <c r="U103" s="120" t="n"/>
      <c r="V103" s="120" t="n"/>
      <c r="W103" s="120" t="n"/>
      <c r="X103" s="120" t="n"/>
      <c r="Y103" s="118" t="n"/>
    </row>
    <row r="104">
      <c r="C104" s="1" t="n"/>
      <c r="D104" s="21" t="n"/>
      <c r="E104" s="61" t="n">
        <v>46113</v>
      </c>
      <c r="F104" s="2" t="n">
        <v>46143</v>
      </c>
      <c r="G104" s="2" t="n">
        <v>46174</v>
      </c>
      <c r="H104" s="2" t="n">
        <v>46204</v>
      </c>
      <c r="I104" s="2" t="n">
        <v>46235</v>
      </c>
      <c r="J104" s="2" t="n">
        <v>46266</v>
      </c>
      <c r="K104" s="10" t="inlineStr">
        <is>
          <t>合計</t>
        </is>
      </c>
      <c r="L104" s="95" t="n">
        <v>46113</v>
      </c>
      <c r="M104" s="2" t="n">
        <v>46143</v>
      </c>
      <c r="N104" s="2" t="n">
        <v>46174</v>
      </c>
      <c r="O104" s="2" t="n">
        <v>46204</v>
      </c>
      <c r="P104" s="2" t="n">
        <v>46235</v>
      </c>
      <c r="Q104" s="2" t="n">
        <v>46266</v>
      </c>
      <c r="R104" s="10" t="inlineStr">
        <is>
          <t>合計</t>
        </is>
      </c>
      <c r="S104" s="95" t="n">
        <v>46113</v>
      </c>
      <c r="T104" s="2" t="n">
        <v>46143</v>
      </c>
      <c r="U104" s="2" t="n">
        <v>46174</v>
      </c>
      <c r="V104" s="2" t="n">
        <v>46204</v>
      </c>
      <c r="W104" s="2" t="n">
        <v>46235</v>
      </c>
      <c r="X104" s="2" t="n">
        <v>46266</v>
      </c>
      <c r="Y104" s="10" t="inlineStr">
        <is>
          <t>合計</t>
        </is>
      </c>
    </row>
    <row r="105">
      <c r="C105" s="60" t="inlineStr">
        <is>
          <t>0010 集計</t>
        </is>
      </c>
      <c r="D105" s="22" t="inlineStr">
        <is>
          <t>JF</t>
        </is>
      </c>
      <c r="E105" s="71">
        <f>全体!E105-機械!E105</f>
        <v/>
      </c>
      <c r="F105" s="71">
        <f>全体!F105-機械!F105</f>
        <v/>
      </c>
      <c r="G105" s="71">
        <f>全体!G105-機械!G105</f>
        <v/>
      </c>
      <c r="H105" s="71">
        <f>全体!H105-機械!H105</f>
        <v/>
      </c>
      <c r="I105" s="71">
        <f>全体!I105-機械!I105</f>
        <v/>
      </c>
      <c r="J105" s="71">
        <f>全体!J105-機械!J105</f>
        <v/>
      </c>
      <c r="K105" s="72">
        <f>SUM(E105:J105)</f>
        <v/>
      </c>
      <c r="L105" s="71">
        <f>全体!L105-機械!L105</f>
        <v/>
      </c>
      <c r="M105" s="73">
        <f>全体!M105-機械!M105</f>
        <v/>
      </c>
      <c r="N105" s="73">
        <f>全体!N105-機械!N105</f>
        <v/>
      </c>
      <c r="O105" s="73">
        <f>全体!O105-機械!O105</f>
        <v/>
      </c>
      <c r="P105" s="73">
        <f>全体!P105-機械!P105</f>
        <v/>
      </c>
      <c r="Q105" s="73">
        <f>全体!Q105-機械!Q105</f>
        <v/>
      </c>
      <c r="R105" s="7">
        <f>SUM(L105:Q105)</f>
        <v/>
      </c>
      <c r="S105" s="136">
        <f>IF(E105=0,"***",L105/E105)</f>
        <v/>
      </c>
      <c r="T105" s="136">
        <f>IF(F105=0,"***",M105/F105)</f>
        <v/>
      </c>
      <c r="U105" s="136">
        <f>IF(G105=0,"***",N105/G105)</f>
        <v/>
      </c>
      <c r="V105" s="136">
        <f>IF(H105=0,"***",O105/H105)</f>
        <v/>
      </c>
      <c r="W105" s="136">
        <f>IF(I105=0,"***",P105/I105)</f>
        <v/>
      </c>
      <c r="X105" s="136">
        <f>IF(J105=0,"***",Q105/J105)</f>
        <v/>
      </c>
      <c r="Y105" s="147">
        <f>IF(K105=0,"***",R105/K105)</f>
        <v/>
      </c>
    </row>
    <row r="106">
      <c r="C106" s="60" t="inlineStr">
        <is>
          <t>0017 集計</t>
        </is>
      </c>
      <c r="D106" s="22" t="inlineStr">
        <is>
          <t>鮮魚</t>
        </is>
      </c>
      <c r="E106" s="71">
        <f>全体!E106-機械!E106</f>
        <v/>
      </c>
      <c r="F106" s="71">
        <f>全体!F106-機械!F106</f>
        <v/>
      </c>
      <c r="G106" s="71">
        <f>全体!G106-機械!G106</f>
        <v/>
      </c>
      <c r="H106" s="71">
        <f>全体!H106-機械!H106</f>
        <v/>
      </c>
      <c r="I106" s="71">
        <f>全体!I106-機械!I106</f>
        <v/>
      </c>
      <c r="J106" s="71">
        <f>全体!J106-機械!J106</f>
        <v/>
      </c>
      <c r="K106" s="72">
        <f>SUM(E106:J106)</f>
        <v/>
      </c>
      <c r="L106" s="71">
        <f>全体!L106-機械!L106</f>
        <v/>
      </c>
      <c r="M106" s="71">
        <f>全体!M106-機械!M106</f>
        <v/>
      </c>
      <c r="N106" s="71">
        <f>全体!N106-機械!N106</f>
        <v/>
      </c>
      <c r="O106" s="71">
        <f>全体!O106-機械!O106</f>
        <v/>
      </c>
      <c r="P106" s="71">
        <f>全体!P106-機械!P106</f>
        <v/>
      </c>
      <c r="Q106" s="71">
        <f>全体!Q106-機械!Q106</f>
        <v/>
      </c>
      <c r="R106" s="7">
        <f>SUM(L106:Q106)</f>
        <v/>
      </c>
      <c r="S106" s="136">
        <f>IF(E106=0,"***",L106/E106)</f>
        <v/>
      </c>
      <c r="T106" s="136">
        <f>IF(F106=0,"***",M106/F106)</f>
        <v/>
      </c>
      <c r="U106" s="136">
        <f>IF(G106=0,"***",N106/G106)</f>
        <v/>
      </c>
      <c r="V106" s="136">
        <f>IF(H106=0,"***",O106/H106)</f>
        <v/>
      </c>
      <c r="W106" s="136">
        <f>IF(I106=0,"***",P106/I106)</f>
        <v/>
      </c>
      <c r="X106" s="136">
        <f>IF(J106=0,"***",Q106/J106)</f>
        <v/>
      </c>
      <c r="Y106" s="147">
        <f>IF(K106=0,"***",R106/K106)</f>
        <v/>
      </c>
    </row>
    <row r="107">
      <c r="C107" s="60" t="inlineStr">
        <is>
          <t>0101 集計</t>
        </is>
      </c>
      <c r="D107" s="22" t="inlineStr">
        <is>
          <t>GS</t>
        </is>
      </c>
      <c r="E107" s="71">
        <f>全体!E107-機械!E107</f>
        <v/>
      </c>
      <c r="F107" s="71">
        <f>全体!F107-機械!F107</f>
        <v/>
      </c>
      <c r="G107" s="71">
        <f>全体!G107-機械!G107</f>
        <v/>
      </c>
      <c r="H107" s="71">
        <f>全体!H107-機械!H107</f>
        <v/>
      </c>
      <c r="I107" s="71">
        <f>全体!I107-機械!I107</f>
        <v/>
      </c>
      <c r="J107" s="71">
        <f>全体!J107-機械!J107</f>
        <v/>
      </c>
      <c r="K107" s="72">
        <f>SUM(E107:J107)</f>
        <v/>
      </c>
      <c r="L107" s="71">
        <f>全体!L107-機械!L107</f>
        <v/>
      </c>
      <c r="M107" s="71">
        <f>全体!M107-機械!M107</f>
        <v/>
      </c>
      <c r="N107" s="71">
        <f>全体!N107-機械!N107</f>
        <v/>
      </c>
      <c r="O107" s="71">
        <f>全体!O107-機械!O107</f>
        <v/>
      </c>
      <c r="P107" s="71">
        <f>全体!P107-機械!P107</f>
        <v/>
      </c>
      <c r="Q107" s="71">
        <f>全体!Q107-機械!Q107</f>
        <v/>
      </c>
      <c r="R107" s="7">
        <f>SUM(L107:Q107)</f>
        <v/>
      </c>
      <c r="S107" s="136">
        <f>IF(E107=0,"***",L107/E107)</f>
        <v/>
      </c>
      <c r="T107" s="136">
        <f>IF(F107=0,"***",M107/F107)</f>
        <v/>
      </c>
      <c r="U107" s="136">
        <f>IF(G107=0,"***",N107/G107)</f>
        <v/>
      </c>
      <c r="V107" s="136">
        <f>IF(H107=0,"***",O107/H107)</f>
        <v/>
      </c>
      <c r="W107" s="136">
        <f>IF(I107=0,"***",P107/I107)</f>
        <v/>
      </c>
      <c r="X107" s="136">
        <f>IF(J107=0,"***",Q107/J107)</f>
        <v/>
      </c>
      <c r="Y107" s="147">
        <f>IF(K107=0,"***",R107/K107)</f>
        <v/>
      </c>
    </row>
    <row r="108">
      <c r="C108" s="60" t="inlineStr">
        <is>
          <t>0106 集計</t>
        </is>
      </c>
      <c r="D108" s="22" t="inlineStr">
        <is>
          <t>浜田荷役</t>
        </is>
      </c>
      <c r="E108" s="71">
        <f>全体!E108-機械!E108</f>
        <v/>
      </c>
      <c r="F108" s="71">
        <f>全体!F108-機械!F108</f>
        <v/>
      </c>
      <c r="G108" s="71">
        <f>全体!G108-機械!G108</f>
        <v/>
      </c>
      <c r="H108" s="71">
        <f>全体!H108-機械!H108</f>
        <v/>
      </c>
      <c r="I108" s="71">
        <f>全体!I108-機械!I108</f>
        <v/>
      </c>
      <c r="J108" s="71">
        <f>全体!J108-機械!J108</f>
        <v/>
      </c>
      <c r="K108" s="72">
        <f>SUM(E108:J108)</f>
        <v/>
      </c>
      <c r="L108" s="71">
        <f>全体!L108-機械!L108</f>
        <v/>
      </c>
      <c r="M108" s="71">
        <f>全体!M108-機械!M108</f>
        <v/>
      </c>
      <c r="N108" s="71">
        <f>全体!N108-機械!N108</f>
        <v/>
      </c>
      <c r="O108" s="71">
        <f>全体!O108-機械!O108</f>
        <v/>
      </c>
      <c r="P108" s="71">
        <f>全体!P108-機械!P108</f>
        <v/>
      </c>
      <c r="Q108" s="71">
        <f>全体!Q108-機械!Q108</f>
        <v/>
      </c>
      <c r="R108" s="7">
        <f>SUM(L108:Q108)</f>
        <v/>
      </c>
      <c r="S108" s="136">
        <f>IF(E108=0,"***",L108/E108)</f>
        <v/>
      </c>
      <c r="T108" s="136">
        <f>IF(F108=0,"***",M108/F108)</f>
        <v/>
      </c>
      <c r="U108" s="136">
        <f>IF(G108=0,"***",N108/G108)</f>
        <v/>
      </c>
      <c r="V108" s="136">
        <f>IF(H108=0,"***",O108/H108)</f>
        <v/>
      </c>
      <c r="W108" s="136">
        <f>IF(I108=0,"***",P108/I108)</f>
        <v/>
      </c>
      <c r="X108" s="136">
        <f>IF(J108=0,"***",Q108/J108)</f>
        <v/>
      </c>
      <c r="Y108" s="147">
        <f>IF(K108=0,"***",R108/K108)</f>
        <v/>
      </c>
    </row>
    <row r="109">
      <c r="C109" s="60" t="inlineStr">
        <is>
          <t>浜田水産部合計</t>
        </is>
      </c>
      <c r="D109" s="22" t="n"/>
      <c r="E109" s="73">
        <f>SUM(E105:E108)</f>
        <v/>
      </c>
      <c r="F109" s="73">
        <f>SUM(F105:F108)</f>
        <v/>
      </c>
      <c r="G109" s="73">
        <f>SUM(G105:G108)</f>
        <v/>
      </c>
      <c r="H109" s="73">
        <f>SUM(H105:H108)</f>
        <v/>
      </c>
      <c r="I109" s="73">
        <f>SUM(I105:I108)</f>
        <v/>
      </c>
      <c r="J109" s="73">
        <f>SUM(J105:J108)</f>
        <v/>
      </c>
      <c r="K109" s="72">
        <f>SUM(E109:J109)</f>
        <v/>
      </c>
      <c r="L109" s="73">
        <f>SUM(L105:L108)</f>
        <v/>
      </c>
      <c r="M109" s="73">
        <f>SUM(M105:M108)</f>
        <v/>
      </c>
      <c r="N109" s="73">
        <f>SUM(N105:N108)</f>
        <v/>
      </c>
      <c r="O109" s="73">
        <f>SUM(O105:O108)</f>
        <v/>
      </c>
      <c r="P109" s="73">
        <f>SUM(P105:P108)</f>
        <v/>
      </c>
      <c r="Q109" s="73">
        <f>SUM(Q105:Q108)</f>
        <v/>
      </c>
      <c r="R109" s="7">
        <f>SUM(L109:Q109)</f>
        <v/>
      </c>
      <c r="S109" s="136">
        <f>IF(E109=0,"***",L109/E109)</f>
        <v/>
      </c>
      <c r="T109" s="136">
        <f>IF(F109=0,"***",M109/F109)</f>
        <v/>
      </c>
      <c r="U109" s="136">
        <f>IF(G109=0,"***",N109/G109)</f>
        <v/>
      </c>
      <c r="V109" s="136">
        <f>IF(H109=0,"***",O109/H109)</f>
        <v/>
      </c>
      <c r="W109" s="136">
        <f>IF(I109=0,"***",P109/I109)</f>
        <v/>
      </c>
      <c r="X109" s="136">
        <f>IF(J109=0,"***",Q109/J109)</f>
        <v/>
      </c>
      <c r="Y109" s="147">
        <f>IF(K109=0,"***",R109/K109)</f>
        <v/>
      </c>
    </row>
    <row r="110">
      <c r="C110" s="60" t="inlineStr">
        <is>
          <t>0102 集計</t>
        </is>
      </c>
      <c r="D110" s="22" t="inlineStr">
        <is>
          <t>JF大田</t>
        </is>
      </c>
      <c r="E110" s="71">
        <f>全体!E110-機械!E110</f>
        <v/>
      </c>
      <c r="F110" s="71">
        <f>全体!F110-機械!F110</f>
        <v/>
      </c>
      <c r="G110" s="71">
        <f>全体!G110-機械!G110</f>
        <v/>
      </c>
      <c r="H110" s="71">
        <f>全体!H110-機械!H110</f>
        <v/>
      </c>
      <c r="I110" s="71">
        <f>全体!I110-機械!I110</f>
        <v/>
      </c>
      <c r="J110" s="71">
        <f>全体!J110-機械!J110</f>
        <v/>
      </c>
      <c r="K110" s="72">
        <f>SUM(E110:J110)</f>
        <v/>
      </c>
      <c r="L110" s="71">
        <f>全体!L110-機械!L110</f>
        <v/>
      </c>
      <c r="M110" s="73">
        <f>全体!M110-機械!M110</f>
        <v/>
      </c>
      <c r="N110" s="73">
        <f>全体!N110-機械!N110</f>
        <v/>
      </c>
      <c r="O110" s="73">
        <f>全体!O110-機械!O110</f>
        <v/>
      </c>
      <c r="P110" s="73">
        <f>全体!P110-機械!P110</f>
        <v/>
      </c>
      <c r="Q110" s="73">
        <f>全体!Q110-機械!Q110</f>
        <v/>
      </c>
      <c r="R110" s="7">
        <f>SUM(L110:Q110)</f>
        <v/>
      </c>
      <c r="S110" s="136">
        <f>IF(E110=0,"***",L110/E110)</f>
        <v/>
      </c>
      <c r="T110" s="136">
        <f>IF(F110=0,"***",M110/F110)</f>
        <v/>
      </c>
      <c r="U110" s="136">
        <f>IF(G110=0,"***",N110/G110)</f>
        <v/>
      </c>
      <c r="V110" s="136">
        <f>IF(H110=0,"***",O110/H110)</f>
        <v/>
      </c>
      <c r="W110" s="136">
        <f>IF(I110=0,"***",P110/I110)</f>
        <v/>
      </c>
      <c r="X110" s="136">
        <f>IF(J110=0,"***",Q110/J110)</f>
        <v/>
      </c>
      <c r="Y110" s="147">
        <f>IF(K110=0,"***",R110/K110)</f>
        <v/>
      </c>
    </row>
    <row r="111">
      <c r="C111" s="60" t="inlineStr">
        <is>
          <t>0104 集計</t>
        </is>
      </c>
      <c r="D111" s="22" t="inlineStr">
        <is>
          <t>大田荷役</t>
        </is>
      </c>
      <c r="E111" s="71">
        <f>全体!E111-機械!E111</f>
        <v/>
      </c>
      <c r="F111" s="71">
        <f>全体!F111-機械!F111</f>
        <v/>
      </c>
      <c r="G111" s="71">
        <f>全体!G111-機械!G111</f>
        <v/>
      </c>
      <c r="H111" s="71">
        <f>全体!H111-機械!H111</f>
        <v/>
      </c>
      <c r="I111" s="71">
        <f>全体!I111-機械!I111</f>
        <v/>
      </c>
      <c r="J111" s="71">
        <f>全体!J111-機械!J111</f>
        <v/>
      </c>
      <c r="K111" s="72">
        <f>SUM(E111:J111)</f>
        <v/>
      </c>
      <c r="L111" s="71">
        <f>全体!L111-機械!L111</f>
        <v/>
      </c>
      <c r="M111" s="71">
        <f>全体!M111-機械!M111</f>
        <v/>
      </c>
      <c r="N111" s="71">
        <f>全体!N111-機械!N111</f>
        <v/>
      </c>
      <c r="O111" s="71">
        <f>全体!O111-機械!O111</f>
        <v/>
      </c>
      <c r="P111" s="71">
        <f>全体!P111-機械!P111</f>
        <v/>
      </c>
      <c r="Q111" s="71">
        <f>全体!Q111-機械!Q111</f>
        <v/>
      </c>
      <c r="R111" s="7">
        <f>SUM(L111:Q111)</f>
        <v/>
      </c>
      <c r="S111" s="136">
        <f>IF(E111=0,"***",L111/E111)</f>
        <v/>
      </c>
      <c r="T111" s="136">
        <f>IF(F111=0,"***",M111/F111)</f>
        <v/>
      </c>
      <c r="U111" s="136">
        <f>IF(G111=0,"***",N111/G111)</f>
        <v/>
      </c>
      <c r="V111" s="136">
        <f>IF(H111=0,"***",O111/H111)</f>
        <v/>
      </c>
      <c r="W111" s="136">
        <f>IF(I111=0,"***",P111/I111)</f>
        <v/>
      </c>
      <c r="X111" s="136">
        <f>IF(J111=0,"***",Q111/J111)</f>
        <v/>
      </c>
      <c r="Y111" s="147">
        <f>IF(K111=0,"***",R111/K111)</f>
        <v/>
      </c>
    </row>
    <row r="112">
      <c r="C112" s="60" t="inlineStr">
        <is>
          <t>大田水産部</t>
        </is>
      </c>
      <c r="D112" s="22" t="n"/>
      <c r="E112" s="71">
        <f>SUM(E110:E111)</f>
        <v/>
      </c>
      <c r="F112" s="71">
        <f>SUM(F110:F111)</f>
        <v/>
      </c>
      <c r="G112" s="71">
        <f>SUM(G110:G111)</f>
        <v/>
      </c>
      <c r="H112" s="71">
        <f>SUM(H110:H111)</f>
        <v/>
      </c>
      <c r="I112" s="71">
        <f>SUM(I110:I111)</f>
        <v/>
      </c>
      <c r="J112" s="71">
        <f>SUM(J110:J111)</f>
        <v/>
      </c>
      <c r="K112" s="72">
        <f>SUM(K110:K111)</f>
        <v/>
      </c>
      <c r="L112" s="71">
        <f>SUM(L110:L111)</f>
        <v/>
      </c>
      <c r="M112" s="71">
        <f>SUM(M110:M111)</f>
        <v/>
      </c>
      <c r="N112" s="71">
        <f>SUM(N110:N111)</f>
        <v/>
      </c>
      <c r="O112" s="71">
        <f>SUM(O110:O111)</f>
        <v/>
      </c>
      <c r="P112" s="71">
        <f>SUM(P110:P111)</f>
        <v/>
      </c>
      <c r="Q112" s="71">
        <f>SUM(Q110:Q111)</f>
        <v/>
      </c>
      <c r="R112" s="7">
        <f>SUM(R110:R111)</f>
        <v/>
      </c>
      <c r="S112" s="136">
        <f>IF(E112=0,"***",L112/E112)</f>
        <v/>
      </c>
      <c r="T112" s="136">
        <f>IF(F112=0,"***",M112/F112)</f>
        <v/>
      </c>
      <c r="U112" s="136">
        <f>IF(G112=0,"***",N112/G112)</f>
        <v/>
      </c>
      <c r="V112" s="136">
        <f>IF(H112=0,"***",O112/H112)</f>
        <v/>
      </c>
      <c r="W112" s="136">
        <f>IF(I112=0,"***",P112/I112)</f>
        <v/>
      </c>
      <c r="X112" s="136">
        <f>IF(J112=0,"***",Q112/J112)</f>
        <v/>
      </c>
      <c r="Y112" s="147">
        <f>IF(K112=0,"***",R112/K112)</f>
        <v/>
      </c>
    </row>
    <row r="113">
      <c r="C113" s="60" t="inlineStr">
        <is>
          <t>0031 集計</t>
        </is>
      </c>
      <c r="D113" s="22" t="inlineStr">
        <is>
          <t>JF境</t>
        </is>
      </c>
      <c r="E113" s="71">
        <f>全体!E113-機械!E113</f>
        <v/>
      </c>
      <c r="F113" s="71">
        <f>全体!F113-機械!F113</f>
        <v/>
      </c>
      <c r="G113" s="71">
        <f>全体!G113-機械!G113</f>
        <v/>
      </c>
      <c r="H113" s="71">
        <f>全体!H113-機械!H113</f>
        <v/>
      </c>
      <c r="I113" s="71">
        <f>全体!I113-機械!I113</f>
        <v/>
      </c>
      <c r="J113" s="71">
        <f>全体!J113-機械!J113</f>
        <v/>
      </c>
      <c r="K113" s="72">
        <f>SUM(E113:J113)</f>
        <v/>
      </c>
      <c r="L113" s="71">
        <f>全体!L113-機械!L113</f>
        <v/>
      </c>
      <c r="M113" s="73">
        <f>全体!M113-機械!M113</f>
        <v/>
      </c>
      <c r="N113" s="73">
        <f>全体!N113-機械!N113</f>
        <v/>
      </c>
      <c r="O113" s="73">
        <f>全体!O113-機械!O113</f>
        <v/>
      </c>
      <c r="P113" s="73">
        <f>全体!P113-機械!P113</f>
        <v/>
      </c>
      <c r="Q113" s="73">
        <f>全体!Q113-機械!Q113</f>
        <v/>
      </c>
      <c r="R113" s="7">
        <f>SUM(L113:Q113)</f>
        <v/>
      </c>
      <c r="S113" s="136">
        <f>IF(E113=0,"***",L113/E113)</f>
        <v/>
      </c>
      <c r="T113" s="136">
        <f>IF(F113=0,"***",M113/F113)</f>
        <v/>
      </c>
      <c r="U113" s="136">
        <f>IF(G113=0,"***",N113/G113)</f>
        <v/>
      </c>
      <c r="V113" s="136">
        <f>IF(H113=0,"***",O113/H113)</f>
        <v/>
      </c>
      <c r="W113" s="136">
        <f>IF(I113=0,"***",P113/I113)</f>
        <v/>
      </c>
      <c r="X113" s="136">
        <f>IF(J113=0,"***",Q113/J113)</f>
        <v/>
      </c>
      <c r="Y113" s="147">
        <f>IF(K113=0,"***",R113/K113)</f>
        <v/>
      </c>
    </row>
    <row r="114">
      <c r="C114" s="60" t="inlineStr">
        <is>
          <t>0038 集計</t>
        </is>
      </c>
      <c r="D114" s="83" t="inlineStr">
        <is>
          <t>境その他</t>
        </is>
      </c>
      <c r="E114" s="71">
        <f>全体!E114-機械!E114</f>
        <v/>
      </c>
      <c r="F114" s="92" t="n">
        <v>0</v>
      </c>
      <c r="G114" s="92">
        <f>全体!G114-機械!G114</f>
        <v/>
      </c>
      <c r="H114" s="92">
        <f>全体!H114-機械!H114</f>
        <v/>
      </c>
      <c r="I114" s="92">
        <f>全体!I114-機械!I114</f>
        <v/>
      </c>
      <c r="J114" s="92">
        <f>全体!J114-機械!J114</f>
        <v/>
      </c>
      <c r="K114" s="92">
        <f>SUM(E114:J114)</f>
        <v/>
      </c>
      <c r="L114" s="71">
        <f>全体!L114-機械!L114</f>
        <v/>
      </c>
      <c r="M114" s="94" t="n">
        <v>0</v>
      </c>
      <c r="N114" s="94">
        <f>全体!N114-機械!N114</f>
        <v/>
      </c>
      <c r="O114" s="94">
        <f>全体!O114-機械!O114</f>
        <v/>
      </c>
      <c r="P114" s="94">
        <f>全体!P114-機械!P114</f>
        <v/>
      </c>
      <c r="Q114" s="94">
        <f>全体!Q114-機械!Q114</f>
        <v/>
      </c>
      <c r="R114" s="94">
        <f>SUM(L114:Q114)</f>
        <v/>
      </c>
      <c r="S114" s="149" t="n"/>
      <c r="T114" s="149" t="n"/>
      <c r="U114" s="149" t="n"/>
      <c r="V114" s="149" t="n"/>
      <c r="W114" s="149" t="n"/>
      <c r="X114" s="149" t="n"/>
      <c r="Y114" s="150" t="n"/>
    </row>
    <row r="115">
      <c r="C115" s="82" t="inlineStr">
        <is>
          <t>境港水産部合計</t>
        </is>
      </c>
      <c r="D115" s="83" t="n"/>
      <c r="E115" s="20">
        <f>SUM(E113:E114)</f>
        <v/>
      </c>
      <c r="F115" s="20">
        <f>SUM(F113:F114)</f>
        <v/>
      </c>
      <c r="G115" s="20">
        <f>SUM(G113:G114)</f>
        <v/>
      </c>
      <c r="H115" s="20">
        <f>SUM(H113:H114)</f>
        <v/>
      </c>
      <c r="I115" s="20">
        <f>SUM(I113:I114)</f>
        <v/>
      </c>
      <c r="J115" s="20">
        <f>SUM(J113:J114)</f>
        <v/>
      </c>
      <c r="K115" s="7">
        <f>SUM(K113:K114)</f>
        <v/>
      </c>
      <c r="L115" s="20">
        <f>SUM(L113:L114)</f>
        <v/>
      </c>
      <c r="M115" s="20">
        <f>SUM(M113:M114)</f>
        <v/>
      </c>
      <c r="N115" s="20">
        <f>SUM(N113:N114)</f>
        <v/>
      </c>
      <c r="O115" s="20">
        <f>SUM(O113:O114)</f>
        <v/>
      </c>
      <c r="P115" s="20">
        <f>SUM(P113:P114)</f>
        <v/>
      </c>
      <c r="Q115" s="20">
        <f>SUM(Q113:Q114)</f>
        <v/>
      </c>
      <c r="R115" s="7">
        <f>SUM(R113:R114)</f>
        <v/>
      </c>
      <c r="S115" s="149" t="n"/>
      <c r="T115" s="149" t="n"/>
      <c r="U115" s="149" t="n"/>
      <c r="V115" s="149" t="n"/>
      <c r="W115" s="149" t="n"/>
      <c r="X115" s="149" t="n"/>
      <c r="Y115" s="150" t="n"/>
    </row>
    <row r="116">
      <c r="C116" s="53" t="inlineStr">
        <is>
          <t>合計</t>
        </is>
      </c>
      <c r="D116" s="54" t="n"/>
      <c r="E116" s="8">
        <f>E109+E112+E115</f>
        <v/>
      </c>
      <c r="F116" s="8">
        <f>F109+F112+F115</f>
        <v/>
      </c>
      <c r="G116" s="8">
        <f>G109+G112+G115</f>
        <v/>
      </c>
      <c r="H116" s="8">
        <f>H109+H112+H115</f>
        <v/>
      </c>
      <c r="I116" s="8">
        <f>I109+I112+I115</f>
        <v/>
      </c>
      <c r="J116" s="8">
        <f>J109+J112+J115</f>
        <v/>
      </c>
      <c r="K116" s="9">
        <f>K109+K112+K115</f>
        <v/>
      </c>
      <c r="L116" s="8">
        <f>L109+L112+L115</f>
        <v/>
      </c>
      <c r="M116" s="8">
        <f>M109+M112+M115</f>
        <v/>
      </c>
      <c r="N116" s="8">
        <f>N109+N112+N115</f>
        <v/>
      </c>
      <c r="O116" s="8">
        <f>O109+O112+O115</f>
        <v/>
      </c>
      <c r="P116" s="8">
        <f>P109+P112+P115</f>
        <v/>
      </c>
      <c r="Q116" s="8">
        <f>Q109+Q112+Q115</f>
        <v/>
      </c>
      <c r="R116" s="9">
        <f>R109+R112+R115</f>
        <v/>
      </c>
      <c r="S116" s="139">
        <f>IF(E116=0,"***",L116/E116)</f>
        <v/>
      </c>
      <c r="T116" s="139">
        <f>IF(F116=0,"***",M116/F116)</f>
        <v/>
      </c>
      <c r="U116" s="139">
        <f>IF(G116=0,"***",N116/G116)</f>
        <v/>
      </c>
      <c r="V116" s="139">
        <f>IF(H116=0,"***",O116/H116)</f>
        <v/>
      </c>
      <c r="W116" s="139">
        <f>IF(I116=0,"***",P116/I116)</f>
        <v/>
      </c>
      <c r="X116" s="139">
        <f>IF(J116=0,"***",Q116/J116)</f>
        <v/>
      </c>
      <c r="Y116" s="151">
        <f>IF(K116=0,"***",R116/K116)</f>
        <v/>
      </c>
    </row>
    <row r="117">
      <c r="C117" s="74" t="inlineStr">
        <is>
          <t>【参考】大海分</t>
        </is>
      </c>
      <c r="D117" s="75" t="n"/>
      <c r="E117" s="111">
        <f>全体!E117-機械!E117</f>
        <v/>
      </c>
      <c r="F117" s="112">
        <f>全体!F117-機械!F117</f>
        <v/>
      </c>
      <c r="G117" s="112">
        <f>全体!G117-機械!G117</f>
        <v/>
      </c>
      <c r="H117" s="113" t="n"/>
      <c r="I117" s="113" t="n"/>
      <c r="J117" s="113" t="n"/>
      <c r="K117" s="114" t="n"/>
      <c r="L117" s="112">
        <f>全体!L117-機械!L117</f>
        <v/>
      </c>
      <c r="M117" s="112">
        <f>全体!M117-機械!M117</f>
        <v/>
      </c>
      <c r="N117" s="112">
        <f>全体!N117-機械!N117</f>
        <v/>
      </c>
      <c r="O117" s="113" t="n"/>
      <c r="P117" s="113" t="n"/>
      <c r="Q117" s="113" t="n"/>
      <c r="R117" s="77">
        <f>SUM(L117:Q117)</f>
        <v/>
      </c>
      <c r="S117" s="152">
        <f>IF(E117=0,"***",L117/E117)</f>
        <v/>
      </c>
      <c r="T117" s="153">
        <f>IF(F117=0,"***",M117/F117)</f>
        <v/>
      </c>
      <c r="U117" s="153">
        <f>IF(G117=0,"***",N117/G117)</f>
        <v/>
      </c>
      <c r="V117" s="153">
        <f>IF(H117=0,"***",O117/H117)</f>
        <v/>
      </c>
      <c r="W117" s="153">
        <f>IF(I117=0,"***",P117/I117)</f>
        <v/>
      </c>
      <c r="X117" s="153">
        <f>IF(J117=0,"***",Q117/J117)</f>
        <v/>
      </c>
      <c r="Y117" s="154">
        <f>IF(K117=0,"***",R117/K117)</f>
        <v/>
      </c>
    </row>
    <row r="118">
      <c r="C118" s="18" t="n"/>
      <c r="E118" s="17" t="n"/>
      <c r="F118" s="17" t="n"/>
      <c r="G118" s="17" t="n"/>
      <c r="H118" s="17" t="n"/>
      <c r="I118" s="17" t="n"/>
      <c r="J118" s="17" t="n"/>
      <c r="K118" s="18" t="n"/>
      <c r="L118" s="17" t="n"/>
      <c r="M118" s="17" t="n"/>
      <c r="N118" s="17" t="n"/>
      <c r="O118" s="17" t="n"/>
      <c r="P118" s="17" t="n"/>
      <c r="Q118" s="17" t="n"/>
      <c r="R118" s="18" t="n"/>
      <c r="S118" s="144" t="n"/>
      <c r="T118" s="144" t="n"/>
      <c r="U118" s="144" t="n"/>
      <c r="V118" s="144" t="n"/>
      <c r="W118" s="144" t="n"/>
      <c r="X118" s="144" t="n"/>
      <c r="Y118" s="144" t="n"/>
    </row>
    <row r="119">
      <c r="C119" s="18" t="inlineStr">
        <is>
          <t>8．計画比</t>
        </is>
      </c>
    </row>
    <row r="120">
      <c r="C120" s="117" t="n"/>
      <c r="D120" s="118" t="n"/>
      <c r="E120" s="117" t="inlineStr">
        <is>
          <t>売上</t>
        </is>
      </c>
      <c r="F120" s="120" t="n"/>
      <c r="G120" s="120" t="n"/>
      <c r="H120" s="120" t="n"/>
      <c r="I120" s="120" t="n"/>
      <c r="J120" s="120" t="n"/>
      <c r="K120" s="118" t="n"/>
      <c r="L120" s="119" t="inlineStr">
        <is>
          <t>粗利益</t>
        </is>
      </c>
      <c r="M120" s="120" t="n"/>
      <c r="N120" s="120" t="n"/>
      <c r="O120" s="120" t="n"/>
      <c r="P120" s="120" t="n"/>
      <c r="Q120" s="120" t="n"/>
      <c r="R120" s="118" t="n"/>
      <c r="S120" s="119" t="inlineStr">
        <is>
          <t>粗利益率</t>
        </is>
      </c>
      <c r="T120" s="120" t="n"/>
      <c r="U120" s="120" t="n"/>
      <c r="V120" s="120" t="n"/>
      <c r="W120" s="120" t="n"/>
      <c r="X120" s="120" t="n"/>
      <c r="Y120" s="118" t="n"/>
    </row>
    <row r="121">
      <c r="C121" s="1" t="n"/>
      <c r="D121" s="21" t="n"/>
      <c r="E121" s="61" t="n">
        <v>46113</v>
      </c>
      <c r="F121" s="2" t="n">
        <v>46143</v>
      </c>
      <c r="G121" s="2" t="n">
        <v>46174</v>
      </c>
      <c r="H121" s="2" t="n">
        <v>46204</v>
      </c>
      <c r="I121" s="2" t="n">
        <v>46235</v>
      </c>
      <c r="J121" s="2" t="n">
        <v>46266</v>
      </c>
      <c r="K121" s="10" t="inlineStr">
        <is>
          <t>合計</t>
        </is>
      </c>
      <c r="L121" s="95" t="n">
        <v>46113</v>
      </c>
      <c r="M121" s="2" t="n">
        <v>46143</v>
      </c>
      <c r="N121" s="2" t="n">
        <v>46174</v>
      </c>
      <c r="O121" s="2" t="n">
        <v>46204</v>
      </c>
      <c r="P121" s="2" t="n">
        <v>46235</v>
      </c>
      <c r="Q121" s="2" t="n">
        <v>46266</v>
      </c>
      <c r="R121" s="10" t="inlineStr">
        <is>
          <t>合計</t>
        </is>
      </c>
      <c r="S121" s="95" t="n">
        <v>46113</v>
      </c>
      <c r="T121" s="2" t="n">
        <v>46143</v>
      </c>
      <c r="U121" s="2" t="n">
        <v>46174</v>
      </c>
      <c r="V121" s="2" t="n">
        <v>46204</v>
      </c>
      <c r="W121" s="2" t="n">
        <v>46235</v>
      </c>
      <c r="X121" s="2" t="n">
        <v>46266</v>
      </c>
      <c r="Y121" s="10" t="inlineStr">
        <is>
          <t>合計</t>
        </is>
      </c>
    </row>
    <row r="122">
      <c r="C122" s="60" t="inlineStr">
        <is>
          <t>0010 集計</t>
        </is>
      </c>
      <c r="D122" s="22" t="inlineStr">
        <is>
          <t>JF</t>
        </is>
      </c>
      <c r="E122" s="20">
        <f>E105-E56</f>
        <v/>
      </c>
      <c r="F122" s="20">
        <f>F105-F56</f>
        <v/>
      </c>
      <c r="G122" s="109">
        <f>G105-G56</f>
        <v/>
      </c>
      <c r="H122" s="20">
        <f>H105-H56</f>
        <v/>
      </c>
      <c r="I122" s="20">
        <f>I105-I56</f>
        <v/>
      </c>
      <c r="J122" s="20">
        <f>J105-J56</f>
        <v/>
      </c>
      <c r="K122" s="7">
        <f>SUM(E122:J122)</f>
        <v/>
      </c>
      <c r="L122" s="20">
        <f>L105-L56</f>
        <v/>
      </c>
      <c r="M122" s="4">
        <f>M105-M56</f>
        <v/>
      </c>
      <c r="N122" s="110">
        <f>N105-N56</f>
        <v/>
      </c>
      <c r="O122" s="4">
        <f>O105-O56</f>
        <v/>
      </c>
      <c r="P122" s="4">
        <f>P105-P56</f>
        <v/>
      </c>
      <c r="Q122" s="4">
        <f>Q105-Q56</f>
        <v/>
      </c>
      <c r="R122" s="7">
        <f>SUM(L122:Q122)</f>
        <v/>
      </c>
      <c r="S122" s="136">
        <f>IF(E122=0,"***",L122/E122)</f>
        <v/>
      </c>
      <c r="T122" s="136">
        <f>IF(F122=0,"***",M122/F122)</f>
        <v/>
      </c>
      <c r="U122" s="136">
        <f>IF(G122=0,"***",N122/G122)</f>
        <v/>
      </c>
      <c r="V122" s="136">
        <f>IF(H122=0,"***",O122/H122)</f>
        <v/>
      </c>
      <c r="W122" s="136">
        <f>IF(I122=0,"***",P122/I122)</f>
        <v/>
      </c>
      <c r="X122" s="136">
        <f>IF(J122=0,"***",Q122/J122)</f>
        <v/>
      </c>
      <c r="Y122" s="147">
        <f>Y105-Y56</f>
        <v/>
      </c>
    </row>
    <row r="123">
      <c r="C123" s="60" t="inlineStr">
        <is>
          <t>0017 集計</t>
        </is>
      </c>
      <c r="D123" s="22" t="inlineStr">
        <is>
          <t>鮮魚</t>
        </is>
      </c>
      <c r="E123" s="20">
        <f>E106-E57</f>
        <v/>
      </c>
      <c r="F123" s="20">
        <f>F106-F57</f>
        <v/>
      </c>
      <c r="G123" s="109">
        <f>G106-G57</f>
        <v/>
      </c>
      <c r="H123" s="20">
        <f>H106-H57</f>
        <v/>
      </c>
      <c r="I123" s="20">
        <f>I106-I57</f>
        <v/>
      </c>
      <c r="J123" s="20">
        <f>J106-J57</f>
        <v/>
      </c>
      <c r="K123" s="7">
        <f>SUM(E123:J123)</f>
        <v/>
      </c>
      <c r="L123" s="20">
        <f>L106-L57</f>
        <v/>
      </c>
      <c r="M123" s="20">
        <f>M106-M57</f>
        <v/>
      </c>
      <c r="N123" s="109">
        <f>N106-N57</f>
        <v/>
      </c>
      <c r="O123" s="20">
        <f>O106-O57</f>
        <v/>
      </c>
      <c r="P123" s="20">
        <f>P106-P57</f>
        <v/>
      </c>
      <c r="Q123" s="20">
        <f>Q106-Q57</f>
        <v/>
      </c>
      <c r="R123" s="7">
        <f>SUM(L123:Q123)</f>
        <v/>
      </c>
      <c r="S123" s="136">
        <f>IF(E123=0,"***",L123/E123)</f>
        <v/>
      </c>
      <c r="T123" s="136">
        <f>IF(F123=0,"***",M123/F123)</f>
        <v/>
      </c>
      <c r="U123" s="136">
        <f>IF(G123=0,"***",N123/G123)</f>
        <v/>
      </c>
      <c r="V123" s="136">
        <f>IF(H123=0,"***",O123/H123)</f>
        <v/>
      </c>
      <c r="W123" s="136">
        <f>IF(I123=0,"***",P123/I123)</f>
        <v/>
      </c>
      <c r="X123" s="136">
        <f>IF(J123=0,"***",Q123/J123)</f>
        <v/>
      </c>
      <c r="Y123" s="147">
        <f>Y106-Y57</f>
        <v/>
      </c>
    </row>
    <row r="124">
      <c r="C124" s="60" t="inlineStr">
        <is>
          <t>0101 集計</t>
        </is>
      </c>
      <c r="D124" s="22" t="inlineStr">
        <is>
          <t>GS</t>
        </is>
      </c>
      <c r="E124" s="20">
        <f>E107-E58</f>
        <v/>
      </c>
      <c r="F124" s="20">
        <f>F107-F58</f>
        <v/>
      </c>
      <c r="G124" s="109">
        <f>G107-G58</f>
        <v/>
      </c>
      <c r="H124" s="20">
        <f>H107-H58</f>
        <v/>
      </c>
      <c r="I124" s="20">
        <f>I107-I58</f>
        <v/>
      </c>
      <c r="J124" s="20">
        <f>J107-J58</f>
        <v/>
      </c>
      <c r="K124" s="7">
        <f>SUM(E124:J124)</f>
        <v/>
      </c>
      <c r="L124" s="20">
        <f>L107-L58</f>
        <v/>
      </c>
      <c r="M124" s="20">
        <f>M107-M58</f>
        <v/>
      </c>
      <c r="N124" s="109">
        <f>N107-N58</f>
        <v/>
      </c>
      <c r="O124" s="20">
        <f>O107-O58</f>
        <v/>
      </c>
      <c r="P124" s="20">
        <f>P107-P58</f>
        <v/>
      </c>
      <c r="Q124" s="20">
        <f>Q107-Q58</f>
        <v/>
      </c>
      <c r="R124" s="7">
        <f>SUM(L124:Q124)</f>
        <v/>
      </c>
      <c r="S124" s="136">
        <f>IF(E124=0,"***",L124/E124)</f>
        <v/>
      </c>
      <c r="T124" s="136">
        <f>IF(F124=0,"***",M124/F124)</f>
        <v/>
      </c>
      <c r="U124" s="136">
        <f>IF(G124=0,"***",N124/G124)</f>
        <v/>
      </c>
      <c r="V124" s="136">
        <f>IF(H124=0,"***",O124/H124)</f>
        <v/>
      </c>
      <c r="W124" s="136">
        <f>IF(I124=0,"***",P124/I124)</f>
        <v/>
      </c>
      <c r="X124" s="136">
        <f>IF(J124=0,"***",Q124/J124)</f>
        <v/>
      </c>
      <c r="Y124" s="147">
        <f>Y107-Y58</f>
        <v/>
      </c>
    </row>
    <row r="125">
      <c r="C125" s="60" t="inlineStr">
        <is>
          <t>0106 集計</t>
        </is>
      </c>
      <c r="D125" s="22" t="inlineStr">
        <is>
          <t>浜田荷役</t>
        </is>
      </c>
      <c r="E125" s="20">
        <f>E108-E59</f>
        <v/>
      </c>
      <c r="F125" s="20">
        <f>F108-F59</f>
        <v/>
      </c>
      <c r="G125" s="109">
        <f>G108-G59</f>
        <v/>
      </c>
      <c r="H125" s="20">
        <f>H108-H59</f>
        <v/>
      </c>
      <c r="I125" s="20">
        <f>I108-I59</f>
        <v/>
      </c>
      <c r="J125" s="20">
        <f>J108-J59</f>
        <v/>
      </c>
      <c r="K125" s="7">
        <f>SUM(E125:J125)</f>
        <v/>
      </c>
      <c r="L125" s="20">
        <f>L108-L59</f>
        <v/>
      </c>
      <c r="M125" s="20">
        <f>M108-M59</f>
        <v/>
      </c>
      <c r="N125" s="109">
        <f>N108-N59</f>
        <v/>
      </c>
      <c r="O125" s="20">
        <f>O108-O59</f>
        <v/>
      </c>
      <c r="P125" s="20">
        <f>P108-P59</f>
        <v/>
      </c>
      <c r="Q125" s="20">
        <f>Q108-Q59</f>
        <v/>
      </c>
      <c r="R125" s="7">
        <f>SUM(L125:Q125)</f>
        <v/>
      </c>
      <c r="S125" s="136">
        <f>IF(E125=0,"***",L125/E125)</f>
        <v/>
      </c>
      <c r="T125" s="136">
        <f>IF(F125=0,"***",M125/F125)</f>
        <v/>
      </c>
      <c r="U125" s="136">
        <f>IF(G125=0,"***",N125/G125)</f>
        <v/>
      </c>
      <c r="V125" s="136">
        <f>IF(H125=0,"***",O125/H125)</f>
        <v/>
      </c>
      <c r="W125" s="136">
        <f>IF(I125=0,"***",P125/I125)</f>
        <v/>
      </c>
      <c r="X125" s="136">
        <f>IF(J125=0,"***",Q125/J125)</f>
        <v/>
      </c>
      <c r="Y125" s="147">
        <f>Y108-Y59</f>
        <v/>
      </c>
    </row>
    <row r="126">
      <c r="C126" s="60" t="inlineStr">
        <is>
          <t>浜田水産部合計</t>
        </is>
      </c>
      <c r="D126" s="22" t="n"/>
      <c r="E126" s="4">
        <f>SUM(E122:E125)</f>
        <v/>
      </c>
      <c r="F126" s="4">
        <f>SUM(F122:F125)</f>
        <v/>
      </c>
      <c r="G126" s="110">
        <f>SUM(G122:G125)</f>
        <v/>
      </c>
      <c r="H126" s="4">
        <f>SUM(H122:H125)</f>
        <v/>
      </c>
      <c r="I126" s="4">
        <f>SUM(I122:I125)</f>
        <v/>
      </c>
      <c r="J126" s="4">
        <f>SUM(J122:J125)</f>
        <v/>
      </c>
      <c r="K126" s="7">
        <f>SUM(E126:J126)</f>
        <v/>
      </c>
      <c r="L126" s="4">
        <f>SUM(L122:L125)</f>
        <v/>
      </c>
      <c r="M126" s="4">
        <f>SUM(M122:M125)</f>
        <v/>
      </c>
      <c r="N126" s="110">
        <f>SUM(N122:N125)</f>
        <v/>
      </c>
      <c r="O126" s="4">
        <f>SUM(O122:O125)</f>
        <v/>
      </c>
      <c r="P126" s="4">
        <f>SUM(P122:P125)</f>
        <v/>
      </c>
      <c r="Q126" s="4">
        <f>SUM(Q122:Q125)</f>
        <v/>
      </c>
      <c r="R126" s="7">
        <f>SUM(L126:Q126)</f>
        <v/>
      </c>
      <c r="S126" s="136">
        <f>IF(E126=0,"***",L126/E126)</f>
        <v/>
      </c>
      <c r="T126" s="136">
        <f>IF(F126=0,"***",M126/F126)</f>
        <v/>
      </c>
      <c r="U126" s="136">
        <f>IF(G126=0,"***",N126/G126)</f>
        <v/>
      </c>
      <c r="V126" s="136">
        <f>IF(H126=0,"***",O126/H126)</f>
        <v/>
      </c>
      <c r="W126" s="136">
        <f>IF(I126=0,"***",P126/I126)</f>
        <v/>
      </c>
      <c r="X126" s="136">
        <f>IF(J126=0,"***",Q126/J126)</f>
        <v/>
      </c>
      <c r="Y126" s="147">
        <f>Y109-Y60</f>
        <v/>
      </c>
    </row>
    <row r="127">
      <c r="C127" s="60" t="inlineStr">
        <is>
          <t>0102 集計</t>
        </is>
      </c>
      <c r="D127" s="22" t="inlineStr">
        <is>
          <t>JF大田</t>
        </is>
      </c>
      <c r="E127" s="20">
        <f>E110-E61</f>
        <v/>
      </c>
      <c r="F127" s="20">
        <f>F110-F61</f>
        <v/>
      </c>
      <c r="G127" s="109">
        <f>G110-G61</f>
        <v/>
      </c>
      <c r="H127" s="20">
        <f>H110-H61</f>
        <v/>
      </c>
      <c r="I127" s="20">
        <f>I110-I61</f>
        <v/>
      </c>
      <c r="J127" s="20">
        <f>J110-J61</f>
        <v/>
      </c>
      <c r="K127" s="7">
        <f>SUM(E127:J127)</f>
        <v/>
      </c>
      <c r="L127" s="20">
        <f>L110-L61</f>
        <v/>
      </c>
      <c r="M127" s="4">
        <f>M110-M61</f>
        <v/>
      </c>
      <c r="N127" s="110">
        <f>N110-N61</f>
        <v/>
      </c>
      <c r="O127" s="4">
        <f>O110-O61</f>
        <v/>
      </c>
      <c r="P127" s="4">
        <f>P110-P61</f>
        <v/>
      </c>
      <c r="Q127" s="4">
        <f>Q110-Q61</f>
        <v/>
      </c>
      <c r="R127" s="7">
        <f>SUM(L127:Q127)</f>
        <v/>
      </c>
      <c r="S127" s="136">
        <f>IF(E127=0,"***",L127/E127)</f>
        <v/>
      </c>
      <c r="T127" s="136">
        <f>IF(F127=0,"***",M127/F127)</f>
        <v/>
      </c>
      <c r="U127" s="136">
        <f>IF(G127=0,"***",N127/G127)</f>
        <v/>
      </c>
      <c r="V127" s="136">
        <f>IF(H127=0,"***",O127/H127)</f>
        <v/>
      </c>
      <c r="W127" s="136">
        <f>IF(I127=0,"***",P127/I127)</f>
        <v/>
      </c>
      <c r="X127" s="136">
        <f>IF(J127=0,"***",Q127/J127)</f>
        <v/>
      </c>
      <c r="Y127" s="147">
        <f>Y110-Y61</f>
        <v/>
      </c>
    </row>
    <row r="128">
      <c r="C128" s="60" t="inlineStr">
        <is>
          <t>0104 集計</t>
        </is>
      </c>
      <c r="D128" s="22" t="inlineStr">
        <is>
          <t>大田荷役</t>
        </is>
      </c>
      <c r="E128" s="20">
        <f>E111-E62</f>
        <v/>
      </c>
      <c r="F128" s="20">
        <f>F111-F62</f>
        <v/>
      </c>
      <c r="G128" s="109">
        <f>G111-G62</f>
        <v/>
      </c>
      <c r="H128" s="20">
        <f>H111-H62</f>
        <v/>
      </c>
      <c r="I128" s="20">
        <f>I111-I62</f>
        <v/>
      </c>
      <c r="J128" s="20">
        <f>J111-J62</f>
        <v/>
      </c>
      <c r="K128" s="7">
        <f>SUM(E128:J128)</f>
        <v/>
      </c>
      <c r="L128" s="20">
        <f>L111-L62</f>
        <v/>
      </c>
      <c r="M128" s="20">
        <f>M111-M62</f>
        <v/>
      </c>
      <c r="N128" s="109">
        <f>N111-N62</f>
        <v/>
      </c>
      <c r="O128" s="20">
        <f>O111-O62</f>
        <v/>
      </c>
      <c r="P128" s="20">
        <f>P111-P62</f>
        <v/>
      </c>
      <c r="Q128" s="20">
        <f>Q111-Q62</f>
        <v/>
      </c>
      <c r="R128" s="7">
        <f>SUM(L128:Q128)</f>
        <v/>
      </c>
      <c r="S128" s="136">
        <f>IF(E128=0,"***",L128/E128)</f>
        <v/>
      </c>
      <c r="T128" s="136">
        <f>IF(F128=0,"***",M128/F128)</f>
        <v/>
      </c>
      <c r="U128" s="136">
        <f>IF(G128=0,"***",N128/G128)</f>
        <v/>
      </c>
      <c r="V128" s="136">
        <f>IF(H128=0,"***",O128/H128)</f>
        <v/>
      </c>
      <c r="W128" s="136">
        <f>IF(I128=0,"***",P128/I128)</f>
        <v/>
      </c>
      <c r="X128" s="136">
        <f>IF(J128=0,"***",Q128/J128)</f>
        <v/>
      </c>
      <c r="Y128" s="147">
        <f>Y111-Y62</f>
        <v/>
      </c>
    </row>
    <row r="129">
      <c r="C129" s="60" t="inlineStr">
        <is>
          <t>大田水産部</t>
        </is>
      </c>
      <c r="D129" s="22" t="n"/>
      <c r="E129" s="20">
        <f>SUM(E127:E128)</f>
        <v/>
      </c>
      <c r="F129" s="20">
        <f>SUM(F127:F128)</f>
        <v/>
      </c>
      <c r="G129" s="109">
        <f>SUM(G127:G128)</f>
        <v/>
      </c>
      <c r="H129" s="20">
        <f>SUM(H127:H128)</f>
        <v/>
      </c>
      <c r="I129" s="20">
        <f>SUM(I127:I128)</f>
        <v/>
      </c>
      <c r="J129" s="20">
        <f>SUM(J127:J128)</f>
        <v/>
      </c>
      <c r="K129" s="7">
        <f>SUM(K127:K128)</f>
        <v/>
      </c>
      <c r="L129" s="20">
        <f>SUM(L127:L128)</f>
        <v/>
      </c>
      <c r="M129" s="20">
        <f>SUM(M127:M128)</f>
        <v/>
      </c>
      <c r="N129" s="109">
        <f>SUM(N127:N128)</f>
        <v/>
      </c>
      <c r="O129" s="20">
        <f>SUM(O127:O128)</f>
        <v/>
      </c>
      <c r="P129" s="20">
        <f>SUM(P127:P128)</f>
        <v/>
      </c>
      <c r="Q129" s="20">
        <f>SUM(Q127:Q128)</f>
        <v/>
      </c>
      <c r="R129" s="7">
        <f>SUM(R127:R128)</f>
        <v/>
      </c>
      <c r="S129" s="136">
        <f>IF(E129=0,"***",L129/E129)</f>
        <v/>
      </c>
      <c r="T129" s="136">
        <f>IF(F129=0,"***",M129/F129)</f>
        <v/>
      </c>
      <c r="U129" s="136">
        <f>IF(G129=0,"***",N129/G129)</f>
        <v/>
      </c>
      <c r="V129" s="136">
        <f>IF(H129=0,"***",O129/H129)</f>
        <v/>
      </c>
      <c r="W129" s="136">
        <f>IF(I129=0,"***",P129/I129)</f>
        <v/>
      </c>
      <c r="X129" s="136">
        <f>IF(J129=0,"***",Q129/J129)</f>
        <v/>
      </c>
      <c r="Y129" s="147">
        <f>Y112-Y63</f>
        <v/>
      </c>
    </row>
    <row r="130">
      <c r="C130" s="60" t="inlineStr">
        <is>
          <t>0031 集計</t>
        </is>
      </c>
      <c r="D130" s="22" t="inlineStr">
        <is>
          <t>JF境</t>
        </is>
      </c>
      <c r="E130" s="20">
        <f>E113-E64</f>
        <v/>
      </c>
      <c r="F130" s="20">
        <f>F113-F64</f>
        <v/>
      </c>
      <c r="G130" s="109">
        <f>G113-G64</f>
        <v/>
      </c>
      <c r="H130" s="20">
        <f>H113-H64</f>
        <v/>
      </c>
      <c r="I130" s="20">
        <f>I113-I64</f>
        <v/>
      </c>
      <c r="J130" s="20">
        <f>J113-J64</f>
        <v/>
      </c>
      <c r="K130" s="7">
        <f>SUM(E130:J130)</f>
        <v/>
      </c>
      <c r="L130" s="20">
        <f>L113-L64</f>
        <v/>
      </c>
      <c r="M130" s="4">
        <f>M113-M64</f>
        <v/>
      </c>
      <c r="N130" s="110">
        <f>N113-N64</f>
        <v/>
      </c>
      <c r="O130" s="4">
        <f>O113-O64</f>
        <v/>
      </c>
      <c r="P130" s="4">
        <f>P113-P64</f>
        <v/>
      </c>
      <c r="Q130" s="4">
        <f>Q113-Q64</f>
        <v/>
      </c>
      <c r="R130" s="7">
        <f>SUM(L130:Q130)</f>
        <v/>
      </c>
      <c r="S130" s="136">
        <f>IF(E130=0,"***",L130/E130)</f>
        <v/>
      </c>
      <c r="T130" s="136">
        <f>IF(F130=0,"***",M130/F130)</f>
        <v/>
      </c>
      <c r="U130" s="136">
        <f>IF(G130=0,"***",N130/G130)</f>
        <v/>
      </c>
      <c r="V130" s="136">
        <f>IF(H130=0,"***",O130/H130)</f>
        <v/>
      </c>
      <c r="W130" s="136">
        <f>IF(I130=0,"***",P130/I130)</f>
        <v/>
      </c>
      <c r="X130" s="136">
        <f>IF(J130=0,"***",Q130/J130)</f>
        <v/>
      </c>
      <c r="Y130" s="147">
        <f>Y113-Y64</f>
        <v/>
      </c>
    </row>
    <row r="131">
      <c r="C131" s="60" t="inlineStr">
        <is>
          <t>0038 集計</t>
        </is>
      </c>
      <c r="D131" s="83" t="inlineStr">
        <is>
          <t>境その他</t>
        </is>
      </c>
      <c r="E131" s="20">
        <f>E114-E65</f>
        <v/>
      </c>
      <c r="F131" s="20">
        <f>F114-F65</f>
        <v/>
      </c>
      <c r="G131" s="109">
        <f>G114-G65</f>
        <v/>
      </c>
      <c r="H131" s="20">
        <f>H114-H65</f>
        <v/>
      </c>
      <c r="I131" s="20">
        <f>I114-I65</f>
        <v/>
      </c>
      <c r="J131" s="20">
        <f>J114-J65</f>
        <v/>
      </c>
      <c r="K131" s="7">
        <f>SUM(E131:J131)</f>
        <v/>
      </c>
      <c r="L131" s="20">
        <f>L114-L65</f>
        <v/>
      </c>
      <c r="M131" s="4">
        <f>M114-M65</f>
        <v/>
      </c>
      <c r="N131" s="110">
        <f>N114-N65</f>
        <v/>
      </c>
      <c r="O131" s="4">
        <f>O114-O65</f>
        <v/>
      </c>
      <c r="P131" s="4">
        <f>P114-P65</f>
        <v/>
      </c>
      <c r="Q131" s="4">
        <f>Q114-Q65</f>
        <v/>
      </c>
      <c r="R131" s="7">
        <f>SUM(L131:Q131)</f>
        <v/>
      </c>
      <c r="S131" s="136">
        <f>IF(E131=0,"***",L131/E131)</f>
        <v/>
      </c>
      <c r="T131" s="136">
        <f>IF(F131=0,"***",M131/F131)</f>
        <v/>
      </c>
      <c r="U131" s="136">
        <f>IF(G131=0,"***",N131/G131)</f>
        <v/>
      </c>
      <c r="V131" s="136">
        <f>IF(H131=0,"***",O131/H131)</f>
        <v/>
      </c>
      <c r="W131" s="136">
        <f>IF(I131=0,"***",P131/I131)</f>
        <v/>
      </c>
      <c r="X131" s="136">
        <f>IF(J131=0,"***",Q131/J131)</f>
        <v/>
      </c>
      <c r="Y131" s="147">
        <f>Y114-Y65</f>
        <v/>
      </c>
    </row>
    <row r="132">
      <c r="C132" s="82" t="inlineStr">
        <is>
          <t>境港水産部合計</t>
        </is>
      </c>
      <c r="D132" s="83" t="n"/>
      <c r="E132" s="20">
        <f>SUM(E130:E131)</f>
        <v/>
      </c>
      <c r="F132" s="20">
        <f>SUM(F130:F131)</f>
        <v/>
      </c>
      <c r="G132" s="109">
        <f>SUM(G130:G131)</f>
        <v/>
      </c>
      <c r="H132" s="20">
        <f>SUM(H130:H131)</f>
        <v/>
      </c>
      <c r="I132" s="20">
        <f>SUM(I130:I131)</f>
        <v/>
      </c>
      <c r="J132" s="20">
        <f>SUM(J130:J131)</f>
        <v/>
      </c>
      <c r="K132" s="7">
        <f>SUM(K130:K131)</f>
        <v/>
      </c>
      <c r="L132" s="20">
        <f>SUM(L130:L131)</f>
        <v/>
      </c>
      <c r="M132" s="20">
        <f>SUM(M130:M131)</f>
        <v/>
      </c>
      <c r="N132" s="109">
        <f>SUM(N130:N131)</f>
        <v/>
      </c>
      <c r="O132" s="20">
        <f>SUM(O130:O131)</f>
        <v/>
      </c>
      <c r="P132" s="20">
        <f>SUM(P130:P131)</f>
        <v/>
      </c>
      <c r="Q132" s="20">
        <f>SUM(Q130:Q131)</f>
        <v/>
      </c>
      <c r="R132" s="7">
        <f>SUM(R130:R131)</f>
        <v/>
      </c>
      <c r="S132" s="149">
        <f>IF(E132=0,"***",L132/E132)</f>
        <v/>
      </c>
      <c r="T132" s="149">
        <f>IF(F132=0,"***",M132/F132)</f>
        <v/>
      </c>
      <c r="U132" s="149">
        <f>IF(G132=0,"***",N132/G132)</f>
        <v/>
      </c>
      <c r="V132" s="149">
        <f>IF(H132=0,"***",O132/H132)</f>
        <v/>
      </c>
      <c r="W132" s="149">
        <f>IF(I132=0,"***",P132/I132)</f>
        <v/>
      </c>
      <c r="X132" s="149">
        <f>IF(J132=0,"***",Q132/J132)</f>
        <v/>
      </c>
      <c r="Y132" s="150">
        <f>Y115-Y66</f>
        <v/>
      </c>
    </row>
    <row r="133">
      <c r="C133" s="53" t="inlineStr">
        <is>
          <t>合計</t>
        </is>
      </c>
      <c r="D133" s="54" t="n"/>
      <c r="E133" s="8">
        <f>E126+E129+E132</f>
        <v/>
      </c>
      <c r="F133" s="8">
        <f>F126+F129+F132</f>
        <v/>
      </c>
      <c r="G133" s="8">
        <f>G126+G129+G132</f>
        <v/>
      </c>
      <c r="H133" s="8">
        <f>H126+H129+H132</f>
        <v/>
      </c>
      <c r="I133" s="8">
        <f>I126+I129+I132</f>
        <v/>
      </c>
      <c r="J133" s="8">
        <f>J126+J129+J132</f>
        <v/>
      </c>
      <c r="K133" s="9">
        <f>K126+K129+K132</f>
        <v/>
      </c>
      <c r="L133" s="8">
        <f>L126+L129+L132</f>
        <v/>
      </c>
      <c r="M133" s="8">
        <f>M126+M129+M132</f>
        <v/>
      </c>
      <c r="N133" s="8">
        <f>N126+N129+N132</f>
        <v/>
      </c>
      <c r="O133" s="8">
        <f>O126+O129+O132</f>
        <v/>
      </c>
      <c r="P133" s="8">
        <f>P126+P129+P132</f>
        <v/>
      </c>
      <c r="Q133" s="8">
        <f>Q126+Q129+Q132</f>
        <v/>
      </c>
      <c r="R133" s="9">
        <f>R126+R129+R132</f>
        <v/>
      </c>
      <c r="S133" s="139">
        <f>IF(E133=0,"***",L133/E133)</f>
        <v/>
      </c>
      <c r="T133" s="139">
        <f>IF(F133=0,"***",M133/F133)</f>
        <v/>
      </c>
      <c r="U133" s="139">
        <f>IF(G133=0,"***",N133/G133)</f>
        <v/>
      </c>
      <c r="V133" s="139">
        <f>IF(H133=0,"***",O133/H133)</f>
        <v/>
      </c>
      <c r="W133" s="139">
        <f>IF(I133=0,"***",P133/I133)</f>
        <v/>
      </c>
      <c r="X133" s="139">
        <f>IF(J133=0,"***",Q133/J133)</f>
        <v/>
      </c>
      <c r="Y133" s="151">
        <f>Y116-Y67</f>
        <v/>
      </c>
    </row>
    <row r="134">
      <c r="C134" s="18" t="n"/>
      <c r="E134" s="17" t="n"/>
      <c r="F134" s="17" t="n"/>
      <c r="G134" s="17" t="n"/>
      <c r="H134" s="17" t="n"/>
      <c r="I134" s="17" t="n"/>
      <c r="J134" s="17" t="n"/>
      <c r="K134" s="18" t="n"/>
      <c r="L134" s="17" t="n"/>
      <c r="M134" s="17" t="n"/>
      <c r="N134" s="17" t="n"/>
      <c r="O134" s="17" t="n"/>
      <c r="P134" s="17" t="n"/>
      <c r="Q134" s="17" t="n"/>
      <c r="R134" s="18" t="n"/>
      <c r="S134" s="144" t="n"/>
      <c r="T134" s="144" t="n"/>
      <c r="U134" s="144" t="n"/>
      <c r="V134" s="144" t="n"/>
      <c r="W134" s="144" t="n"/>
      <c r="X134" s="144" t="n"/>
      <c r="Y134" s="144" t="n"/>
    </row>
    <row r="135">
      <c r="C135" s="18" t="inlineStr">
        <is>
          <t>9．前期比</t>
        </is>
      </c>
    </row>
    <row r="136">
      <c r="C136" s="117" t="n"/>
      <c r="D136" s="118" t="n"/>
      <c r="E136" s="117" t="inlineStr">
        <is>
          <t>売上</t>
        </is>
      </c>
      <c r="F136" s="120" t="n"/>
      <c r="G136" s="120" t="n"/>
      <c r="H136" s="120" t="n"/>
      <c r="I136" s="120" t="n"/>
      <c r="J136" s="120" t="n"/>
      <c r="K136" s="118" t="n"/>
      <c r="L136" s="119" t="inlineStr">
        <is>
          <t>粗利益</t>
        </is>
      </c>
      <c r="M136" s="120" t="n"/>
      <c r="N136" s="120" t="n"/>
      <c r="O136" s="120" t="n"/>
      <c r="P136" s="120" t="n"/>
      <c r="Q136" s="120" t="n"/>
      <c r="R136" s="118" t="n"/>
      <c r="S136" s="119" t="inlineStr">
        <is>
          <t>粗利益率</t>
        </is>
      </c>
      <c r="T136" s="120" t="n"/>
      <c r="U136" s="120" t="n"/>
      <c r="V136" s="120" t="n"/>
      <c r="W136" s="120" t="n"/>
      <c r="X136" s="120" t="n"/>
      <c r="Y136" s="118" t="n"/>
    </row>
    <row r="137">
      <c r="C137" s="1" t="n"/>
      <c r="D137" s="21" t="n"/>
      <c r="E137" s="61" t="n">
        <v>46113</v>
      </c>
      <c r="F137" s="2" t="n">
        <v>46143</v>
      </c>
      <c r="G137" s="2" t="n">
        <v>46174</v>
      </c>
      <c r="H137" s="2" t="n">
        <v>46204</v>
      </c>
      <c r="I137" s="2" t="n">
        <v>46235</v>
      </c>
      <c r="J137" s="2" t="n">
        <v>46266</v>
      </c>
      <c r="K137" s="10" t="inlineStr">
        <is>
          <t>合計</t>
        </is>
      </c>
      <c r="L137" s="95" t="n">
        <v>46113</v>
      </c>
      <c r="M137" s="2" t="n">
        <v>46143</v>
      </c>
      <c r="N137" s="2" t="n">
        <v>46174</v>
      </c>
      <c r="O137" s="2" t="n">
        <v>46204</v>
      </c>
      <c r="P137" s="2" t="n">
        <v>46235</v>
      </c>
      <c r="Q137" s="2" t="n">
        <v>46266</v>
      </c>
      <c r="R137" s="10" t="inlineStr">
        <is>
          <t>合計</t>
        </is>
      </c>
      <c r="S137" s="95" t="n">
        <v>46113</v>
      </c>
      <c r="T137" s="2" t="n">
        <v>46143</v>
      </c>
      <c r="U137" s="2" t="n">
        <v>46174</v>
      </c>
      <c r="V137" s="2" t="n">
        <v>46204</v>
      </c>
      <c r="W137" s="2" t="n">
        <v>46235</v>
      </c>
      <c r="X137" s="2" t="n">
        <v>46266</v>
      </c>
      <c r="Y137" s="10" t="inlineStr">
        <is>
          <t>合計</t>
        </is>
      </c>
    </row>
    <row r="138">
      <c r="C138" s="60" t="inlineStr">
        <is>
          <t>0010 集計</t>
        </is>
      </c>
      <c r="D138" s="22" t="inlineStr">
        <is>
          <t>JF</t>
        </is>
      </c>
      <c r="E138" s="20">
        <f>E105-E22</f>
        <v/>
      </c>
      <c r="F138" s="20">
        <f>F105-F22</f>
        <v/>
      </c>
      <c r="G138" s="109">
        <f>G105-G22</f>
        <v/>
      </c>
      <c r="H138" s="20">
        <f>H105-H22</f>
        <v/>
      </c>
      <c r="I138" s="20">
        <f>I105-I22</f>
        <v/>
      </c>
      <c r="J138" s="20">
        <f>J105-J22</f>
        <v/>
      </c>
      <c r="K138" s="7">
        <f>SUM(E138:J138)</f>
        <v/>
      </c>
      <c r="L138" s="20">
        <f>L105-L22</f>
        <v/>
      </c>
      <c r="M138" s="4">
        <f>M105-M22</f>
        <v/>
      </c>
      <c r="N138" s="110">
        <f>N105-N22</f>
        <v/>
      </c>
      <c r="O138" s="4">
        <f>O105-O22</f>
        <v/>
      </c>
      <c r="P138" s="4">
        <f>P105-P22</f>
        <v/>
      </c>
      <c r="Q138" s="4">
        <f>Q105-Q22</f>
        <v/>
      </c>
      <c r="R138" s="7">
        <f>SUM(L138:Q138)</f>
        <v/>
      </c>
      <c r="S138" s="136">
        <f>IF(E138=0,"***",L138/E138)</f>
        <v/>
      </c>
      <c r="T138" s="136">
        <f>IF(F138=0,"***",M138/F138)</f>
        <v/>
      </c>
      <c r="U138" s="136">
        <f>IF(G138=0,"***",N138/G138)</f>
        <v/>
      </c>
      <c r="V138" s="136">
        <f>IF(H138=0,"***",O138/H138)</f>
        <v/>
      </c>
      <c r="W138" s="136">
        <f>IF(I138=0,"***",P138/I138)</f>
        <v/>
      </c>
      <c r="X138" s="136">
        <f>IF(J138=0,"***",Q138/J138)</f>
        <v/>
      </c>
      <c r="Y138" s="147">
        <f>Y105-Y22</f>
        <v/>
      </c>
    </row>
    <row r="139">
      <c r="C139" s="60" t="inlineStr">
        <is>
          <t>0017 集計</t>
        </is>
      </c>
      <c r="D139" s="22" t="inlineStr">
        <is>
          <t>鮮魚</t>
        </is>
      </c>
      <c r="E139" s="20">
        <f>E106-E23</f>
        <v/>
      </c>
      <c r="F139" s="20">
        <f>F106-F23</f>
        <v/>
      </c>
      <c r="G139" s="109">
        <f>G106-G23</f>
        <v/>
      </c>
      <c r="H139" s="20">
        <f>H106-H23</f>
        <v/>
      </c>
      <c r="I139" s="20">
        <f>I106-I23</f>
        <v/>
      </c>
      <c r="J139" s="20">
        <f>J106-J23</f>
        <v/>
      </c>
      <c r="K139" s="7">
        <f>SUM(E139:J139)</f>
        <v/>
      </c>
      <c r="L139" s="20">
        <f>L106-L23</f>
        <v/>
      </c>
      <c r="M139" s="20">
        <f>M106-M23</f>
        <v/>
      </c>
      <c r="N139" s="109">
        <f>N106-N23</f>
        <v/>
      </c>
      <c r="O139" s="20">
        <f>O106-O23</f>
        <v/>
      </c>
      <c r="P139" s="20">
        <f>P106-P23</f>
        <v/>
      </c>
      <c r="Q139" s="20">
        <f>Q106-Q23</f>
        <v/>
      </c>
      <c r="R139" s="7">
        <f>SUM(L139:Q139)</f>
        <v/>
      </c>
      <c r="S139" s="136">
        <f>IF(E139=0,"***",L139/E139)</f>
        <v/>
      </c>
      <c r="T139" s="136">
        <f>IF(F139=0,"***",M139/F139)</f>
        <v/>
      </c>
      <c r="U139" s="136">
        <f>IF(G139=0,"***",N139/G139)</f>
        <v/>
      </c>
      <c r="V139" s="136">
        <f>IF(H139=0,"***",O139/H139)</f>
        <v/>
      </c>
      <c r="W139" s="136">
        <f>IF(I139=0,"***",P139/I139)</f>
        <v/>
      </c>
      <c r="X139" s="136">
        <f>IF(J139=0,"***",Q139/J139)</f>
        <v/>
      </c>
      <c r="Y139" s="147">
        <f>Y106-Y23</f>
        <v/>
      </c>
    </row>
    <row r="140">
      <c r="C140" s="60" t="inlineStr">
        <is>
          <t>0101 集計</t>
        </is>
      </c>
      <c r="D140" s="22" t="inlineStr">
        <is>
          <t>GS</t>
        </is>
      </c>
      <c r="E140" s="20">
        <f>E107-E24</f>
        <v/>
      </c>
      <c r="F140" s="20">
        <f>F107-F24</f>
        <v/>
      </c>
      <c r="G140" s="109">
        <f>G107-G24</f>
        <v/>
      </c>
      <c r="H140" s="20">
        <f>H107-H24</f>
        <v/>
      </c>
      <c r="I140" s="20">
        <f>I107-I24</f>
        <v/>
      </c>
      <c r="J140" s="20">
        <f>J107-J24</f>
        <v/>
      </c>
      <c r="K140" s="7">
        <f>SUM(E140:J140)</f>
        <v/>
      </c>
      <c r="L140" s="20">
        <f>L107-L24</f>
        <v/>
      </c>
      <c r="M140" s="20">
        <f>M107-M24</f>
        <v/>
      </c>
      <c r="N140" s="109">
        <f>N107-N24</f>
        <v/>
      </c>
      <c r="O140" s="20">
        <f>O107-O24</f>
        <v/>
      </c>
      <c r="P140" s="20">
        <f>P107-P24</f>
        <v/>
      </c>
      <c r="Q140" s="20">
        <f>Q107-Q24</f>
        <v/>
      </c>
      <c r="R140" s="7">
        <f>SUM(L140:Q140)</f>
        <v/>
      </c>
      <c r="S140" s="136">
        <f>IF(E140=0,"***",L140/E140)</f>
        <v/>
      </c>
      <c r="T140" s="136">
        <f>IF(F140=0,"***",M140/F140)</f>
        <v/>
      </c>
      <c r="U140" s="136">
        <f>IF(G140=0,"***",N140/G140)</f>
        <v/>
      </c>
      <c r="V140" s="136">
        <f>IF(H140=0,"***",O140/H140)</f>
        <v/>
      </c>
      <c r="W140" s="136">
        <f>IF(I140=0,"***",P140/I140)</f>
        <v/>
      </c>
      <c r="X140" s="136">
        <f>IF(J140=0,"***",Q140/J140)</f>
        <v/>
      </c>
      <c r="Y140" s="147">
        <f>Y107-Y24</f>
        <v/>
      </c>
    </row>
    <row r="141">
      <c r="C141" s="60" t="inlineStr">
        <is>
          <t>0106 集計</t>
        </is>
      </c>
      <c r="D141" s="22" t="inlineStr">
        <is>
          <t>浜田荷役</t>
        </is>
      </c>
      <c r="E141" s="20">
        <f>E108-E25</f>
        <v/>
      </c>
      <c r="F141" s="20">
        <f>F108-F25</f>
        <v/>
      </c>
      <c r="G141" s="109">
        <f>G108-G25</f>
        <v/>
      </c>
      <c r="H141" s="20">
        <f>H108-H25</f>
        <v/>
      </c>
      <c r="I141" s="20">
        <f>I108-I25</f>
        <v/>
      </c>
      <c r="J141" s="20">
        <f>J108-J25</f>
        <v/>
      </c>
      <c r="K141" s="7">
        <f>SUM(E141:J141)</f>
        <v/>
      </c>
      <c r="L141" s="20">
        <f>L108-L25</f>
        <v/>
      </c>
      <c r="M141" s="20">
        <f>M108-M25</f>
        <v/>
      </c>
      <c r="N141" s="109">
        <f>N108-N25</f>
        <v/>
      </c>
      <c r="O141" s="20">
        <f>O108-O25</f>
        <v/>
      </c>
      <c r="P141" s="20">
        <f>P108-P25</f>
        <v/>
      </c>
      <c r="Q141" s="20">
        <f>Q108-Q25</f>
        <v/>
      </c>
      <c r="R141" s="7">
        <f>SUM(L141:Q141)</f>
        <v/>
      </c>
      <c r="S141" s="136">
        <f>IF(E141=0,"***",L141/E141)</f>
        <v/>
      </c>
      <c r="T141" s="136">
        <f>IF(F141=0,"***",M141/F141)</f>
        <v/>
      </c>
      <c r="U141" s="136">
        <f>IF(G141=0,"***",N141/G141)</f>
        <v/>
      </c>
      <c r="V141" s="136">
        <f>IF(H141=0,"***",O141/H141)</f>
        <v/>
      </c>
      <c r="W141" s="136">
        <f>IF(I141=0,"***",P141/I141)</f>
        <v/>
      </c>
      <c r="X141" s="136">
        <f>IF(J141=0,"***",Q141/J141)</f>
        <v/>
      </c>
      <c r="Y141" s="147">
        <f>Y108-Y25</f>
        <v/>
      </c>
    </row>
    <row r="142">
      <c r="C142" s="60" t="inlineStr">
        <is>
          <t>浜田水産部合計</t>
        </is>
      </c>
      <c r="D142" s="22" t="n"/>
      <c r="E142" s="4">
        <f>SUM(E138:E141)</f>
        <v/>
      </c>
      <c r="F142" s="4">
        <f>SUM(F138:F141)</f>
        <v/>
      </c>
      <c r="G142" s="110">
        <f>SUM(G138:G141)</f>
        <v/>
      </c>
      <c r="H142" s="4">
        <f>SUM(H138:H141)</f>
        <v/>
      </c>
      <c r="I142" s="4">
        <f>SUM(I138:I141)</f>
        <v/>
      </c>
      <c r="J142" s="4">
        <f>SUM(J138:J141)</f>
        <v/>
      </c>
      <c r="K142" s="7">
        <f>SUM(E142:J142)</f>
        <v/>
      </c>
      <c r="L142" s="4">
        <f>SUM(L138:L141)</f>
        <v/>
      </c>
      <c r="M142" s="4">
        <f>SUM(M138:M141)</f>
        <v/>
      </c>
      <c r="N142" s="110">
        <f>SUM(N138:N141)</f>
        <v/>
      </c>
      <c r="O142" s="4">
        <f>SUM(O138:O141)</f>
        <v/>
      </c>
      <c r="P142" s="4">
        <f>SUM(P138:P141)</f>
        <v/>
      </c>
      <c r="Q142" s="4">
        <f>SUM(Q138:Q141)</f>
        <v/>
      </c>
      <c r="R142" s="7">
        <f>SUM(L142:Q142)</f>
        <v/>
      </c>
      <c r="S142" s="136">
        <f>IF(E142=0,"***",L142/E142)</f>
        <v/>
      </c>
      <c r="T142" s="136">
        <f>IF(F142=0,"***",M142/F142)</f>
        <v/>
      </c>
      <c r="U142" s="136">
        <f>IF(G142=0,"***",N142/G142)</f>
        <v/>
      </c>
      <c r="V142" s="136">
        <f>IF(H142=0,"***",O142/H142)</f>
        <v/>
      </c>
      <c r="W142" s="136">
        <f>IF(I142=0,"***",P142/I142)</f>
        <v/>
      </c>
      <c r="X142" s="136">
        <f>IF(J142=0,"***",Q142/J142)</f>
        <v/>
      </c>
      <c r="Y142" s="147">
        <f>Y109-Y26</f>
        <v/>
      </c>
    </row>
    <row r="143">
      <c r="C143" s="60" t="inlineStr">
        <is>
          <t>0102 集計</t>
        </is>
      </c>
      <c r="D143" s="22" t="inlineStr">
        <is>
          <t>JF大田</t>
        </is>
      </c>
      <c r="E143" s="20">
        <f>E110-E27</f>
        <v/>
      </c>
      <c r="F143" s="20">
        <f>F110-F27</f>
        <v/>
      </c>
      <c r="G143" s="109">
        <f>G110-G27</f>
        <v/>
      </c>
      <c r="H143" s="20">
        <f>H110-H27</f>
        <v/>
      </c>
      <c r="I143" s="20">
        <f>I110-I27</f>
        <v/>
      </c>
      <c r="J143" s="20">
        <f>J110-J27</f>
        <v/>
      </c>
      <c r="K143" s="7">
        <f>SUM(E143:J143)</f>
        <v/>
      </c>
      <c r="L143" s="20">
        <f>L110-L27</f>
        <v/>
      </c>
      <c r="M143" s="4">
        <f>M110-M27</f>
        <v/>
      </c>
      <c r="N143" s="110">
        <f>N110-N27</f>
        <v/>
      </c>
      <c r="O143" s="4">
        <f>O110-O27</f>
        <v/>
      </c>
      <c r="P143" s="4">
        <f>P110-P27</f>
        <v/>
      </c>
      <c r="Q143" s="4">
        <f>Q110-Q27</f>
        <v/>
      </c>
      <c r="R143" s="7">
        <f>SUM(L143:Q143)</f>
        <v/>
      </c>
      <c r="S143" s="136">
        <f>IF(E143=0,"***",L143/E143)</f>
        <v/>
      </c>
      <c r="T143" s="136">
        <f>IF(F143=0,"***",M143/F143)</f>
        <v/>
      </c>
      <c r="U143" s="136">
        <f>IF(G143=0,"***",N143/G143)</f>
        <v/>
      </c>
      <c r="V143" s="136">
        <f>IF(H143=0,"***",O143/H143)</f>
        <v/>
      </c>
      <c r="W143" s="136">
        <f>IF(I143=0,"***",P143/I143)</f>
        <v/>
      </c>
      <c r="X143" s="136">
        <f>IF(J143=0,"***",Q143/J143)</f>
        <v/>
      </c>
      <c r="Y143" s="147">
        <f>Y110-Y27</f>
        <v/>
      </c>
    </row>
    <row r="144">
      <c r="C144" s="60" t="inlineStr">
        <is>
          <t>0104 集計</t>
        </is>
      </c>
      <c r="D144" s="22" t="inlineStr">
        <is>
          <t>大田荷役</t>
        </is>
      </c>
      <c r="E144" s="20">
        <f>E111-E28</f>
        <v/>
      </c>
      <c r="F144" s="20">
        <f>F111-F28</f>
        <v/>
      </c>
      <c r="G144" s="109">
        <f>G111-G28</f>
        <v/>
      </c>
      <c r="H144" s="20">
        <f>H111-H28</f>
        <v/>
      </c>
      <c r="I144" s="20">
        <f>I111-I28</f>
        <v/>
      </c>
      <c r="J144" s="20">
        <f>J111-J28</f>
        <v/>
      </c>
      <c r="K144" s="7">
        <f>SUM(E144:J144)</f>
        <v/>
      </c>
      <c r="L144" s="20">
        <f>L111-L28</f>
        <v/>
      </c>
      <c r="M144" s="20">
        <f>M111-M28</f>
        <v/>
      </c>
      <c r="N144" s="109">
        <f>N111-N28</f>
        <v/>
      </c>
      <c r="O144" s="20">
        <f>O111-O28</f>
        <v/>
      </c>
      <c r="P144" s="20">
        <f>P111-P28</f>
        <v/>
      </c>
      <c r="Q144" s="20">
        <f>Q111-Q28</f>
        <v/>
      </c>
      <c r="R144" s="7">
        <f>SUM(L144:Q144)</f>
        <v/>
      </c>
      <c r="S144" s="136">
        <f>IF(E144=0,"***",L144/E144)</f>
        <v/>
      </c>
      <c r="T144" s="136">
        <f>IF(F144=0,"***",M144/F144)</f>
        <v/>
      </c>
      <c r="U144" s="136">
        <f>IF(G144=0,"***",N144/G144)</f>
        <v/>
      </c>
      <c r="V144" s="136">
        <f>IF(H144=0,"***",O144/H144)</f>
        <v/>
      </c>
      <c r="W144" s="136">
        <f>IF(I144=0,"***",P144/I144)</f>
        <v/>
      </c>
      <c r="X144" s="136">
        <f>IF(J144=0,"***",Q144/J144)</f>
        <v/>
      </c>
      <c r="Y144" s="147">
        <f>Y111-Y28</f>
        <v/>
      </c>
    </row>
    <row r="145">
      <c r="C145" s="60" t="inlineStr">
        <is>
          <t>大田水産部</t>
        </is>
      </c>
      <c r="D145" s="22" t="n"/>
      <c r="E145" s="20">
        <f>SUM(E143:E144)</f>
        <v/>
      </c>
      <c r="F145" s="20">
        <f>SUM(F143:F144)</f>
        <v/>
      </c>
      <c r="G145" s="109">
        <f>SUM(G143:G144)</f>
        <v/>
      </c>
      <c r="H145" s="20">
        <f>SUM(H143:H144)</f>
        <v/>
      </c>
      <c r="I145" s="20">
        <f>SUM(I143:I144)</f>
        <v/>
      </c>
      <c r="J145" s="20">
        <f>SUM(J143:J144)</f>
        <v/>
      </c>
      <c r="K145" s="7">
        <f>SUM(K143:K144)</f>
        <v/>
      </c>
      <c r="L145" s="20">
        <f>SUM(L143:L144)</f>
        <v/>
      </c>
      <c r="M145" s="20">
        <f>SUM(M143:M144)</f>
        <v/>
      </c>
      <c r="N145" s="109">
        <f>SUM(N143:N144)</f>
        <v/>
      </c>
      <c r="O145" s="20">
        <f>SUM(O143:O144)</f>
        <v/>
      </c>
      <c r="P145" s="20">
        <f>SUM(P143:P144)</f>
        <v/>
      </c>
      <c r="Q145" s="20">
        <f>SUM(Q143:Q144)</f>
        <v/>
      </c>
      <c r="R145" s="7">
        <f>SUM(R143:R144)</f>
        <v/>
      </c>
      <c r="S145" s="136">
        <f>IF(E145=0,"***",L145/E145)</f>
        <v/>
      </c>
      <c r="T145" s="136">
        <f>IF(F145=0,"***",M145/F145)</f>
        <v/>
      </c>
      <c r="U145" s="136">
        <f>IF(G145=0,"***",N145/G145)</f>
        <v/>
      </c>
      <c r="V145" s="136">
        <f>IF(H145=0,"***",O145/H145)</f>
        <v/>
      </c>
      <c r="W145" s="136">
        <f>IF(I145=0,"***",P145/I145)</f>
        <v/>
      </c>
      <c r="X145" s="136">
        <f>IF(J145=0,"***",Q145/J145)</f>
        <v/>
      </c>
      <c r="Y145" s="147">
        <f>Y112-Y29</f>
        <v/>
      </c>
    </row>
    <row r="146">
      <c r="C146" s="60" t="inlineStr">
        <is>
          <t>0031 集計</t>
        </is>
      </c>
      <c r="D146" s="22" t="inlineStr">
        <is>
          <t>JF境</t>
        </is>
      </c>
      <c r="E146" s="20">
        <f>E113-E30</f>
        <v/>
      </c>
      <c r="F146" s="20">
        <f>F113-F30</f>
        <v/>
      </c>
      <c r="G146" s="109">
        <f>G113-G30</f>
        <v/>
      </c>
      <c r="H146" s="20">
        <f>H113-H30</f>
        <v/>
      </c>
      <c r="I146" s="20">
        <f>I113-I30</f>
        <v/>
      </c>
      <c r="J146" s="20">
        <f>J113-J30</f>
        <v/>
      </c>
      <c r="K146" s="7">
        <f>SUM(E146:J146)</f>
        <v/>
      </c>
      <c r="L146" s="20">
        <f>L113-L30</f>
        <v/>
      </c>
      <c r="M146" s="4">
        <f>M113-M30</f>
        <v/>
      </c>
      <c r="N146" s="110">
        <f>N113-N30</f>
        <v/>
      </c>
      <c r="O146" s="4">
        <f>O113-O30</f>
        <v/>
      </c>
      <c r="P146" s="4">
        <f>P113-P30</f>
        <v/>
      </c>
      <c r="Q146" s="4">
        <f>Q113-Q30</f>
        <v/>
      </c>
      <c r="R146" s="7">
        <f>SUM(L146:Q146)</f>
        <v/>
      </c>
      <c r="S146" s="136">
        <f>IF(E146=0,"***",L146/E146)</f>
        <v/>
      </c>
      <c r="T146" s="136">
        <f>IF(F146=0,"***",M146/F146)</f>
        <v/>
      </c>
      <c r="U146" s="136">
        <f>IF(G146=0,"***",N146/G146)</f>
        <v/>
      </c>
      <c r="V146" s="136">
        <f>IF(H146=0,"***",O146/H146)</f>
        <v/>
      </c>
      <c r="W146" s="136">
        <f>IF(I146=0,"***",P146/I146)</f>
        <v/>
      </c>
      <c r="X146" s="136">
        <f>IF(J146=0,"***",Q146/J146)</f>
        <v/>
      </c>
      <c r="Y146" s="147">
        <f>Y113-Y30</f>
        <v/>
      </c>
    </row>
    <row r="147">
      <c r="C147" s="60" t="inlineStr">
        <is>
          <t>0038 集計</t>
        </is>
      </c>
      <c r="D147" s="83" t="inlineStr">
        <is>
          <t>境その他</t>
        </is>
      </c>
      <c r="E147" s="20">
        <f>E114-E31</f>
        <v/>
      </c>
      <c r="F147" s="20">
        <f>F114-F31</f>
        <v/>
      </c>
      <c r="G147" s="109">
        <f>G114-G31</f>
        <v/>
      </c>
      <c r="H147" s="20">
        <f>H114-H31</f>
        <v/>
      </c>
      <c r="I147" s="20">
        <f>I114-I31</f>
        <v/>
      </c>
      <c r="J147" s="20">
        <f>J114-J31</f>
        <v/>
      </c>
      <c r="K147" s="20">
        <f>SUM(E147:J147)</f>
        <v/>
      </c>
      <c r="L147" s="20">
        <f>L114-L31</f>
        <v/>
      </c>
      <c r="M147" s="4">
        <f>M114-M31</f>
        <v/>
      </c>
      <c r="N147" s="110">
        <f>N114-N31</f>
        <v/>
      </c>
      <c r="O147" s="4">
        <f>O114-O31</f>
        <v/>
      </c>
      <c r="P147" s="4">
        <f>P114-P31</f>
        <v/>
      </c>
      <c r="Q147" s="4">
        <f>Q114-Q31</f>
        <v/>
      </c>
      <c r="R147" s="7">
        <f>SUM(L147:Q147)</f>
        <v/>
      </c>
      <c r="S147" s="149">
        <f>IF(E147=0,"***",L147/E147)</f>
        <v/>
      </c>
      <c r="T147" s="149">
        <f>IF(F147=0,"***",M147/F147)</f>
        <v/>
      </c>
      <c r="U147" s="149">
        <f>IF(G147=0,"***",N147/G147)</f>
        <v/>
      </c>
      <c r="V147" s="149">
        <f>IF(H147=0,"***",O147/H147)</f>
        <v/>
      </c>
      <c r="W147" s="149">
        <f>IF(I147=0,"***",P147/I147)</f>
        <v/>
      </c>
      <c r="X147" s="149">
        <f>IF(J147=0,"***",Q147/J147)</f>
        <v/>
      </c>
      <c r="Y147" s="150">
        <f>Y114-Y31</f>
        <v/>
      </c>
    </row>
    <row r="148">
      <c r="C148" s="82" t="inlineStr">
        <is>
          <t>境港水産部合計</t>
        </is>
      </c>
      <c r="D148" s="83" t="n"/>
      <c r="E148" s="20">
        <f>SUM(E146:E147)</f>
        <v/>
      </c>
      <c r="F148" s="20">
        <f>SUM(F146:F147)</f>
        <v/>
      </c>
      <c r="G148" s="109">
        <f>SUM(G146:G147)</f>
        <v/>
      </c>
      <c r="H148" s="20">
        <f>SUM(H146:H147)</f>
        <v/>
      </c>
      <c r="I148" s="20">
        <f>SUM(I146:I147)</f>
        <v/>
      </c>
      <c r="J148" s="20">
        <f>SUM(J146:J147)</f>
        <v/>
      </c>
      <c r="K148" s="7">
        <f>SUM(K146:K147)</f>
        <v/>
      </c>
      <c r="L148" s="20">
        <f>SUM(L146:L147)</f>
        <v/>
      </c>
      <c r="M148" s="20">
        <f>SUM(M146:M147)</f>
        <v/>
      </c>
      <c r="N148" s="109">
        <f>SUM(N146:N147)</f>
        <v/>
      </c>
      <c r="O148" s="20">
        <f>SUM(O146:O147)</f>
        <v/>
      </c>
      <c r="P148" s="20">
        <f>SUM(P146:P147)</f>
        <v/>
      </c>
      <c r="Q148" s="20">
        <f>SUM(Q146:Q147)</f>
        <v/>
      </c>
      <c r="R148" s="7">
        <f>SUM(R146:R147)</f>
        <v/>
      </c>
      <c r="S148" s="149">
        <f>IF(E148=0,"***",L148/E148)</f>
        <v/>
      </c>
      <c r="T148" s="149">
        <f>IF(F148=0,"***",M148/F148)</f>
        <v/>
      </c>
      <c r="U148" s="149">
        <f>IF(G148=0,"***",N148/G148)</f>
        <v/>
      </c>
      <c r="V148" s="149">
        <f>IF(H148=0,"***",O148/H148)</f>
        <v/>
      </c>
      <c r="W148" s="149">
        <f>IF(I148=0,"***",P148/I148)</f>
        <v/>
      </c>
      <c r="X148" s="149">
        <f>IF(J148=0,"***",Q148/J148)</f>
        <v/>
      </c>
      <c r="Y148" s="150">
        <f>Y115-Y32</f>
        <v/>
      </c>
    </row>
    <row r="149">
      <c r="C149" s="53" t="inlineStr">
        <is>
          <t>合計</t>
        </is>
      </c>
      <c r="D149" s="54" t="n"/>
      <c r="E149" s="8">
        <f>E142+E145+E148</f>
        <v/>
      </c>
      <c r="F149" s="8">
        <f>F142+F145+F148</f>
        <v/>
      </c>
      <c r="G149" s="8">
        <f>G142+G145+G148</f>
        <v/>
      </c>
      <c r="H149" s="8">
        <f>H142+H145+H148</f>
        <v/>
      </c>
      <c r="I149" s="8">
        <f>I142+I145+I148</f>
        <v/>
      </c>
      <c r="J149" s="8">
        <f>J142+J145+J148</f>
        <v/>
      </c>
      <c r="K149" s="9">
        <f>K142+K145+K148</f>
        <v/>
      </c>
      <c r="L149" s="8">
        <f>L142+L145+L148</f>
        <v/>
      </c>
      <c r="M149" s="8">
        <f>M142+M145+M148</f>
        <v/>
      </c>
      <c r="N149" s="8">
        <f>N142+N145+N148</f>
        <v/>
      </c>
      <c r="O149" s="8">
        <f>O142+O145+O148</f>
        <v/>
      </c>
      <c r="P149" s="8">
        <f>P142+P145+P148</f>
        <v/>
      </c>
      <c r="Q149" s="8">
        <f>Q142+Q145+Q148</f>
        <v/>
      </c>
      <c r="R149" s="9">
        <f>R142+R145+R148</f>
        <v/>
      </c>
      <c r="S149" s="139">
        <f>IF(E149=0,"***",L149/E149)</f>
        <v/>
      </c>
      <c r="T149" s="139">
        <f>IF(F149=0,"***",M149/F149)</f>
        <v/>
      </c>
      <c r="U149" s="139">
        <f>IF(G149=0,"***",N149/G149)</f>
        <v/>
      </c>
      <c r="V149" s="139">
        <f>IF(H149=0,"***",O149/H149)</f>
        <v/>
      </c>
      <c r="W149" s="139">
        <f>IF(I149=0,"***",P149/I149)</f>
        <v/>
      </c>
      <c r="X149" s="139">
        <f>IF(J149=0,"***",Q149/J149)</f>
        <v/>
      </c>
      <c r="Y149" s="151">
        <f>Y116-Y33</f>
        <v/>
      </c>
    </row>
  </sheetData>
  <mergeCells count="36">
    <mergeCell ref="S136:Y136"/>
    <mergeCell ref="E120:K120"/>
    <mergeCell ref="S20:Y20"/>
    <mergeCell ref="E54:K54"/>
    <mergeCell ref="E136:K136"/>
    <mergeCell ref="S54:Y54"/>
    <mergeCell ref="C20:D20"/>
    <mergeCell ref="E37:K37"/>
    <mergeCell ref="C3:D3"/>
    <mergeCell ref="C54:D54"/>
    <mergeCell ref="C103:D103"/>
    <mergeCell ref="E3:K3"/>
    <mergeCell ref="L120:R120"/>
    <mergeCell ref="E71:K71"/>
    <mergeCell ref="L103:R103"/>
    <mergeCell ref="S71:Y71"/>
    <mergeCell ref="L37:R37"/>
    <mergeCell ref="S3:Y3"/>
    <mergeCell ref="C120:D120"/>
    <mergeCell ref="L87:R87"/>
    <mergeCell ref="C71:D71"/>
    <mergeCell ref="L3:R3"/>
    <mergeCell ref="E87:K87"/>
    <mergeCell ref="E20:K20"/>
    <mergeCell ref="E103:K103"/>
    <mergeCell ref="S120:Y120"/>
    <mergeCell ref="L71:R71"/>
    <mergeCell ref="L136:R136"/>
    <mergeCell ref="S37:Y37"/>
    <mergeCell ref="C37:D37"/>
    <mergeCell ref="S87:Y87"/>
    <mergeCell ref="S103:Y103"/>
    <mergeCell ref="L20:R20"/>
    <mergeCell ref="C136:D136"/>
    <mergeCell ref="L54:R54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4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1:Y149"/>
  <sheetViews>
    <sheetView topLeftCell="B1" workbookViewId="0">
      <pane xSplit="3" ySplit="1" topLeftCell="E69" activePane="bottomRight" state="frozen"/>
      <selection activeCell="E155" sqref="E155"/>
      <selection pane="topRight" activeCell="E155" sqref="E155"/>
      <selection pane="bottomLeft" activeCell="E155" sqref="E155"/>
      <selection pane="bottomRight" activeCell="G133" sqref="G133"/>
    </sheetView>
  </sheetViews>
  <sheetFormatPr baseColWidth="8" defaultRowHeight="18.75"/>
  <cols>
    <col width="9.75" bestFit="1" customWidth="1" style="127" min="3" max="3"/>
    <col width="10.125" customWidth="1" style="127" min="5" max="25"/>
  </cols>
  <sheetData>
    <row r="1" ht="24" customHeight="1" s="127">
      <c r="C1" s="24" t="inlineStr">
        <is>
          <t>水産部機械</t>
        </is>
      </c>
    </row>
    <row r="2">
      <c r="C2" s="128" t="inlineStr">
        <is>
          <t>1．2024年</t>
        </is>
      </c>
    </row>
    <row r="3">
      <c r="C3" s="117" t="n"/>
      <c r="D3" s="118" t="n"/>
      <c r="E3" s="117" t="inlineStr">
        <is>
          <t>売上</t>
        </is>
      </c>
      <c r="F3" s="120" t="n"/>
      <c r="G3" s="120" t="n"/>
      <c r="H3" s="120" t="n"/>
      <c r="I3" s="120" t="n"/>
      <c r="J3" s="120" t="n"/>
      <c r="K3" s="118" t="n"/>
      <c r="L3" s="121" t="inlineStr">
        <is>
          <t>粗利益</t>
        </is>
      </c>
      <c r="M3" s="120" t="n"/>
      <c r="N3" s="120" t="n"/>
      <c r="O3" s="120" t="n"/>
      <c r="P3" s="120" t="n"/>
      <c r="Q3" s="120" t="n"/>
      <c r="R3" s="118" t="n"/>
      <c r="S3" s="121" t="inlineStr">
        <is>
          <t>粗利益率</t>
        </is>
      </c>
      <c r="T3" s="120" t="n"/>
      <c r="U3" s="120" t="n"/>
      <c r="V3" s="120" t="n"/>
      <c r="W3" s="120" t="n"/>
      <c r="X3" s="120" t="n"/>
      <c r="Y3" s="118" t="n"/>
    </row>
    <row r="4">
      <c r="C4" s="1" t="n"/>
      <c r="D4" s="21" t="n"/>
      <c r="E4" s="2" t="n">
        <v>45383</v>
      </c>
      <c r="F4" s="2" t="n">
        <v>45413</v>
      </c>
      <c r="G4" s="2" t="n">
        <v>45444</v>
      </c>
      <c r="H4" s="2" t="n">
        <v>45474</v>
      </c>
      <c r="I4" s="2" t="n">
        <v>45505</v>
      </c>
      <c r="J4" s="2" t="n">
        <v>45536</v>
      </c>
      <c r="K4" s="67" t="inlineStr">
        <is>
          <t>合計</t>
        </is>
      </c>
      <c r="L4" s="61" t="n">
        <v>45383</v>
      </c>
      <c r="M4" s="2" t="n">
        <v>45413</v>
      </c>
      <c r="N4" s="2" t="n">
        <v>45444</v>
      </c>
      <c r="O4" s="2" t="n">
        <v>45474</v>
      </c>
      <c r="P4" s="2" t="n">
        <v>45505</v>
      </c>
      <c r="Q4" s="2" t="n">
        <v>45536</v>
      </c>
      <c r="R4" s="10" t="inlineStr">
        <is>
          <t>合計</t>
        </is>
      </c>
      <c r="S4" s="61" t="n">
        <v>45383</v>
      </c>
      <c r="T4" s="2" t="n">
        <v>45413</v>
      </c>
      <c r="U4" s="2" t="n">
        <v>45444</v>
      </c>
      <c r="V4" s="2" t="n">
        <v>45474</v>
      </c>
      <c r="W4" s="2" t="n">
        <v>45505</v>
      </c>
      <c r="X4" s="2" t="n">
        <v>45536</v>
      </c>
      <c r="Y4" s="10" t="inlineStr">
        <is>
          <t>合計</t>
        </is>
      </c>
    </row>
    <row r="5">
      <c r="C5" s="60" t="inlineStr">
        <is>
          <t>0010 集計</t>
        </is>
      </c>
      <c r="D5" s="22" t="inlineStr">
        <is>
          <t>JF</t>
        </is>
      </c>
      <c r="E5" s="4" t="n"/>
      <c r="F5" s="4" t="n"/>
      <c r="G5" s="4" t="n"/>
      <c r="H5" s="4" t="n">
        <v>2131.8</v>
      </c>
      <c r="I5" s="4" t="n"/>
      <c r="J5" s="4" t="n"/>
      <c r="K5" s="7">
        <f>SUM(E5:J5)</f>
        <v/>
      </c>
      <c r="L5" s="4" t="n"/>
      <c r="M5" s="4" t="n"/>
      <c r="N5" s="4" t="n"/>
      <c r="O5" s="4" t="n">
        <v>428.4</v>
      </c>
      <c r="P5" s="4" t="n"/>
      <c r="Q5" s="4" t="n"/>
      <c r="R5" s="7">
        <f>SUM(L5:Q5)</f>
        <v/>
      </c>
      <c r="S5" s="136">
        <f>IF(E5=0,"***",L5/E5)</f>
        <v/>
      </c>
      <c r="T5" s="136">
        <f>IF(F5=0,"***",M5/F5)</f>
        <v/>
      </c>
      <c r="U5" s="136">
        <f>IF(G5=0,"***",N5/G5)</f>
        <v/>
      </c>
      <c r="V5" s="136">
        <f>IF(H5=0,"***",O5/H5)</f>
        <v/>
      </c>
      <c r="W5" s="136">
        <f>IF(I5=0,"***",P5/I5)</f>
        <v/>
      </c>
      <c r="X5" s="136">
        <f>IF(J5=0,"***",Q5/J5)</f>
        <v/>
      </c>
      <c r="Y5" s="137">
        <f>IF(K5=0,"***",R5/K5)</f>
        <v/>
      </c>
    </row>
    <row r="6">
      <c r="C6" s="60" t="inlineStr">
        <is>
          <t>0017 集計</t>
        </is>
      </c>
      <c r="D6" s="22" t="inlineStr">
        <is>
          <t>鮮魚</t>
        </is>
      </c>
      <c r="E6" s="4" t="n"/>
      <c r="F6" s="4" t="n"/>
      <c r="G6" s="4" t="n"/>
      <c r="H6" s="4" t="n"/>
      <c r="I6" s="4" t="n"/>
      <c r="J6" s="4" t="n"/>
      <c r="K6" s="7">
        <f>SUM(E6:J6)</f>
        <v/>
      </c>
      <c r="L6" s="4" t="n"/>
      <c r="M6" s="4" t="n"/>
      <c r="N6" s="4" t="n"/>
      <c r="O6" s="4" t="n"/>
      <c r="P6" s="4" t="n"/>
      <c r="Q6" s="4" t="n"/>
      <c r="R6" s="7">
        <f>SUM(L6:Q6)</f>
        <v/>
      </c>
      <c r="S6" s="136">
        <f>IF(E6=0,"***",L6/E6)</f>
        <v/>
      </c>
      <c r="T6" s="136">
        <f>IF(F6=0,"***",M6/F6)</f>
        <v/>
      </c>
      <c r="U6" s="136">
        <f>IF(G6=0,"***",N6/G6)</f>
        <v/>
      </c>
      <c r="V6" s="136">
        <f>IF(H6=0,"***",O6/H6)</f>
        <v/>
      </c>
      <c r="W6" s="136">
        <f>IF(I6=0,"***",P6/I6)</f>
        <v/>
      </c>
      <c r="X6" s="136">
        <f>IF(J6=0,"***",Q6/J6)</f>
        <v/>
      </c>
      <c r="Y6" s="137">
        <f>IF(K6=0,"***",R6/K6)</f>
        <v/>
      </c>
    </row>
    <row r="7">
      <c r="C7" s="60" t="inlineStr">
        <is>
          <t>0101 集計</t>
        </is>
      </c>
      <c r="D7" s="22" t="inlineStr">
        <is>
          <t>GS</t>
        </is>
      </c>
      <c r="E7" s="4" t="n"/>
      <c r="F7" s="4" t="n"/>
      <c r="G7" s="4" t="n"/>
      <c r="H7" s="4" t="n"/>
      <c r="I7" s="4" t="n"/>
      <c r="J7" s="4" t="n"/>
      <c r="K7" s="7">
        <f>SUM(E7:J7)</f>
        <v/>
      </c>
      <c r="L7" s="4" t="n"/>
      <c r="M7" s="4" t="n"/>
      <c r="N7" s="4" t="n"/>
      <c r="O7" s="4" t="n"/>
      <c r="P7" s="4" t="n"/>
      <c r="Q7" s="4" t="n"/>
      <c r="R7" s="7">
        <f>SUM(L7:Q7)</f>
        <v/>
      </c>
      <c r="S7" s="136">
        <f>IF(E7=0,"***",L7/E7)</f>
        <v/>
      </c>
      <c r="T7" s="136">
        <f>IF(F7=0,"***",M7/F7)</f>
        <v/>
      </c>
      <c r="U7" s="136">
        <f>IF(G7=0,"***",N7/G7)</f>
        <v/>
      </c>
      <c r="V7" s="136">
        <f>IF(H7=0,"***",O7/H7)</f>
        <v/>
      </c>
      <c r="W7" s="136">
        <f>IF(I7=0,"***",P7/I7)</f>
        <v/>
      </c>
      <c r="X7" s="136">
        <f>IF(J7=0,"***",Q7/J7)</f>
        <v/>
      </c>
      <c r="Y7" s="137">
        <f>IF(K7=0,"***",R7/K7)</f>
        <v/>
      </c>
    </row>
    <row r="8">
      <c r="C8" s="60" t="inlineStr">
        <is>
          <t>0106 集計</t>
        </is>
      </c>
      <c r="D8" s="22" t="inlineStr">
        <is>
          <t>浜田荷役</t>
        </is>
      </c>
      <c r="E8" s="4" t="n"/>
      <c r="F8" s="4" t="n"/>
      <c r="G8" s="4" t="n"/>
      <c r="H8" s="4" t="n"/>
      <c r="I8" s="4" t="n"/>
      <c r="J8" s="4" t="n"/>
      <c r="K8" s="7">
        <f>SUM(E8:J8)</f>
        <v/>
      </c>
      <c r="L8" s="4" t="n"/>
      <c r="M8" s="4" t="n"/>
      <c r="N8" s="4" t="n"/>
      <c r="O8" s="4" t="n"/>
      <c r="P8" s="4" t="n"/>
      <c r="Q8" s="4" t="n"/>
      <c r="R8" s="7">
        <f>SUM(L8:Q8)</f>
        <v/>
      </c>
      <c r="S8" s="136">
        <f>IF(E8=0,"***",L8/E8)</f>
        <v/>
      </c>
      <c r="T8" s="136">
        <f>IF(F8=0,"***",M8/F8)</f>
        <v/>
      </c>
      <c r="U8" s="136">
        <f>IF(G8=0,"***",N8/G8)</f>
        <v/>
      </c>
      <c r="V8" s="136">
        <f>IF(H8=0,"***",O8/H8)</f>
        <v/>
      </c>
      <c r="W8" s="136">
        <f>IF(I8=0,"***",P8/I8)</f>
        <v/>
      </c>
      <c r="X8" s="136">
        <f>IF(J8=0,"***",Q8/J8)</f>
        <v/>
      </c>
      <c r="Y8" s="137">
        <f>IF(K8=0,"***",R8/K8)</f>
        <v/>
      </c>
    </row>
    <row r="9">
      <c r="C9" s="60" t="inlineStr">
        <is>
          <t>浜田水産部合計</t>
        </is>
      </c>
      <c r="D9" s="22" t="n"/>
      <c r="E9" s="4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  <c r="J9" s="4">
        <f>SUM(J5:J8)</f>
        <v/>
      </c>
      <c r="K9" s="7">
        <f>SUM(K5:K8)</f>
        <v/>
      </c>
      <c r="L9" s="4">
        <f>SUM(L5:L8)</f>
        <v/>
      </c>
      <c r="M9" s="4">
        <f>SUM(M5:M8)</f>
        <v/>
      </c>
      <c r="N9" s="4">
        <f>SUM(N5:N8)</f>
        <v/>
      </c>
      <c r="O9" s="4">
        <f>SUM(O5:O8)</f>
        <v/>
      </c>
      <c r="P9" s="4">
        <f>SUM(P5:P8)</f>
        <v/>
      </c>
      <c r="Q9" s="4">
        <f>SUM(Q5:Q8)</f>
        <v/>
      </c>
      <c r="R9" s="7">
        <f>SUM(R5:R8)</f>
        <v/>
      </c>
      <c r="S9" s="136">
        <f>IF(E9=0,"***",L9/E9)</f>
        <v/>
      </c>
      <c r="T9" s="136">
        <f>IF(F9=0,"***",M9/F9)</f>
        <v/>
      </c>
      <c r="U9" s="136">
        <f>IF(G9=0,"***",N9/G9)</f>
        <v/>
      </c>
      <c r="V9" s="136">
        <f>IF(H9=0,"***",O9/H9)</f>
        <v/>
      </c>
      <c r="W9" s="136">
        <f>IF(I9=0,"***",P9/I9)</f>
        <v/>
      </c>
      <c r="X9" s="136">
        <f>IF(J9=0,"***",Q9/J9)</f>
        <v/>
      </c>
      <c r="Y9" s="137">
        <f>IF(K9=0,"***",R9/K9)</f>
        <v/>
      </c>
    </row>
    <row r="10">
      <c r="C10" s="60" t="inlineStr">
        <is>
          <t>0102 集計</t>
        </is>
      </c>
      <c r="D10" s="22" t="inlineStr">
        <is>
          <t>JF大田</t>
        </is>
      </c>
      <c r="E10" s="4" t="n"/>
      <c r="F10" s="4" t="n"/>
      <c r="G10" s="4" t="n"/>
      <c r="H10" s="4" t="n"/>
      <c r="I10" s="4" t="n"/>
      <c r="J10" s="4" t="n"/>
      <c r="K10" s="7">
        <f>SUM(E10:J10)</f>
        <v/>
      </c>
      <c r="L10" s="4" t="n"/>
      <c r="M10" s="4" t="n"/>
      <c r="N10" s="4" t="n"/>
      <c r="O10" s="4" t="n"/>
      <c r="P10" s="4" t="n"/>
      <c r="Q10" s="4" t="n"/>
      <c r="R10" s="7">
        <f>SUM(L10:Q10)</f>
        <v/>
      </c>
      <c r="S10" s="136">
        <f>IF(E10=0,"***",L10/E10)</f>
        <v/>
      </c>
      <c r="T10" s="136">
        <f>IF(F10=0,"***",M10/F10)</f>
        <v/>
      </c>
      <c r="U10" s="136">
        <f>IF(G10=0,"***",N10/G10)</f>
        <v/>
      </c>
      <c r="V10" s="136">
        <f>IF(H10=0,"***",O10/H10)</f>
        <v/>
      </c>
      <c r="W10" s="136">
        <f>IF(I10=0,"***",P10/I10)</f>
        <v/>
      </c>
      <c r="X10" s="136">
        <f>IF(J10=0,"***",Q10/J10)</f>
        <v/>
      </c>
      <c r="Y10" s="137">
        <f>IF(K10=0,"***",R10/K10)</f>
        <v/>
      </c>
    </row>
    <row r="11">
      <c r="C11" s="60" t="inlineStr">
        <is>
          <t>0104 集計</t>
        </is>
      </c>
      <c r="D11" s="22" t="inlineStr">
        <is>
          <t>大田荷役</t>
        </is>
      </c>
      <c r="E11" s="4" t="n"/>
      <c r="F11" s="4" t="n"/>
      <c r="G11" s="4" t="n"/>
      <c r="H11" s="4" t="n"/>
      <c r="I11" s="4" t="n"/>
      <c r="J11" s="4" t="n"/>
      <c r="K11" s="7">
        <f>SUM(E11:J11)</f>
        <v/>
      </c>
      <c r="L11" s="4" t="n"/>
      <c r="M11" s="4" t="n"/>
      <c r="N11" s="4" t="n"/>
      <c r="O11" s="4" t="n"/>
      <c r="P11" s="4" t="n"/>
      <c r="Q11" s="4" t="n"/>
      <c r="R11" s="7">
        <f>SUM(L11:Q11)</f>
        <v/>
      </c>
      <c r="S11" s="136">
        <f>IF(E11=0,"***",L11/E11)</f>
        <v/>
      </c>
      <c r="T11" s="136">
        <f>IF(F11=0,"***",M11/F11)</f>
        <v/>
      </c>
      <c r="U11" s="136">
        <f>IF(G11=0,"***",N11/G11)</f>
        <v/>
      </c>
      <c r="V11" s="136">
        <f>IF(H11=0,"***",O11/H11)</f>
        <v/>
      </c>
      <c r="W11" s="136">
        <f>IF(I11=0,"***",P11/I11)</f>
        <v/>
      </c>
      <c r="X11" s="136">
        <f>IF(J11=0,"***",Q11/J11)</f>
        <v/>
      </c>
      <c r="Y11" s="137">
        <f>IF(K11=0,"***",R11/K11)</f>
        <v/>
      </c>
    </row>
    <row r="12">
      <c r="C12" s="60" t="inlineStr">
        <is>
          <t>大田水産部</t>
        </is>
      </c>
      <c r="D12" s="22" t="n"/>
      <c r="E12" s="20">
        <f>E10+E11</f>
        <v/>
      </c>
      <c r="F12" s="20">
        <f>F10+F11</f>
        <v/>
      </c>
      <c r="G12" s="20">
        <f>G10+G11</f>
        <v/>
      </c>
      <c r="H12" s="20">
        <f>H10+H11</f>
        <v/>
      </c>
      <c r="I12" s="20">
        <f>I10+I11</f>
        <v/>
      </c>
      <c r="J12" s="20">
        <f>J10+J11</f>
        <v/>
      </c>
      <c r="K12" s="7">
        <f>K10+K11</f>
        <v/>
      </c>
      <c r="L12" s="20">
        <f>L10+L11</f>
        <v/>
      </c>
      <c r="M12" s="20">
        <f>M10+M11</f>
        <v/>
      </c>
      <c r="N12" s="20">
        <f>N10+N11</f>
        <v/>
      </c>
      <c r="O12" s="20">
        <f>O10+O11</f>
        <v/>
      </c>
      <c r="P12" s="20">
        <f>P10+P11</f>
        <v/>
      </c>
      <c r="Q12" s="20">
        <f>Q10+Q11</f>
        <v/>
      </c>
      <c r="R12" s="7">
        <f>R10+R11</f>
        <v/>
      </c>
      <c r="S12" s="136">
        <f>IF(E12=0,"***",L12/E12)</f>
        <v/>
      </c>
      <c r="T12" s="136">
        <f>IF(F12=0,"***",M12/F12)</f>
        <v/>
      </c>
      <c r="U12" s="136">
        <f>IF(G12=0,"***",N12/G12)</f>
        <v/>
      </c>
      <c r="V12" s="136">
        <f>IF(H12=0,"***",O12/H12)</f>
        <v/>
      </c>
      <c r="W12" s="136">
        <f>IF(I12=0,"***",P12/I12)</f>
        <v/>
      </c>
      <c r="X12" s="136">
        <f>IF(J12=0,"***",Q12/J12)</f>
        <v/>
      </c>
      <c r="Y12" s="137">
        <f>IF(K12=0,"***",R12/K12)</f>
        <v/>
      </c>
    </row>
    <row r="13">
      <c r="C13" s="60" t="inlineStr">
        <is>
          <t>0031 集計</t>
        </is>
      </c>
      <c r="D13" s="22" t="inlineStr">
        <is>
          <t>JF境</t>
        </is>
      </c>
      <c r="E13" s="20" t="n">
        <v>22</v>
      </c>
      <c r="F13" s="20" t="n">
        <v>28</v>
      </c>
      <c r="G13" s="20" t="n">
        <v>39</v>
      </c>
      <c r="H13" s="20" t="n">
        <v>90.76000000000001</v>
      </c>
      <c r="I13" s="20" t="n">
        <v>124.2</v>
      </c>
      <c r="J13" s="20" t="n">
        <v>22</v>
      </c>
      <c r="K13" s="7">
        <f>SUM(E13:J13)</f>
        <v/>
      </c>
      <c r="L13" s="20" t="n">
        <v>2.2</v>
      </c>
      <c r="M13" s="20" t="n">
        <v>2.7</v>
      </c>
      <c r="N13" s="20" t="n">
        <v>3.8</v>
      </c>
      <c r="O13" s="20" t="n">
        <v>12.265</v>
      </c>
      <c r="P13" s="20" t="n">
        <v>17.16</v>
      </c>
      <c r="Q13" s="20" t="n">
        <v>2.2</v>
      </c>
      <c r="R13" s="7">
        <f>SUM(L13:Q13)</f>
        <v/>
      </c>
      <c r="S13" s="136">
        <f>IF(E13=0,"***",L13/E13)</f>
        <v/>
      </c>
      <c r="T13" s="136">
        <f>IF(F13=0,"***",M13/F13)</f>
        <v/>
      </c>
      <c r="U13" s="136">
        <f>IF(G13=0,"***",N13/G13)</f>
        <v/>
      </c>
      <c r="V13" s="136">
        <f>IF(H13=0,"***",O13/H13)</f>
        <v/>
      </c>
      <c r="W13" s="136">
        <f>IF(I13=0,"***",P13/I13)</f>
        <v/>
      </c>
      <c r="X13" s="136">
        <f>IF(J13=0,"***",Q13/J13)</f>
        <v/>
      </c>
      <c r="Y13" s="137">
        <f>IF(K13=0,"***",R13/K13)</f>
        <v/>
      </c>
    </row>
    <row r="14">
      <c r="C14" s="60" t="inlineStr">
        <is>
          <t>0038 集計</t>
        </is>
      </c>
      <c r="D14" s="83" t="inlineStr">
        <is>
          <t>境その他</t>
        </is>
      </c>
      <c r="E14" s="84" t="n"/>
      <c r="F14" s="84" t="n"/>
      <c r="G14" s="84" t="n"/>
      <c r="H14" s="84" t="n"/>
      <c r="I14" s="84" t="n"/>
      <c r="J14" s="84" t="n"/>
      <c r="K14" s="7">
        <f>SUM(E14:J14)</f>
        <v/>
      </c>
      <c r="L14" s="84" t="n"/>
      <c r="M14" s="84" t="n"/>
      <c r="N14" s="84" t="n"/>
      <c r="O14" s="84" t="n"/>
      <c r="P14" s="84" t="n"/>
      <c r="Q14" s="84" t="n"/>
      <c r="R14" s="7">
        <f>SUM(L14:Q14)</f>
        <v/>
      </c>
      <c r="S14" s="136">
        <f>IF(E14=0,"***",L14/E14)</f>
        <v/>
      </c>
      <c r="T14" s="136">
        <f>IF(F14=0,"***",M14/F14)</f>
        <v/>
      </c>
      <c r="U14" s="136">
        <f>IF(G14=0,"***",N14/G14)</f>
        <v/>
      </c>
      <c r="V14" s="136">
        <f>IF(H14=0,"***",O14/H14)</f>
        <v/>
      </c>
      <c r="W14" s="136">
        <f>IF(I14=0,"***",P14/I14)</f>
        <v/>
      </c>
      <c r="X14" s="136">
        <f>IF(J14=0,"***",Q14/J14)</f>
        <v/>
      </c>
      <c r="Y14" s="137">
        <f>IF(K14=0,"***",R14/K14)</f>
        <v/>
      </c>
    </row>
    <row r="15">
      <c r="C15" s="82" t="inlineStr">
        <is>
          <t>境港水産部合計</t>
        </is>
      </c>
      <c r="D15" s="83" t="n"/>
      <c r="E15" s="84">
        <f>E13+E14</f>
        <v/>
      </c>
      <c r="F15" s="84">
        <f>F13+F14</f>
        <v/>
      </c>
      <c r="G15" s="84">
        <f>G13+G14</f>
        <v/>
      </c>
      <c r="H15" s="84">
        <f>H13+H14</f>
        <v/>
      </c>
      <c r="I15" s="84">
        <f>I13+I14</f>
        <v/>
      </c>
      <c r="J15" s="84">
        <f>J13+J14</f>
        <v/>
      </c>
      <c r="K15" s="85">
        <f>K13+K14</f>
        <v/>
      </c>
      <c r="L15" s="84">
        <f>L13+L14</f>
        <v/>
      </c>
      <c r="M15" s="84">
        <f>M13+M14</f>
        <v/>
      </c>
      <c r="N15" s="84">
        <f>N13+N14</f>
        <v/>
      </c>
      <c r="O15" s="84">
        <f>O13+O14</f>
        <v/>
      </c>
      <c r="P15" s="84">
        <f>P13+P14</f>
        <v/>
      </c>
      <c r="Q15" s="84">
        <f>Q13+Q14</f>
        <v/>
      </c>
      <c r="R15" s="85">
        <f>R13+R14</f>
        <v/>
      </c>
      <c r="S15" s="136">
        <f>IF(E15=0,"***",L15/E15)</f>
        <v/>
      </c>
      <c r="T15" s="136">
        <f>IF(F15=0,"***",M15/F15)</f>
        <v/>
      </c>
      <c r="U15" s="136">
        <f>IF(G15=0,"***",N15/G15)</f>
        <v/>
      </c>
      <c r="V15" s="136">
        <f>IF(H15=0,"***",O15/H15)</f>
        <v/>
      </c>
      <c r="W15" s="136">
        <f>IF(I15=0,"***",P15/I15)</f>
        <v/>
      </c>
      <c r="X15" s="136">
        <f>IF(J15=0,"***",Q15/J15)</f>
        <v/>
      </c>
      <c r="Y15" s="137">
        <f>IF(K15=0,"***",R15/K15)</f>
        <v/>
      </c>
    </row>
    <row r="16">
      <c r="C16" s="53" t="inlineStr">
        <is>
          <t>合計</t>
        </is>
      </c>
      <c r="D16" s="54" t="n"/>
      <c r="E16" s="8">
        <f>E9+E12+E15</f>
        <v/>
      </c>
      <c r="F16" s="8">
        <f>F9+F12+F15</f>
        <v/>
      </c>
      <c r="G16" s="8">
        <f>G9+G12+G15</f>
        <v/>
      </c>
      <c r="H16" s="8">
        <f>H9+H12+H15</f>
        <v/>
      </c>
      <c r="I16" s="8">
        <f>I9+I12+I15</f>
        <v/>
      </c>
      <c r="J16" s="8">
        <f>J9+J12+J15</f>
        <v/>
      </c>
      <c r="K16" s="9">
        <f>K9+K12+K15</f>
        <v/>
      </c>
      <c r="L16" s="8">
        <f>L9+L12+L15</f>
        <v/>
      </c>
      <c r="M16" s="8">
        <f>M9+M12+M15</f>
        <v/>
      </c>
      <c r="N16" s="8">
        <f>N9+N12+N15</f>
        <v/>
      </c>
      <c r="O16" s="8">
        <f>O9+O12+O15</f>
        <v/>
      </c>
      <c r="P16" s="8">
        <f>P9+P12+P15</f>
        <v/>
      </c>
      <c r="Q16" s="8">
        <f>Q9+Q12+Q15</f>
        <v/>
      </c>
      <c r="R16" s="9">
        <f>R9+R12+R15</f>
        <v/>
      </c>
      <c r="S16" s="139">
        <f>IF(E16=0,"***",L16/E16)</f>
        <v/>
      </c>
      <c r="T16" s="139">
        <f>IF(F16=0,"***",M16/F16)</f>
        <v/>
      </c>
      <c r="U16" s="139">
        <f>IF(G16=0,"***",N16/G16)</f>
        <v/>
      </c>
      <c r="V16" s="139">
        <f>IF(H16=0,"***",O16/H16)</f>
        <v/>
      </c>
      <c r="W16" s="139">
        <f>IF(I16=0,"***",P16/I16)</f>
        <v/>
      </c>
      <c r="X16" s="139">
        <f>IF(J16=0,"***",Q16/J16)</f>
        <v/>
      </c>
      <c r="Y16" s="140">
        <f>IF(K16=0,"***",R16/K16)</f>
        <v/>
      </c>
    </row>
    <row r="17">
      <c r="C17" s="74" t="inlineStr">
        <is>
          <t>【参考】大海分</t>
        </is>
      </c>
      <c r="D17" s="75" t="n"/>
      <c r="E17" s="98" t="n"/>
      <c r="F17" s="98" t="n"/>
      <c r="G17" s="98" t="n"/>
      <c r="H17" s="98" t="n"/>
      <c r="I17" s="98" t="n"/>
      <c r="J17" s="98" t="n"/>
      <c r="K17" s="103">
        <f>SUM(E17:J17)</f>
        <v/>
      </c>
      <c r="L17" s="98" t="n"/>
      <c r="M17" s="98" t="n"/>
      <c r="N17" s="98" t="n"/>
      <c r="O17" s="98" t="n"/>
      <c r="P17" s="98" t="n"/>
      <c r="Q17" s="98" t="n"/>
      <c r="R17" s="103">
        <f>SUM(L17:Q17)</f>
        <v/>
      </c>
      <c r="S17" s="142">
        <f>IF(E17=0,"***",L17/E17)</f>
        <v/>
      </c>
      <c r="T17" s="142">
        <f>IF(F17=0,"***",M17/F17)</f>
        <v/>
      </c>
      <c r="U17" s="142">
        <f>IF(G17=0,"***",N17/G17)</f>
        <v/>
      </c>
      <c r="V17" s="142">
        <f>IF(H17=0,"***",O17/H17)</f>
        <v/>
      </c>
      <c r="W17" s="142">
        <f>IF(I17=0,"***",P17/I17)</f>
        <v/>
      </c>
      <c r="X17" s="142">
        <f>IF(J17=0,"***",Q17/J17)</f>
        <v/>
      </c>
      <c r="Y17" s="143">
        <f>IF(K17=0,"***",R17/K17)</f>
        <v/>
      </c>
    </row>
    <row r="18" ht="22.5" customHeight="1" s="127">
      <c r="C18" s="18" t="n"/>
      <c r="E18" s="17" t="n"/>
      <c r="F18" s="17" t="n"/>
      <c r="G18" s="17" t="n"/>
      <c r="H18" s="17" t="n"/>
      <c r="I18" s="17" t="n"/>
      <c r="J18" s="17" t="n"/>
      <c r="K18" s="18" t="n"/>
      <c r="L18" s="17" t="n"/>
      <c r="M18" s="17" t="n"/>
      <c r="N18" s="17" t="n"/>
      <c r="O18" s="17" t="n"/>
      <c r="P18" s="17" t="n"/>
      <c r="Q18" s="17" t="n"/>
      <c r="R18" s="18" t="n"/>
      <c r="S18" s="144" t="n"/>
      <c r="T18" s="144" t="n"/>
      <c r="U18" s="144" t="n"/>
      <c r="V18" s="144" t="n"/>
      <c r="W18" s="144" t="n"/>
      <c r="X18" s="144" t="n"/>
      <c r="Y18" s="144" t="n"/>
    </row>
    <row r="19">
      <c r="C19" s="18" t="inlineStr">
        <is>
          <t>2．2025年</t>
        </is>
      </c>
    </row>
    <row r="20">
      <c r="C20" s="117" t="n"/>
      <c r="D20" s="118" t="n"/>
      <c r="E20" s="117" t="inlineStr">
        <is>
          <t>売上</t>
        </is>
      </c>
      <c r="F20" s="120" t="n"/>
      <c r="G20" s="120" t="n"/>
      <c r="H20" s="120" t="n"/>
      <c r="I20" s="120" t="n"/>
      <c r="J20" s="120" t="n"/>
      <c r="K20" s="118" t="n"/>
      <c r="L20" s="121" t="inlineStr">
        <is>
          <t>粗利益</t>
        </is>
      </c>
      <c r="M20" s="120" t="n"/>
      <c r="N20" s="120" t="n"/>
      <c r="O20" s="120" t="n"/>
      <c r="P20" s="120" t="n"/>
      <c r="Q20" s="120" t="n"/>
      <c r="R20" s="118" t="n"/>
      <c r="S20" s="121" t="inlineStr">
        <is>
          <t>粗利益率</t>
        </is>
      </c>
      <c r="T20" s="120" t="n"/>
      <c r="U20" s="120" t="n"/>
      <c r="V20" s="120" t="n"/>
      <c r="W20" s="120" t="n"/>
      <c r="X20" s="120" t="n"/>
      <c r="Y20" s="118" t="n"/>
    </row>
    <row r="21">
      <c r="C21" s="1" t="n"/>
      <c r="D21" s="21" t="n"/>
      <c r="E21" s="61" t="n">
        <v>45748</v>
      </c>
      <c r="F21" s="2" t="n">
        <v>45778</v>
      </c>
      <c r="G21" s="2" t="n">
        <v>45809</v>
      </c>
      <c r="H21" s="2" t="n">
        <v>45839</v>
      </c>
      <c r="I21" s="2" t="n">
        <v>45870</v>
      </c>
      <c r="J21" s="2" t="n">
        <v>45901</v>
      </c>
      <c r="K21" s="10" t="inlineStr">
        <is>
          <t>合計</t>
        </is>
      </c>
      <c r="L21" s="61" t="n">
        <v>45748</v>
      </c>
      <c r="M21" s="2" t="n">
        <v>45778</v>
      </c>
      <c r="N21" s="2" t="n">
        <v>45809</v>
      </c>
      <c r="O21" s="2" t="n">
        <v>45839</v>
      </c>
      <c r="P21" s="2" t="n">
        <v>45870</v>
      </c>
      <c r="Q21" s="2" t="n">
        <v>45901</v>
      </c>
      <c r="R21" s="10" t="inlineStr">
        <is>
          <t>合計</t>
        </is>
      </c>
      <c r="S21" s="61" t="n">
        <v>45748</v>
      </c>
      <c r="T21" s="2" t="n">
        <v>45778</v>
      </c>
      <c r="U21" s="2" t="n">
        <v>45809</v>
      </c>
      <c r="V21" s="2" t="n">
        <v>45839</v>
      </c>
      <c r="W21" s="2" t="n">
        <v>45870</v>
      </c>
      <c r="X21" s="2" t="n">
        <v>45901</v>
      </c>
      <c r="Y21" s="10" t="inlineStr">
        <is>
          <t>合計</t>
        </is>
      </c>
    </row>
    <row r="22">
      <c r="C22" s="60" t="inlineStr">
        <is>
          <t>0010 集計</t>
        </is>
      </c>
      <c r="D22" s="22" t="inlineStr">
        <is>
          <t>JF</t>
        </is>
      </c>
      <c r="E22" s="3" t="n"/>
      <c r="F22" s="4" t="n"/>
      <c r="G22" s="4" t="n"/>
      <c r="H22" s="4" t="n">
        <v>16</v>
      </c>
      <c r="I22" s="4" t="n"/>
      <c r="J22" s="4" t="n"/>
      <c r="K22" s="62">
        <f>SUM(E22:J22)</f>
        <v/>
      </c>
      <c r="L22" s="3" t="n"/>
      <c r="M22" s="4" t="n"/>
      <c r="N22" s="4" t="n"/>
      <c r="O22" s="4" t="n">
        <v>16</v>
      </c>
      <c r="P22" s="4" t="n"/>
      <c r="Q22" s="4" t="n"/>
      <c r="R22" s="62">
        <f>SUM(L22:Q22)</f>
        <v/>
      </c>
      <c r="S22" s="145">
        <f>IF(E22=0,"***",L22/E22)</f>
        <v/>
      </c>
      <c r="T22" s="136">
        <f>IF(F22=0,"***",M22/F22)</f>
        <v/>
      </c>
      <c r="U22" s="136">
        <f>IF(G22=0,"***",N22/G22)</f>
        <v/>
      </c>
      <c r="V22" s="136">
        <f>IF(H22=0,"***",O22/H22)</f>
        <v/>
      </c>
      <c r="W22" s="136">
        <f>IF(I22=0,"***",P22/I22)</f>
        <v/>
      </c>
      <c r="X22" s="136">
        <f>IF(J22=0,"***",Q22/J22)</f>
        <v/>
      </c>
      <c r="Y22" s="137">
        <f>IF(K22=0,"***",R22/K22)</f>
        <v/>
      </c>
    </row>
    <row r="23">
      <c r="C23" s="60" t="inlineStr">
        <is>
          <t>0017 集計</t>
        </is>
      </c>
      <c r="D23" s="22" t="inlineStr">
        <is>
          <t>鮮魚</t>
        </is>
      </c>
      <c r="E23" s="3" t="n"/>
      <c r="F23" s="4" t="n">
        <v>110</v>
      </c>
      <c r="G23" s="4" t="n"/>
      <c r="H23" s="4" t="n"/>
      <c r="I23" s="4" t="n"/>
      <c r="J23" s="4" t="n"/>
      <c r="K23" s="62">
        <f>SUM(E23:J23)</f>
        <v/>
      </c>
      <c r="L23" s="3" t="n"/>
      <c r="M23" s="4" t="n">
        <v>27</v>
      </c>
      <c r="N23" s="4" t="n"/>
      <c r="O23" s="4" t="n"/>
      <c r="P23" s="4" t="n"/>
      <c r="Q23" s="4" t="n"/>
      <c r="R23" s="62">
        <f>SUM(L23:Q23)</f>
        <v/>
      </c>
      <c r="S23" s="145">
        <f>IF(E23=0,"***",L23/E23)</f>
        <v/>
      </c>
      <c r="T23" s="136">
        <f>IF(F23=0,"***",M23/F23)</f>
        <v/>
      </c>
      <c r="U23" s="136">
        <f>IF(G23=0,"***",N23/G23)</f>
        <v/>
      </c>
      <c r="V23" s="136">
        <f>IF(H23=0,"***",O23/H23)</f>
        <v/>
      </c>
      <c r="W23" s="136">
        <f>IF(I23=0,"***",P23/I23)</f>
        <v/>
      </c>
      <c r="X23" s="136">
        <f>IF(J23=0,"***",Q23/J23)</f>
        <v/>
      </c>
      <c r="Y23" s="137">
        <f>IF(K23=0,"***",R23/K23)</f>
        <v/>
      </c>
    </row>
    <row r="24">
      <c r="C24" s="60" t="inlineStr">
        <is>
          <t>0101 集計</t>
        </is>
      </c>
      <c r="D24" s="22" t="inlineStr">
        <is>
          <t>GS</t>
        </is>
      </c>
      <c r="E24" s="3" t="n"/>
      <c r="F24" s="4" t="n"/>
      <c r="G24" s="4" t="n"/>
      <c r="H24" s="4" t="n"/>
      <c r="I24" s="4" t="n"/>
      <c r="J24" s="4" t="n"/>
      <c r="K24" s="62">
        <f>SUM(E24:J24)</f>
        <v/>
      </c>
      <c r="L24" s="3" t="n"/>
      <c r="M24" s="4" t="n"/>
      <c r="N24" s="4" t="n"/>
      <c r="O24" s="4" t="n"/>
      <c r="P24" s="4" t="n"/>
      <c r="Q24" s="4" t="n"/>
      <c r="R24" s="62">
        <f>SUM(L24:Q24)</f>
        <v/>
      </c>
      <c r="S24" s="145">
        <f>IF(E24=0,"***",L24/E24)</f>
        <v/>
      </c>
      <c r="T24" s="136">
        <f>IF(F24=0,"***",M24/F24)</f>
        <v/>
      </c>
      <c r="U24" s="136">
        <f>IF(G24=0,"***",N24/G24)</f>
        <v/>
      </c>
      <c r="V24" s="136">
        <f>IF(H24=0,"***",O24/H24)</f>
        <v/>
      </c>
      <c r="W24" s="136">
        <f>IF(I24=0,"***",P24/I24)</f>
        <v/>
      </c>
      <c r="X24" s="136">
        <f>IF(J24=0,"***",Q24/J24)</f>
        <v/>
      </c>
      <c r="Y24" s="137">
        <f>IF(K24=0,"***",R24/K24)</f>
        <v/>
      </c>
    </row>
    <row r="25">
      <c r="C25" s="60" t="inlineStr">
        <is>
          <t>0106 集計</t>
        </is>
      </c>
      <c r="D25" s="22" t="inlineStr">
        <is>
          <t>浜田荷役</t>
        </is>
      </c>
      <c r="E25" s="3" t="n"/>
      <c r="F25" s="4" t="n"/>
      <c r="G25" s="4" t="n"/>
      <c r="H25" s="4" t="n"/>
      <c r="I25" s="4" t="n"/>
      <c r="J25" s="4" t="n"/>
      <c r="K25" s="62">
        <f>SUM(E25:J25)</f>
        <v/>
      </c>
      <c r="L25" s="3" t="n"/>
      <c r="M25" s="4" t="n"/>
      <c r="N25" s="4" t="n"/>
      <c r="O25" s="4" t="n"/>
      <c r="P25" s="4" t="n"/>
      <c r="Q25" s="4" t="n"/>
      <c r="R25" s="62">
        <f>SUM(L25:Q25)</f>
        <v/>
      </c>
      <c r="S25" s="145">
        <f>IF(E25=0,"***",L25/E25)</f>
        <v/>
      </c>
      <c r="T25" s="136">
        <f>IF(F25=0,"***",M25/F25)</f>
        <v/>
      </c>
      <c r="U25" s="136">
        <f>IF(G25=0,"***",N25/G25)</f>
        <v/>
      </c>
      <c r="V25" s="136">
        <f>IF(H25=0,"***",O25/H25)</f>
        <v/>
      </c>
      <c r="W25" s="136">
        <f>IF(I25=0,"***",P25/I25)</f>
        <v/>
      </c>
      <c r="X25" s="136">
        <f>IF(J25=0,"***",Q25/J25)</f>
        <v/>
      </c>
      <c r="Y25" s="137">
        <f>IF(K25=0,"***",R25/K25)</f>
        <v/>
      </c>
    </row>
    <row r="26">
      <c r="C26" s="60" t="inlineStr">
        <is>
          <t>浜田水産部合計</t>
        </is>
      </c>
      <c r="D26" s="22" t="n"/>
      <c r="E26" s="3">
        <f>SUM(E22:E25)</f>
        <v/>
      </c>
      <c r="F26" s="4">
        <f>SUM(F22:F25)</f>
        <v/>
      </c>
      <c r="G26" s="4">
        <f>SUM(G22:G25)</f>
        <v/>
      </c>
      <c r="H26" s="4">
        <f>SUM(H22:H25)</f>
        <v/>
      </c>
      <c r="I26" s="4">
        <f>SUM(I22:I25)</f>
        <v/>
      </c>
      <c r="J26" s="4">
        <f>SUM(J22:J25)</f>
        <v/>
      </c>
      <c r="K26" s="62">
        <f>SUM(E26:J26)</f>
        <v/>
      </c>
      <c r="L26" s="3">
        <f>SUM(L22:L25)</f>
        <v/>
      </c>
      <c r="M26" s="4">
        <f>SUM(M22:M25)</f>
        <v/>
      </c>
      <c r="N26" s="4">
        <f>SUM(N22:N25)</f>
        <v/>
      </c>
      <c r="O26" s="4">
        <f>SUM(O22:O25)</f>
        <v/>
      </c>
      <c r="P26" s="4">
        <f>SUM(P22:P25)</f>
        <v/>
      </c>
      <c r="Q26" s="4">
        <f>SUM(Q22:Q25)</f>
        <v/>
      </c>
      <c r="R26" s="62">
        <f>SUM(L26:Q26)</f>
        <v/>
      </c>
      <c r="S26" s="145">
        <f>IF(E26=0,"***",L26/E26)</f>
        <v/>
      </c>
      <c r="T26" s="136">
        <f>IF(F26=0,"***",M26/F26)</f>
        <v/>
      </c>
      <c r="U26" s="136">
        <f>IF(G26=0,"***",N26/G26)</f>
        <v/>
      </c>
      <c r="V26" s="136">
        <f>IF(H26=0,"***",O26/H26)</f>
        <v/>
      </c>
      <c r="W26" s="136">
        <f>IF(I26=0,"***",P26/I26)</f>
        <v/>
      </c>
      <c r="X26" s="136">
        <f>IF(J26=0,"***",Q26/J26)</f>
        <v/>
      </c>
      <c r="Y26" s="137">
        <f>IF(K26=0,"***",R26/K26)</f>
        <v/>
      </c>
    </row>
    <row r="27">
      <c r="C27" s="60" t="inlineStr">
        <is>
          <t>0102 集計</t>
        </is>
      </c>
      <c r="D27" s="22" t="inlineStr">
        <is>
          <t>JF大田</t>
        </is>
      </c>
      <c r="E27" s="3" t="n"/>
      <c r="F27" s="4" t="n"/>
      <c r="G27" s="4" t="n"/>
      <c r="H27" s="4" t="n"/>
      <c r="I27" s="4" t="n"/>
      <c r="J27" s="4" t="n"/>
      <c r="K27" s="62">
        <f>SUM(E27:J27)</f>
        <v/>
      </c>
      <c r="L27" s="3" t="n"/>
      <c r="M27" s="4" t="n"/>
      <c r="N27" s="4" t="n"/>
      <c r="O27" s="4" t="n"/>
      <c r="P27" s="4" t="n"/>
      <c r="Q27" s="4" t="n"/>
      <c r="R27" s="62">
        <f>SUM(L27:Q27)</f>
        <v/>
      </c>
      <c r="S27" s="145">
        <f>IF(E27=0,"***",L27/E27)</f>
        <v/>
      </c>
      <c r="T27" s="136">
        <f>IF(F27=0,"***",M27/F27)</f>
        <v/>
      </c>
      <c r="U27" s="136">
        <f>IF(G27=0,"***",N27/G27)</f>
        <v/>
      </c>
      <c r="V27" s="136">
        <f>IF(H27=0,"***",O27/H27)</f>
        <v/>
      </c>
      <c r="W27" s="136">
        <f>IF(I27=0,"***",P27/I27)</f>
        <v/>
      </c>
      <c r="X27" s="136">
        <f>IF(J27=0,"***",Q27/J27)</f>
        <v/>
      </c>
      <c r="Y27" s="137">
        <f>IF(K27=0,"***",R27/K27)</f>
        <v/>
      </c>
    </row>
    <row r="28">
      <c r="C28" s="60" t="inlineStr">
        <is>
          <t>0104 集計</t>
        </is>
      </c>
      <c r="D28" s="22" t="inlineStr">
        <is>
          <t>大田荷役</t>
        </is>
      </c>
      <c r="E28" s="3" t="n"/>
      <c r="F28" s="4" t="n"/>
      <c r="G28" s="4" t="n"/>
      <c r="H28" s="4" t="n"/>
      <c r="I28" s="4" t="n"/>
      <c r="J28" s="4" t="n"/>
      <c r="K28" s="62">
        <f>SUM(E28:J28)</f>
        <v/>
      </c>
      <c r="L28" s="3" t="n"/>
      <c r="M28" s="4" t="n"/>
      <c r="N28" s="4" t="n"/>
      <c r="O28" s="4" t="n"/>
      <c r="P28" s="4" t="n"/>
      <c r="Q28" s="4" t="n"/>
      <c r="R28" s="62">
        <f>SUM(L28:Q28)</f>
        <v/>
      </c>
      <c r="S28" s="145">
        <f>IF(E28=0,"***",L28/E28)</f>
        <v/>
      </c>
      <c r="T28" s="136">
        <f>IF(F28=0,"***",M28/F28)</f>
        <v/>
      </c>
      <c r="U28" s="136">
        <f>IF(G28=0,"***",N28/G28)</f>
        <v/>
      </c>
      <c r="V28" s="136">
        <f>IF(H28=0,"***",O28/H28)</f>
        <v/>
      </c>
      <c r="W28" s="136">
        <f>IF(I28=0,"***",P28/I28)</f>
        <v/>
      </c>
      <c r="X28" s="136">
        <f>IF(J28=0,"***",Q28/J28)</f>
        <v/>
      </c>
      <c r="Y28" s="137">
        <f>IF(K28=0,"***",R28/K28)</f>
        <v/>
      </c>
    </row>
    <row r="29">
      <c r="C29" s="60" t="inlineStr">
        <is>
          <t>大田水産部</t>
        </is>
      </c>
      <c r="D29" s="22" t="n"/>
      <c r="E29" s="3">
        <f>SUM(E27:E28)</f>
        <v/>
      </c>
      <c r="F29" s="20">
        <f>SUM(F27:F28)</f>
        <v/>
      </c>
      <c r="G29" s="20">
        <f>SUM(G27:G28)</f>
        <v/>
      </c>
      <c r="H29" s="20">
        <f>SUM(H27:H28)</f>
        <v/>
      </c>
      <c r="I29" s="20">
        <f>SUM(I27:I28)</f>
        <v/>
      </c>
      <c r="J29" s="20">
        <f>SUM(J27:J28)</f>
        <v/>
      </c>
      <c r="K29" s="62">
        <f>SUM(K27:K28)</f>
        <v/>
      </c>
      <c r="L29" s="3">
        <f>SUM(L27:L28)</f>
        <v/>
      </c>
      <c r="M29" s="20">
        <f>SUM(M27:M28)</f>
        <v/>
      </c>
      <c r="N29" s="20">
        <f>SUM(N27:N28)</f>
        <v/>
      </c>
      <c r="O29" s="20">
        <f>SUM(O27:O28)</f>
        <v/>
      </c>
      <c r="P29" s="20">
        <f>SUM(P27:P28)</f>
        <v/>
      </c>
      <c r="Q29" s="20">
        <f>SUM(Q27:Q28)</f>
        <v/>
      </c>
      <c r="R29" s="62">
        <f>SUM(R27:R28)</f>
        <v/>
      </c>
      <c r="S29" s="145">
        <f>IF(E29=0,"***",L29/E29)</f>
        <v/>
      </c>
      <c r="T29" s="136">
        <f>IF(F29=0,"***",M29/F29)</f>
        <v/>
      </c>
      <c r="U29" s="136">
        <f>IF(G29=0,"***",N29/G29)</f>
        <v/>
      </c>
      <c r="V29" s="136">
        <f>IF(H29=0,"***",O29/H29)</f>
        <v/>
      </c>
      <c r="W29" s="136">
        <f>IF(I29=0,"***",P29/I29)</f>
        <v/>
      </c>
      <c r="X29" s="136">
        <f>IF(J29=0,"***",Q29/J29)</f>
        <v/>
      </c>
      <c r="Y29" s="137">
        <f>IF(K29=0,"***",R29/K29)</f>
        <v/>
      </c>
    </row>
    <row r="30">
      <c r="C30" s="60" t="inlineStr">
        <is>
          <t>0031 集計</t>
        </is>
      </c>
      <c r="D30" s="22" t="inlineStr">
        <is>
          <t>JF境</t>
        </is>
      </c>
      <c r="E30" s="3" t="n">
        <v>296.05</v>
      </c>
      <c r="F30" s="20" t="n">
        <v>78.5</v>
      </c>
      <c r="G30" s="20" t="n">
        <v>49.2</v>
      </c>
      <c r="H30" s="20" t="n">
        <v>60.3</v>
      </c>
      <c r="I30" s="20" t="n">
        <v>90.48</v>
      </c>
      <c r="J30" s="20" t="n">
        <v>206.326</v>
      </c>
      <c r="K30" s="62">
        <f>SUM(E30:J30)</f>
        <v/>
      </c>
      <c r="L30" s="3" t="n">
        <v>44.57</v>
      </c>
      <c r="M30" s="20" t="n">
        <v>18.9</v>
      </c>
      <c r="N30" s="20" t="n">
        <v>6.5</v>
      </c>
      <c r="O30" s="20" t="n">
        <v>8.699999999999999</v>
      </c>
      <c r="P30" s="20" t="n">
        <v>5.48</v>
      </c>
      <c r="Q30" s="20" t="n">
        <v>47.345</v>
      </c>
      <c r="R30" s="62">
        <f>SUM(L30:Q30)</f>
        <v/>
      </c>
      <c r="S30" s="145">
        <f>IF(E30=0,"***",L30/E30)</f>
        <v/>
      </c>
      <c r="T30" s="136">
        <f>IF(F30=0,"***",M30/F30)</f>
        <v/>
      </c>
      <c r="U30" s="136">
        <f>IF(G30=0,"***",N30/G30)</f>
        <v/>
      </c>
      <c r="V30" s="136">
        <f>IF(H30=0,"***",O30/H30)</f>
        <v/>
      </c>
      <c r="W30" s="136">
        <f>IF(I30=0,"***",P30/I30)</f>
        <v/>
      </c>
      <c r="X30" s="136">
        <f>IF(J30=0,"***",Q30/J30)</f>
        <v/>
      </c>
      <c r="Y30" s="137">
        <f>IF(K30=0,"***",R30/K30)</f>
        <v/>
      </c>
    </row>
    <row r="31">
      <c r="C31" s="60" t="inlineStr">
        <is>
          <t>0038 集計</t>
        </is>
      </c>
      <c r="D31" s="83" t="inlineStr">
        <is>
          <t>境その他</t>
        </is>
      </c>
      <c r="E31" s="88" t="n"/>
      <c r="F31" s="84" t="n"/>
      <c r="G31" s="84" t="n"/>
      <c r="H31" s="84" t="n"/>
      <c r="I31" s="84" t="n"/>
      <c r="J31" s="84" t="n"/>
      <c r="K31" s="62">
        <f>SUM(E31:J31)</f>
        <v/>
      </c>
      <c r="L31" s="88" t="n"/>
      <c r="M31" s="84" t="n"/>
      <c r="N31" s="84" t="n"/>
      <c r="O31" s="84" t="n"/>
      <c r="P31" s="84" t="n"/>
      <c r="Q31" s="84" t="n"/>
      <c r="R31" s="62">
        <f>SUM(L31:Q31)</f>
        <v/>
      </c>
      <c r="S31" s="145">
        <f>IF(E31=0,"***",L31/E31)</f>
        <v/>
      </c>
      <c r="T31" s="136">
        <f>IF(F31=0,"***",M31/F31)</f>
        <v/>
      </c>
      <c r="U31" s="136">
        <f>IF(G31=0,"***",N31/G31)</f>
        <v/>
      </c>
      <c r="V31" s="136">
        <f>IF(H31=0,"***",O31/H31)</f>
        <v/>
      </c>
      <c r="W31" s="136">
        <f>IF(I31=0,"***",P31/I31)</f>
        <v/>
      </c>
      <c r="X31" s="136">
        <f>IF(J31=0,"***",Q31/J31)</f>
        <v/>
      </c>
      <c r="Y31" s="137">
        <f>IF(K31=0,"***",R31/K31)</f>
        <v/>
      </c>
    </row>
    <row r="32">
      <c r="C32" s="82" t="inlineStr">
        <is>
          <t>境港水産部合計</t>
        </is>
      </c>
      <c r="D32" s="83" t="n"/>
      <c r="E32" s="84">
        <f>E30+E31</f>
        <v/>
      </c>
      <c r="F32" s="84">
        <f>F30+F31</f>
        <v/>
      </c>
      <c r="G32" s="84">
        <f>G30+G31</f>
        <v/>
      </c>
      <c r="H32" s="84">
        <f>H30+H31</f>
        <v/>
      </c>
      <c r="I32" s="84">
        <f>I30+I31</f>
        <v/>
      </c>
      <c r="J32" s="84">
        <f>J30+J31</f>
        <v/>
      </c>
      <c r="K32" s="62">
        <f>SUM(E32:J32)</f>
        <v/>
      </c>
      <c r="L32" s="84">
        <f>L30+L31</f>
        <v/>
      </c>
      <c r="M32" s="84">
        <f>M30+M31</f>
        <v/>
      </c>
      <c r="N32" s="84">
        <f>N30+N31</f>
        <v/>
      </c>
      <c r="O32" s="84">
        <f>O30+O31</f>
        <v/>
      </c>
      <c r="P32" s="84">
        <f>P30+P31</f>
        <v/>
      </c>
      <c r="Q32" s="84">
        <f>Q30+Q31</f>
        <v/>
      </c>
      <c r="R32" s="62">
        <f>SUM(L32:Q32)</f>
        <v/>
      </c>
      <c r="S32" s="145">
        <f>IF(E32=0,"***",L32/E32)</f>
        <v/>
      </c>
      <c r="T32" s="136">
        <f>IF(F32=0,"***",M32/F32)</f>
        <v/>
      </c>
      <c r="U32" s="136">
        <f>IF(G32=0,"***",N32/G32)</f>
        <v/>
      </c>
      <c r="V32" s="136">
        <f>IF(H32=0,"***",O32/H32)</f>
        <v/>
      </c>
      <c r="W32" s="136">
        <f>IF(I32=0,"***",P32/I32)</f>
        <v/>
      </c>
      <c r="X32" s="136">
        <f>IF(J32=0,"***",Q32/J32)</f>
        <v/>
      </c>
      <c r="Y32" s="137">
        <f>IF(K32=0,"***",R32/K32)</f>
        <v/>
      </c>
    </row>
    <row r="33">
      <c r="C33" s="53" t="inlineStr">
        <is>
          <t>合計</t>
        </is>
      </c>
      <c r="D33" s="54" t="n"/>
      <c r="E33" s="8">
        <f>E26+E29+E32</f>
        <v/>
      </c>
      <c r="F33" s="8">
        <f>F26+F29+F32</f>
        <v/>
      </c>
      <c r="G33" s="8">
        <f>G26+G29+G32</f>
        <v/>
      </c>
      <c r="H33" s="8">
        <f>H26+H29+H32</f>
        <v/>
      </c>
      <c r="I33" s="8">
        <f>I26+I29+I32</f>
        <v/>
      </c>
      <c r="J33" s="8">
        <f>J26+J29+J32</f>
        <v/>
      </c>
      <c r="K33" s="64">
        <f>K26+K29+K32</f>
        <v/>
      </c>
      <c r="L33" s="8">
        <f>L26+L29+L32</f>
        <v/>
      </c>
      <c r="M33" s="8">
        <f>M26+M29+M32</f>
        <v/>
      </c>
      <c r="N33" s="8">
        <f>N26+N29+N32</f>
        <v/>
      </c>
      <c r="O33" s="8">
        <f>O26+O29+O32</f>
        <v/>
      </c>
      <c r="P33" s="8">
        <f>P26+P29+P32</f>
        <v/>
      </c>
      <c r="Q33" s="8">
        <f>Q26+Q29+Q32</f>
        <v/>
      </c>
      <c r="R33" s="64">
        <f>R26+R29+R32</f>
        <v/>
      </c>
      <c r="S33" s="146">
        <f>IF(E33=0,"***",L33/E33)</f>
        <v/>
      </c>
      <c r="T33" s="139">
        <f>IF(F33=0,"***",M33/F33)</f>
        <v/>
      </c>
      <c r="U33" s="139">
        <f>IF(G33=0,"***",N33/G33)</f>
        <v/>
      </c>
      <c r="V33" s="139">
        <f>IF(H33=0,"***",O33/H33)</f>
        <v/>
      </c>
      <c r="W33" s="139">
        <f>IF(I33=0,"***",P33/I33)</f>
        <v/>
      </c>
      <c r="X33" s="139">
        <f>IF(J33=0,"***",Q33/J33)</f>
        <v/>
      </c>
      <c r="Y33" s="140">
        <f>IF(K33=0,"***",R33/K33)</f>
        <v/>
      </c>
    </row>
    <row r="34">
      <c r="C34" s="74" t="inlineStr">
        <is>
          <t>【参考】大海分</t>
        </is>
      </c>
      <c r="D34" s="75" t="n"/>
      <c r="E34" s="98" t="n"/>
      <c r="F34" s="98" t="n"/>
      <c r="G34" s="98" t="n"/>
      <c r="H34" s="98" t="n"/>
      <c r="I34" s="98" t="n"/>
      <c r="J34" s="98" t="n"/>
      <c r="K34" s="103">
        <f>SUM(E34:J34)</f>
        <v/>
      </c>
      <c r="L34" s="98" t="n"/>
      <c r="M34" s="98" t="n"/>
      <c r="N34" s="98" t="n"/>
      <c r="O34" s="98" t="n"/>
      <c r="P34" s="98" t="n"/>
      <c r="Q34" s="98" t="n"/>
      <c r="R34" s="103">
        <f>SUM(L34:Q34)</f>
        <v/>
      </c>
      <c r="S34" s="142">
        <f>IF(E34=0,"***",L34/E34)</f>
        <v/>
      </c>
      <c r="T34" s="142">
        <f>IF(F34=0,"***",M34/F34)</f>
        <v/>
      </c>
      <c r="U34" s="142">
        <f>IF(G34=0,"***",N34/G34)</f>
        <v/>
      </c>
      <c r="V34" s="142">
        <f>IF(H34=0,"***",O34/H34)</f>
        <v/>
      </c>
      <c r="W34" s="142">
        <f>IF(I34=0,"***",P34/I34)</f>
        <v/>
      </c>
      <c r="X34" s="142">
        <f>IF(J34=0,"***",Q34/J34)</f>
        <v/>
      </c>
      <c r="Y34" s="143">
        <f>IF(K34=0,"***",R34/K34)</f>
        <v/>
      </c>
    </row>
    <row r="35">
      <c r="C35" s="18" t="n"/>
      <c r="E35" s="17" t="n"/>
      <c r="F35" s="17" t="n"/>
      <c r="G35" s="17" t="n"/>
      <c r="H35" s="17" t="n"/>
      <c r="I35" s="17" t="n"/>
      <c r="J35" s="17" t="n"/>
      <c r="K35" s="18" t="n"/>
      <c r="L35" s="17" t="n"/>
      <c r="M35" s="17" t="n"/>
      <c r="N35" s="17" t="n"/>
      <c r="O35" s="17" t="n"/>
      <c r="P35" s="17" t="n"/>
      <c r="Q35" s="17" t="n"/>
      <c r="R35" s="18" t="n"/>
      <c r="S35" s="144" t="n"/>
      <c r="T35" s="144" t="n"/>
      <c r="U35" s="144" t="n"/>
      <c r="V35" s="144" t="n"/>
      <c r="W35" s="144" t="n"/>
      <c r="X35" s="144" t="n"/>
      <c r="Y35" s="144" t="n"/>
    </row>
    <row r="36">
      <c r="C36" s="18" t="inlineStr">
        <is>
          <t>3．過年度平均</t>
        </is>
      </c>
    </row>
    <row r="37">
      <c r="C37" s="117" t="n"/>
      <c r="D37" s="118" t="n"/>
      <c r="E37" s="122" t="inlineStr">
        <is>
          <t>売上</t>
        </is>
      </c>
      <c r="F37" s="120" t="n"/>
      <c r="G37" s="120" t="n"/>
      <c r="H37" s="120" t="n"/>
      <c r="I37" s="120" t="n"/>
      <c r="J37" s="120" t="n"/>
      <c r="K37" s="120" t="n"/>
      <c r="L37" s="121" t="inlineStr">
        <is>
          <t>粗利益</t>
        </is>
      </c>
      <c r="M37" s="120" t="n"/>
      <c r="N37" s="120" t="n"/>
      <c r="O37" s="120" t="n"/>
      <c r="P37" s="120" t="n"/>
      <c r="Q37" s="120" t="n"/>
      <c r="R37" s="118" t="n"/>
      <c r="S37" s="121" t="inlineStr">
        <is>
          <t>粗利益率</t>
        </is>
      </c>
      <c r="T37" s="120" t="n"/>
      <c r="U37" s="120" t="n"/>
      <c r="V37" s="120" t="n"/>
      <c r="W37" s="120" t="n"/>
      <c r="X37" s="120" t="n"/>
      <c r="Y37" s="118" t="n"/>
    </row>
    <row r="38">
      <c r="C38" s="1" t="n"/>
      <c r="D38" s="21" t="n"/>
      <c r="E38" s="61" t="n">
        <v>45748</v>
      </c>
      <c r="F38" s="2" t="n">
        <v>45778</v>
      </c>
      <c r="G38" s="2" t="n">
        <v>45809</v>
      </c>
      <c r="H38" s="2" t="n">
        <v>45839</v>
      </c>
      <c r="I38" s="2" t="n">
        <v>45870</v>
      </c>
      <c r="J38" s="2" t="n">
        <v>45901</v>
      </c>
      <c r="K38" s="10" t="inlineStr">
        <is>
          <t>合計</t>
        </is>
      </c>
      <c r="L38" s="61" t="n">
        <v>45748</v>
      </c>
      <c r="M38" s="2" t="n">
        <v>45778</v>
      </c>
      <c r="N38" s="2" t="n">
        <v>45809</v>
      </c>
      <c r="O38" s="2" t="n">
        <v>45839</v>
      </c>
      <c r="P38" s="2" t="n">
        <v>45870</v>
      </c>
      <c r="Q38" s="2" t="n">
        <v>45901</v>
      </c>
      <c r="R38" s="10" t="inlineStr">
        <is>
          <t>合計</t>
        </is>
      </c>
      <c r="S38" s="61" t="n">
        <v>45748</v>
      </c>
      <c r="T38" s="2" t="n">
        <v>45778</v>
      </c>
      <c r="U38" s="2" t="n">
        <v>45809</v>
      </c>
      <c r="V38" s="2" t="n">
        <v>45839</v>
      </c>
      <c r="W38" s="2" t="n">
        <v>45870</v>
      </c>
      <c r="X38" s="2" t="n">
        <v>45901</v>
      </c>
      <c r="Y38" s="10" t="inlineStr">
        <is>
          <t>合計</t>
        </is>
      </c>
    </row>
    <row r="39">
      <c r="C39" s="60" t="inlineStr">
        <is>
          <t>0010 集計</t>
        </is>
      </c>
      <c r="D39" s="22" t="inlineStr">
        <is>
          <t>JF</t>
        </is>
      </c>
      <c r="E39" s="4">
        <f>(E22+E5)/2</f>
        <v/>
      </c>
      <c r="F39" s="4">
        <f>(F22+F5)/2</f>
        <v/>
      </c>
      <c r="G39" s="4">
        <f>(G22+G5)/2</f>
        <v/>
      </c>
      <c r="H39" s="4">
        <f>(H22+H5)/2</f>
        <v/>
      </c>
      <c r="I39" s="4">
        <f>(I22+I5)/2</f>
        <v/>
      </c>
      <c r="J39" s="4">
        <f>(J22+J5)/2</f>
        <v/>
      </c>
      <c r="K39" s="7">
        <f>SUM(E39:J39)</f>
        <v/>
      </c>
      <c r="L39" s="4">
        <f>(L22+L5)/2</f>
        <v/>
      </c>
      <c r="M39" s="4">
        <f>(M22+M5)/2</f>
        <v/>
      </c>
      <c r="N39" s="4">
        <f>(N22+N5)/2</f>
        <v/>
      </c>
      <c r="O39" s="4">
        <f>(O22+O5)/2</f>
        <v/>
      </c>
      <c r="P39" s="4">
        <f>(P22+P5)/2</f>
        <v/>
      </c>
      <c r="Q39" s="4">
        <f>(Q22+Q5)/2</f>
        <v/>
      </c>
      <c r="R39" s="7">
        <f>SUM(L39:Q39)</f>
        <v/>
      </c>
      <c r="S39" s="136">
        <f>IF(E39=0,"***",L39/E39)</f>
        <v/>
      </c>
      <c r="T39" s="136">
        <f>IF(F39=0,"***",M39/F39)</f>
        <v/>
      </c>
      <c r="U39" s="136">
        <f>IF(G39=0,"***",N39/G39)</f>
        <v/>
      </c>
      <c r="V39" s="136">
        <f>IF(H39=0,"***",O39/H39)</f>
        <v/>
      </c>
      <c r="W39" s="136">
        <f>IF(I39=0,"***",P39/I39)</f>
        <v/>
      </c>
      <c r="X39" s="136">
        <f>IF(J39=0,"***",Q39/J39)</f>
        <v/>
      </c>
      <c r="Y39" s="137">
        <f>IF(K39=0,"***",R39/K39)</f>
        <v/>
      </c>
    </row>
    <row r="40">
      <c r="C40" s="60" t="inlineStr">
        <is>
          <t>0017 集計</t>
        </is>
      </c>
      <c r="D40" s="22" t="inlineStr">
        <is>
          <t>鮮魚</t>
        </is>
      </c>
      <c r="E40" s="4">
        <f>(E23+E6)/2</f>
        <v/>
      </c>
      <c r="F40" s="4">
        <f>(F23+F6)/2</f>
        <v/>
      </c>
      <c r="G40" s="4">
        <f>(G23+G6)/2</f>
        <v/>
      </c>
      <c r="H40" s="4">
        <f>(H23+H6)/2</f>
        <v/>
      </c>
      <c r="I40" s="4">
        <f>(I23+I6)/2</f>
        <v/>
      </c>
      <c r="J40" s="4">
        <f>(J23+J6)/2</f>
        <v/>
      </c>
      <c r="K40" s="7">
        <f>SUM(E40:J40)</f>
        <v/>
      </c>
      <c r="L40" s="4">
        <f>(L23+L6)/2</f>
        <v/>
      </c>
      <c r="M40" s="4">
        <f>(M23+M6)/2</f>
        <v/>
      </c>
      <c r="N40" s="4">
        <f>(N23+N6)/2</f>
        <v/>
      </c>
      <c r="O40" s="4">
        <f>(O23+O6)/2</f>
        <v/>
      </c>
      <c r="P40" s="4">
        <f>(P23+P6)/2</f>
        <v/>
      </c>
      <c r="Q40" s="4">
        <f>(Q23+Q6)/2</f>
        <v/>
      </c>
      <c r="R40" s="7">
        <f>SUM(L40:Q40)</f>
        <v/>
      </c>
      <c r="S40" s="136">
        <f>IF(E40=0,"***",L40/E40)</f>
        <v/>
      </c>
      <c r="T40" s="136">
        <f>IF(F40=0,"***",M40/F40)</f>
        <v/>
      </c>
      <c r="U40" s="136">
        <f>IF(G40=0,"***",N40/G40)</f>
        <v/>
      </c>
      <c r="V40" s="136">
        <f>IF(H40=0,"***",O40/H40)</f>
        <v/>
      </c>
      <c r="W40" s="136">
        <f>IF(I40=0,"***",P40/I40)</f>
        <v/>
      </c>
      <c r="X40" s="136">
        <f>IF(J40=0,"***",Q40/J40)</f>
        <v/>
      </c>
      <c r="Y40" s="137">
        <f>IF(K40=0,"***",R40/K40)</f>
        <v/>
      </c>
    </row>
    <row r="41">
      <c r="C41" s="60" t="inlineStr">
        <is>
          <t>0101 集計</t>
        </is>
      </c>
      <c r="D41" s="22" t="inlineStr">
        <is>
          <t>GS</t>
        </is>
      </c>
      <c r="E41" s="4">
        <f>(E24+E7)/2</f>
        <v/>
      </c>
      <c r="F41" s="4">
        <f>(F24+F7)/2</f>
        <v/>
      </c>
      <c r="G41" s="4">
        <f>(G24+G7)/2</f>
        <v/>
      </c>
      <c r="H41" s="4">
        <f>(H24+H7)/2</f>
        <v/>
      </c>
      <c r="I41" s="4">
        <f>(I24+I7)/2</f>
        <v/>
      </c>
      <c r="J41" s="4">
        <f>(J24+J7)/2</f>
        <v/>
      </c>
      <c r="K41" s="7">
        <f>SUM(E41:J41)</f>
        <v/>
      </c>
      <c r="L41" s="4">
        <f>(L24+L7)/2</f>
        <v/>
      </c>
      <c r="M41" s="4">
        <f>(M24+M7)/2</f>
        <v/>
      </c>
      <c r="N41" s="4">
        <f>(N24+N7)/2</f>
        <v/>
      </c>
      <c r="O41" s="4">
        <f>(O24+O7)/2</f>
        <v/>
      </c>
      <c r="P41" s="4">
        <f>(P24+P7)/2</f>
        <v/>
      </c>
      <c r="Q41" s="4">
        <f>(Q24+Q7)/2</f>
        <v/>
      </c>
      <c r="R41" s="7">
        <f>SUM(L41:Q41)</f>
        <v/>
      </c>
      <c r="S41" s="136">
        <f>IF(E41=0,"***",L41/E41)</f>
        <v/>
      </c>
      <c r="T41" s="136">
        <f>IF(F41=0,"***",M41/F41)</f>
        <v/>
      </c>
      <c r="U41" s="136">
        <f>IF(G41=0,"***",N41/G41)</f>
        <v/>
      </c>
      <c r="V41" s="136">
        <f>IF(H41=0,"***",O41/H41)</f>
        <v/>
      </c>
      <c r="W41" s="136">
        <f>IF(I41=0,"***",P41/I41)</f>
        <v/>
      </c>
      <c r="X41" s="136">
        <f>IF(J41=0,"***",Q41/J41)</f>
        <v/>
      </c>
      <c r="Y41" s="137">
        <f>IF(K41=0,"***",R41/K41)</f>
        <v/>
      </c>
    </row>
    <row r="42">
      <c r="C42" s="60" t="inlineStr">
        <is>
          <t>0106 集計</t>
        </is>
      </c>
      <c r="D42" s="22" t="inlineStr">
        <is>
          <t>浜田荷役</t>
        </is>
      </c>
      <c r="E42" s="4">
        <f>(E25+E8)/2</f>
        <v/>
      </c>
      <c r="F42" s="4">
        <f>(F25+F8)/2</f>
        <v/>
      </c>
      <c r="G42" s="4">
        <f>(G25+G8)/2</f>
        <v/>
      </c>
      <c r="H42" s="4">
        <f>(H25+H8)/2</f>
        <v/>
      </c>
      <c r="I42" s="4">
        <f>(I25+I8)/2</f>
        <v/>
      </c>
      <c r="J42" s="4">
        <f>(J25+J8)/2</f>
        <v/>
      </c>
      <c r="K42" s="7">
        <f>SUM(E42:J42)</f>
        <v/>
      </c>
      <c r="L42" s="4">
        <f>(L25+L8)/2</f>
        <v/>
      </c>
      <c r="M42" s="4">
        <f>(M25+M8)/2</f>
        <v/>
      </c>
      <c r="N42" s="4">
        <f>(N25+N8)/2</f>
        <v/>
      </c>
      <c r="O42" s="4">
        <f>(O25+O8)/2</f>
        <v/>
      </c>
      <c r="P42" s="4">
        <f>(P25+P8)/2</f>
        <v/>
      </c>
      <c r="Q42" s="4">
        <f>(Q25+Q8)/2</f>
        <v/>
      </c>
      <c r="R42" s="7">
        <f>SUM(L42:Q42)</f>
        <v/>
      </c>
      <c r="S42" s="136">
        <f>IF(E42=0,"***",L42/E42)</f>
        <v/>
      </c>
      <c r="T42" s="136">
        <f>IF(F42=0,"***",M42/F42)</f>
        <v/>
      </c>
      <c r="U42" s="136">
        <f>IF(G42=0,"***",N42/G42)</f>
        <v/>
      </c>
      <c r="V42" s="136">
        <f>IF(H42=0,"***",O42/H42)</f>
        <v/>
      </c>
      <c r="W42" s="136">
        <f>IF(I42=0,"***",P42/I42)</f>
        <v/>
      </c>
      <c r="X42" s="136">
        <f>IF(J42=0,"***",Q42/J42)</f>
        <v/>
      </c>
      <c r="Y42" s="137">
        <f>IF(K42=0,"***",R42/K42)</f>
        <v/>
      </c>
    </row>
    <row r="43">
      <c r="C43" s="60" t="inlineStr">
        <is>
          <t>浜田水産部合計</t>
        </is>
      </c>
      <c r="D43" s="22" t="n"/>
      <c r="E43" s="4">
        <f>SUM(E39:E42)</f>
        <v/>
      </c>
      <c r="F43" s="4">
        <f>SUM(F39:F42)</f>
        <v/>
      </c>
      <c r="G43" s="4">
        <f>SUM(G39:G42)</f>
        <v/>
      </c>
      <c r="H43" s="4">
        <f>SUM(H39:H42)</f>
        <v/>
      </c>
      <c r="I43" s="4">
        <f>SUM(I39:I42)</f>
        <v/>
      </c>
      <c r="J43" s="4">
        <f>SUM(J39:J42)</f>
        <v/>
      </c>
      <c r="K43" s="7">
        <f>SUM(E43:J43)</f>
        <v/>
      </c>
      <c r="L43" s="4">
        <f>SUM(L39:L42)</f>
        <v/>
      </c>
      <c r="M43" s="4">
        <f>SUM(M39:M42)</f>
        <v/>
      </c>
      <c r="N43" s="4">
        <f>SUM(N39:N42)</f>
        <v/>
      </c>
      <c r="O43" s="4">
        <f>SUM(O39:O42)</f>
        <v/>
      </c>
      <c r="P43" s="4">
        <f>SUM(P39:P42)</f>
        <v/>
      </c>
      <c r="Q43" s="4">
        <f>SUM(Q39:Q42)</f>
        <v/>
      </c>
      <c r="R43" s="7">
        <f>SUM(L43:Q43)</f>
        <v/>
      </c>
      <c r="S43" s="136">
        <f>IF(E43=0,"***",L43/E43)</f>
        <v/>
      </c>
      <c r="T43" s="136">
        <f>IF(F43=0,"***",M43/F43)</f>
        <v/>
      </c>
      <c r="U43" s="136">
        <f>IF(G43=0,"***",N43/G43)</f>
        <v/>
      </c>
      <c r="V43" s="136">
        <f>IF(H43=0,"***",O43/H43)</f>
        <v/>
      </c>
      <c r="W43" s="136">
        <f>IF(I43=0,"***",P43/I43)</f>
        <v/>
      </c>
      <c r="X43" s="136">
        <f>IF(J43=0,"***",Q43/J43)</f>
        <v/>
      </c>
      <c r="Y43" s="137">
        <f>IF(K43=0,"***",R43/K43)</f>
        <v/>
      </c>
    </row>
    <row r="44">
      <c r="C44" s="60" t="inlineStr">
        <is>
          <t>0102 集計</t>
        </is>
      </c>
      <c r="D44" s="22" t="inlineStr">
        <is>
          <t>JF大田</t>
        </is>
      </c>
      <c r="E44" s="4">
        <f>(E27+E10)/2</f>
        <v/>
      </c>
      <c r="F44" s="4">
        <f>(F27+F10)/2</f>
        <v/>
      </c>
      <c r="G44" s="4">
        <f>(G27+G10)/2</f>
        <v/>
      </c>
      <c r="H44" s="4">
        <f>(H27+H10)/2</f>
        <v/>
      </c>
      <c r="I44" s="4">
        <f>(I27+I10)/2</f>
        <v/>
      </c>
      <c r="J44" s="4">
        <f>(J27+J10)/2</f>
        <v/>
      </c>
      <c r="K44" s="7">
        <f>SUM(E44:J44)</f>
        <v/>
      </c>
      <c r="L44" s="4">
        <f>(L27+L10)/2</f>
        <v/>
      </c>
      <c r="M44" s="4">
        <f>(M27+M10)/2</f>
        <v/>
      </c>
      <c r="N44" s="4">
        <f>(N27+N10)/2</f>
        <v/>
      </c>
      <c r="O44" s="4">
        <f>(O27+O10)/2</f>
        <v/>
      </c>
      <c r="P44" s="4">
        <f>(P27+P10)/2</f>
        <v/>
      </c>
      <c r="Q44" s="4">
        <f>(Q27+Q10)/2</f>
        <v/>
      </c>
      <c r="R44" s="7">
        <f>SUM(L44:Q44)</f>
        <v/>
      </c>
      <c r="S44" s="136">
        <f>IF(E44=0,"***",L44/E44)</f>
        <v/>
      </c>
      <c r="T44" s="136">
        <f>IF(F44=0,"***",M44/F44)</f>
        <v/>
      </c>
      <c r="U44" s="136">
        <f>IF(G44=0,"***",N44/G44)</f>
        <v/>
      </c>
      <c r="V44" s="136">
        <f>IF(H44=0,"***",O44/H44)</f>
        <v/>
      </c>
      <c r="W44" s="136">
        <f>IF(I44=0,"***",P44/I44)</f>
        <v/>
      </c>
      <c r="X44" s="136">
        <f>IF(J44=0,"***",Q44/J44)</f>
        <v/>
      </c>
      <c r="Y44" s="137">
        <f>IF(K44=0,"***",R44/K44)</f>
        <v/>
      </c>
    </row>
    <row r="45">
      <c r="C45" s="60" t="inlineStr">
        <is>
          <t>0104 集計</t>
        </is>
      </c>
      <c r="D45" s="22" t="inlineStr">
        <is>
          <t>大田荷役</t>
        </is>
      </c>
      <c r="E45" s="4">
        <f>(E28+E11)/2</f>
        <v/>
      </c>
      <c r="F45" s="4">
        <f>(F28+F11)/2</f>
        <v/>
      </c>
      <c r="G45" s="4">
        <f>(G28+G11)/2</f>
        <v/>
      </c>
      <c r="H45" s="4">
        <f>(H28+H11)/2</f>
        <v/>
      </c>
      <c r="I45" s="4">
        <f>(I28+I11)/2</f>
        <v/>
      </c>
      <c r="J45" s="4">
        <f>(J28+J11)/2</f>
        <v/>
      </c>
      <c r="K45" s="7">
        <f>SUM(E45:J45)</f>
        <v/>
      </c>
      <c r="L45" s="4">
        <f>(L28+L11)/2</f>
        <v/>
      </c>
      <c r="M45" s="4">
        <f>(M28+M11)/2</f>
        <v/>
      </c>
      <c r="N45" s="4">
        <f>(N28+N11)/2</f>
        <v/>
      </c>
      <c r="O45" s="4">
        <f>(O28+O11)/2</f>
        <v/>
      </c>
      <c r="P45" s="4">
        <f>(P28+P11)/2</f>
        <v/>
      </c>
      <c r="Q45" s="4">
        <f>(Q28+Q11)/2</f>
        <v/>
      </c>
      <c r="R45" s="7">
        <f>SUM(L45:Q45)</f>
        <v/>
      </c>
      <c r="S45" s="136">
        <f>IF(E45=0,"***",L45/E45)</f>
        <v/>
      </c>
      <c r="T45" s="136">
        <f>IF(F45=0,"***",M45/F45)</f>
        <v/>
      </c>
      <c r="U45" s="136">
        <f>IF(G45=0,"***",N45/G45)</f>
        <v/>
      </c>
      <c r="V45" s="136">
        <f>IF(H45=0,"***",O45/H45)</f>
        <v/>
      </c>
      <c r="W45" s="136">
        <f>IF(I45=0,"***",P45/I45)</f>
        <v/>
      </c>
      <c r="X45" s="136">
        <f>IF(J45=0,"***",Q45/J45)</f>
        <v/>
      </c>
      <c r="Y45" s="137">
        <f>IF(K45=0,"***",R45/K45)</f>
        <v/>
      </c>
    </row>
    <row r="46">
      <c r="C46" s="60" t="inlineStr">
        <is>
          <t>大田水産部</t>
        </is>
      </c>
      <c r="D46" s="22" t="n"/>
      <c r="E46" s="20">
        <f>SUM(E44:E45)</f>
        <v/>
      </c>
      <c r="F46" s="20">
        <f>SUM(F44:F45)</f>
        <v/>
      </c>
      <c r="G46" s="20">
        <f>SUM(G44:G45)</f>
        <v/>
      </c>
      <c r="H46" s="20">
        <f>SUM(H44:H45)</f>
        <v/>
      </c>
      <c r="I46" s="20">
        <f>SUM(I44:I45)</f>
        <v/>
      </c>
      <c r="J46" s="20">
        <f>SUM(J44:J45)</f>
        <v/>
      </c>
      <c r="K46" s="7">
        <f>SUM(K44:K45)</f>
        <v/>
      </c>
      <c r="L46" s="20">
        <f>SUM(L44:L45)</f>
        <v/>
      </c>
      <c r="M46" s="20">
        <f>SUM(M44:M45)</f>
        <v/>
      </c>
      <c r="N46" s="20">
        <f>SUM(N44:N45)</f>
        <v/>
      </c>
      <c r="O46" s="20">
        <f>SUM(O44:O45)</f>
        <v/>
      </c>
      <c r="P46" s="20">
        <f>SUM(P44:P45)</f>
        <v/>
      </c>
      <c r="Q46" s="20">
        <f>SUM(Q44:Q45)</f>
        <v/>
      </c>
      <c r="R46" s="7">
        <f>SUM(R44:R45)</f>
        <v/>
      </c>
      <c r="S46" s="136">
        <f>IF(E46=0,"***",L46/E46)</f>
        <v/>
      </c>
      <c r="T46" s="136">
        <f>IF(F46=0,"***",M46/F46)</f>
        <v/>
      </c>
      <c r="U46" s="136">
        <f>IF(G46=0,"***",N46/G46)</f>
        <v/>
      </c>
      <c r="V46" s="136">
        <f>IF(H46=0,"***",O46/H46)</f>
        <v/>
      </c>
      <c r="W46" s="136">
        <f>IF(I46=0,"***",P46/I46)</f>
        <v/>
      </c>
      <c r="X46" s="136">
        <f>IF(J46=0,"***",Q46/J46)</f>
        <v/>
      </c>
      <c r="Y46" s="137">
        <f>IF(K46=0,"***",R46/K46)</f>
        <v/>
      </c>
    </row>
    <row r="47">
      <c r="C47" s="60" t="inlineStr">
        <is>
          <t>0031 集計</t>
        </is>
      </c>
      <c r="D47" s="22" t="inlineStr">
        <is>
          <t>JF境</t>
        </is>
      </c>
      <c r="E47" s="20">
        <f>(E30+E13)/2</f>
        <v/>
      </c>
      <c r="F47" s="20">
        <f>(F30+F13)/2</f>
        <v/>
      </c>
      <c r="G47" s="20">
        <f>(G30+G13)/2</f>
        <v/>
      </c>
      <c r="H47" s="20">
        <f>(H30+H13)/2</f>
        <v/>
      </c>
      <c r="I47" s="20">
        <f>(I30+I13)/2</f>
        <v/>
      </c>
      <c r="J47" s="20">
        <f>(J30+J13)/2</f>
        <v/>
      </c>
      <c r="K47" s="7">
        <f>SUM(E47:J47)</f>
        <v/>
      </c>
      <c r="L47" s="20">
        <f>(L30+L13)/2</f>
        <v/>
      </c>
      <c r="M47" s="20">
        <f>(M30+M13)/2</f>
        <v/>
      </c>
      <c r="N47" s="20">
        <f>(N30+N13)/2</f>
        <v/>
      </c>
      <c r="O47" s="20">
        <f>(O30+O13)/2</f>
        <v/>
      </c>
      <c r="P47" s="20">
        <f>(P30+P13)/2</f>
        <v/>
      </c>
      <c r="Q47" s="20">
        <f>(Q30+Q13)/2</f>
        <v/>
      </c>
      <c r="R47" s="7">
        <f>SUM(L47:Q47)</f>
        <v/>
      </c>
      <c r="S47" s="136">
        <f>IF(E47=0,"***",L47/E47)</f>
        <v/>
      </c>
      <c r="T47" s="136">
        <f>IF(F47=0,"***",M47/F47)</f>
        <v/>
      </c>
      <c r="U47" s="136">
        <f>IF(G47=0,"***",N47/G47)</f>
        <v/>
      </c>
      <c r="V47" s="136">
        <f>IF(H47=0,"***",O47/H47)</f>
        <v/>
      </c>
      <c r="W47" s="136">
        <f>IF(I47=0,"***",P47/I47)</f>
        <v/>
      </c>
      <c r="X47" s="136">
        <f>IF(J47=0,"***",Q47/J47)</f>
        <v/>
      </c>
      <c r="Y47" s="137">
        <f>IF(K47=0,"***",R47/K47)</f>
        <v/>
      </c>
    </row>
    <row r="48">
      <c r="C48" s="60" t="inlineStr">
        <is>
          <t>0038 集計</t>
        </is>
      </c>
      <c r="D48" s="83" t="inlineStr">
        <is>
          <t>境その他</t>
        </is>
      </c>
      <c r="E48" s="20">
        <f>(E31+E14)/2</f>
        <v/>
      </c>
      <c r="F48" s="20">
        <f>(F31+F14)/2</f>
        <v/>
      </c>
      <c r="G48" s="20">
        <f>(G31+G14)/2</f>
        <v/>
      </c>
      <c r="H48" s="20">
        <f>(H31+H14)/2</f>
        <v/>
      </c>
      <c r="I48" s="20">
        <f>(I31+I14)/2</f>
        <v/>
      </c>
      <c r="J48" s="20">
        <f>(J31+J14)/2</f>
        <v/>
      </c>
      <c r="K48" s="7">
        <f>SUM(E48:J48)</f>
        <v/>
      </c>
      <c r="L48" s="20">
        <f>(L31+L14)/2</f>
        <v/>
      </c>
      <c r="M48" s="20">
        <f>(M31+M14)/2</f>
        <v/>
      </c>
      <c r="N48" s="20">
        <f>(N31+N14)/2</f>
        <v/>
      </c>
      <c r="O48" s="20">
        <f>(O31+O14)/2</f>
        <v/>
      </c>
      <c r="P48" s="20">
        <f>(P31+P14)/2</f>
        <v/>
      </c>
      <c r="Q48" s="20">
        <f>(Q31+Q14)/2</f>
        <v/>
      </c>
      <c r="R48" s="7">
        <f>SUM(L48:Q48)</f>
        <v/>
      </c>
      <c r="S48" s="136">
        <f>IF(E48=0,"***",L48/E48)</f>
        <v/>
      </c>
      <c r="T48" s="136">
        <f>IF(F48=0,"***",M48/F48)</f>
        <v/>
      </c>
      <c r="U48" s="136">
        <f>IF(G48=0,"***",N48/G48)</f>
        <v/>
      </c>
      <c r="V48" s="136">
        <f>IF(H48=0,"***",O48/H48)</f>
        <v/>
      </c>
      <c r="W48" s="136">
        <f>IF(I48=0,"***",P48/I48)</f>
        <v/>
      </c>
      <c r="X48" s="136">
        <f>IF(J48=0,"***",Q48/J48)</f>
        <v/>
      </c>
      <c r="Y48" s="137">
        <f>IF(K48=0,"***",R48/K48)</f>
        <v/>
      </c>
    </row>
    <row r="49">
      <c r="C49" s="82" t="inlineStr">
        <is>
          <t>境港水産部合計</t>
        </is>
      </c>
      <c r="D49" s="83" t="n"/>
      <c r="E49" s="20">
        <f>SUM(E47:E48)</f>
        <v/>
      </c>
      <c r="F49" s="20">
        <f>SUM(F47:F48)</f>
        <v/>
      </c>
      <c r="G49" s="20">
        <f>SUM(G47:G48)</f>
        <v/>
      </c>
      <c r="H49" s="20">
        <f>SUM(H47:H48)</f>
        <v/>
      </c>
      <c r="I49" s="20">
        <f>SUM(I47:I48)</f>
        <v/>
      </c>
      <c r="J49" s="20">
        <f>SUM(J47:J48)</f>
        <v/>
      </c>
      <c r="K49" s="7">
        <f>SUM(E49:J49)</f>
        <v/>
      </c>
      <c r="L49" s="20">
        <f>SUM(L47:L48)</f>
        <v/>
      </c>
      <c r="M49" s="20">
        <f>SUM(M47:M48)</f>
        <v/>
      </c>
      <c r="N49" s="20">
        <f>SUM(N47:N48)</f>
        <v/>
      </c>
      <c r="O49" s="20">
        <f>SUM(O47:O48)</f>
        <v/>
      </c>
      <c r="P49" s="20">
        <f>SUM(P47:P48)</f>
        <v/>
      </c>
      <c r="Q49" s="20">
        <f>SUM(Q47:Q48)</f>
        <v/>
      </c>
      <c r="R49" s="7">
        <f>SUM(L49:Q49)</f>
        <v/>
      </c>
      <c r="S49" s="136">
        <f>IF(E49=0,"***",L49/E49)</f>
        <v/>
      </c>
      <c r="T49" s="136">
        <f>IF(F49=0,"***",M49/F49)</f>
        <v/>
      </c>
      <c r="U49" s="136">
        <f>IF(G49=0,"***",N49/G49)</f>
        <v/>
      </c>
      <c r="V49" s="136">
        <f>IF(H49=0,"***",O49/H49)</f>
        <v/>
      </c>
      <c r="W49" s="136">
        <f>IF(I49=0,"***",P49/I49)</f>
        <v/>
      </c>
      <c r="X49" s="136">
        <f>IF(J49=0,"***",Q49/J49)</f>
        <v/>
      </c>
      <c r="Y49" s="137">
        <f>IF(K49=0,"***",R49/K49)</f>
        <v/>
      </c>
    </row>
    <row r="50">
      <c r="C50" s="53" t="inlineStr">
        <is>
          <t>合計</t>
        </is>
      </c>
      <c r="D50" s="54" t="n"/>
      <c r="E50" s="8">
        <f>E43+E46+E49</f>
        <v/>
      </c>
      <c r="F50" s="8">
        <f>F43+F46+F49</f>
        <v/>
      </c>
      <c r="G50" s="8">
        <f>G43+G46+G49</f>
        <v/>
      </c>
      <c r="H50" s="8">
        <f>H43+H46+H49</f>
        <v/>
      </c>
      <c r="I50" s="8">
        <f>I43+I46+I49</f>
        <v/>
      </c>
      <c r="J50" s="8">
        <f>J43+J46+J49</f>
        <v/>
      </c>
      <c r="K50" s="64">
        <f>K43+K46+K49</f>
        <v/>
      </c>
      <c r="L50" s="8">
        <f>L43+L46+L49</f>
        <v/>
      </c>
      <c r="M50" s="8">
        <f>M43+M46+M49</f>
        <v/>
      </c>
      <c r="N50" s="8">
        <f>N43+N46+N49</f>
        <v/>
      </c>
      <c r="O50" s="8">
        <f>O43+O46+O49</f>
        <v/>
      </c>
      <c r="P50" s="8">
        <f>P43+P46+P49</f>
        <v/>
      </c>
      <c r="Q50" s="8">
        <f>Q43+Q46+Q49</f>
        <v/>
      </c>
      <c r="R50" s="64">
        <f>R43+R46+R49</f>
        <v/>
      </c>
      <c r="S50" s="139">
        <f>IF(E50=0,"***",L50/E50)</f>
        <v/>
      </c>
      <c r="T50" s="139">
        <f>IF(F50=0,"***",M50/F50)</f>
        <v/>
      </c>
      <c r="U50" s="139">
        <f>IF(G50=0,"***",N50/G50)</f>
        <v/>
      </c>
      <c r="V50" s="139">
        <f>IF(H50=0,"***",O50/H50)</f>
        <v/>
      </c>
      <c r="W50" s="139">
        <f>IF(I50=0,"***",P50/I50)</f>
        <v/>
      </c>
      <c r="X50" s="139">
        <f>IF(J50=0,"***",Q50/J50)</f>
        <v/>
      </c>
      <c r="Y50" s="140">
        <f>IF(K50=0,"***",R50/K50)</f>
        <v/>
      </c>
    </row>
    <row r="51">
      <c r="C51" s="74" t="inlineStr">
        <is>
          <t>【参考】大海分</t>
        </is>
      </c>
      <c r="D51" s="75" t="n"/>
      <c r="E51" s="98">
        <f>(E34+E17)/2</f>
        <v/>
      </c>
      <c r="F51" s="98">
        <f>(F34+F17)/2</f>
        <v/>
      </c>
      <c r="G51" s="98">
        <f>(G34+G17)/2</f>
        <v/>
      </c>
      <c r="H51" s="98">
        <f>(H34+H17)/2</f>
        <v/>
      </c>
      <c r="I51" s="98">
        <f>(I34+I17)/2</f>
        <v/>
      </c>
      <c r="J51" s="98">
        <f>(J34+J17)/2</f>
        <v/>
      </c>
      <c r="K51" s="103">
        <f>SUM(E51:J51)</f>
        <v/>
      </c>
      <c r="L51" s="98">
        <f>(L34+L17)/2</f>
        <v/>
      </c>
      <c r="M51" s="98">
        <f>(M34+M17)/2</f>
        <v/>
      </c>
      <c r="N51" s="98">
        <f>(N34+N17)/2</f>
        <v/>
      </c>
      <c r="O51" s="98">
        <f>(O34+O17)/2</f>
        <v/>
      </c>
      <c r="P51" s="98">
        <f>(P34+P17)/2</f>
        <v/>
      </c>
      <c r="Q51" s="98">
        <f>(Q34+Q17)/2</f>
        <v/>
      </c>
      <c r="R51" s="103">
        <f>SUM(L51:Q51)</f>
        <v/>
      </c>
      <c r="S51" s="142">
        <f>IF(E51=0,"***",L51/E51)</f>
        <v/>
      </c>
      <c r="T51" s="142">
        <f>IF(F51=0,"***",M51/F51)</f>
        <v/>
      </c>
      <c r="U51" s="142">
        <f>IF(G51=0,"***",N51/G51)</f>
        <v/>
      </c>
      <c r="V51" s="142">
        <f>IF(H51=0,"***",O51/H51)</f>
        <v/>
      </c>
      <c r="W51" s="142">
        <f>IF(I51=0,"***",P51/I51)</f>
        <v/>
      </c>
      <c r="X51" s="142">
        <f>IF(J51=0,"***",Q51/J51)</f>
        <v/>
      </c>
      <c r="Y51" s="143">
        <f>IF(K51=0,"***",R51/K51)</f>
        <v/>
      </c>
    </row>
    <row r="52">
      <c r="E52" s="17" t="n"/>
      <c r="F52" s="17" t="n"/>
      <c r="G52" s="17" t="n"/>
      <c r="H52" s="17" t="n"/>
      <c r="I52" s="17" t="n"/>
      <c r="J52" s="17" t="n"/>
      <c r="K52" s="18" t="n"/>
      <c r="L52" s="17" t="n"/>
      <c r="M52" s="17" t="n"/>
      <c r="N52" s="17" t="n"/>
      <c r="O52" s="17" t="n"/>
      <c r="P52" s="17" t="n"/>
      <c r="Q52" s="17" t="n"/>
      <c r="R52" s="18" t="n"/>
      <c r="S52" s="144" t="n"/>
      <c r="T52" s="144" t="n"/>
      <c r="U52" s="144" t="n"/>
      <c r="V52" s="144" t="n"/>
      <c r="W52" s="144" t="n"/>
      <c r="X52" s="144" t="n"/>
      <c r="Y52" s="144" t="n"/>
    </row>
    <row r="53">
      <c r="C53" s="18" t="inlineStr">
        <is>
          <t>4．計画</t>
        </is>
      </c>
    </row>
    <row r="54">
      <c r="C54" s="117" t="n"/>
      <c r="D54" s="118" t="n"/>
      <c r="E54" s="117" t="inlineStr">
        <is>
          <t>売上</t>
        </is>
      </c>
      <c r="F54" s="120" t="n"/>
      <c r="G54" s="120" t="n"/>
      <c r="H54" s="120" t="n"/>
      <c r="I54" s="120" t="n"/>
      <c r="J54" s="120" t="n"/>
      <c r="K54" s="118" t="n"/>
      <c r="L54" s="119" t="inlineStr">
        <is>
          <t>粗利益</t>
        </is>
      </c>
      <c r="M54" s="120" t="n"/>
      <c r="N54" s="120" t="n"/>
      <c r="O54" s="120" t="n"/>
      <c r="P54" s="120" t="n"/>
      <c r="Q54" s="120" t="n"/>
      <c r="R54" s="118" t="n"/>
      <c r="S54" s="119" t="inlineStr">
        <is>
          <t>粗利益率</t>
        </is>
      </c>
      <c r="T54" s="120" t="n"/>
      <c r="U54" s="120" t="n"/>
      <c r="V54" s="120" t="n"/>
      <c r="W54" s="120" t="n"/>
      <c r="X54" s="120" t="n"/>
      <c r="Y54" s="118" t="n"/>
    </row>
    <row r="55">
      <c r="C55" s="1" t="n"/>
      <c r="D55" s="21" t="n"/>
      <c r="E55" s="61" t="n">
        <v>46113</v>
      </c>
      <c r="F55" s="2" t="n">
        <v>46143</v>
      </c>
      <c r="G55" s="2" t="n">
        <v>46174</v>
      </c>
      <c r="H55" s="2" t="n">
        <v>46204</v>
      </c>
      <c r="I55" s="2" t="n">
        <v>46235</v>
      </c>
      <c r="J55" s="2" t="n">
        <v>46266</v>
      </c>
      <c r="K55" s="10" t="inlineStr">
        <is>
          <t>合計</t>
        </is>
      </c>
      <c r="L55" s="95" t="n">
        <v>46113</v>
      </c>
      <c r="M55" s="2" t="n">
        <v>46143</v>
      </c>
      <c r="N55" s="2" t="n">
        <v>46174</v>
      </c>
      <c r="O55" s="2" t="n">
        <v>46204</v>
      </c>
      <c r="P55" s="2" t="n">
        <v>46235</v>
      </c>
      <c r="Q55" s="2" t="n">
        <v>46266</v>
      </c>
      <c r="R55" s="10" t="inlineStr">
        <is>
          <t>合計</t>
        </is>
      </c>
      <c r="S55" s="95" t="n">
        <v>46113</v>
      </c>
      <c r="T55" s="2" t="n">
        <v>46143</v>
      </c>
      <c r="U55" s="2" t="n">
        <v>46174</v>
      </c>
      <c r="V55" s="2" t="n">
        <v>46204</v>
      </c>
      <c r="W55" s="2" t="n">
        <v>46235</v>
      </c>
      <c r="X55" s="2" t="n">
        <v>46266</v>
      </c>
      <c r="Y55" s="10" t="inlineStr">
        <is>
          <t>合計</t>
        </is>
      </c>
    </row>
    <row r="56">
      <c r="C56" s="60" t="inlineStr">
        <is>
          <t>0010 集計</t>
        </is>
      </c>
      <c r="D56" s="22" t="inlineStr">
        <is>
          <t>JF</t>
        </is>
      </c>
      <c r="E56" s="3" t="n"/>
      <c r="F56" s="4" t="n"/>
      <c r="G56" s="4" t="n"/>
      <c r="H56" s="4" t="n">
        <v>300</v>
      </c>
      <c r="I56" s="4" t="n"/>
      <c r="J56" s="4" t="n"/>
      <c r="K56" s="62">
        <f>SUM(E56:J56)</f>
        <v/>
      </c>
      <c r="L56" s="20" t="n"/>
      <c r="M56" s="4" t="n"/>
      <c r="N56" s="4" t="n"/>
      <c r="O56" s="4" t="n">
        <v>60</v>
      </c>
      <c r="P56" s="4" t="n"/>
      <c r="Q56" s="4" t="n"/>
      <c r="R56" s="62">
        <f>SUM(L56:Q56)</f>
        <v/>
      </c>
      <c r="S56" s="135">
        <f>IF(E56=0,"***",L56/E56)</f>
        <v/>
      </c>
      <c r="T56" s="136">
        <f>IF(F56=0,"***",M56/F56)</f>
        <v/>
      </c>
      <c r="U56" s="136">
        <f>IF(G56=0,"***",N56/G56)</f>
        <v/>
      </c>
      <c r="V56" s="136">
        <f>IF(H56=0,"***",O56/H56)</f>
        <v/>
      </c>
      <c r="W56" s="136">
        <f>IF(I56=0,"***",P56/I56)</f>
        <v/>
      </c>
      <c r="X56" s="136">
        <f>IF(J56=0,"***",Q56/J56)</f>
        <v/>
      </c>
      <c r="Y56" s="137">
        <f>IF(K56=0,"***",R56/K56)</f>
        <v/>
      </c>
    </row>
    <row r="57">
      <c r="C57" s="60" t="inlineStr">
        <is>
          <t>0017 集計</t>
        </is>
      </c>
      <c r="D57" s="22" t="inlineStr">
        <is>
          <t>鮮魚</t>
        </is>
      </c>
      <c r="E57" s="3" t="n"/>
      <c r="F57" s="4" t="n"/>
      <c r="G57" s="4" t="n"/>
      <c r="H57" s="4" t="n"/>
      <c r="I57" s="4" t="n"/>
      <c r="J57" s="4" t="n"/>
      <c r="K57" s="62">
        <f>SUM(E57:J57)</f>
        <v/>
      </c>
      <c r="L57" s="20" t="n"/>
      <c r="M57" s="4" t="n"/>
      <c r="N57" s="4" t="n"/>
      <c r="O57" s="4" t="n"/>
      <c r="P57" s="4" t="n"/>
      <c r="Q57" s="4" t="n"/>
      <c r="R57" s="62">
        <f>SUM(L57:Q57)</f>
        <v/>
      </c>
      <c r="S57" s="135">
        <f>IF(E57=0,"***",L57/E57)</f>
        <v/>
      </c>
      <c r="T57" s="136">
        <f>IF(F57=0,"***",M57/F57)</f>
        <v/>
      </c>
      <c r="U57" s="136">
        <f>IF(G57=0,"***",N57/G57)</f>
        <v/>
      </c>
      <c r="V57" s="136">
        <f>IF(H57=0,"***",O57/H57)</f>
        <v/>
      </c>
      <c r="W57" s="136">
        <f>IF(I57=0,"***",P57/I57)</f>
        <v/>
      </c>
      <c r="X57" s="136">
        <f>IF(J57=0,"***",Q57/J57)</f>
        <v/>
      </c>
      <c r="Y57" s="137">
        <f>IF(K57=0,"***",R57/K57)</f>
        <v/>
      </c>
    </row>
    <row r="58">
      <c r="C58" s="60" t="inlineStr">
        <is>
          <t>0101 集計</t>
        </is>
      </c>
      <c r="D58" s="22" t="inlineStr">
        <is>
          <t>GS</t>
        </is>
      </c>
      <c r="E58" s="3" t="n"/>
      <c r="F58" s="4" t="n"/>
      <c r="G58" s="4" t="n"/>
      <c r="H58" s="4" t="n"/>
      <c r="I58" s="4" t="n"/>
      <c r="J58" s="4" t="n"/>
      <c r="K58" s="62">
        <f>SUM(E58:J58)</f>
        <v/>
      </c>
      <c r="L58" s="20" t="n"/>
      <c r="M58" s="4" t="n"/>
      <c r="N58" s="4" t="n"/>
      <c r="O58" s="4" t="n"/>
      <c r="P58" s="4" t="n"/>
      <c r="Q58" s="4" t="n"/>
      <c r="R58" s="62">
        <f>SUM(L58:Q58)</f>
        <v/>
      </c>
      <c r="S58" s="135">
        <f>IF(E58=0,"***",L58/E58)</f>
        <v/>
      </c>
      <c r="T58" s="136">
        <f>IF(F58=0,"***",M58/F58)</f>
        <v/>
      </c>
      <c r="U58" s="136">
        <f>IF(G58=0,"***",N58/G58)</f>
        <v/>
      </c>
      <c r="V58" s="136">
        <f>IF(H58=0,"***",O58/H58)</f>
        <v/>
      </c>
      <c r="W58" s="136">
        <f>IF(I58=0,"***",P58/I58)</f>
        <v/>
      </c>
      <c r="X58" s="136">
        <f>IF(J58=0,"***",Q58/J58)</f>
        <v/>
      </c>
      <c r="Y58" s="137">
        <f>IF(K58=0,"***",R58/K58)</f>
        <v/>
      </c>
    </row>
    <row r="59">
      <c r="C59" s="60" t="inlineStr">
        <is>
          <t>0106 集計</t>
        </is>
      </c>
      <c r="D59" s="22" t="inlineStr">
        <is>
          <t>浜田荷役</t>
        </is>
      </c>
      <c r="E59" s="3" t="n"/>
      <c r="F59" s="4" t="n"/>
      <c r="G59" s="4" t="n"/>
      <c r="H59" s="4" t="n"/>
      <c r="I59" s="4" t="n"/>
      <c r="J59" s="4" t="n"/>
      <c r="K59" s="62">
        <f>SUM(E59:J59)</f>
        <v/>
      </c>
      <c r="L59" s="20" t="n"/>
      <c r="M59" s="4" t="n"/>
      <c r="N59" s="4" t="n"/>
      <c r="O59" s="4" t="n"/>
      <c r="P59" s="4" t="n"/>
      <c r="Q59" s="4" t="n"/>
      <c r="R59" s="62">
        <f>SUM(L59:Q59)</f>
        <v/>
      </c>
      <c r="S59" s="135">
        <f>IF(E59=0,"***",L59/E59)</f>
        <v/>
      </c>
      <c r="T59" s="136">
        <f>IF(F59=0,"***",M59/F59)</f>
        <v/>
      </c>
      <c r="U59" s="136">
        <f>IF(G59=0,"***",N59/G59)</f>
        <v/>
      </c>
      <c r="V59" s="136">
        <f>IF(H59=0,"***",O59/H59)</f>
        <v/>
      </c>
      <c r="W59" s="136">
        <f>IF(I59=0,"***",P59/I59)</f>
        <v/>
      </c>
      <c r="X59" s="136">
        <f>IF(J59=0,"***",Q59/J59)</f>
        <v/>
      </c>
      <c r="Y59" s="137">
        <f>IF(K59=0,"***",R59/K59)</f>
        <v/>
      </c>
    </row>
    <row r="60">
      <c r="C60" s="60" t="inlineStr">
        <is>
          <t>浜田水産部合計</t>
        </is>
      </c>
      <c r="D60" s="22" t="n"/>
      <c r="E60" s="3">
        <f>SUM(E56:E59)</f>
        <v/>
      </c>
      <c r="F60" s="4">
        <f>SUM(F56:F59)</f>
        <v/>
      </c>
      <c r="G60" s="4">
        <f>SUM(G56:G59)</f>
        <v/>
      </c>
      <c r="H60" s="4">
        <f>SUM(H56:H59)</f>
        <v/>
      </c>
      <c r="I60" s="4">
        <f>SUM(I56:I59)</f>
        <v/>
      </c>
      <c r="J60" s="4">
        <f>SUM(J56:J59)</f>
        <v/>
      </c>
      <c r="K60" s="62">
        <f>SUM(E60:J60)</f>
        <v/>
      </c>
      <c r="L60" s="20">
        <f>SUM(L56:L59)</f>
        <v/>
      </c>
      <c r="M60" s="4">
        <f>SUM(M56:M59)</f>
        <v/>
      </c>
      <c r="N60" s="4">
        <f>SUM(N56:N59)</f>
        <v/>
      </c>
      <c r="O60" s="4">
        <f>SUM(O56:O59)</f>
        <v/>
      </c>
      <c r="P60" s="4">
        <f>SUM(P56:P59)</f>
        <v/>
      </c>
      <c r="Q60" s="4">
        <f>SUM(Q56:Q59)</f>
        <v/>
      </c>
      <c r="R60" s="62">
        <f>SUM(L60:Q60)</f>
        <v/>
      </c>
      <c r="S60" s="135">
        <f>IF(E60=0,"***",L60/E60)</f>
        <v/>
      </c>
      <c r="T60" s="136">
        <f>IF(F60=0,"***",M60/F60)</f>
        <v/>
      </c>
      <c r="U60" s="136">
        <f>IF(G60=0,"***",N60/G60)</f>
        <v/>
      </c>
      <c r="V60" s="136">
        <f>IF(H60=0,"***",O60/H60)</f>
        <v/>
      </c>
      <c r="W60" s="136">
        <f>IF(I60=0,"***",P60/I60)</f>
        <v/>
      </c>
      <c r="X60" s="136">
        <f>IF(J60=0,"***",Q60/J60)</f>
        <v/>
      </c>
      <c r="Y60" s="137">
        <f>IF(K60=0,"***",R60/K60)</f>
        <v/>
      </c>
    </row>
    <row r="61">
      <c r="C61" s="60" t="inlineStr">
        <is>
          <t>0102 集計</t>
        </is>
      </c>
      <c r="D61" s="22" t="inlineStr">
        <is>
          <t>JF大田</t>
        </is>
      </c>
      <c r="E61" s="3" t="n"/>
      <c r="F61" s="4" t="n"/>
      <c r="G61" s="4" t="n"/>
      <c r="H61" s="4" t="n"/>
      <c r="I61" s="4" t="n"/>
      <c r="J61" s="4" t="n"/>
      <c r="K61" s="62">
        <f>SUM(E61:J61)</f>
        <v/>
      </c>
      <c r="L61" s="20" t="n"/>
      <c r="M61" s="4" t="n"/>
      <c r="N61" s="4" t="n"/>
      <c r="O61" s="4" t="n"/>
      <c r="P61" s="4" t="n"/>
      <c r="Q61" s="4" t="n"/>
      <c r="R61" s="62">
        <f>SUM(L61:Q61)</f>
        <v/>
      </c>
      <c r="S61" s="135">
        <f>IF(E61=0,"***",L61/E61)</f>
        <v/>
      </c>
      <c r="T61" s="136">
        <f>IF(F61=0,"***",M61/F61)</f>
        <v/>
      </c>
      <c r="U61" s="136">
        <f>IF(G61=0,"***",N61/G61)</f>
        <v/>
      </c>
      <c r="V61" s="136">
        <f>IF(H61=0,"***",O61/H61)</f>
        <v/>
      </c>
      <c r="W61" s="136">
        <f>IF(I61=0,"***",P61/I61)</f>
        <v/>
      </c>
      <c r="X61" s="136">
        <f>IF(J61=0,"***",Q61/J61)</f>
        <v/>
      </c>
      <c r="Y61" s="137">
        <f>IF(K61=0,"***",R61/K61)</f>
        <v/>
      </c>
    </row>
    <row r="62">
      <c r="C62" s="60" t="inlineStr">
        <is>
          <t>0104 集計</t>
        </is>
      </c>
      <c r="D62" s="22" t="inlineStr">
        <is>
          <t>大田荷役</t>
        </is>
      </c>
      <c r="E62" s="3" t="n"/>
      <c r="F62" s="4" t="n"/>
      <c r="G62" s="4" t="n"/>
      <c r="H62" s="4" t="n"/>
      <c r="I62" s="4" t="n"/>
      <c r="J62" s="4" t="n"/>
      <c r="K62" s="62">
        <f>SUM(E62:J62)</f>
        <v/>
      </c>
      <c r="L62" s="20" t="n"/>
      <c r="M62" s="4" t="n"/>
      <c r="N62" s="4" t="n"/>
      <c r="O62" s="4" t="n"/>
      <c r="P62" s="4" t="n"/>
      <c r="Q62" s="4" t="n"/>
      <c r="R62" s="62">
        <f>SUM(L62:Q62)</f>
        <v/>
      </c>
      <c r="S62" s="135">
        <f>IF(E62=0,"***",L62/E62)</f>
        <v/>
      </c>
      <c r="T62" s="136">
        <f>IF(F62=0,"***",M62/F62)</f>
        <v/>
      </c>
      <c r="U62" s="136">
        <f>IF(G62=0,"***",N62/G62)</f>
        <v/>
      </c>
      <c r="V62" s="136">
        <f>IF(H62=0,"***",O62/H62)</f>
        <v/>
      </c>
      <c r="W62" s="136">
        <f>IF(I62=0,"***",P62/I62)</f>
        <v/>
      </c>
      <c r="X62" s="136">
        <f>IF(J62=0,"***",Q62/J62)</f>
        <v/>
      </c>
      <c r="Y62" s="137">
        <f>IF(K62=0,"***",R62/K62)</f>
        <v/>
      </c>
    </row>
    <row r="63">
      <c r="C63" s="60" t="inlineStr">
        <is>
          <t>大田水産部</t>
        </is>
      </c>
      <c r="D63" s="22" t="n"/>
      <c r="E63" s="3">
        <f>SUM(E61:E62)</f>
        <v/>
      </c>
      <c r="F63" s="20">
        <f>SUM(F61:F62)</f>
        <v/>
      </c>
      <c r="G63" s="20">
        <f>SUM(G61:G62)</f>
        <v/>
      </c>
      <c r="H63" s="20">
        <f>SUM(H61:H62)</f>
        <v/>
      </c>
      <c r="I63" s="20">
        <f>SUM(I61:I62)</f>
        <v/>
      </c>
      <c r="J63" s="20">
        <f>SUM(J61:J62)</f>
        <v/>
      </c>
      <c r="K63" s="62">
        <f>SUM(K61:K62)</f>
        <v/>
      </c>
      <c r="L63" s="20">
        <f>SUM(L61:L62)</f>
        <v/>
      </c>
      <c r="M63" s="20">
        <f>SUM(M61:M62)</f>
        <v/>
      </c>
      <c r="N63" s="20">
        <f>SUM(N61:N62)</f>
        <v/>
      </c>
      <c r="O63" s="20">
        <f>SUM(O61:O62)</f>
        <v/>
      </c>
      <c r="P63" s="20">
        <f>SUM(P61:P62)</f>
        <v/>
      </c>
      <c r="Q63" s="20">
        <f>SUM(Q61:Q62)</f>
        <v/>
      </c>
      <c r="R63" s="62">
        <f>SUM(R61:R62)</f>
        <v/>
      </c>
      <c r="S63" s="135">
        <f>IF(E63=0,"***",L63/E63)</f>
        <v/>
      </c>
      <c r="T63" s="136">
        <f>IF(F63=0,"***",M63/F63)</f>
        <v/>
      </c>
      <c r="U63" s="136">
        <f>IF(G63=0,"***",N63/G63)</f>
        <v/>
      </c>
      <c r="V63" s="136">
        <f>IF(H63=0,"***",O63/H63)</f>
        <v/>
      </c>
      <c r="W63" s="136">
        <f>IF(I63=0,"***",P63/I63)</f>
        <v/>
      </c>
      <c r="X63" s="136">
        <f>IF(J63=0,"***",Q63/J63)</f>
        <v/>
      </c>
      <c r="Y63" s="137">
        <f>IF(K63=0,"***",R63/K63)</f>
        <v/>
      </c>
    </row>
    <row r="64">
      <c r="C64" s="60" t="inlineStr">
        <is>
          <t>0031 集計</t>
        </is>
      </c>
      <c r="D64" s="22" t="inlineStr">
        <is>
          <t>JF境</t>
        </is>
      </c>
      <c r="E64" s="3" t="n">
        <v>90</v>
      </c>
      <c r="F64" s="20" t="n">
        <v>90</v>
      </c>
      <c r="G64" s="20" t="n">
        <v>90</v>
      </c>
      <c r="H64" s="20" t="n">
        <v>90</v>
      </c>
      <c r="I64" s="20" t="n">
        <v>90</v>
      </c>
      <c r="J64" s="20" t="n">
        <v>90</v>
      </c>
      <c r="K64" s="62">
        <f>SUM(E64:J64)</f>
        <v/>
      </c>
      <c r="L64" s="20" t="n">
        <v>20</v>
      </c>
      <c r="M64" s="20" t="n">
        <v>20</v>
      </c>
      <c r="N64" s="20" t="n">
        <v>20</v>
      </c>
      <c r="O64" s="20" t="n">
        <v>20</v>
      </c>
      <c r="P64" s="20" t="n">
        <v>20</v>
      </c>
      <c r="Q64" s="20" t="n">
        <v>20</v>
      </c>
      <c r="R64" s="62">
        <f>SUM(L64:Q64)</f>
        <v/>
      </c>
      <c r="S64" s="135">
        <f>IF(E64=0,"***",L64/E64)</f>
        <v/>
      </c>
      <c r="T64" s="136">
        <f>IF(F64=0,"***",M64/F64)</f>
        <v/>
      </c>
      <c r="U64" s="136">
        <f>IF(G64=0,"***",N64/G64)</f>
        <v/>
      </c>
      <c r="V64" s="136">
        <f>IF(H64=0,"***",O64/H64)</f>
        <v/>
      </c>
      <c r="W64" s="136">
        <f>IF(I64=0,"***",P64/I64)</f>
        <v/>
      </c>
      <c r="X64" s="136">
        <f>IF(J64=0,"***",Q64/J64)</f>
        <v/>
      </c>
      <c r="Y64" s="137">
        <f>IF(K64=0,"***",R64/K64)</f>
        <v/>
      </c>
    </row>
    <row r="65">
      <c r="C65" s="60" t="inlineStr">
        <is>
          <t>0038 集計</t>
        </is>
      </c>
      <c r="D65" s="83" t="inlineStr">
        <is>
          <t>境その他</t>
        </is>
      </c>
      <c r="E65" s="88" t="n"/>
      <c r="F65" s="84" t="n"/>
      <c r="G65" s="84" t="n"/>
      <c r="H65" s="84" t="n"/>
      <c r="I65" s="84" t="n"/>
      <c r="J65" s="84" t="n"/>
      <c r="K65" s="89" t="n"/>
      <c r="L65" s="84" t="n"/>
      <c r="M65" s="84" t="n"/>
      <c r="N65" s="84" t="n"/>
      <c r="O65" s="84" t="n"/>
      <c r="P65" s="84" t="n"/>
      <c r="Q65" s="84" t="n"/>
      <c r="R65" s="89" t="n"/>
      <c r="S65" s="148" t="n"/>
      <c r="T65" s="149" t="n"/>
      <c r="U65" s="149" t="n"/>
      <c r="V65" s="149" t="n"/>
      <c r="W65" s="149" t="n"/>
      <c r="X65" s="149" t="n"/>
      <c r="Y65" s="155" t="n"/>
    </row>
    <row r="66">
      <c r="C66" s="82" t="inlineStr">
        <is>
          <t>境港水産部合計</t>
        </is>
      </c>
      <c r="D66" s="83" t="n"/>
      <c r="E66" s="84">
        <f>E64+E65</f>
        <v/>
      </c>
      <c r="F66" s="84">
        <f>F64+F65</f>
        <v/>
      </c>
      <c r="G66" s="84">
        <f>G64+G65</f>
        <v/>
      </c>
      <c r="H66" s="84">
        <f>H64+H65</f>
        <v/>
      </c>
      <c r="I66" s="84">
        <f>I64+I65</f>
        <v/>
      </c>
      <c r="J66" s="84">
        <f>J64+J65</f>
        <v/>
      </c>
      <c r="K66" s="62">
        <f>SUM(E66:J66)</f>
        <v/>
      </c>
      <c r="L66" s="84">
        <f>L64+L65</f>
        <v/>
      </c>
      <c r="M66" s="84">
        <f>M64+M65</f>
        <v/>
      </c>
      <c r="N66" s="84">
        <f>N64+N65</f>
        <v/>
      </c>
      <c r="O66" s="84">
        <f>O64+O65</f>
        <v/>
      </c>
      <c r="P66" s="84">
        <f>P64+P65</f>
        <v/>
      </c>
      <c r="Q66" s="84">
        <f>Q64+Q65</f>
        <v/>
      </c>
      <c r="R66" s="62">
        <f>SUM(L66:Q66)</f>
        <v/>
      </c>
      <c r="S66" s="145">
        <f>IF(E66=0,"***",L66/E66)</f>
        <v/>
      </c>
      <c r="T66" s="136">
        <f>IF(F66=0,"***",M66/F66)</f>
        <v/>
      </c>
      <c r="U66" s="136">
        <f>IF(G66=0,"***",N66/G66)</f>
        <v/>
      </c>
      <c r="V66" s="136">
        <f>IF(H66=0,"***",O66/H66)</f>
        <v/>
      </c>
      <c r="W66" s="136">
        <f>IF(I66=0,"***",P66/I66)</f>
        <v/>
      </c>
      <c r="X66" s="136">
        <f>IF(J66=0,"***",Q66/J66)</f>
        <v/>
      </c>
      <c r="Y66" s="137">
        <f>IF(K66=0,"***",R66/K66)</f>
        <v/>
      </c>
    </row>
    <row r="67">
      <c r="C67" s="53" t="inlineStr">
        <is>
          <t>合計</t>
        </is>
      </c>
      <c r="D67" s="54" t="n"/>
      <c r="E67" s="8">
        <f>E60+E63+E66</f>
        <v/>
      </c>
      <c r="F67" s="8">
        <f>F60+F63+F66</f>
        <v/>
      </c>
      <c r="G67" s="8">
        <f>G60+G63+G66</f>
        <v/>
      </c>
      <c r="H67" s="8">
        <f>H60+H63+H66</f>
        <v/>
      </c>
      <c r="I67" s="8">
        <f>I60+I63+I66</f>
        <v/>
      </c>
      <c r="J67" s="8">
        <f>J60+J63+J66</f>
        <v/>
      </c>
      <c r="K67" s="64">
        <f>K60+K63+K66</f>
        <v/>
      </c>
      <c r="L67" s="8">
        <f>L60+L63+L66</f>
        <v/>
      </c>
      <c r="M67" s="8">
        <f>M60+M63+M66</f>
        <v/>
      </c>
      <c r="N67" s="8">
        <f>N60+N63+N66</f>
        <v/>
      </c>
      <c r="O67" s="8">
        <f>O60+O63+O66</f>
        <v/>
      </c>
      <c r="P67" s="8">
        <f>P60+P63+P66</f>
        <v/>
      </c>
      <c r="Q67" s="8">
        <f>Q60+Q63+Q66</f>
        <v/>
      </c>
      <c r="R67" s="64">
        <f>R60+R63+R66</f>
        <v/>
      </c>
      <c r="S67" s="138">
        <f>IF(E67=0,"***",L67/E67)</f>
        <v/>
      </c>
      <c r="T67" s="139">
        <f>IF(F67=0,"***",M67/F67)</f>
        <v/>
      </c>
      <c r="U67" s="139">
        <f>IF(G67=0,"***",N67/G67)</f>
        <v/>
      </c>
      <c r="V67" s="139">
        <f>IF(H67=0,"***",O67/H67)</f>
        <v/>
      </c>
      <c r="W67" s="139">
        <f>IF(I67=0,"***",P67/I67)</f>
        <v/>
      </c>
      <c r="X67" s="139">
        <f>IF(J67=0,"***",Q67/J67)</f>
        <v/>
      </c>
      <c r="Y67" s="140">
        <f>IF(K67=0,"***",R67/K67)</f>
        <v/>
      </c>
    </row>
    <row r="68">
      <c r="C68" s="74" t="inlineStr">
        <is>
          <t>【参考】大海分</t>
        </is>
      </c>
      <c r="D68" s="75" t="n"/>
      <c r="E68" s="98">
        <f>(E51+E34)/2</f>
        <v/>
      </c>
      <c r="F68" s="98">
        <f>(F51+F34)/2</f>
        <v/>
      </c>
      <c r="G68" s="98">
        <f>(G51+G34)/2</f>
        <v/>
      </c>
      <c r="H68" s="98">
        <f>(H51+H34)/2</f>
        <v/>
      </c>
      <c r="I68" s="98">
        <f>(I51+I34)/2</f>
        <v/>
      </c>
      <c r="J68" s="98">
        <f>(J51+J34)/2</f>
        <v/>
      </c>
      <c r="K68" s="103">
        <f>SUM(E68:J68)</f>
        <v/>
      </c>
      <c r="L68" s="98">
        <f>(L51+L34)/2</f>
        <v/>
      </c>
      <c r="M68" s="98">
        <f>(M51+M34)/2</f>
        <v/>
      </c>
      <c r="N68" s="98">
        <f>(N51+N34)/2</f>
        <v/>
      </c>
      <c r="O68" s="98">
        <f>(O51+O34)/2</f>
        <v/>
      </c>
      <c r="P68" s="98">
        <f>(P51+P34)/2</f>
        <v/>
      </c>
      <c r="Q68" s="98">
        <f>(Q51+Q34)/2</f>
        <v/>
      </c>
      <c r="R68" s="103">
        <f>SUM(L68:Q68)</f>
        <v/>
      </c>
      <c r="S68" s="142">
        <f>IF(E68=0,"***",L68/E68)</f>
        <v/>
      </c>
      <c r="T68" s="142">
        <f>IF(F68=0,"***",M68/F68)</f>
        <v/>
      </c>
      <c r="U68" s="142">
        <f>IF(G68=0,"***",N68/G68)</f>
        <v/>
      </c>
      <c r="V68" s="142">
        <f>IF(H68=0,"***",O68/H68)</f>
        <v/>
      </c>
      <c r="W68" s="142">
        <f>IF(I68=0,"***",P68/I68)</f>
        <v/>
      </c>
      <c r="X68" s="142">
        <f>IF(J68=0,"***",Q68/J68)</f>
        <v/>
      </c>
      <c r="Y68" s="143">
        <f>IF(K68=0,"***",R68/K68)</f>
        <v/>
      </c>
    </row>
    <row r="69">
      <c r="C69" s="18" t="inlineStr">
        <is>
          <t>＊大海分の計画入力は不要</t>
        </is>
      </c>
      <c r="E69" s="17" t="n"/>
      <c r="F69" s="17" t="n"/>
      <c r="G69" s="17" t="n"/>
      <c r="H69" s="17" t="n"/>
      <c r="I69" s="17" t="n"/>
      <c r="J69" s="17" t="n"/>
      <c r="K69" s="18" t="n"/>
      <c r="L69" s="17" t="n"/>
      <c r="M69" s="17" t="n"/>
      <c r="N69" s="17" t="n"/>
      <c r="O69" s="17" t="n"/>
      <c r="P69" s="17" t="n"/>
      <c r="Q69" s="17" t="n"/>
      <c r="R69" s="18" t="n"/>
      <c r="S69" s="144" t="n"/>
      <c r="T69" s="144" t="n"/>
      <c r="U69" s="144" t="n"/>
      <c r="V69" s="144" t="n"/>
      <c r="W69" s="144" t="n"/>
      <c r="X69" s="144" t="n"/>
      <c r="Y69" s="144" t="n"/>
    </row>
    <row r="70" hidden="1" s="127">
      <c r="C70" s="18" t="inlineStr">
        <is>
          <t>5．前期比</t>
        </is>
      </c>
    </row>
    <row r="71" hidden="1" s="127">
      <c r="C71" s="117" t="n"/>
      <c r="D71" s="118" t="n"/>
      <c r="E71" s="122" t="inlineStr">
        <is>
          <t>売上</t>
        </is>
      </c>
      <c r="F71" s="120" t="n"/>
      <c r="G71" s="120" t="n"/>
      <c r="H71" s="120" t="n"/>
      <c r="I71" s="120" t="n"/>
      <c r="J71" s="120" t="n"/>
      <c r="K71" s="120" t="n"/>
      <c r="L71" s="121" t="inlineStr">
        <is>
          <t>粗利益</t>
        </is>
      </c>
      <c r="M71" s="120" t="n"/>
      <c r="N71" s="120" t="n"/>
      <c r="O71" s="120" t="n"/>
      <c r="P71" s="120" t="n"/>
      <c r="Q71" s="120" t="n"/>
      <c r="R71" s="118" t="n"/>
      <c r="S71" s="119" t="inlineStr">
        <is>
          <t>粗利益率</t>
        </is>
      </c>
      <c r="T71" s="120" t="n"/>
      <c r="U71" s="120" t="n"/>
      <c r="V71" s="120" t="n"/>
      <c r="W71" s="120" t="n"/>
      <c r="X71" s="120" t="n"/>
      <c r="Y71" s="118" t="n"/>
    </row>
    <row r="72" hidden="1" s="127">
      <c r="C72" s="1" t="n"/>
      <c r="D72" s="21" t="n"/>
      <c r="E72" s="61" t="n">
        <v>46113</v>
      </c>
      <c r="F72" s="2" t="n">
        <v>46143</v>
      </c>
      <c r="G72" s="2" t="n">
        <v>46174</v>
      </c>
      <c r="H72" s="2" t="n">
        <v>46204</v>
      </c>
      <c r="I72" s="2" t="n">
        <v>46235</v>
      </c>
      <c r="J72" s="2" t="n">
        <v>46266</v>
      </c>
      <c r="K72" s="67" t="inlineStr">
        <is>
          <t>合計</t>
        </is>
      </c>
      <c r="L72" s="61" t="n">
        <v>46113</v>
      </c>
      <c r="M72" s="2" t="n">
        <v>46143</v>
      </c>
      <c r="N72" s="2" t="n">
        <v>46174</v>
      </c>
      <c r="O72" s="2" t="n">
        <v>46204</v>
      </c>
      <c r="P72" s="2" t="n">
        <v>46235</v>
      </c>
      <c r="Q72" s="2" t="n">
        <v>46266</v>
      </c>
      <c r="R72" s="10" t="inlineStr">
        <is>
          <t>合計</t>
        </is>
      </c>
      <c r="S72" s="95" t="n">
        <v>46113</v>
      </c>
      <c r="T72" s="2" t="n">
        <v>46143</v>
      </c>
      <c r="U72" s="2" t="n">
        <v>46174</v>
      </c>
      <c r="V72" s="2" t="n">
        <v>46204</v>
      </c>
      <c r="W72" s="2" t="n">
        <v>46235</v>
      </c>
      <c r="X72" s="2" t="n">
        <v>46266</v>
      </c>
      <c r="Y72" s="10" t="inlineStr">
        <is>
          <t>合計</t>
        </is>
      </c>
    </row>
    <row r="73" hidden="1" s="127">
      <c r="C73" s="60" t="inlineStr">
        <is>
          <t>0010 集計</t>
        </is>
      </c>
      <c r="D73" s="22" t="inlineStr">
        <is>
          <t>JF</t>
        </is>
      </c>
      <c r="E73" s="4">
        <f>E56-E22</f>
        <v/>
      </c>
      <c r="F73" s="4">
        <f>F56-F22</f>
        <v/>
      </c>
      <c r="G73" s="4">
        <f>G56-G22</f>
        <v/>
      </c>
      <c r="H73" s="4">
        <f>H56-H22</f>
        <v/>
      </c>
      <c r="I73" s="4">
        <f>I56-I22</f>
        <v/>
      </c>
      <c r="J73" s="4">
        <f>J56-J22</f>
        <v/>
      </c>
      <c r="K73" s="68">
        <f>SUM(E73:J73)</f>
        <v/>
      </c>
      <c r="L73" s="3">
        <f>L56-L22</f>
        <v/>
      </c>
      <c r="M73" s="4">
        <f>M56-M22</f>
        <v/>
      </c>
      <c r="N73" s="4">
        <f>N56-N22</f>
        <v/>
      </c>
      <c r="O73" s="4">
        <f>O56-O22</f>
        <v/>
      </c>
      <c r="P73" s="4">
        <f>P56-P22</f>
        <v/>
      </c>
      <c r="Q73" s="4">
        <f>Q56-Q22</f>
        <v/>
      </c>
      <c r="R73" s="62">
        <f>SUM(L73:Q73)</f>
        <v/>
      </c>
      <c r="S73" s="135">
        <f>-S22</f>
        <v/>
      </c>
      <c r="T73" s="136">
        <f>-T22</f>
        <v/>
      </c>
      <c r="U73" s="136">
        <f>-U22</f>
        <v/>
      </c>
      <c r="V73" s="136">
        <f>-V22</f>
        <v/>
      </c>
      <c r="W73" s="136">
        <f>-W22</f>
        <v/>
      </c>
      <c r="X73" s="136">
        <f>-X22</f>
        <v/>
      </c>
      <c r="Y73" s="147">
        <f>-Y22</f>
        <v/>
      </c>
    </row>
    <row r="74" hidden="1" s="127">
      <c r="C74" s="60" t="inlineStr">
        <is>
          <t>0017 集計</t>
        </is>
      </c>
      <c r="D74" s="22" t="inlineStr">
        <is>
          <t>鮮魚</t>
        </is>
      </c>
      <c r="E74" s="4">
        <f>E57-E23</f>
        <v/>
      </c>
      <c r="F74" s="4">
        <f>F57-F23</f>
        <v/>
      </c>
      <c r="G74" s="4">
        <f>G57-G23</f>
        <v/>
      </c>
      <c r="H74" s="4">
        <f>H57-H23</f>
        <v/>
      </c>
      <c r="I74" s="4">
        <f>I57-I23</f>
        <v/>
      </c>
      <c r="J74" s="4">
        <f>J57-J23</f>
        <v/>
      </c>
      <c r="K74" s="68">
        <f>SUM(E74:J74)</f>
        <v/>
      </c>
      <c r="L74" s="3">
        <f>L57-L23</f>
        <v/>
      </c>
      <c r="M74" s="4">
        <f>M57-M23</f>
        <v/>
      </c>
      <c r="N74" s="4">
        <f>N57-N23</f>
        <v/>
      </c>
      <c r="O74" s="4">
        <f>O57-O23</f>
        <v/>
      </c>
      <c r="P74" s="4">
        <f>P57-P23</f>
        <v/>
      </c>
      <c r="Q74" s="4">
        <f>Q57-Q23</f>
        <v/>
      </c>
      <c r="R74" s="62">
        <f>SUM(L74:Q74)</f>
        <v/>
      </c>
      <c r="S74" s="135">
        <f>-S23</f>
        <v/>
      </c>
      <c r="T74" s="136">
        <f>-T23</f>
        <v/>
      </c>
      <c r="U74" s="136">
        <f>-U23</f>
        <v/>
      </c>
      <c r="V74" s="136">
        <f>-V23</f>
        <v/>
      </c>
      <c r="W74" s="136">
        <f>-W23</f>
        <v/>
      </c>
      <c r="X74" s="136">
        <f>-X23</f>
        <v/>
      </c>
      <c r="Y74" s="147">
        <f>-Y23</f>
        <v/>
      </c>
    </row>
    <row r="75" hidden="1" s="127">
      <c r="C75" s="60" t="inlineStr">
        <is>
          <t>0101 集計</t>
        </is>
      </c>
      <c r="D75" s="22" t="inlineStr">
        <is>
          <t>GS</t>
        </is>
      </c>
      <c r="E75" s="4">
        <f>E58-E24</f>
        <v/>
      </c>
      <c r="F75" s="4">
        <f>F58-F24</f>
        <v/>
      </c>
      <c r="G75" s="4">
        <f>G58-G24</f>
        <v/>
      </c>
      <c r="H75" s="4">
        <f>H58-H24</f>
        <v/>
      </c>
      <c r="I75" s="4">
        <f>I58-I24</f>
        <v/>
      </c>
      <c r="J75" s="4">
        <f>J58-J24</f>
        <v/>
      </c>
      <c r="K75" s="68">
        <f>SUM(E75:J75)</f>
        <v/>
      </c>
      <c r="L75" s="3">
        <f>L58-L24</f>
        <v/>
      </c>
      <c r="M75" s="4">
        <f>M58-M24</f>
        <v/>
      </c>
      <c r="N75" s="4">
        <f>N58-N24</f>
        <v/>
      </c>
      <c r="O75" s="4">
        <f>O58-O24</f>
        <v/>
      </c>
      <c r="P75" s="4">
        <f>P58-P24</f>
        <v/>
      </c>
      <c r="Q75" s="4">
        <f>Q58-Q24</f>
        <v/>
      </c>
      <c r="R75" s="62">
        <f>SUM(L75:Q75)</f>
        <v/>
      </c>
      <c r="S75" s="135">
        <f>-S24</f>
        <v/>
      </c>
      <c r="T75" s="136">
        <f>-T24</f>
        <v/>
      </c>
      <c r="U75" s="136">
        <f>-U24</f>
        <v/>
      </c>
      <c r="V75" s="136">
        <f>-V24</f>
        <v/>
      </c>
      <c r="W75" s="136">
        <f>-W24</f>
        <v/>
      </c>
      <c r="X75" s="136">
        <f>-X24</f>
        <v/>
      </c>
      <c r="Y75" s="147">
        <f>-Y24</f>
        <v/>
      </c>
    </row>
    <row r="76" hidden="1" s="127">
      <c r="C76" s="60" t="inlineStr">
        <is>
          <t>0106 集計</t>
        </is>
      </c>
      <c r="D76" s="22" t="inlineStr">
        <is>
          <t>浜田荷役</t>
        </is>
      </c>
      <c r="E76" s="4">
        <f>E59-E25</f>
        <v/>
      </c>
      <c r="F76" s="4">
        <f>F59-F25</f>
        <v/>
      </c>
      <c r="G76" s="4">
        <f>G59-G25</f>
        <v/>
      </c>
      <c r="H76" s="4">
        <f>H59-H25</f>
        <v/>
      </c>
      <c r="I76" s="4">
        <f>I59-I25</f>
        <v/>
      </c>
      <c r="J76" s="4">
        <f>J59-J25</f>
        <v/>
      </c>
      <c r="K76" s="68">
        <f>SUM(E76:J76)</f>
        <v/>
      </c>
      <c r="L76" s="3">
        <f>L59-L25</f>
        <v/>
      </c>
      <c r="M76" s="4">
        <f>M59-M25</f>
        <v/>
      </c>
      <c r="N76" s="4">
        <f>N59-N25</f>
        <v/>
      </c>
      <c r="O76" s="4">
        <f>O59-O25</f>
        <v/>
      </c>
      <c r="P76" s="4">
        <f>P59-P25</f>
        <v/>
      </c>
      <c r="Q76" s="4">
        <f>Q59-Q25</f>
        <v/>
      </c>
      <c r="R76" s="62">
        <f>SUM(L76:Q76)</f>
        <v/>
      </c>
      <c r="S76" s="135">
        <f>-S25</f>
        <v/>
      </c>
      <c r="T76" s="136">
        <f>-T25</f>
        <v/>
      </c>
      <c r="U76" s="136">
        <f>-U25</f>
        <v/>
      </c>
      <c r="V76" s="136">
        <f>-V25</f>
        <v/>
      </c>
      <c r="W76" s="136">
        <f>-W25</f>
        <v/>
      </c>
      <c r="X76" s="136">
        <f>-X25</f>
        <v/>
      </c>
      <c r="Y76" s="147">
        <f>-Y25</f>
        <v/>
      </c>
    </row>
    <row r="77" hidden="1" s="127">
      <c r="C77" s="60" t="inlineStr">
        <is>
          <t>浜田水産部合計</t>
        </is>
      </c>
      <c r="D77" s="22" t="n"/>
      <c r="E77" s="4">
        <f>SUM(E73:E76)</f>
        <v/>
      </c>
      <c r="F77" s="4">
        <f>SUM(F73:F76)</f>
        <v/>
      </c>
      <c r="G77" s="4">
        <f>SUM(G73:G76)</f>
        <v/>
      </c>
      <c r="H77" s="4">
        <f>SUM(H73:H76)</f>
        <v/>
      </c>
      <c r="I77" s="4">
        <f>SUM(I73:I76)</f>
        <v/>
      </c>
      <c r="J77" s="4">
        <f>SUM(J73:J76)</f>
        <v/>
      </c>
      <c r="K77" s="68">
        <f>SUM(E77:J77)</f>
        <v/>
      </c>
      <c r="L77" s="3">
        <f>SUM(L73:L76)</f>
        <v/>
      </c>
      <c r="M77" s="4">
        <f>SUM(M73:M76)</f>
        <v/>
      </c>
      <c r="N77" s="4">
        <f>SUM(N73:N76)</f>
        <v/>
      </c>
      <c r="O77" s="4">
        <f>SUM(O73:O76)</f>
        <v/>
      </c>
      <c r="P77" s="4">
        <f>SUM(P73:P76)</f>
        <v/>
      </c>
      <c r="Q77" s="4">
        <f>SUM(Q73:Q76)</f>
        <v/>
      </c>
      <c r="R77" s="62">
        <f>SUM(L77:Q77)</f>
        <v/>
      </c>
      <c r="S77" s="135">
        <f>-S26</f>
        <v/>
      </c>
      <c r="T77" s="136">
        <f>-T26</f>
        <v/>
      </c>
      <c r="U77" s="136">
        <f>-U26</f>
        <v/>
      </c>
      <c r="V77" s="136">
        <f>-V26</f>
        <v/>
      </c>
      <c r="W77" s="136">
        <f>-W26</f>
        <v/>
      </c>
      <c r="X77" s="136">
        <f>-X26</f>
        <v/>
      </c>
      <c r="Y77" s="147">
        <f>-Y26</f>
        <v/>
      </c>
    </row>
    <row r="78" hidden="1" s="127">
      <c r="C78" s="60" t="inlineStr">
        <is>
          <t>0102 集計</t>
        </is>
      </c>
      <c r="D78" s="22" t="inlineStr">
        <is>
          <t>JF大田</t>
        </is>
      </c>
      <c r="E78" s="4">
        <f>E61-E27</f>
        <v/>
      </c>
      <c r="F78" s="4">
        <f>F61-F27</f>
        <v/>
      </c>
      <c r="G78" s="4">
        <f>G61-G27</f>
        <v/>
      </c>
      <c r="H78" s="4">
        <f>H61-H27</f>
        <v/>
      </c>
      <c r="I78" s="4">
        <f>I61-I27</f>
        <v/>
      </c>
      <c r="J78" s="4">
        <f>J61-J27</f>
        <v/>
      </c>
      <c r="K78" s="68">
        <f>SUM(E78:J78)</f>
        <v/>
      </c>
      <c r="L78" s="3">
        <f>L61-L27</f>
        <v/>
      </c>
      <c r="M78" s="4">
        <f>M61-M27</f>
        <v/>
      </c>
      <c r="N78" s="4">
        <f>N61-N27</f>
        <v/>
      </c>
      <c r="O78" s="4">
        <f>O61-O27</f>
        <v/>
      </c>
      <c r="P78" s="4">
        <f>P61-P27</f>
        <v/>
      </c>
      <c r="Q78" s="4">
        <f>Q61-Q27</f>
        <v/>
      </c>
      <c r="R78" s="62">
        <f>SUM(L78:Q78)</f>
        <v/>
      </c>
      <c r="S78" s="135">
        <f>-S27</f>
        <v/>
      </c>
      <c r="T78" s="136">
        <f>-T27</f>
        <v/>
      </c>
      <c r="U78" s="136">
        <f>-U27</f>
        <v/>
      </c>
      <c r="V78" s="136">
        <f>-V27</f>
        <v/>
      </c>
      <c r="W78" s="136">
        <f>-W27</f>
        <v/>
      </c>
      <c r="X78" s="136">
        <f>-X27</f>
        <v/>
      </c>
      <c r="Y78" s="147">
        <f>-Y27</f>
        <v/>
      </c>
    </row>
    <row r="79" hidden="1" s="127">
      <c r="C79" s="60" t="inlineStr">
        <is>
          <t>0104 集計</t>
        </is>
      </c>
      <c r="D79" s="22" t="inlineStr">
        <is>
          <t>大田荷役</t>
        </is>
      </c>
      <c r="E79" s="4">
        <f>E62-E28</f>
        <v/>
      </c>
      <c r="F79" s="4">
        <f>F62-F28</f>
        <v/>
      </c>
      <c r="G79" s="4">
        <f>G62-G28</f>
        <v/>
      </c>
      <c r="H79" s="4">
        <f>H62-H28</f>
        <v/>
      </c>
      <c r="I79" s="4">
        <f>I62-I28</f>
        <v/>
      </c>
      <c r="J79" s="4">
        <f>J62-J28</f>
        <v/>
      </c>
      <c r="K79" s="68">
        <f>SUM(E79:J79)</f>
        <v/>
      </c>
      <c r="L79" s="3">
        <f>L62-L28</f>
        <v/>
      </c>
      <c r="M79" s="4">
        <f>M62-M28</f>
        <v/>
      </c>
      <c r="N79" s="4">
        <f>N62-N28</f>
        <v/>
      </c>
      <c r="O79" s="4">
        <f>O62-O28</f>
        <v/>
      </c>
      <c r="P79" s="4">
        <f>P62-P28</f>
        <v/>
      </c>
      <c r="Q79" s="4">
        <f>Q62-Q28</f>
        <v/>
      </c>
      <c r="R79" s="62">
        <f>SUM(L79:Q79)</f>
        <v/>
      </c>
      <c r="S79" s="135">
        <f>-S28</f>
        <v/>
      </c>
      <c r="T79" s="136">
        <f>-T28</f>
        <v/>
      </c>
      <c r="U79" s="136">
        <f>-U28</f>
        <v/>
      </c>
      <c r="V79" s="136">
        <f>-V28</f>
        <v/>
      </c>
      <c r="W79" s="136">
        <f>-W28</f>
        <v/>
      </c>
      <c r="X79" s="136">
        <f>-X28</f>
        <v/>
      </c>
      <c r="Y79" s="147">
        <f>-Y28</f>
        <v/>
      </c>
    </row>
    <row r="80" hidden="1" s="127">
      <c r="C80" s="60" t="inlineStr">
        <is>
          <t>大田水産部</t>
        </is>
      </c>
      <c r="D80" s="22" t="n"/>
      <c r="E80" s="20">
        <f>SUM(E78:E79)</f>
        <v/>
      </c>
      <c r="F80" s="20">
        <f>SUM(F78:F79)</f>
        <v/>
      </c>
      <c r="G80" s="20">
        <f>SUM(G78:G79)</f>
        <v/>
      </c>
      <c r="H80" s="20">
        <f>SUM(H78:H79)</f>
        <v/>
      </c>
      <c r="I80" s="20">
        <f>SUM(I78:I79)</f>
        <v/>
      </c>
      <c r="J80" s="20">
        <f>SUM(J78:J79)</f>
        <v/>
      </c>
      <c r="K80" s="68">
        <f>SUM(K78:K79)</f>
        <v/>
      </c>
      <c r="L80" s="3">
        <f>SUM(L78:L79)</f>
        <v/>
      </c>
      <c r="M80" s="20">
        <f>SUM(M78:M79)</f>
        <v/>
      </c>
      <c r="N80" s="20">
        <f>SUM(N78:N79)</f>
        <v/>
      </c>
      <c r="O80" s="20">
        <f>SUM(O78:O79)</f>
        <v/>
      </c>
      <c r="P80" s="20">
        <f>SUM(P78:P79)</f>
        <v/>
      </c>
      <c r="Q80" s="20">
        <f>SUM(Q78:Q79)</f>
        <v/>
      </c>
      <c r="R80" s="62">
        <f>SUM(R78:R79)</f>
        <v/>
      </c>
      <c r="S80" s="135">
        <f>-S29</f>
        <v/>
      </c>
      <c r="T80" s="136">
        <f>-T29</f>
        <v/>
      </c>
      <c r="U80" s="136">
        <f>-U29</f>
        <v/>
      </c>
      <c r="V80" s="136">
        <f>-V29</f>
        <v/>
      </c>
      <c r="W80" s="136">
        <f>-W29</f>
        <v/>
      </c>
      <c r="X80" s="136">
        <f>-X29</f>
        <v/>
      </c>
      <c r="Y80" s="147">
        <f>-Y29</f>
        <v/>
      </c>
    </row>
    <row r="81" hidden="1" s="127">
      <c r="C81" s="60" t="inlineStr">
        <is>
          <t>0031 集計</t>
        </is>
      </c>
      <c r="D81" s="22" t="inlineStr">
        <is>
          <t>JF境</t>
        </is>
      </c>
      <c r="E81" s="20">
        <f>E64-E30</f>
        <v/>
      </c>
      <c r="F81" s="20">
        <f>F64-F30</f>
        <v/>
      </c>
      <c r="G81" s="20">
        <f>G64-G30</f>
        <v/>
      </c>
      <c r="H81" s="20">
        <f>H64-H30</f>
        <v/>
      </c>
      <c r="I81" s="20">
        <f>I64-I30</f>
        <v/>
      </c>
      <c r="J81" s="20">
        <f>J64-J30</f>
        <v/>
      </c>
      <c r="K81" s="68">
        <f>SUM(E81:J81)</f>
        <v/>
      </c>
      <c r="L81" s="3">
        <f>L64-L30</f>
        <v/>
      </c>
      <c r="M81" s="20">
        <f>M64-M30</f>
        <v/>
      </c>
      <c r="N81" s="20">
        <f>N64-N30</f>
        <v/>
      </c>
      <c r="O81" s="20">
        <f>O64-O30</f>
        <v/>
      </c>
      <c r="P81" s="20">
        <f>P64-P30</f>
        <v/>
      </c>
      <c r="Q81" s="20">
        <f>Q64-Q30</f>
        <v/>
      </c>
      <c r="R81" s="62">
        <f>SUM(L81:Q81)</f>
        <v/>
      </c>
      <c r="S81" s="135">
        <f>-S30</f>
        <v/>
      </c>
      <c r="T81" s="136">
        <f>-T30</f>
        <v/>
      </c>
      <c r="U81" s="136">
        <f>-U30</f>
        <v/>
      </c>
      <c r="V81" s="136">
        <f>-V30</f>
        <v/>
      </c>
      <c r="W81" s="136">
        <f>-W30</f>
        <v/>
      </c>
      <c r="X81" s="136">
        <f>-X30</f>
        <v/>
      </c>
      <c r="Y81" s="147">
        <f>-Y30</f>
        <v/>
      </c>
    </row>
    <row r="82" hidden="1" s="127">
      <c r="C82" s="60" t="inlineStr">
        <is>
          <t>0038 集計</t>
        </is>
      </c>
      <c r="D82" s="83" t="inlineStr">
        <is>
          <t>境その他</t>
        </is>
      </c>
      <c r="E82" s="84">
        <f>E65-E31</f>
        <v/>
      </c>
      <c r="F82" s="84">
        <f>F65-F31</f>
        <v/>
      </c>
      <c r="G82" s="84">
        <f>G65-G31</f>
        <v/>
      </c>
      <c r="H82" s="84">
        <f>H65-H31</f>
        <v/>
      </c>
      <c r="I82" s="84">
        <f>I65-I31</f>
        <v/>
      </c>
      <c r="J82" s="84">
        <f>J65-J31</f>
        <v/>
      </c>
      <c r="K82" s="68">
        <f>SUM(E82:J82)</f>
        <v/>
      </c>
      <c r="L82" s="88">
        <f>L65-L31</f>
        <v/>
      </c>
      <c r="M82" s="84">
        <f>M65-M31</f>
        <v/>
      </c>
      <c r="N82" s="84">
        <f>N65-N31</f>
        <v/>
      </c>
      <c r="O82" s="84">
        <f>O65-O31</f>
        <v/>
      </c>
      <c r="P82" s="84">
        <f>P65-P31</f>
        <v/>
      </c>
      <c r="Q82" s="84">
        <f>Q65-Q31</f>
        <v/>
      </c>
      <c r="R82" s="62">
        <f>SUM(L82:Q82)</f>
        <v/>
      </c>
      <c r="S82" s="148">
        <f>-S31</f>
        <v/>
      </c>
      <c r="T82" s="149">
        <f>-T31</f>
        <v/>
      </c>
      <c r="U82" s="149">
        <f>-U31</f>
        <v/>
      </c>
      <c r="V82" s="149">
        <f>-V31</f>
        <v/>
      </c>
      <c r="W82" s="149">
        <f>-W31</f>
        <v/>
      </c>
      <c r="X82" s="149">
        <f>-X31</f>
        <v/>
      </c>
      <c r="Y82" s="150">
        <f>-Y31</f>
        <v/>
      </c>
    </row>
    <row r="83" hidden="1" s="127">
      <c r="C83" s="82" t="inlineStr">
        <is>
          <t>境港水産部合計</t>
        </is>
      </c>
      <c r="D83" s="83" t="n"/>
      <c r="E83" s="84">
        <f>E81+E82</f>
        <v/>
      </c>
      <c r="F83" s="84">
        <f>F81+F82</f>
        <v/>
      </c>
      <c r="G83" s="84">
        <f>G81+G82</f>
        <v/>
      </c>
      <c r="H83" s="84">
        <f>H81+H82</f>
        <v/>
      </c>
      <c r="I83" s="84">
        <f>I81+I82</f>
        <v/>
      </c>
      <c r="J83" s="84">
        <f>J81+J82</f>
        <v/>
      </c>
      <c r="K83" s="68">
        <f>SUM(E83:J83)</f>
        <v/>
      </c>
      <c r="L83" s="88">
        <f>L81+L82</f>
        <v/>
      </c>
      <c r="M83" s="84">
        <f>M81+M82</f>
        <v/>
      </c>
      <c r="N83" s="84">
        <f>N81+N82</f>
        <v/>
      </c>
      <c r="O83" s="84">
        <f>O81+O82</f>
        <v/>
      </c>
      <c r="P83" s="84">
        <f>P81+P82</f>
        <v/>
      </c>
      <c r="Q83" s="84">
        <f>Q81+Q82</f>
        <v/>
      </c>
      <c r="R83" s="62">
        <f>SUM(L83:Q83)</f>
        <v/>
      </c>
      <c r="S83" s="148">
        <f>-S32</f>
        <v/>
      </c>
      <c r="T83" s="149">
        <f>-T32</f>
        <v/>
      </c>
      <c r="U83" s="149">
        <f>-U32</f>
        <v/>
      </c>
      <c r="V83" s="149">
        <f>-V32</f>
        <v/>
      </c>
      <c r="W83" s="149">
        <f>-W32</f>
        <v/>
      </c>
      <c r="X83" s="149">
        <f>-X32</f>
        <v/>
      </c>
      <c r="Y83" s="150">
        <f>-Y32</f>
        <v/>
      </c>
    </row>
    <row r="84" hidden="1" s="127">
      <c r="C84" s="53" t="inlineStr">
        <is>
          <t>合計</t>
        </is>
      </c>
      <c r="D84" s="54" t="n"/>
      <c r="E84" s="8">
        <f>E77+E80+E83</f>
        <v/>
      </c>
      <c r="F84" s="8">
        <f>F77+F80+F83</f>
        <v/>
      </c>
      <c r="G84" s="8">
        <f>G77+G80+G83</f>
        <v/>
      </c>
      <c r="H84" s="8">
        <f>H77+H80+H83</f>
        <v/>
      </c>
      <c r="I84" s="8">
        <f>I77+I80+I83</f>
        <v/>
      </c>
      <c r="J84" s="8">
        <f>J77+J80+J83</f>
        <v/>
      </c>
      <c r="K84" s="69">
        <f>K77+K80+K83</f>
        <v/>
      </c>
      <c r="L84" s="63">
        <f>L77+L80+L83</f>
        <v/>
      </c>
      <c r="M84" s="8">
        <f>M77+M80+M83</f>
        <v/>
      </c>
      <c r="N84" s="8">
        <f>N77+N80+N83</f>
        <v/>
      </c>
      <c r="O84" s="8">
        <f>O77+O80+O83</f>
        <v/>
      </c>
      <c r="P84" s="8">
        <f>P77+P80+P83</f>
        <v/>
      </c>
      <c r="Q84" s="8">
        <f>Q77+Q80+Q83</f>
        <v/>
      </c>
      <c r="R84" s="64">
        <f>R77+R80+R83</f>
        <v/>
      </c>
      <c r="S84" s="138">
        <f>-S33</f>
        <v/>
      </c>
      <c r="T84" s="139">
        <f>-T33</f>
        <v/>
      </c>
      <c r="U84" s="139">
        <f>-U33</f>
        <v/>
      </c>
      <c r="V84" s="139">
        <f>-V33</f>
        <v/>
      </c>
      <c r="W84" s="139">
        <f>-W33</f>
        <v/>
      </c>
      <c r="X84" s="139">
        <f>-X33</f>
        <v/>
      </c>
      <c r="Y84" s="151">
        <f>-Y33</f>
        <v/>
      </c>
    </row>
    <row r="85" hidden="1" s="127">
      <c r="C85" s="18" t="n"/>
      <c r="E85" s="17" t="n"/>
      <c r="F85" s="17" t="n"/>
      <c r="G85" s="17" t="n"/>
      <c r="H85" s="17" t="n"/>
      <c r="I85" s="17" t="n"/>
      <c r="J85" s="17" t="n"/>
      <c r="K85" s="18" t="n"/>
      <c r="L85" s="17" t="n"/>
      <c r="M85" s="17" t="n"/>
      <c r="N85" s="17" t="n"/>
      <c r="O85" s="17" t="n"/>
      <c r="P85" s="17" t="n"/>
      <c r="Q85" s="17" t="n"/>
      <c r="R85" s="18" t="n"/>
      <c r="S85" s="144" t="n"/>
      <c r="T85" s="144" t="n"/>
      <c r="U85" s="144" t="n"/>
      <c r="V85" s="144" t="n"/>
      <c r="W85" s="144" t="n"/>
      <c r="X85" s="144" t="n"/>
      <c r="Y85" s="144" t="n"/>
    </row>
    <row r="86" hidden="1" s="127">
      <c r="C86" s="18" t="inlineStr">
        <is>
          <t>6．過年度平均比</t>
        </is>
      </c>
    </row>
    <row r="87" hidden="1" s="127">
      <c r="C87" s="117" t="n"/>
      <c r="D87" s="118" t="n"/>
      <c r="E87" s="117" t="inlineStr">
        <is>
          <t>売上</t>
        </is>
      </c>
      <c r="F87" s="120" t="n"/>
      <c r="G87" s="120" t="n"/>
      <c r="H87" s="120" t="n"/>
      <c r="I87" s="120" t="n"/>
      <c r="J87" s="120" t="n"/>
      <c r="K87" s="118" t="n"/>
      <c r="L87" s="119" t="inlineStr">
        <is>
          <t>粗利益</t>
        </is>
      </c>
      <c r="M87" s="120" t="n"/>
      <c r="N87" s="120" t="n"/>
      <c r="O87" s="120" t="n"/>
      <c r="P87" s="120" t="n"/>
      <c r="Q87" s="120" t="n"/>
      <c r="R87" s="118" t="n"/>
      <c r="S87" s="119" t="inlineStr">
        <is>
          <t>粗利益率</t>
        </is>
      </c>
      <c r="T87" s="120" t="n"/>
      <c r="U87" s="120" t="n"/>
      <c r="V87" s="120" t="n"/>
      <c r="W87" s="120" t="n"/>
      <c r="X87" s="120" t="n"/>
      <c r="Y87" s="118" t="n"/>
    </row>
    <row r="88" hidden="1" s="127">
      <c r="C88" s="1" t="n"/>
      <c r="D88" s="21" t="n"/>
      <c r="E88" s="61" t="n">
        <v>46113</v>
      </c>
      <c r="F88" s="2" t="n">
        <v>46143</v>
      </c>
      <c r="G88" s="2" t="n">
        <v>46174</v>
      </c>
      <c r="H88" s="2" t="n">
        <v>46204</v>
      </c>
      <c r="I88" s="2" t="n">
        <v>46235</v>
      </c>
      <c r="J88" s="2" t="n">
        <v>46266</v>
      </c>
      <c r="K88" s="10" t="inlineStr">
        <is>
          <t>合計</t>
        </is>
      </c>
      <c r="L88" s="95" t="n">
        <v>46113</v>
      </c>
      <c r="M88" s="2" t="n">
        <v>46143</v>
      </c>
      <c r="N88" s="2" t="n">
        <v>46174</v>
      </c>
      <c r="O88" s="2" t="n">
        <v>46204</v>
      </c>
      <c r="P88" s="2" t="n">
        <v>46235</v>
      </c>
      <c r="Q88" s="2" t="n">
        <v>46266</v>
      </c>
      <c r="R88" s="10" t="inlineStr">
        <is>
          <t>合計</t>
        </is>
      </c>
      <c r="S88" s="95" t="n">
        <v>46113</v>
      </c>
      <c r="T88" s="2" t="n">
        <v>46143</v>
      </c>
      <c r="U88" s="2" t="n">
        <v>46174</v>
      </c>
      <c r="V88" s="2" t="n">
        <v>46204</v>
      </c>
      <c r="W88" s="2" t="n">
        <v>46235</v>
      </c>
      <c r="X88" s="2" t="n">
        <v>46266</v>
      </c>
      <c r="Y88" s="10" t="inlineStr">
        <is>
          <t>合計</t>
        </is>
      </c>
    </row>
    <row r="89" hidden="1" s="127">
      <c r="C89" s="60" t="inlineStr">
        <is>
          <t>0010 集計</t>
        </is>
      </c>
      <c r="D89" s="22" t="inlineStr">
        <is>
          <t>JF</t>
        </is>
      </c>
      <c r="E89" s="4">
        <f>E56-E39</f>
        <v/>
      </c>
      <c r="F89" s="4">
        <f>F56-F39</f>
        <v/>
      </c>
      <c r="G89" s="4">
        <f>G56-G39</f>
        <v/>
      </c>
      <c r="H89" s="4">
        <f>H56-H39</f>
        <v/>
      </c>
      <c r="I89" s="4">
        <f>I56-I39</f>
        <v/>
      </c>
      <c r="J89" s="4">
        <f>J56-J39</f>
        <v/>
      </c>
      <c r="K89" s="7">
        <f>SUM(E89:J89)</f>
        <v/>
      </c>
      <c r="L89" s="4">
        <f>L56-L39</f>
        <v/>
      </c>
      <c r="M89" s="4">
        <f>M56-M39</f>
        <v/>
      </c>
      <c r="N89" s="4">
        <f>N56-N39</f>
        <v/>
      </c>
      <c r="O89" s="4">
        <f>O56-O39</f>
        <v/>
      </c>
      <c r="P89" s="4">
        <f>P56-P39</f>
        <v/>
      </c>
      <c r="Q89" s="4">
        <f>Q56-Q39</f>
        <v/>
      </c>
      <c r="R89" s="7">
        <f>SUM(L89:Q89)</f>
        <v/>
      </c>
      <c r="S89" s="136">
        <f>S56-S39</f>
        <v/>
      </c>
      <c r="T89" s="136">
        <f>T56-T39</f>
        <v/>
      </c>
      <c r="U89" s="136">
        <f>U56-U39</f>
        <v/>
      </c>
      <c r="V89" s="136">
        <f>V56-V39</f>
        <v/>
      </c>
      <c r="W89" s="136">
        <f>W56-W39</f>
        <v/>
      </c>
      <c r="X89" s="136">
        <f>X56-X39</f>
        <v/>
      </c>
      <c r="Y89" s="147">
        <f>Y56-Y39</f>
        <v/>
      </c>
    </row>
    <row r="90" hidden="1" s="127">
      <c r="C90" s="60" t="inlineStr">
        <is>
          <t>0017 集計</t>
        </is>
      </c>
      <c r="D90" s="22" t="inlineStr">
        <is>
          <t>鮮魚</t>
        </is>
      </c>
      <c r="E90" s="4">
        <f>E57-E40</f>
        <v/>
      </c>
      <c r="F90" s="4">
        <f>F57-F40</f>
        <v/>
      </c>
      <c r="G90" s="4">
        <f>G57-G40</f>
        <v/>
      </c>
      <c r="H90" s="4">
        <f>H57-H40</f>
        <v/>
      </c>
      <c r="I90" s="4">
        <f>I57-I40</f>
        <v/>
      </c>
      <c r="J90" s="4">
        <f>J57-J40</f>
        <v/>
      </c>
      <c r="K90" s="7">
        <f>SUM(E90:J90)</f>
        <v/>
      </c>
      <c r="L90" s="4">
        <f>L57-L40</f>
        <v/>
      </c>
      <c r="M90" s="4">
        <f>M57-M40</f>
        <v/>
      </c>
      <c r="N90" s="4">
        <f>N57-N40</f>
        <v/>
      </c>
      <c r="O90" s="4">
        <f>O57-O40</f>
        <v/>
      </c>
      <c r="P90" s="4">
        <f>P57-P40</f>
        <v/>
      </c>
      <c r="Q90" s="4">
        <f>Q57-Q40</f>
        <v/>
      </c>
      <c r="R90" s="7">
        <f>SUM(L90:Q90)</f>
        <v/>
      </c>
      <c r="S90" s="136">
        <f>S57-S40</f>
        <v/>
      </c>
      <c r="T90" s="136">
        <f>T57-T40</f>
        <v/>
      </c>
      <c r="U90" s="136">
        <f>U57-U40</f>
        <v/>
      </c>
      <c r="V90" s="136">
        <f>V57-V40</f>
        <v/>
      </c>
      <c r="W90" s="136">
        <f>W57-W40</f>
        <v/>
      </c>
      <c r="X90" s="136">
        <f>X57-X40</f>
        <v/>
      </c>
      <c r="Y90" s="147">
        <f>Y57-Y40</f>
        <v/>
      </c>
    </row>
    <row r="91" hidden="1" s="127">
      <c r="C91" s="60" t="inlineStr">
        <is>
          <t>0101 集計</t>
        </is>
      </c>
      <c r="D91" s="22" t="inlineStr">
        <is>
          <t>GS</t>
        </is>
      </c>
      <c r="E91" s="4">
        <f>E58-E41</f>
        <v/>
      </c>
      <c r="F91" s="4">
        <f>F58-F41</f>
        <v/>
      </c>
      <c r="G91" s="4">
        <f>G58-G41</f>
        <v/>
      </c>
      <c r="H91" s="4">
        <f>H58-H41</f>
        <v/>
      </c>
      <c r="I91" s="4">
        <f>I58-I41</f>
        <v/>
      </c>
      <c r="J91" s="4">
        <f>J58-J41</f>
        <v/>
      </c>
      <c r="K91" s="7">
        <f>SUM(E91:J91)</f>
        <v/>
      </c>
      <c r="L91" s="4">
        <f>L58-L41</f>
        <v/>
      </c>
      <c r="M91" s="4">
        <f>M58-M41</f>
        <v/>
      </c>
      <c r="N91" s="4">
        <f>N58-N41</f>
        <v/>
      </c>
      <c r="O91" s="4">
        <f>O58-O41</f>
        <v/>
      </c>
      <c r="P91" s="4">
        <f>P58-P41</f>
        <v/>
      </c>
      <c r="Q91" s="4">
        <f>Q58-Q41</f>
        <v/>
      </c>
      <c r="R91" s="7">
        <f>SUM(L91:Q91)</f>
        <v/>
      </c>
      <c r="S91" s="136">
        <f>S58-S41</f>
        <v/>
      </c>
      <c r="T91" s="136">
        <f>T58-T41</f>
        <v/>
      </c>
      <c r="U91" s="136">
        <f>U58-U41</f>
        <v/>
      </c>
      <c r="V91" s="136">
        <f>V58-V41</f>
        <v/>
      </c>
      <c r="W91" s="136">
        <f>W58-W41</f>
        <v/>
      </c>
      <c r="X91" s="136">
        <f>X58-X41</f>
        <v/>
      </c>
      <c r="Y91" s="147">
        <f>Y58-Y41</f>
        <v/>
      </c>
    </row>
    <row r="92" hidden="1" s="127">
      <c r="C92" s="60" t="inlineStr">
        <is>
          <t>0106 集計</t>
        </is>
      </c>
      <c r="D92" s="22" t="inlineStr">
        <is>
          <t>浜田荷役</t>
        </is>
      </c>
      <c r="E92" s="4">
        <f>E59-E42</f>
        <v/>
      </c>
      <c r="F92" s="4">
        <f>F59-F42</f>
        <v/>
      </c>
      <c r="G92" s="4">
        <f>G59-G42</f>
        <v/>
      </c>
      <c r="H92" s="4">
        <f>H59-H42</f>
        <v/>
      </c>
      <c r="I92" s="4">
        <f>I59-I42</f>
        <v/>
      </c>
      <c r="J92" s="4">
        <f>J59-J42</f>
        <v/>
      </c>
      <c r="K92" s="7">
        <f>SUM(E92:J92)</f>
        <v/>
      </c>
      <c r="L92" s="4">
        <f>L59-L42</f>
        <v/>
      </c>
      <c r="M92" s="4">
        <f>M59-M42</f>
        <v/>
      </c>
      <c r="N92" s="4">
        <f>N59-N42</f>
        <v/>
      </c>
      <c r="O92" s="4">
        <f>O59-O42</f>
        <v/>
      </c>
      <c r="P92" s="4">
        <f>P59-P42</f>
        <v/>
      </c>
      <c r="Q92" s="4">
        <f>Q59-Q42</f>
        <v/>
      </c>
      <c r="R92" s="7">
        <f>SUM(L92:Q92)</f>
        <v/>
      </c>
      <c r="S92" s="136">
        <f>S59-S42</f>
        <v/>
      </c>
      <c r="T92" s="136">
        <f>T59-T42</f>
        <v/>
      </c>
      <c r="U92" s="136">
        <f>U59-U42</f>
        <v/>
      </c>
      <c r="V92" s="136">
        <f>V59-V42</f>
        <v/>
      </c>
      <c r="W92" s="136">
        <f>W59-W42</f>
        <v/>
      </c>
      <c r="X92" s="136">
        <f>X59-X42</f>
        <v/>
      </c>
      <c r="Y92" s="147">
        <f>Y59-Y42</f>
        <v/>
      </c>
    </row>
    <row r="93" hidden="1" s="127">
      <c r="C93" s="60" t="inlineStr">
        <is>
          <t>浜田水産部合計</t>
        </is>
      </c>
      <c r="D93" s="22" t="n"/>
      <c r="E93" s="4">
        <f>SUM(E89:E92)</f>
        <v/>
      </c>
      <c r="F93" s="4">
        <f>SUM(F89:F92)</f>
        <v/>
      </c>
      <c r="G93" s="4">
        <f>SUM(G89:G92)</f>
        <v/>
      </c>
      <c r="H93" s="4">
        <f>SUM(H89:H92)</f>
        <v/>
      </c>
      <c r="I93" s="4">
        <f>SUM(I89:I92)</f>
        <v/>
      </c>
      <c r="J93" s="4">
        <f>SUM(J89:J92)</f>
        <v/>
      </c>
      <c r="K93" s="7">
        <f>SUM(E93:J93)</f>
        <v/>
      </c>
      <c r="L93" s="4">
        <f>SUM(L89:L92)</f>
        <v/>
      </c>
      <c r="M93" s="4">
        <f>SUM(M89:M92)</f>
        <v/>
      </c>
      <c r="N93" s="4">
        <f>SUM(N89:N92)</f>
        <v/>
      </c>
      <c r="O93" s="4">
        <f>SUM(O89:O92)</f>
        <v/>
      </c>
      <c r="P93" s="4">
        <f>SUM(P89:P92)</f>
        <v/>
      </c>
      <c r="Q93" s="4">
        <f>SUM(Q89:Q92)</f>
        <v/>
      </c>
      <c r="R93" s="7">
        <f>SUM(L93:Q93)</f>
        <v/>
      </c>
      <c r="S93" s="136">
        <f>S60-S43</f>
        <v/>
      </c>
      <c r="T93" s="136">
        <f>T60-T43</f>
        <v/>
      </c>
      <c r="U93" s="136">
        <f>U60-U43</f>
        <v/>
      </c>
      <c r="V93" s="136">
        <f>V60-V43</f>
        <v/>
      </c>
      <c r="W93" s="136">
        <f>W60-W43</f>
        <v/>
      </c>
      <c r="X93" s="136">
        <f>X60-X43</f>
        <v/>
      </c>
      <c r="Y93" s="147">
        <f>Y60-Y43</f>
        <v/>
      </c>
    </row>
    <row r="94" hidden="1" s="127">
      <c r="C94" s="60" t="inlineStr">
        <is>
          <t>0102 集計</t>
        </is>
      </c>
      <c r="D94" s="22" t="inlineStr">
        <is>
          <t>JF大田</t>
        </is>
      </c>
      <c r="E94" s="4">
        <f>E61-E44</f>
        <v/>
      </c>
      <c r="F94" s="4">
        <f>F61-F44</f>
        <v/>
      </c>
      <c r="G94" s="4">
        <f>G61-G44</f>
        <v/>
      </c>
      <c r="H94" s="4">
        <f>H61-H44</f>
        <v/>
      </c>
      <c r="I94" s="4">
        <f>I61-I44</f>
        <v/>
      </c>
      <c r="J94" s="4">
        <f>J61-J44</f>
        <v/>
      </c>
      <c r="K94" s="7">
        <f>SUM(E94:J94)</f>
        <v/>
      </c>
      <c r="L94" s="4">
        <f>L61-L44</f>
        <v/>
      </c>
      <c r="M94" s="4">
        <f>M61-M44</f>
        <v/>
      </c>
      <c r="N94" s="4">
        <f>N61-N44</f>
        <v/>
      </c>
      <c r="O94" s="4">
        <f>O61-O44</f>
        <v/>
      </c>
      <c r="P94" s="4">
        <f>P61-P44</f>
        <v/>
      </c>
      <c r="Q94" s="4">
        <f>Q61-Q44</f>
        <v/>
      </c>
      <c r="R94" s="7">
        <f>SUM(L94:Q94)</f>
        <v/>
      </c>
      <c r="S94" s="136">
        <f>S61-S44</f>
        <v/>
      </c>
      <c r="T94" s="136">
        <f>T61-T44</f>
        <v/>
      </c>
      <c r="U94" s="136">
        <f>U61-U44</f>
        <v/>
      </c>
      <c r="V94" s="136">
        <f>V61-V44</f>
        <v/>
      </c>
      <c r="W94" s="136">
        <f>W61-W44</f>
        <v/>
      </c>
      <c r="X94" s="136">
        <f>X61-X44</f>
        <v/>
      </c>
      <c r="Y94" s="147">
        <f>Y61-Y44</f>
        <v/>
      </c>
    </row>
    <row r="95" hidden="1" s="127">
      <c r="C95" s="60" t="inlineStr">
        <is>
          <t>0104 集計</t>
        </is>
      </c>
      <c r="D95" s="22" t="inlineStr">
        <is>
          <t>大田荷役</t>
        </is>
      </c>
      <c r="E95" s="4">
        <f>E62-E45</f>
        <v/>
      </c>
      <c r="F95" s="4">
        <f>F62-F45</f>
        <v/>
      </c>
      <c r="G95" s="4">
        <f>G62-G45</f>
        <v/>
      </c>
      <c r="H95" s="4">
        <f>H62-H45</f>
        <v/>
      </c>
      <c r="I95" s="4">
        <f>I62-I45</f>
        <v/>
      </c>
      <c r="J95" s="4">
        <f>J62-J45</f>
        <v/>
      </c>
      <c r="K95" s="7">
        <f>SUM(E95:J95)</f>
        <v/>
      </c>
      <c r="L95" s="4">
        <f>L62-L45</f>
        <v/>
      </c>
      <c r="M95" s="4">
        <f>M62-M45</f>
        <v/>
      </c>
      <c r="N95" s="4">
        <f>N62-N45</f>
        <v/>
      </c>
      <c r="O95" s="4">
        <f>O62-O45</f>
        <v/>
      </c>
      <c r="P95" s="4">
        <f>P62-P45</f>
        <v/>
      </c>
      <c r="Q95" s="4">
        <f>Q62-Q45</f>
        <v/>
      </c>
      <c r="R95" s="7">
        <f>SUM(L95:Q95)</f>
        <v/>
      </c>
      <c r="S95" s="136">
        <f>S62-S45</f>
        <v/>
      </c>
      <c r="T95" s="136">
        <f>T62-T45</f>
        <v/>
      </c>
      <c r="U95" s="136">
        <f>U62-U45</f>
        <v/>
      </c>
      <c r="V95" s="136">
        <f>V62-V45</f>
        <v/>
      </c>
      <c r="W95" s="136">
        <f>W62-W45</f>
        <v/>
      </c>
      <c r="X95" s="136">
        <f>X62-X45</f>
        <v/>
      </c>
      <c r="Y95" s="147">
        <f>Y62-Y45</f>
        <v/>
      </c>
    </row>
    <row r="96" hidden="1" s="127">
      <c r="C96" s="60" t="inlineStr">
        <is>
          <t>大田水産部</t>
        </is>
      </c>
      <c r="D96" s="22" t="n"/>
      <c r="E96" s="20">
        <f>SUM(E94:E95)</f>
        <v/>
      </c>
      <c r="F96" s="20">
        <f>SUM(F94:F95)</f>
        <v/>
      </c>
      <c r="G96" s="20">
        <f>SUM(G94:G95)</f>
        <v/>
      </c>
      <c r="H96" s="20">
        <f>SUM(H94:H95)</f>
        <v/>
      </c>
      <c r="I96" s="20">
        <f>SUM(I94:I95)</f>
        <v/>
      </c>
      <c r="J96" s="20">
        <f>SUM(J94:J95)</f>
        <v/>
      </c>
      <c r="K96" s="7">
        <f>SUM(K94:K95)</f>
        <v/>
      </c>
      <c r="L96" s="20">
        <f>SUM(L94:L95)</f>
        <v/>
      </c>
      <c r="M96" s="20">
        <f>SUM(M94:M95)</f>
        <v/>
      </c>
      <c r="N96" s="20">
        <f>SUM(N94:N95)</f>
        <v/>
      </c>
      <c r="O96" s="20">
        <f>SUM(O94:O95)</f>
        <v/>
      </c>
      <c r="P96" s="20">
        <f>SUM(P94:P95)</f>
        <v/>
      </c>
      <c r="Q96" s="20">
        <f>SUM(Q94:Q95)</f>
        <v/>
      </c>
      <c r="R96" s="7">
        <f>SUM(R94:R95)</f>
        <v/>
      </c>
      <c r="S96" s="136">
        <f>S63-S46</f>
        <v/>
      </c>
      <c r="T96" s="136">
        <f>T63-T46</f>
        <v/>
      </c>
      <c r="U96" s="136">
        <f>U63-U46</f>
        <v/>
      </c>
      <c r="V96" s="136">
        <f>V63-V46</f>
        <v/>
      </c>
      <c r="W96" s="136">
        <f>W63-W46</f>
        <v/>
      </c>
      <c r="X96" s="136">
        <f>X63-X46</f>
        <v/>
      </c>
      <c r="Y96" s="147">
        <f>Y63-Y46</f>
        <v/>
      </c>
    </row>
    <row r="97" hidden="1" s="127">
      <c r="C97" s="60" t="inlineStr">
        <is>
          <t>0031 集計</t>
        </is>
      </c>
      <c r="D97" s="22" t="inlineStr">
        <is>
          <t>JF境</t>
        </is>
      </c>
      <c r="E97" s="20">
        <f>E64-E47</f>
        <v/>
      </c>
      <c r="F97" s="20">
        <f>F64-F47</f>
        <v/>
      </c>
      <c r="G97" s="20">
        <f>G64-G47</f>
        <v/>
      </c>
      <c r="H97" s="20">
        <f>H64-H47</f>
        <v/>
      </c>
      <c r="I97" s="20">
        <f>I64-I47</f>
        <v/>
      </c>
      <c r="J97" s="20">
        <f>J64-J47</f>
        <v/>
      </c>
      <c r="K97" s="7">
        <f>SUM(E97:J97)</f>
        <v/>
      </c>
      <c r="L97" s="20">
        <f>L64-L47</f>
        <v/>
      </c>
      <c r="M97" s="20">
        <f>M64-M47</f>
        <v/>
      </c>
      <c r="N97" s="20">
        <f>N64-N47</f>
        <v/>
      </c>
      <c r="O97" s="20">
        <f>O64-O47</f>
        <v/>
      </c>
      <c r="P97" s="20">
        <f>P64-P47</f>
        <v/>
      </c>
      <c r="Q97" s="20">
        <f>Q64-Q47</f>
        <v/>
      </c>
      <c r="R97" s="7">
        <f>SUM(L97:Q97)</f>
        <v/>
      </c>
      <c r="S97" s="136">
        <f>S64-S47</f>
        <v/>
      </c>
      <c r="T97" s="136">
        <f>T64-T47</f>
        <v/>
      </c>
      <c r="U97" s="136">
        <f>U64-U47</f>
        <v/>
      </c>
      <c r="V97" s="136">
        <f>V64-V47</f>
        <v/>
      </c>
      <c r="W97" s="136">
        <f>W64-W47</f>
        <v/>
      </c>
      <c r="X97" s="136">
        <f>X64-X47</f>
        <v/>
      </c>
      <c r="Y97" s="147">
        <f>Y64-Y47</f>
        <v/>
      </c>
    </row>
    <row r="98" hidden="1" s="127">
      <c r="C98" s="60" t="inlineStr">
        <is>
          <t>0038 集計</t>
        </is>
      </c>
      <c r="D98" s="83" t="inlineStr">
        <is>
          <t>境その他</t>
        </is>
      </c>
      <c r="E98" s="20">
        <f>E65-E48</f>
        <v/>
      </c>
      <c r="F98" s="20">
        <f>F65-F48</f>
        <v/>
      </c>
      <c r="G98" s="20">
        <f>G65-G48</f>
        <v/>
      </c>
      <c r="H98" s="20">
        <f>H65-H48</f>
        <v/>
      </c>
      <c r="I98" s="20">
        <f>I65-I48</f>
        <v/>
      </c>
      <c r="J98" s="20">
        <f>J65-J48</f>
        <v/>
      </c>
      <c r="K98" s="7">
        <f>SUM(E98:J98)</f>
        <v/>
      </c>
      <c r="L98" s="20">
        <f>L65-L48</f>
        <v/>
      </c>
      <c r="M98" s="20">
        <f>M65-M48</f>
        <v/>
      </c>
      <c r="N98" s="20">
        <f>N65-N48</f>
        <v/>
      </c>
      <c r="O98" s="20">
        <f>O65-O48</f>
        <v/>
      </c>
      <c r="P98" s="20">
        <f>P65-P48</f>
        <v/>
      </c>
      <c r="Q98" s="20">
        <f>Q65-Q48</f>
        <v/>
      </c>
      <c r="R98" s="7">
        <f>SUM(L98:Q98)</f>
        <v/>
      </c>
      <c r="S98" s="136">
        <f>S65-S48</f>
        <v/>
      </c>
      <c r="T98" s="136">
        <f>T65-T48</f>
        <v/>
      </c>
      <c r="U98" s="136">
        <f>U65-U48</f>
        <v/>
      </c>
      <c r="V98" s="136">
        <f>V65-V48</f>
        <v/>
      </c>
      <c r="W98" s="136">
        <f>W65-W48</f>
        <v/>
      </c>
      <c r="X98" s="136">
        <f>X65-X48</f>
        <v/>
      </c>
      <c r="Y98" s="147">
        <f>Y65-Y48</f>
        <v/>
      </c>
    </row>
    <row r="99" hidden="1" s="127">
      <c r="C99" s="82" t="inlineStr">
        <is>
          <t>境港水産部合計</t>
        </is>
      </c>
      <c r="D99" s="83" t="n"/>
      <c r="E99" s="20">
        <f>SUM(E97:E98)</f>
        <v/>
      </c>
      <c r="F99" s="20">
        <f>SUM(F97:F98)</f>
        <v/>
      </c>
      <c r="G99" s="20">
        <f>SUM(G97:G98)</f>
        <v/>
      </c>
      <c r="H99" s="20">
        <f>SUM(H97:H98)</f>
        <v/>
      </c>
      <c r="I99" s="20">
        <f>SUM(I97:I98)</f>
        <v/>
      </c>
      <c r="J99" s="20">
        <f>SUM(J97:J98)</f>
        <v/>
      </c>
      <c r="K99" s="7">
        <f>SUM(K97:K98)</f>
        <v/>
      </c>
      <c r="L99" s="20">
        <f>SUM(L97:L98)</f>
        <v/>
      </c>
      <c r="M99" s="20">
        <f>SUM(M97:M98)</f>
        <v/>
      </c>
      <c r="N99" s="20">
        <f>SUM(N97:N98)</f>
        <v/>
      </c>
      <c r="O99" s="20">
        <f>SUM(O97:O98)</f>
        <v/>
      </c>
      <c r="P99" s="20">
        <f>SUM(P97:P98)</f>
        <v/>
      </c>
      <c r="Q99" s="20">
        <f>SUM(Q97:Q98)</f>
        <v/>
      </c>
      <c r="R99" s="7">
        <f>SUM(R97:R98)</f>
        <v/>
      </c>
      <c r="S99" s="136">
        <f>S66-S49</f>
        <v/>
      </c>
      <c r="T99" s="136">
        <f>T66-T49</f>
        <v/>
      </c>
      <c r="U99" s="136">
        <f>U66-U49</f>
        <v/>
      </c>
      <c r="V99" s="136">
        <f>V66-V49</f>
        <v/>
      </c>
      <c r="W99" s="136">
        <f>W66-W49</f>
        <v/>
      </c>
      <c r="X99" s="136">
        <f>X66-X49</f>
        <v/>
      </c>
      <c r="Y99" s="147">
        <f>Y66-Y49</f>
        <v/>
      </c>
    </row>
    <row r="100" hidden="1" s="127">
      <c r="C100" s="53" t="inlineStr">
        <is>
          <t>合計</t>
        </is>
      </c>
      <c r="D100" s="54" t="n"/>
      <c r="E100" s="8">
        <f>E93+E96+E99</f>
        <v/>
      </c>
      <c r="F100" s="8">
        <f>F93+F96+F99</f>
        <v/>
      </c>
      <c r="G100" s="8">
        <f>G93+G96+G99</f>
        <v/>
      </c>
      <c r="H100" s="8">
        <f>H93+H96+H99</f>
        <v/>
      </c>
      <c r="I100" s="8">
        <f>I93+I96+I99</f>
        <v/>
      </c>
      <c r="J100" s="8">
        <f>J93+J96+J99</f>
        <v/>
      </c>
      <c r="K100" s="9">
        <f>K93+K96+K99</f>
        <v/>
      </c>
      <c r="L100" s="8">
        <f>L93+L96+L99</f>
        <v/>
      </c>
      <c r="M100" s="8">
        <f>M93+M96+M99</f>
        <v/>
      </c>
      <c r="N100" s="8">
        <f>N93+N96+N99</f>
        <v/>
      </c>
      <c r="O100" s="8">
        <f>O93+O96+O99</f>
        <v/>
      </c>
      <c r="P100" s="8">
        <f>P93+P96+P99</f>
        <v/>
      </c>
      <c r="Q100" s="8">
        <f>Q93+Q96+Q99</f>
        <v/>
      </c>
      <c r="R100" s="9">
        <f>R93+R96+R99</f>
        <v/>
      </c>
      <c r="S100" s="139">
        <f>S67-S50</f>
        <v/>
      </c>
      <c r="T100" s="139">
        <f>T67-T50</f>
        <v/>
      </c>
      <c r="U100" s="139">
        <f>U67-U50</f>
        <v/>
      </c>
      <c r="V100" s="139">
        <f>V67-V50</f>
        <v/>
      </c>
      <c r="W100" s="139">
        <f>W67-W50</f>
        <v/>
      </c>
      <c r="X100" s="139">
        <f>X67-X50</f>
        <v/>
      </c>
      <c r="Y100" s="151">
        <f>Y67-Y50</f>
        <v/>
      </c>
    </row>
    <row r="101" hidden="1" s="127">
      <c r="C101" s="18" t="n"/>
      <c r="E101" s="17" t="n"/>
      <c r="F101" s="17" t="n"/>
      <c r="G101" s="17" t="n"/>
      <c r="H101" s="17" t="n"/>
      <c r="I101" s="17" t="n"/>
      <c r="J101" s="17" t="n"/>
      <c r="K101" s="18" t="n"/>
      <c r="L101" s="17" t="n"/>
      <c r="M101" s="17" t="n"/>
      <c r="N101" s="17" t="n"/>
      <c r="O101" s="17" t="n"/>
      <c r="P101" s="17" t="n"/>
      <c r="Q101" s="17" t="n"/>
      <c r="R101" s="18" t="n"/>
      <c r="S101" s="144" t="n"/>
      <c r="T101" s="144" t="n"/>
      <c r="U101" s="144" t="n"/>
      <c r="V101" s="144" t="n"/>
      <c r="W101" s="144" t="n"/>
      <c r="X101" s="144" t="n"/>
      <c r="Y101" s="144" t="n"/>
    </row>
    <row r="102">
      <c r="C102" s="18" t="inlineStr">
        <is>
          <t>7．実績</t>
        </is>
      </c>
    </row>
    <row r="103">
      <c r="C103" s="117" t="n"/>
      <c r="D103" s="118" t="n"/>
      <c r="E103" s="117" t="inlineStr">
        <is>
          <t>売上</t>
        </is>
      </c>
      <c r="F103" s="120" t="n"/>
      <c r="G103" s="120" t="n"/>
      <c r="H103" s="120" t="n"/>
      <c r="I103" s="120" t="n"/>
      <c r="J103" s="120" t="n"/>
      <c r="K103" s="118" t="n"/>
      <c r="L103" s="119" t="inlineStr">
        <is>
          <t>粗利益</t>
        </is>
      </c>
      <c r="M103" s="120" t="n"/>
      <c r="N103" s="120" t="n"/>
      <c r="O103" s="120" t="n"/>
      <c r="P103" s="120" t="n"/>
      <c r="Q103" s="120" t="n"/>
      <c r="R103" s="118" t="n"/>
      <c r="S103" s="119" t="inlineStr">
        <is>
          <t>粗利益率</t>
        </is>
      </c>
      <c r="T103" s="120" t="n"/>
      <c r="U103" s="120" t="n"/>
      <c r="V103" s="120" t="n"/>
      <c r="W103" s="120" t="n"/>
      <c r="X103" s="120" t="n"/>
      <c r="Y103" s="118" t="n"/>
    </row>
    <row r="104">
      <c r="C104" s="1" t="n"/>
      <c r="D104" s="21" t="n"/>
      <c r="E104" s="61" t="n">
        <v>46113</v>
      </c>
      <c r="F104" s="2" t="n">
        <v>46143</v>
      </c>
      <c r="G104" s="2" t="n">
        <v>46174</v>
      </c>
      <c r="H104" s="2" t="n">
        <v>46204</v>
      </c>
      <c r="I104" s="2" t="n">
        <v>46235</v>
      </c>
      <c r="J104" s="2" t="n">
        <v>46266</v>
      </c>
      <c r="K104" s="10" t="inlineStr">
        <is>
          <t>合計</t>
        </is>
      </c>
      <c r="L104" s="95" t="n">
        <v>46113</v>
      </c>
      <c r="M104" s="2" t="n">
        <v>46143</v>
      </c>
      <c r="N104" s="2" t="n">
        <v>46174</v>
      </c>
      <c r="O104" s="2" t="n">
        <v>46204</v>
      </c>
      <c r="P104" s="2" t="n">
        <v>46235</v>
      </c>
      <c r="Q104" s="2" t="n">
        <v>46266</v>
      </c>
      <c r="R104" s="10" t="inlineStr">
        <is>
          <t>合計</t>
        </is>
      </c>
      <c r="S104" s="95" t="n">
        <v>46113</v>
      </c>
      <c r="T104" s="2" t="n">
        <v>46143</v>
      </c>
      <c r="U104" s="2" t="n">
        <v>46174</v>
      </c>
      <c r="V104" s="2" t="n">
        <v>46204</v>
      </c>
      <c r="W104" s="2" t="n">
        <v>46235</v>
      </c>
      <c r="X104" s="2" t="n">
        <v>46266</v>
      </c>
      <c r="Y104" s="10" t="inlineStr">
        <is>
          <t>合計</t>
        </is>
      </c>
    </row>
    <row r="105">
      <c r="C105" s="60" t="inlineStr">
        <is>
          <t>0010 集計</t>
        </is>
      </c>
      <c r="D105" s="22" t="inlineStr">
        <is>
          <t>JF</t>
        </is>
      </c>
      <c r="E105" s="4" t="n">
        <v>8</v>
      </c>
      <c r="F105" s="4" t="n"/>
      <c r="G105" s="4" t="n"/>
      <c r="H105" s="4" t="n"/>
      <c r="I105" s="4" t="n">
        <v>0</v>
      </c>
      <c r="J105" s="4" t="n">
        <v>0</v>
      </c>
      <c r="K105" s="7">
        <f>SUM(E105:J105)</f>
        <v/>
      </c>
      <c r="L105" s="4" t="n">
        <v>8</v>
      </c>
      <c r="M105" s="4" t="n"/>
      <c r="N105" s="4" t="n"/>
      <c r="O105" s="4" t="n"/>
      <c r="P105" s="4" t="n">
        <v>0</v>
      </c>
      <c r="Q105" s="4" t="n">
        <v>0</v>
      </c>
      <c r="R105" s="7">
        <f>SUM(L105:Q105)</f>
        <v/>
      </c>
      <c r="S105" s="136">
        <f>IF(E105=0,"***",L105/E105)</f>
        <v/>
      </c>
      <c r="T105" s="136">
        <f>IF(F105=0,"***",M105/F105)</f>
        <v/>
      </c>
      <c r="U105" s="136">
        <f>IF(G105=0,"***",N105/G105)</f>
        <v/>
      </c>
      <c r="V105" s="136">
        <f>IF(H105=0,"***",O105/H105)</f>
        <v/>
      </c>
      <c r="W105" s="136">
        <f>IF(I105=0,"***",P105/I105)</f>
        <v/>
      </c>
      <c r="X105" s="136">
        <f>IF(J105=0,"***",Q105/J105)</f>
        <v/>
      </c>
      <c r="Y105" s="147">
        <f>IF(K105=0,"***",R105/K105)</f>
        <v/>
      </c>
    </row>
    <row r="106">
      <c r="C106" s="60" t="inlineStr">
        <is>
          <t>0017 集計</t>
        </is>
      </c>
      <c r="D106" s="22" t="inlineStr">
        <is>
          <t>鮮魚</t>
        </is>
      </c>
      <c r="E106" s="4" t="n"/>
      <c r="F106" s="4" t="n"/>
      <c r="G106" s="4" t="n"/>
      <c r="H106" s="4" t="n"/>
      <c r="I106" s="4" t="n">
        <v>0</v>
      </c>
      <c r="J106" s="4" t="n">
        <v>0</v>
      </c>
      <c r="K106" s="7">
        <f>SUM(E106:J106)</f>
        <v/>
      </c>
      <c r="L106" s="4" t="n"/>
      <c r="M106" s="4" t="n"/>
      <c r="N106" s="4" t="n"/>
      <c r="O106" s="4" t="n"/>
      <c r="P106" s="4" t="n">
        <v>0</v>
      </c>
      <c r="Q106" s="4" t="n">
        <v>0</v>
      </c>
      <c r="R106" s="7">
        <f>SUM(L106:Q106)</f>
        <v/>
      </c>
      <c r="S106" s="136">
        <f>IF(E106=0,"***",L106/E106)</f>
        <v/>
      </c>
      <c r="T106" s="136">
        <f>IF(F106=0,"***",M106/F106)</f>
        <v/>
      </c>
      <c r="U106" s="136">
        <f>IF(G106=0,"***",N106/G106)</f>
        <v/>
      </c>
      <c r="V106" s="136">
        <f>IF(H106=0,"***",O106/H106)</f>
        <v/>
      </c>
      <c r="W106" s="136">
        <f>IF(I106=0,"***",P106/I106)</f>
        <v/>
      </c>
      <c r="X106" s="136">
        <f>IF(J106=0,"***",Q106/J106)</f>
        <v/>
      </c>
      <c r="Y106" s="147">
        <f>IF(K106=0,"***",R106/K106)</f>
        <v/>
      </c>
    </row>
    <row r="107">
      <c r="C107" s="60" t="inlineStr">
        <is>
          <t>0101 集計</t>
        </is>
      </c>
      <c r="D107" s="22" t="inlineStr">
        <is>
          <t>GS</t>
        </is>
      </c>
      <c r="E107" s="4" t="n"/>
      <c r="F107" s="4" t="n"/>
      <c r="G107" s="4" t="n"/>
      <c r="H107" s="4" t="n"/>
      <c r="I107" s="4" t="n">
        <v>0</v>
      </c>
      <c r="J107" s="4" t="n">
        <v>0</v>
      </c>
      <c r="K107" s="7">
        <f>SUM(E107:J107)</f>
        <v/>
      </c>
      <c r="L107" s="4" t="n"/>
      <c r="M107" s="4" t="n"/>
      <c r="N107" s="4" t="n"/>
      <c r="O107" s="4" t="n"/>
      <c r="P107" s="4" t="n">
        <v>0</v>
      </c>
      <c r="Q107" s="4" t="n">
        <v>0</v>
      </c>
      <c r="R107" s="7">
        <f>SUM(L107:Q107)</f>
        <v/>
      </c>
      <c r="S107" s="136">
        <f>IF(E107=0,"***",L107/E107)</f>
        <v/>
      </c>
      <c r="T107" s="136">
        <f>IF(F107=0,"***",M107/F107)</f>
        <v/>
      </c>
      <c r="U107" s="136">
        <f>IF(G107=0,"***",N107/G107)</f>
        <v/>
      </c>
      <c r="V107" s="136">
        <f>IF(H107=0,"***",O107/H107)</f>
        <v/>
      </c>
      <c r="W107" s="136">
        <f>IF(I107=0,"***",P107/I107)</f>
        <v/>
      </c>
      <c r="X107" s="136">
        <f>IF(J107=0,"***",Q107/J107)</f>
        <v/>
      </c>
      <c r="Y107" s="147">
        <f>IF(K107=0,"***",R107/K107)</f>
        <v/>
      </c>
    </row>
    <row r="108">
      <c r="C108" s="60" t="inlineStr">
        <is>
          <t>0106 集計</t>
        </is>
      </c>
      <c r="D108" s="22" t="inlineStr">
        <is>
          <t>浜田荷役</t>
        </is>
      </c>
      <c r="E108" s="4" t="n"/>
      <c r="F108" s="4" t="n"/>
      <c r="G108" s="4" t="n"/>
      <c r="H108" s="4" t="n"/>
      <c r="I108" s="4" t="n">
        <v>0</v>
      </c>
      <c r="J108" s="4" t="n">
        <v>0</v>
      </c>
      <c r="K108" s="7">
        <f>SUM(E108:J108)</f>
        <v/>
      </c>
      <c r="L108" s="4" t="n"/>
      <c r="M108" s="4" t="n"/>
      <c r="N108" s="4" t="n"/>
      <c r="O108" s="4" t="n"/>
      <c r="P108" s="4" t="n">
        <v>0</v>
      </c>
      <c r="Q108" s="4" t="n">
        <v>0</v>
      </c>
      <c r="R108" s="7">
        <f>SUM(L108:Q108)</f>
        <v/>
      </c>
      <c r="S108" s="136">
        <f>IF(E108=0,"***",L108/E108)</f>
        <v/>
      </c>
      <c r="T108" s="136">
        <f>IF(F108=0,"***",M108/F108)</f>
        <v/>
      </c>
      <c r="U108" s="136">
        <f>IF(G108=0,"***",N108/G108)</f>
        <v/>
      </c>
      <c r="V108" s="136">
        <f>IF(H108=0,"***",O108/H108)</f>
        <v/>
      </c>
      <c r="W108" s="136">
        <f>IF(I108=0,"***",P108/I108)</f>
        <v/>
      </c>
      <c r="X108" s="136">
        <f>IF(J108=0,"***",Q108/J108)</f>
        <v/>
      </c>
      <c r="Y108" s="147">
        <f>IF(K108=0,"***",R108/K108)</f>
        <v/>
      </c>
    </row>
    <row r="109">
      <c r="C109" s="60" t="inlineStr">
        <is>
          <t>浜田水産部合計</t>
        </is>
      </c>
      <c r="D109" s="22" t="n"/>
      <c r="E109" s="4">
        <f>SUM(E105:E108)</f>
        <v/>
      </c>
      <c r="F109" s="4">
        <f>SUM(F105:F108)</f>
        <v/>
      </c>
      <c r="G109" s="4">
        <f>SUM(G105:G108)</f>
        <v/>
      </c>
      <c r="H109" s="4">
        <f>SUM(H105:H108)</f>
        <v/>
      </c>
      <c r="I109" s="4">
        <f>SUM(I105:I108)</f>
        <v/>
      </c>
      <c r="J109" s="4">
        <f>SUM(J105:J108)</f>
        <v/>
      </c>
      <c r="K109" s="7">
        <f>SUM(E109:J109)</f>
        <v/>
      </c>
      <c r="L109" s="4">
        <f>SUM(L105:L108)</f>
        <v/>
      </c>
      <c r="M109" s="4">
        <f>SUM(M105:M108)</f>
        <v/>
      </c>
      <c r="N109" s="4">
        <f>SUM(N105:N108)</f>
        <v/>
      </c>
      <c r="O109" s="4">
        <f>SUM(O105:O108)</f>
        <v/>
      </c>
      <c r="P109" s="4">
        <f>SUM(P105:P108)</f>
        <v/>
      </c>
      <c r="Q109" s="4">
        <f>SUM(Q105:Q108)</f>
        <v/>
      </c>
      <c r="R109" s="7">
        <f>SUM(L109:Q109)</f>
        <v/>
      </c>
      <c r="S109" s="136">
        <f>IF(E109=0,"***",L109/E109)</f>
        <v/>
      </c>
      <c r="T109" s="136">
        <f>IF(F109=0,"***",M109/F109)</f>
        <v/>
      </c>
      <c r="U109" s="136">
        <f>IF(G109=0,"***",N109/G109)</f>
        <v/>
      </c>
      <c r="V109" s="136">
        <f>IF(H109=0,"***",O109/H109)</f>
        <v/>
      </c>
      <c r="W109" s="136">
        <f>IF(I109=0,"***",P109/I109)</f>
        <v/>
      </c>
      <c r="X109" s="136">
        <f>IF(J109=0,"***",Q109/J109)</f>
        <v/>
      </c>
      <c r="Y109" s="147">
        <f>IF(K109=0,"***",R109/K109)</f>
        <v/>
      </c>
    </row>
    <row r="110">
      <c r="C110" s="60" t="inlineStr">
        <is>
          <t>0102 集計</t>
        </is>
      </c>
      <c r="D110" s="22" t="inlineStr">
        <is>
          <t>JF大田</t>
        </is>
      </c>
      <c r="E110" s="4" t="n"/>
      <c r="F110" s="4" t="n"/>
      <c r="G110" s="4" t="n"/>
      <c r="H110" s="4" t="n">
        <v>87.12</v>
      </c>
      <c r="I110" s="4" t="n">
        <v>46.8</v>
      </c>
      <c r="J110" s="4" t="n">
        <v>87.12</v>
      </c>
      <c r="K110" s="7">
        <f>SUM(E110:J110)</f>
        <v/>
      </c>
      <c r="L110" s="4" t="n"/>
      <c r="M110" s="4" t="n"/>
      <c r="N110" s="4" t="n"/>
      <c r="O110" s="4" t="n">
        <v>15.84</v>
      </c>
      <c r="P110" s="4" t="n">
        <v>7.8</v>
      </c>
      <c r="Q110" s="4" t="n">
        <v>15.84</v>
      </c>
      <c r="R110" s="7">
        <f>SUM(L110:Q110)</f>
        <v/>
      </c>
      <c r="S110" s="136">
        <f>IF(E110=0,"***",L110/E110)</f>
        <v/>
      </c>
      <c r="T110" s="136">
        <f>IF(F110=0,"***",M110/F110)</f>
        <v/>
      </c>
      <c r="U110" s="136">
        <f>IF(G110=0,"***",N110/G110)</f>
        <v/>
      </c>
      <c r="V110" s="136">
        <f>IF(H110=0,"***",O110/H110)</f>
        <v/>
      </c>
      <c r="W110" s="136">
        <f>IF(I110=0,"***",P110/I110)</f>
        <v/>
      </c>
      <c r="X110" s="136">
        <f>IF(J110=0,"***",Q110/J110)</f>
        <v/>
      </c>
      <c r="Y110" s="147">
        <f>IF(K110=0,"***",R110/K110)</f>
        <v/>
      </c>
    </row>
    <row r="111">
      <c r="C111" s="60" t="inlineStr">
        <is>
          <t>0104 集計</t>
        </is>
      </c>
      <c r="D111" s="22" t="inlineStr">
        <is>
          <t>大田荷役</t>
        </is>
      </c>
      <c r="E111" s="4" t="n"/>
      <c r="F111" s="4" t="n"/>
      <c r="G111" s="4" t="n"/>
      <c r="H111" s="4" t="n"/>
      <c r="I111" s="4" t="n">
        <v>0</v>
      </c>
      <c r="J111" s="4" t="n">
        <v>0</v>
      </c>
      <c r="K111" s="7">
        <f>SUM(E111:J111)</f>
        <v/>
      </c>
      <c r="L111" s="4" t="n"/>
      <c r="M111" s="4" t="n"/>
      <c r="N111" s="4" t="n"/>
      <c r="O111" s="4" t="n"/>
      <c r="P111" s="4" t="n">
        <v>0</v>
      </c>
      <c r="Q111" s="4" t="n">
        <v>0</v>
      </c>
      <c r="R111" s="7">
        <f>SUM(L111:Q111)</f>
        <v/>
      </c>
      <c r="S111" s="136">
        <f>IF(E111=0,"***",L111/E111)</f>
        <v/>
      </c>
      <c r="T111" s="136">
        <f>IF(F111=0,"***",M111/F111)</f>
        <v/>
      </c>
      <c r="U111" s="136">
        <f>IF(G111=0,"***",N111/G111)</f>
        <v/>
      </c>
      <c r="V111" s="136">
        <f>IF(H111=0,"***",O111/H111)</f>
        <v/>
      </c>
      <c r="W111" s="136">
        <f>IF(I111=0,"***",P111/I111)</f>
        <v/>
      </c>
      <c r="X111" s="136">
        <f>IF(J111=0,"***",Q111/J111)</f>
        <v/>
      </c>
      <c r="Y111" s="147">
        <f>IF(K111=0,"***",R111/K111)</f>
        <v/>
      </c>
    </row>
    <row r="112">
      <c r="C112" s="60" t="inlineStr">
        <is>
          <t>大田水産部</t>
        </is>
      </c>
      <c r="D112" s="22" t="n"/>
      <c r="E112" s="20">
        <f>SUM(E110:E111)</f>
        <v/>
      </c>
      <c r="F112" s="20">
        <f>SUM(F110:F111)</f>
        <v/>
      </c>
      <c r="G112" s="20">
        <f>SUM(G110:G111)</f>
        <v/>
      </c>
      <c r="H112" s="20">
        <f>SUM(H110:H111)</f>
        <v/>
      </c>
      <c r="I112" s="20">
        <f>SUM(I110:I111)</f>
        <v/>
      </c>
      <c r="J112" s="20">
        <f>SUM(J110:J111)</f>
        <v/>
      </c>
      <c r="K112" s="7">
        <f>SUM(K110:K111)</f>
        <v/>
      </c>
      <c r="L112" s="20">
        <f>SUM(L110:L111)</f>
        <v/>
      </c>
      <c r="M112" s="20">
        <f>SUM(M110:M111)</f>
        <v/>
      </c>
      <c r="N112" s="20">
        <f>SUM(N110:N111)</f>
        <v/>
      </c>
      <c r="O112" s="20">
        <f>SUM(O110:O111)</f>
        <v/>
      </c>
      <c r="P112" s="20">
        <f>SUM(P110:P111)</f>
        <v/>
      </c>
      <c r="Q112" s="20">
        <f>SUM(Q110:Q111)</f>
        <v/>
      </c>
      <c r="R112" s="7">
        <f>SUM(R110:R111)</f>
        <v/>
      </c>
      <c r="S112" s="136">
        <f>IF(E112=0,"***",L112/E112)</f>
        <v/>
      </c>
      <c r="T112" s="136">
        <f>IF(F112=0,"***",M112/F112)</f>
        <v/>
      </c>
      <c r="U112" s="136">
        <f>IF(G112=0,"***",N112/G112)</f>
        <v/>
      </c>
      <c r="V112" s="136">
        <f>IF(H112=0,"***",O112/H112)</f>
        <v/>
      </c>
      <c r="W112" s="136">
        <f>IF(I112=0,"***",P112/I112)</f>
        <v/>
      </c>
      <c r="X112" s="136">
        <f>IF(J112=0,"***",Q112/J112)</f>
        <v/>
      </c>
      <c r="Y112" s="147">
        <f>IF(K112=0,"***",R112/K112)</f>
        <v/>
      </c>
    </row>
    <row r="113">
      <c r="C113" s="60" t="inlineStr">
        <is>
          <t>0031 集計</t>
        </is>
      </c>
      <c r="D113" s="22" t="inlineStr">
        <is>
          <t>JF境</t>
        </is>
      </c>
      <c r="E113" s="20" t="n">
        <v>92</v>
      </c>
      <c r="F113" s="20" t="n">
        <v>205.68</v>
      </c>
      <c r="G113" s="109" t="n">
        <v>526.91</v>
      </c>
      <c r="H113" s="20" t="n">
        <v>155.12</v>
      </c>
      <c r="I113" s="20" t="n">
        <v>3.58</v>
      </c>
      <c r="J113" s="20" t="n">
        <v>230.8</v>
      </c>
      <c r="K113" s="7">
        <f>SUM(E113:J113)</f>
        <v/>
      </c>
      <c r="L113" s="20" t="n">
        <v>13</v>
      </c>
      <c r="M113" s="20" t="n">
        <v>26.08</v>
      </c>
      <c r="N113" s="109" t="n">
        <v>140.36</v>
      </c>
      <c r="O113" s="20" t="n">
        <v>23.66</v>
      </c>
      <c r="P113" s="20" t="n">
        <v>1.11</v>
      </c>
      <c r="Q113" s="20" t="n">
        <v>48.7</v>
      </c>
      <c r="R113" s="7">
        <f>SUM(L113:Q113)</f>
        <v/>
      </c>
      <c r="S113" s="136">
        <f>IF(E113=0,"***",L113/E113)</f>
        <v/>
      </c>
      <c r="T113" s="136">
        <f>IF(F113=0,"***",M113/F113)</f>
        <v/>
      </c>
      <c r="U113" s="136">
        <f>IF(G113=0,"***",N113/G113)</f>
        <v/>
      </c>
      <c r="V113" s="136">
        <f>IF(H113=0,"***",O113/H113)</f>
        <v/>
      </c>
      <c r="W113" s="136">
        <f>IF(I113=0,"***",P113/I113)</f>
        <v/>
      </c>
      <c r="X113" s="136">
        <f>IF(J113=0,"***",Q113/J113)</f>
        <v/>
      </c>
      <c r="Y113" s="147">
        <f>IF(K113=0,"***",R113/K113)</f>
        <v/>
      </c>
    </row>
    <row r="114">
      <c r="C114" s="60" t="inlineStr">
        <is>
          <t>0038 集計</t>
        </is>
      </c>
      <c r="D114" s="83" t="inlineStr">
        <is>
          <t>境その他</t>
        </is>
      </c>
      <c r="E114" s="84" t="n">
        <v>0</v>
      </c>
      <c r="F114" s="84" t="n"/>
      <c r="G114" s="84" t="n"/>
      <c r="H114" s="84" t="n"/>
      <c r="I114" s="84" t="n">
        <v>0</v>
      </c>
      <c r="J114" s="84" t="n">
        <v>0</v>
      </c>
      <c r="K114" s="84">
        <f>SUM(E114:J114)</f>
        <v/>
      </c>
      <c r="L114" s="84" t="n">
        <v>0</v>
      </c>
      <c r="M114" s="84" t="n"/>
      <c r="N114" s="84" t="n"/>
      <c r="O114" s="84" t="n"/>
      <c r="P114" s="84" t="n">
        <v>0</v>
      </c>
      <c r="Q114" s="84" t="n">
        <v>0</v>
      </c>
      <c r="R114" s="84">
        <f>SUM(L114:Q114)</f>
        <v/>
      </c>
      <c r="S114" s="149" t="n"/>
      <c r="T114" s="149" t="n"/>
      <c r="U114" s="149" t="n"/>
      <c r="V114" s="149" t="n"/>
      <c r="W114" s="149" t="n"/>
      <c r="X114" s="149" t="n"/>
      <c r="Y114" s="150" t="n"/>
    </row>
    <row r="115">
      <c r="C115" s="82" t="inlineStr">
        <is>
          <t>境港水産部合計</t>
        </is>
      </c>
      <c r="D115" s="83" t="n"/>
      <c r="E115" s="20">
        <f>SUM(E113:E114)</f>
        <v/>
      </c>
      <c r="F115" s="20">
        <f>SUM(F113:F114)</f>
        <v/>
      </c>
      <c r="G115" s="20">
        <f>SUM(G113:G114)</f>
        <v/>
      </c>
      <c r="H115" s="20">
        <f>SUM(H113:H114)</f>
        <v/>
      </c>
      <c r="I115" s="20">
        <f>SUM(I113:I114)</f>
        <v/>
      </c>
      <c r="J115" s="20">
        <f>SUM(J113:J114)</f>
        <v/>
      </c>
      <c r="K115" s="7">
        <f>SUM(K113:K114)</f>
        <v/>
      </c>
      <c r="L115" s="20">
        <f>SUM(L113:L114)</f>
        <v/>
      </c>
      <c r="M115" s="20">
        <f>SUM(M113:M114)</f>
        <v/>
      </c>
      <c r="N115" s="20">
        <f>SUM(N113:N114)</f>
        <v/>
      </c>
      <c r="O115" s="20">
        <f>SUM(O113:O114)</f>
        <v/>
      </c>
      <c r="P115" s="20">
        <f>SUM(P113:P114)</f>
        <v/>
      </c>
      <c r="Q115" s="20">
        <f>SUM(Q113:Q114)</f>
        <v/>
      </c>
      <c r="R115" s="7">
        <f>SUM(R113:R114)</f>
        <v/>
      </c>
      <c r="S115" s="149" t="n"/>
      <c r="T115" s="149" t="n"/>
      <c r="U115" s="149" t="n"/>
      <c r="V115" s="149" t="n"/>
      <c r="W115" s="149" t="n"/>
      <c r="X115" s="149" t="n"/>
      <c r="Y115" s="150" t="n"/>
    </row>
    <row r="116">
      <c r="C116" s="53" t="inlineStr">
        <is>
          <t>合計</t>
        </is>
      </c>
      <c r="D116" s="54" t="n"/>
      <c r="E116" s="8">
        <f>E109+E112+E115</f>
        <v/>
      </c>
      <c r="F116" s="8">
        <f>F109+F112+F115</f>
        <v/>
      </c>
      <c r="G116" s="8">
        <f>G109+G112+G115</f>
        <v/>
      </c>
      <c r="H116" s="8">
        <f>H109+H112+H115</f>
        <v/>
      </c>
      <c r="I116" s="8">
        <f>I109+I112+I115</f>
        <v/>
      </c>
      <c r="J116" s="8">
        <f>J109+J112+J115</f>
        <v/>
      </c>
      <c r="K116" s="9">
        <f>K109+K112+K115</f>
        <v/>
      </c>
      <c r="L116" s="8">
        <f>L109+L112+L115</f>
        <v/>
      </c>
      <c r="M116" s="8">
        <f>M109+M112+M115</f>
        <v/>
      </c>
      <c r="N116" s="8">
        <f>N109+N112+N115</f>
        <v/>
      </c>
      <c r="O116" s="8">
        <f>O109+O112+O115</f>
        <v/>
      </c>
      <c r="P116" s="8">
        <f>P109+P112+P115</f>
        <v/>
      </c>
      <c r="Q116" s="8">
        <f>Q109+Q112+Q115</f>
        <v/>
      </c>
      <c r="R116" s="9">
        <f>R109+R112+R115</f>
        <v/>
      </c>
      <c r="S116" s="139">
        <f>IF(E116=0,"***",L116/E116)</f>
        <v/>
      </c>
      <c r="T116" s="139">
        <f>IF(F116=0,"***",M116/F116)</f>
        <v/>
      </c>
      <c r="U116" s="139">
        <f>IF(G116=0,"***",N116/G116)</f>
        <v/>
      </c>
      <c r="V116" s="139">
        <f>IF(H116=0,"***",O116/H116)</f>
        <v/>
      </c>
      <c r="W116" s="139">
        <f>IF(I116=0,"***",P116/I116)</f>
        <v/>
      </c>
      <c r="X116" s="139">
        <f>IF(J116=0,"***",Q116/J116)</f>
        <v/>
      </c>
      <c r="Y116" s="151">
        <f>IF(K116=0,"***",R116/K116)</f>
        <v/>
      </c>
    </row>
    <row r="117">
      <c r="C117" s="74" t="inlineStr">
        <is>
          <t>【参考】大海分</t>
        </is>
      </c>
      <c r="D117" s="75" t="n"/>
      <c r="E117" s="76" t="n"/>
      <c r="F117" s="76" t="n"/>
      <c r="G117" s="76" t="n"/>
      <c r="H117" s="76" t="n"/>
      <c r="I117" s="76" t="n"/>
      <c r="J117" s="76" t="n"/>
      <c r="K117" s="77" t="n"/>
      <c r="L117" s="78" t="n"/>
      <c r="M117" s="76" t="n"/>
      <c r="N117" s="76" t="n"/>
      <c r="O117" s="76" t="n"/>
      <c r="P117" s="76" t="n"/>
      <c r="Q117" s="76" t="n"/>
      <c r="R117" s="77">
        <f>SUM(L117:Q117)</f>
        <v/>
      </c>
      <c r="S117" s="152" t="n"/>
      <c r="T117" s="153" t="n"/>
      <c r="U117" s="153" t="n"/>
      <c r="V117" s="153">
        <f>IF(H117=0,"***",O117/H117)</f>
        <v/>
      </c>
      <c r="W117" s="153">
        <f>IF(I117=0,"***",P117/I117)</f>
        <v/>
      </c>
      <c r="X117" s="153">
        <f>IF(J117=0,"***",Q117/J117)</f>
        <v/>
      </c>
      <c r="Y117" s="154">
        <f>IF(K117=0,"***",R117/K117)</f>
        <v/>
      </c>
    </row>
    <row r="118">
      <c r="C118" s="18" t="n"/>
      <c r="E118" s="17" t="n"/>
      <c r="F118" s="17" t="n"/>
      <c r="G118" s="17" t="n"/>
      <c r="H118" s="17" t="n"/>
      <c r="I118" s="17" t="n"/>
      <c r="J118" s="17" t="n"/>
      <c r="K118" s="18" t="n"/>
      <c r="L118" s="17" t="n"/>
      <c r="M118" s="17" t="n"/>
      <c r="N118" s="17" t="n"/>
      <c r="O118" s="17" t="n"/>
      <c r="P118" s="17" t="n"/>
      <c r="Q118" s="17" t="n"/>
      <c r="R118" s="18" t="n"/>
      <c r="S118" s="144" t="n"/>
      <c r="T118" s="144" t="n"/>
      <c r="U118" s="144" t="n"/>
      <c r="V118" s="144" t="n"/>
      <c r="W118" s="144" t="n"/>
      <c r="X118" s="144" t="n"/>
      <c r="Y118" s="144" t="n"/>
    </row>
    <row r="119">
      <c r="C119" s="18" t="inlineStr">
        <is>
          <t>8．計画比</t>
        </is>
      </c>
    </row>
    <row r="120">
      <c r="C120" s="117" t="n"/>
      <c r="D120" s="118" t="n"/>
      <c r="E120" s="117" t="inlineStr">
        <is>
          <t>売上</t>
        </is>
      </c>
      <c r="F120" s="120" t="n"/>
      <c r="G120" s="120" t="n"/>
      <c r="H120" s="120" t="n"/>
      <c r="I120" s="120" t="n"/>
      <c r="J120" s="120" t="n"/>
      <c r="K120" s="118" t="n"/>
      <c r="L120" s="119" t="inlineStr">
        <is>
          <t>粗利益</t>
        </is>
      </c>
      <c r="M120" s="120" t="n"/>
      <c r="N120" s="120" t="n"/>
      <c r="O120" s="120" t="n"/>
      <c r="P120" s="120" t="n"/>
      <c r="Q120" s="120" t="n"/>
      <c r="R120" s="118" t="n"/>
      <c r="S120" s="119" t="inlineStr">
        <is>
          <t>粗利益率</t>
        </is>
      </c>
      <c r="T120" s="120" t="n"/>
      <c r="U120" s="120" t="n"/>
      <c r="V120" s="120" t="n"/>
      <c r="W120" s="120" t="n"/>
      <c r="X120" s="120" t="n"/>
      <c r="Y120" s="118" t="n"/>
    </row>
    <row r="121">
      <c r="C121" s="1" t="n"/>
      <c r="D121" s="21" t="n"/>
      <c r="E121" s="61" t="n">
        <v>46113</v>
      </c>
      <c r="F121" s="2" t="n">
        <v>46143</v>
      </c>
      <c r="G121" s="2" t="n">
        <v>46174</v>
      </c>
      <c r="H121" s="2" t="n">
        <v>46204</v>
      </c>
      <c r="I121" s="2" t="n">
        <v>46235</v>
      </c>
      <c r="J121" s="2" t="n">
        <v>46266</v>
      </c>
      <c r="K121" s="10" t="inlineStr">
        <is>
          <t>合計</t>
        </is>
      </c>
      <c r="L121" s="95" t="n">
        <v>46113</v>
      </c>
      <c r="M121" s="2" t="n">
        <v>46143</v>
      </c>
      <c r="N121" s="2" t="n">
        <v>46174</v>
      </c>
      <c r="O121" s="2" t="n">
        <v>46204</v>
      </c>
      <c r="P121" s="2" t="n">
        <v>46235</v>
      </c>
      <c r="Q121" s="2" t="n">
        <v>46266</v>
      </c>
      <c r="R121" s="10" t="inlineStr">
        <is>
          <t>合計</t>
        </is>
      </c>
      <c r="S121" s="95" t="n">
        <v>46113</v>
      </c>
      <c r="T121" s="2" t="n">
        <v>46143</v>
      </c>
      <c r="U121" s="2" t="n">
        <v>46174</v>
      </c>
      <c r="V121" s="2" t="n">
        <v>46204</v>
      </c>
      <c r="W121" s="2" t="n">
        <v>46235</v>
      </c>
      <c r="X121" s="2" t="n">
        <v>46266</v>
      </c>
      <c r="Y121" s="10" t="inlineStr">
        <is>
          <t>合計</t>
        </is>
      </c>
    </row>
    <row r="122">
      <c r="C122" s="60" t="inlineStr">
        <is>
          <t>0010 集計</t>
        </is>
      </c>
      <c r="D122" s="22" t="inlineStr">
        <is>
          <t>JF</t>
        </is>
      </c>
      <c r="E122" s="4">
        <f>E105-E56</f>
        <v/>
      </c>
      <c r="F122" s="4">
        <f>F105-F56</f>
        <v/>
      </c>
      <c r="G122" s="110">
        <f>G105-G56</f>
        <v/>
      </c>
      <c r="H122" s="4">
        <f>H105-H56</f>
        <v/>
      </c>
      <c r="I122" s="4">
        <f>I105-I56</f>
        <v/>
      </c>
      <c r="J122" s="4">
        <f>J105-J56</f>
        <v/>
      </c>
      <c r="K122" s="7">
        <f>SUM(E122:J122)</f>
        <v/>
      </c>
      <c r="L122" s="4">
        <f>L105-L56</f>
        <v/>
      </c>
      <c r="M122" s="4">
        <f>M105-M56</f>
        <v/>
      </c>
      <c r="N122" s="110">
        <f>N105-N56</f>
        <v/>
      </c>
      <c r="O122" s="4">
        <f>O105-O56</f>
        <v/>
      </c>
      <c r="P122" s="4">
        <f>P105-P56</f>
        <v/>
      </c>
      <c r="Q122" s="4">
        <f>Q105-Q56</f>
        <v/>
      </c>
      <c r="R122" s="7">
        <f>SUM(L122:Q122)</f>
        <v/>
      </c>
      <c r="S122" s="136">
        <f>IF(E122=0,"***",L122/E122)</f>
        <v/>
      </c>
      <c r="T122" s="136">
        <f>IF(F122=0,"***",M122/F122)</f>
        <v/>
      </c>
      <c r="U122" s="136">
        <f>IF(G122=0,"***",N122/G122)</f>
        <v/>
      </c>
      <c r="V122" s="136">
        <f>IF(H122=0,"***",O122/H122)</f>
        <v/>
      </c>
      <c r="W122" s="136">
        <f>IF(I122=0,"***",P122/I122)</f>
        <v/>
      </c>
      <c r="X122" s="136">
        <f>IF(J122=0,"***",Q122/J122)</f>
        <v/>
      </c>
      <c r="Y122" s="147">
        <f>Y105-Y56</f>
        <v/>
      </c>
    </row>
    <row r="123">
      <c r="C123" s="60" t="inlineStr">
        <is>
          <t>0017 集計</t>
        </is>
      </c>
      <c r="D123" s="22" t="inlineStr">
        <is>
          <t>鮮魚</t>
        </is>
      </c>
      <c r="E123" s="4">
        <f>E106-E57</f>
        <v/>
      </c>
      <c r="F123" s="4">
        <f>F106-F57</f>
        <v/>
      </c>
      <c r="G123" s="110">
        <f>G106-G57</f>
        <v/>
      </c>
      <c r="H123" s="4">
        <f>H106-H57</f>
        <v/>
      </c>
      <c r="I123" s="4">
        <f>I106-I57</f>
        <v/>
      </c>
      <c r="J123" s="4">
        <f>J106-J57</f>
        <v/>
      </c>
      <c r="K123" s="7">
        <f>SUM(E123:J123)</f>
        <v/>
      </c>
      <c r="L123" s="4">
        <f>L106-L57</f>
        <v/>
      </c>
      <c r="M123" s="4">
        <f>M106-M57</f>
        <v/>
      </c>
      <c r="N123" s="110">
        <f>N106-N57</f>
        <v/>
      </c>
      <c r="O123" s="4">
        <f>O106-O57</f>
        <v/>
      </c>
      <c r="P123" s="4">
        <f>P106-P57</f>
        <v/>
      </c>
      <c r="Q123" s="4">
        <f>Q106-Q57</f>
        <v/>
      </c>
      <c r="R123" s="7">
        <f>SUM(L123:Q123)</f>
        <v/>
      </c>
      <c r="S123" s="136">
        <f>IF(E123=0,"***",L123/E123)</f>
        <v/>
      </c>
      <c r="T123" s="136">
        <f>IF(F123=0,"***",M123/F123)</f>
        <v/>
      </c>
      <c r="U123" s="136">
        <f>IF(G123=0,"***",N123/G123)</f>
        <v/>
      </c>
      <c r="V123" s="136">
        <f>IF(H123=0,"***",O123/H123)</f>
        <v/>
      </c>
      <c r="W123" s="136">
        <f>IF(I123=0,"***",P123/I123)</f>
        <v/>
      </c>
      <c r="X123" s="136">
        <f>IF(J123=0,"***",Q123/J123)</f>
        <v/>
      </c>
      <c r="Y123" s="147">
        <f>Y106-Y57</f>
        <v/>
      </c>
    </row>
    <row r="124">
      <c r="C124" s="60" t="inlineStr">
        <is>
          <t>0101 集計</t>
        </is>
      </c>
      <c r="D124" s="22" t="inlineStr">
        <is>
          <t>GS</t>
        </is>
      </c>
      <c r="E124" s="4">
        <f>E107-E58</f>
        <v/>
      </c>
      <c r="F124" s="4">
        <f>F107-F58</f>
        <v/>
      </c>
      <c r="G124" s="110">
        <f>G107-G58</f>
        <v/>
      </c>
      <c r="H124" s="4">
        <f>H107-H58</f>
        <v/>
      </c>
      <c r="I124" s="4">
        <f>I107-I58</f>
        <v/>
      </c>
      <c r="J124" s="4">
        <f>J107-J58</f>
        <v/>
      </c>
      <c r="K124" s="7">
        <f>SUM(E124:J124)</f>
        <v/>
      </c>
      <c r="L124" s="4">
        <f>L107-L58</f>
        <v/>
      </c>
      <c r="M124" s="4">
        <f>M107-M58</f>
        <v/>
      </c>
      <c r="N124" s="110">
        <f>N107-N58</f>
        <v/>
      </c>
      <c r="O124" s="4">
        <f>O107-O58</f>
        <v/>
      </c>
      <c r="P124" s="4">
        <f>P107-P58</f>
        <v/>
      </c>
      <c r="Q124" s="4">
        <f>Q107-Q58</f>
        <v/>
      </c>
      <c r="R124" s="7">
        <f>SUM(L124:Q124)</f>
        <v/>
      </c>
      <c r="S124" s="136">
        <f>IF(E124=0,"***",L124/E124)</f>
        <v/>
      </c>
      <c r="T124" s="136">
        <f>IF(F124=0,"***",M124/F124)</f>
        <v/>
      </c>
      <c r="U124" s="136">
        <f>IF(G124=0,"***",N124/G124)</f>
        <v/>
      </c>
      <c r="V124" s="136">
        <f>IF(H124=0,"***",O124/H124)</f>
        <v/>
      </c>
      <c r="W124" s="136">
        <f>IF(I124=0,"***",P124/I124)</f>
        <v/>
      </c>
      <c r="X124" s="136">
        <f>IF(J124=0,"***",Q124/J124)</f>
        <v/>
      </c>
      <c r="Y124" s="147">
        <f>Y107-Y58</f>
        <v/>
      </c>
    </row>
    <row r="125">
      <c r="C125" s="60" t="inlineStr">
        <is>
          <t>0106 集計</t>
        </is>
      </c>
      <c r="D125" s="22" t="inlineStr">
        <is>
          <t>浜田荷役</t>
        </is>
      </c>
      <c r="E125" s="4">
        <f>E108-E59</f>
        <v/>
      </c>
      <c r="F125" s="4">
        <f>F108-F59</f>
        <v/>
      </c>
      <c r="G125" s="110">
        <f>G108-G59</f>
        <v/>
      </c>
      <c r="H125" s="4">
        <f>H108-H59</f>
        <v/>
      </c>
      <c r="I125" s="4">
        <f>I108-I59</f>
        <v/>
      </c>
      <c r="J125" s="4">
        <f>J108-J59</f>
        <v/>
      </c>
      <c r="K125" s="7">
        <f>SUM(E125:J125)</f>
        <v/>
      </c>
      <c r="L125" s="4">
        <f>L108-L59</f>
        <v/>
      </c>
      <c r="M125" s="4">
        <f>M108-M59</f>
        <v/>
      </c>
      <c r="N125" s="110">
        <f>N108-N59</f>
        <v/>
      </c>
      <c r="O125" s="4">
        <f>O108-O59</f>
        <v/>
      </c>
      <c r="P125" s="4">
        <f>P108-P59</f>
        <v/>
      </c>
      <c r="Q125" s="4">
        <f>Q108-Q59</f>
        <v/>
      </c>
      <c r="R125" s="7">
        <f>SUM(L125:Q125)</f>
        <v/>
      </c>
      <c r="S125" s="136">
        <f>IF(E125=0,"***",L125/E125)</f>
        <v/>
      </c>
      <c r="T125" s="136">
        <f>IF(F125=0,"***",M125/F125)</f>
        <v/>
      </c>
      <c r="U125" s="136">
        <f>IF(G125=0,"***",N125/G125)</f>
        <v/>
      </c>
      <c r="V125" s="136">
        <f>IF(H125=0,"***",O125/H125)</f>
        <v/>
      </c>
      <c r="W125" s="136">
        <f>IF(I125=0,"***",P125/I125)</f>
        <v/>
      </c>
      <c r="X125" s="136">
        <f>IF(J125=0,"***",Q125/J125)</f>
        <v/>
      </c>
      <c r="Y125" s="147">
        <f>Y108-Y59</f>
        <v/>
      </c>
    </row>
    <row r="126">
      <c r="C126" s="60" t="inlineStr">
        <is>
          <t>浜田水産部合計</t>
        </is>
      </c>
      <c r="D126" s="22" t="n"/>
      <c r="E126" s="4">
        <f>SUM(E122:E125)</f>
        <v/>
      </c>
      <c r="F126" s="4">
        <f>SUM(F122:F125)</f>
        <v/>
      </c>
      <c r="G126" s="4">
        <f>SUM(G122:G125)</f>
        <v/>
      </c>
      <c r="H126" s="4">
        <f>SUM(H122:H125)</f>
        <v/>
      </c>
      <c r="I126" s="4">
        <f>SUM(I122:I125)</f>
        <v/>
      </c>
      <c r="J126" s="4">
        <f>SUM(J122:J125)</f>
        <v/>
      </c>
      <c r="K126" s="7">
        <f>SUM(E126:J126)</f>
        <v/>
      </c>
      <c r="L126" s="4">
        <f>SUM(L122:L125)</f>
        <v/>
      </c>
      <c r="M126" s="4">
        <f>SUM(M122:M125)</f>
        <v/>
      </c>
      <c r="N126" s="4">
        <f>SUM(N122:N125)</f>
        <v/>
      </c>
      <c r="O126" s="4">
        <f>SUM(O122:O125)</f>
        <v/>
      </c>
      <c r="P126" s="4">
        <f>SUM(P122:P125)</f>
        <v/>
      </c>
      <c r="Q126" s="4">
        <f>SUM(Q122:Q125)</f>
        <v/>
      </c>
      <c r="R126" s="7">
        <f>SUM(L126:Q126)</f>
        <v/>
      </c>
      <c r="S126" s="136">
        <f>IF(E126=0,"***",L126/E126)</f>
        <v/>
      </c>
      <c r="T126" s="136">
        <f>IF(F126=0,"***",M126/F126)</f>
        <v/>
      </c>
      <c r="U126" s="136">
        <f>IF(G126=0,"***",N126/G126)</f>
        <v/>
      </c>
      <c r="V126" s="136">
        <f>IF(H126=0,"***",O126/H126)</f>
        <v/>
      </c>
      <c r="W126" s="136">
        <f>IF(I126=0,"***",P126/I126)</f>
        <v/>
      </c>
      <c r="X126" s="136">
        <f>IF(J126=0,"***",Q126/J126)</f>
        <v/>
      </c>
      <c r="Y126" s="147">
        <f>Y109-Y60</f>
        <v/>
      </c>
    </row>
    <row r="127">
      <c r="C127" s="60" t="inlineStr">
        <is>
          <t>0102 集計</t>
        </is>
      </c>
      <c r="D127" s="22" t="inlineStr">
        <is>
          <t>JF大田</t>
        </is>
      </c>
      <c r="E127" s="4">
        <f>E110-E61</f>
        <v/>
      </c>
      <c r="F127" s="4">
        <f>F110-F61</f>
        <v/>
      </c>
      <c r="G127" s="110">
        <f>G110-G61</f>
        <v/>
      </c>
      <c r="H127" s="4">
        <f>H110-H61</f>
        <v/>
      </c>
      <c r="I127" s="4">
        <f>I110-I61</f>
        <v/>
      </c>
      <c r="J127" s="4">
        <f>J110-J61</f>
        <v/>
      </c>
      <c r="K127" s="7">
        <f>SUM(E127:J127)</f>
        <v/>
      </c>
      <c r="L127" s="4">
        <f>L110-L61</f>
        <v/>
      </c>
      <c r="M127" s="4">
        <f>M110-M61</f>
        <v/>
      </c>
      <c r="N127" s="110">
        <f>N110-N61</f>
        <v/>
      </c>
      <c r="O127" s="4">
        <f>O110-O61</f>
        <v/>
      </c>
      <c r="P127" s="4">
        <f>P110-P61</f>
        <v/>
      </c>
      <c r="Q127" s="4">
        <f>Q110-Q61</f>
        <v/>
      </c>
      <c r="R127" s="7">
        <f>SUM(L127:Q127)</f>
        <v/>
      </c>
      <c r="S127" s="136">
        <f>IF(E127=0,"***",L127/E127)</f>
        <v/>
      </c>
      <c r="T127" s="136">
        <f>IF(F127=0,"***",M127/F127)</f>
        <v/>
      </c>
      <c r="U127" s="136">
        <f>IF(G127=0,"***",N127/G127)</f>
        <v/>
      </c>
      <c r="V127" s="136">
        <f>IF(H127=0,"***",O127/H127)</f>
        <v/>
      </c>
      <c r="W127" s="136">
        <f>IF(I127=0,"***",P127/I127)</f>
        <v/>
      </c>
      <c r="X127" s="136">
        <f>IF(J127=0,"***",Q127/J127)</f>
        <v/>
      </c>
      <c r="Y127" s="147">
        <f>Y110-Y61</f>
        <v/>
      </c>
    </row>
    <row r="128">
      <c r="C128" s="60" t="inlineStr">
        <is>
          <t>0104 集計</t>
        </is>
      </c>
      <c r="D128" s="22" t="inlineStr">
        <is>
          <t>大田荷役</t>
        </is>
      </c>
      <c r="E128" s="4">
        <f>E111-E62</f>
        <v/>
      </c>
      <c r="F128" s="4">
        <f>F111-F62</f>
        <v/>
      </c>
      <c r="G128" s="110">
        <f>G111-G62</f>
        <v/>
      </c>
      <c r="H128" s="4">
        <f>H111-H62</f>
        <v/>
      </c>
      <c r="I128" s="4">
        <f>I111-I62</f>
        <v/>
      </c>
      <c r="J128" s="4">
        <f>J111-J62</f>
        <v/>
      </c>
      <c r="K128" s="7">
        <f>SUM(E128:J128)</f>
        <v/>
      </c>
      <c r="L128" s="4">
        <f>L111-L62</f>
        <v/>
      </c>
      <c r="M128" s="4">
        <f>M111-M62</f>
        <v/>
      </c>
      <c r="N128" s="110">
        <f>N111-N62</f>
        <v/>
      </c>
      <c r="O128" s="4">
        <f>O111-O62</f>
        <v/>
      </c>
      <c r="P128" s="4">
        <f>P111-P62</f>
        <v/>
      </c>
      <c r="Q128" s="4">
        <f>Q111-Q62</f>
        <v/>
      </c>
      <c r="R128" s="7">
        <f>SUM(L128:Q128)</f>
        <v/>
      </c>
      <c r="S128" s="136">
        <f>IF(E128=0,"***",L128/E128)</f>
        <v/>
      </c>
      <c r="T128" s="136">
        <f>IF(F128=0,"***",M128/F128)</f>
        <v/>
      </c>
      <c r="U128" s="136">
        <f>IF(G128=0,"***",N128/G128)</f>
        <v/>
      </c>
      <c r="V128" s="136">
        <f>IF(H128=0,"***",O128/H128)</f>
        <v/>
      </c>
      <c r="W128" s="136">
        <f>IF(I128=0,"***",P128/I128)</f>
        <v/>
      </c>
      <c r="X128" s="136">
        <f>IF(J128=0,"***",Q128/J128)</f>
        <v/>
      </c>
      <c r="Y128" s="147">
        <f>Y111-Y62</f>
        <v/>
      </c>
    </row>
    <row r="129">
      <c r="C129" s="60" t="inlineStr">
        <is>
          <t>大田水産部</t>
        </is>
      </c>
      <c r="D129" s="22" t="n"/>
      <c r="E129" s="20">
        <f>SUM(E127:E128)</f>
        <v/>
      </c>
      <c r="F129" s="20">
        <f>SUM(F127:F128)</f>
        <v/>
      </c>
      <c r="G129" s="20">
        <f>SUM(G127:G128)</f>
        <v/>
      </c>
      <c r="H129" s="20">
        <f>SUM(H127:H128)</f>
        <v/>
      </c>
      <c r="I129" s="20">
        <f>SUM(I127:I128)</f>
        <v/>
      </c>
      <c r="J129" s="20">
        <f>SUM(J127:J128)</f>
        <v/>
      </c>
      <c r="K129" s="7">
        <f>SUM(K127:K128)</f>
        <v/>
      </c>
      <c r="L129" s="20">
        <f>SUM(L127:L128)</f>
        <v/>
      </c>
      <c r="M129" s="20">
        <f>SUM(M127:M128)</f>
        <v/>
      </c>
      <c r="N129" s="20">
        <f>SUM(N127:N128)</f>
        <v/>
      </c>
      <c r="O129" s="20">
        <f>SUM(O127:O128)</f>
        <v/>
      </c>
      <c r="P129" s="20">
        <f>SUM(P128:P128)</f>
        <v/>
      </c>
      <c r="Q129" s="20">
        <f>SUM(Q127:Q128)</f>
        <v/>
      </c>
      <c r="R129" s="7">
        <f>SUM(R127:R128)</f>
        <v/>
      </c>
      <c r="S129" s="136">
        <f>IF(E129=0,"***",L129/E129)</f>
        <v/>
      </c>
      <c r="T129" s="136">
        <f>IF(F129=0,"***",M129/F129)</f>
        <v/>
      </c>
      <c r="U129" s="136">
        <f>IF(G129=0,"***",N129/G129)</f>
        <v/>
      </c>
      <c r="V129" s="136">
        <f>IF(H129=0,"***",O129/H129)</f>
        <v/>
      </c>
      <c r="W129" s="136">
        <f>IF(I129=0,"***",P129/I129)</f>
        <v/>
      </c>
      <c r="X129" s="136">
        <f>IF(J129=0,"***",Q129/J129)</f>
        <v/>
      </c>
      <c r="Y129" s="147">
        <f>Y112-Y63</f>
        <v/>
      </c>
    </row>
    <row r="130">
      <c r="C130" s="60" t="inlineStr">
        <is>
          <t>0031 集計</t>
        </is>
      </c>
      <c r="D130" s="22" t="inlineStr">
        <is>
          <t>JF境</t>
        </is>
      </c>
      <c r="E130" s="20">
        <f>E113-E64</f>
        <v/>
      </c>
      <c r="F130" s="20">
        <f>F113-F64</f>
        <v/>
      </c>
      <c r="G130" s="109">
        <f>G113-G64</f>
        <v/>
      </c>
      <c r="H130" s="20">
        <f>H113-H64</f>
        <v/>
      </c>
      <c r="I130" s="20">
        <f>I113-I64</f>
        <v/>
      </c>
      <c r="J130" s="20">
        <f>J113-J64</f>
        <v/>
      </c>
      <c r="K130" s="7">
        <f>SUM(E130:J130)</f>
        <v/>
      </c>
      <c r="L130" s="20">
        <f>L113-L64</f>
        <v/>
      </c>
      <c r="M130" s="20">
        <f>M113-M64</f>
        <v/>
      </c>
      <c r="N130" s="109">
        <f>N113-N64</f>
        <v/>
      </c>
      <c r="O130" s="20">
        <f>O113-O64</f>
        <v/>
      </c>
      <c r="P130" s="20">
        <f>P113-P64</f>
        <v/>
      </c>
      <c r="Q130" s="20">
        <f>Q113-Q64</f>
        <v/>
      </c>
      <c r="R130" s="7">
        <f>SUM(L130:Q130)</f>
        <v/>
      </c>
      <c r="S130" s="136">
        <f>IF(E130=0,"***",L130/E130)</f>
        <v/>
      </c>
      <c r="T130" s="136">
        <f>IF(F130=0,"***",M130/F130)</f>
        <v/>
      </c>
      <c r="U130" s="136">
        <f>IF(G130=0,"***",N130/G130)</f>
        <v/>
      </c>
      <c r="V130" s="136">
        <f>IF(H130=0,"***",O130/H130)</f>
        <v/>
      </c>
      <c r="W130" s="136">
        <f>IF(I130=0,"***",P130/I130)</f>
        <v/>
      </c>
      <c r="X130" s="136">
        <f>IF(J130=0,"***",Q130/J130)</f>
        <v/>
      </c>
      <c r="Y130" s="147">
        <f>Y113-Y64</f>
        <v/>
      </c>
    </row>
    <row r="131">
      <c r="C131" s="60" t="inlineStr">
        <is>
          <t>0038 集計</t>
        </is>
      </c>
      <c r="D131" s="83" t="inlineStr">
        <is>
          <t>境その他</t>
        </is>
      </c>
      <c r="E131" s="20">
        <f>E114-E65</f>
        <v/>
      </c>
      <c r="F131" s="20">
        <f>F114-F65</f>
        <v/>
      </c>
      <c r="G131" s="109">
        <f>G114-G65</f>
        <v/>
      </c>
      <c r="H131" s="20">
        <f>H114-H65</f>
        <v/>
      </c>
      <c r="I131" s="20">
        <f>I114-I65</f>
        <v/>
      </c>
      <c r="J131" s="20">
        <f>J114-J65</f>
        <v/>
      </c>
      <c r="K131" s="7">
        <f>SUM(E131:J131)</f>
        <v/>
      </c>
      <c r="L131" s="20">
        <f>L114-L65</f>
        <v/>
      </c>
      <c r="M131" s="20">
        <f>M114-M65</f>
        <v/>
      </c>
      <c r="N131" s="109">
        <f>N114-N65</f>
        <v/>
      </c>
      <c r="O131" s="20">
        <f>O114-O65</f>
        <v/>
      </c>
      <c r="P131" s="20">
        <f>P114-P65</f>
        <v/>
      </c>
      <c r="Q131" s="20">
        <f>Q114-Q65</f>
        <v/>
      </c>
      <c r="R131" s="7">
        <f>SUM(L131:Q131)</f>
        <v/>
      </c>
      <c r="S131" s="136">
        <f>IF(E131=0,"***",L131/E131)</f>
        <v/>
      </c>
      <c r="T131" s="136">
        <f>IF(F131=0,"***",M131/F131)</f>
        <v/>
      </c>
      <c r="U131" s="136">
        <f>IF(G131=0,"***",N131/G131)</f>
        <v/>
      </c>
      <c r="V131" s="136">
        <f>IF(H131=0,"***",O131/H131)</f>
        <v/>
      </c>
      <c r="W131" s="136">
        <f>IF(I131=0,"***",P131/I131)</f>
        <v/>
      </c>
      <c r="X131" s="136">
        <f>IF(J131=0,"***",Q131/J131)</f>
        <v/>
      </c>
      <c r="Y131" s="147">
        <f>Y114-Y65</f>
        <v/>
      </c>
    </row>
    <row r="132">
      <c r="C132" s="82" t="inlineStr">
        <is>
          <t>境港水産部合計</t>
        </is>
      </c>
      <c r="D132" s="83" t="n"/>
      <c r="E132" s="20">
        <f>SUM(E130:E131)</f>
        <v/>
      </c>
      <c r="F132" s="20">
        <f>SUM(F130:F131)</f>
        <v/>
      </c>
      <c r="G132" s="20">
        <f>SUM(G130:G131)</f>
        <v/>
      </c>
      <c r="H132" s="20">
        <f>SUM(H130:H131)</f>
        <v/>
      </c>
      <c r="I132" s="20">
        <f>SUM(I130:I131)</f>
        <v/>
      </c>
      <c r="J132" s="20">
        <f>SUM(J130:J131)</f>
        <v/>
      </c>
      <c r="K132" s="7">
        <f>SUM(K130:K131)</f>
        <v/>
      </c>
      <c r="L132" s="20">
        <f>SUM(L130:L131)</f>
        <v/>
      </c>
      <c r="M132" s="20">
        <f>SUM(M130:M131)</f>
        <v/>
      </c>
      <c r="N132" s="20">
        <f>SUM(N130:N131)</f>
        <v/>
      </c>
      <c r="O132" s="20">
        <f>SUM(O130:O131)</f>
        <v/>
      </c>
      <c r="P132" s="20">
        <f>SUM(P130:P131)</f>
        <v/>
      </c>
      <c r="Q132" s="20">
        <f>SUM(Q130:Q131)</f>
        <v/>
      </c>
      <c r="R132" s="7">
        <f>SUM(R130:R131)</f>
        <v/>
      </c>
      <c r="S132" s="149">
        <f>IF(E132=0,"***",L132/E132)</f>
        <v/>
      </c>
      <c r="T132" s="149">
        <f>IF(F132=0,"***",M132/F132)</f>
        <v/>
      </c>
      <c r="U132" s="149">
        <f>IF(G132=0,"***",N132/G132)</f>
        <v/>
      </c>
      <c r="V132" s="149">
        <f>IF(H132=0,"***",O132/H132)</f>
        <v/>
      </c>
      <c r="W132" s="149">
        <f>IF(I132=0,"***",P132/I132)</f>
        <v/>
      </c>
      <c r="X132" s="149">
        <f>IF(J132=0,"***",Q132/J132)</f>
        <v/>
      </c>
      <c r="Y132" s="150">
        <f>Y115-Y66</f>
        <v/>
      </c>
    </row>
    <row r="133">
      <c r="C133" s="53" t="inlineStr">
        <is>
          <t>合計</t>
        </is>
      </c>
      <c r="D133" s="54" t="n"/>
      <c r="E133" s="8">
        <f>E126+E129+E132</f>
        <v/>
      </c>
      <c r="F133" s="8">
        <f>F126+F129+F132</f>
        <v/>
      </c>
      <c r="G133" s="8">
        <f>G126+G129+G132</f>
        <v/>
      </c>
      <c r="H133" s="8">
        <f>H126+H129+H132</f>
        <v/>
      </c>
      <c r="I133" s="8">
        <f>I126+I129+I132</f>
        <v/>
      </c>
      <c r="J133" s="8">
        <f>J126+J129+J132</f>
        <v/>
      </c>
      <c r="K133" s="9">
        <f>K126+K129+K132</f>
        <v/>
      </c>
      <c r="L133" s="8">
        <f>L126+L129+L132</f>
        <v/>
      </c>
      <c r="M133" s="8">
        <f>M126+M129+M132</f>
        <v/>
      </c>
      <c r="N133" s="8">
        <f>N126+N129+N132</f>
        <v/>
      </c>
      <c r="O133" s="8">
        <f>O126+O129+O132</f>
        <v/>
      </c>
      <c r="P133" s="8">
        <f>P126+P129+P132</f>
        <v/>
      </c>
      <c r="Q133" s="8">
        <f>Q126+Q129+Q132</f>
        <v/>
      </c>
      <c r="R133" s="9">
        <f>R126+R129+R132</f>
        <v/>
      </c>
      <c r="S133" s="139">
        <f>IF(E133=0,"***",L133/E133)</f>
        <v/>
      </c>
      <c r="T133" s="139">
        <f>IF(F133=0,"***",M133/F133)</f>
        <v/>
      </c>
      <c r="U133" s="139">
        <f>IF(G133=0,"***",N133/G133)</f>
        <v/>
      </c>
      <c r="V133" s="139">
        <f>IF(H133=0,"***",O133/H133)</f>
        <v/>
      </c>
      <c r="W133" s="139">
        <f>IF(I133=0,"***",P133/I133)</f>
        <v/>
      </c>
      <c r="X133" s="139">
        <f>IF(J133=0,"***",Q133/J133)</f>
        <v/>
      </c>
      <c r="Y133" s="151">
        <f>Y116-Y67</f>
        <v/>
      </c>
    </row>
    <row r="134">
      <c r="C134" s="18" t="n"/>
      <c r="E134" s="17" t="n"/>
      <c r="F134" s="17" t="n"/>
      <c r="G134" s="17" t="n"/>
      <c r="H134" s="17" t="n"/>
      <c r="I134" s="17" t="n"/>
      <c r="J134" s="17" t="n"/>
      <c r="K134" s="18" t="n"/>
      <c r="L134" s="17" t="n"/>
      <c r="M134" s="17" t="n"/>
      <c r="N134" s="17" t="n"/>
      <c r="O134" s="17" t="n"/>
      <c r="P134" s="17" t="n"/>
      <c r="Q134" s="17" t="n"/>
      <c r="R134" s="18" t="n"/>
      <c r="S134" s="144" t="n"/>
      <c r="T134" s="144" t="n"/>
      <c r="U134" s="144" t="n"/>
      <c r="V134" s="144" t="n"/>
      <c r="W134" s="144" t="n"/>
      <c r="X134" s="144" t="n"/>
      <c r="Y134" s="144" t="n"/>
    </row>
    <row r="135">
      <c r="C135" s="18" t="inlineStr">
        <is>
          <t>9．前期比</t>
        </is>
      </c>
    </row>
    <row r="136">
      <c r="C136" s="117" t="n"/>
      <c r="D136" s="118" t="n"/>
      <c r="E136" s="117" t="inlineStr">
        <is>
          <t>売上</t>
        </is>
      </c>
      <c r="F136" s="120" t="n"/>
      <c r="G136" s="120" t="n"/>
      <c r="H136" s="120" t="n"/>
      <c r="I136" s="120" t="n"/>
      <c r="J136" s="120" t="n"/>
      <c r="K136" s="118" t="n"/>
      <c r="L136" s="119" t="inlineStr">
        <is>
          <t>粗利益</t>
        </is>
      </c>
      <c r="M136" s="120" t="n"/>
      <c r="N136" s="120" t="n"/>
      <c r="O136" s="120" t="n"/>
      <c r="P136" s="120" t="n"/>
      <c r="Q136" s="120" t="n"/>
      <c r="R136" s="118" t="n"/>
      <c r="S136" s="119" t="inlineStr">
        <is>
          <t>粗利益率</t>
        </is>
      </c>
      <c r="T136" s="120" t="n"/>
      <c r="U136" s="120" t="n"/>
      <c r="V136" s="120" t="n"/>
      <c r="W136" s="120" t="n"/>
      <c r="X136" s="120" t="n"/>
      <c r="Y136" s="118" t="n"/>
    </row>
    <row r="137">
      <c r="C137" s="1" t="n"/>
      <c r="D137" s="21" t="n"/>
      <c r="E137" s="61" t="n">
        <v>46113</v>
      </c>
      <c r="F137" s="2" t="n">
        <v>46143</v>
      </c>
      <c r="G137" s="2" t="n">
        <v>46174</v>
      </c>
      <c r="H137" s="2" t="n">
        <v>46204</v>
      </c>
      <c r="I137" s="2" t="n">
        <v>46235</v>
      </c>
      <c r="J137" s="2" t="n">
        <v>46266</v>
      </c>
      <c r="K137" s="10" t="inlineStr">
        <is>
          <t>合計</t>
        </is>
      </c>
      <c r="L137" s="95" t="n">
        <v>46113</v>
      </c>
      <c r="M137" s="2" t="n">
        <v>46143</v>
      </c>
      <c r="N137" s="2" t="n">
        <v>46174</v>
      </c>
      <c r="O137" s="2" t="n">
        <v>46204</v>
      </c>
      <c r="P137" s="2" t="n">
        <v>46235</v>
      </c>
      <c r="Q137" s="2" t="n">
        <v>46266</v>
      </c>
      <c r="R137" s="10" t="inlineStr">
        <is>
          <t>合計</t>
        </is>
      </c>
      <c r="S137" s="95" t="n">
        <v>46113</v>
      </c>
      <c r="T137" s="2" t="n">
        <v>46143</v>
      </c>
      <c r="U137" s="2" t="n">
        <v>46174</v>
      </c>
      <c r="V137" s="2" t="n">
        <v>46204</v>
      </c>
      <c r="W137" s="2" t="n">
        <v>46235</v>
      </c>
      <c r="X137" s="2" t="n">
        <v>46266</v>
      </c>
      <c r="Y137" s="10" t="inlineStr">
        <is>
          <t>合計</t>
        </is>
      </c>
    </row>
    <row r="138">
      <c r="C138" s="60" t="inlineStr">
        <is>
          <t>0010 集計</t>
        </is>
      </c>
      <c r="D138" s="22" t="inlineStr">
        <is>
          <t>JF</t>
        </is>
      </c>
      <c r="E138" s="4">
        <f>E105-E22</f>
        <v/>
      </c>
      <c r="F138" s="4">
        <f>F105-F22</f>
        <v/>
      </c>
      <c r="G138" s="4">
        <f>G105-G22</f>
        <v/>
      </c>
      <c r="H138" s="4">
        <f>H105-H22</f>
        <v/>
      </c>
      <c r="I138" s="4">
        <f>I105-I22</f>
        <v/>
      </c>
      <c r="J138" s="4">
        <f>J105-J22</f>
        <v/>
      </c>
      <c r="K138" s="7">
        <f>SUM(E138:J138)</f>
        <v/>
      </c>
      <c r="L138" s="4">
        <f>L105-L22</f>
        <v/>
      </c>
      <c r="M138" s="4">
        <f>M105-M22</f>
        <v/>
      </c>
      <c r="N138" s="4">
        <f>N105-N22</f>
        <v/>
      </c>
      <c r="O138" s="4">
        <f>O105-O22</f>
        <v/>
      </c>
      <c r="P138" s="4">
        <f>P105-P22</f>
        <v/>
      </c>
      <c r="Q138" s="4">
        <f>Q105-Q22</f>
        <v/>
      </c>
      <c r="R138" s="7">
        <f>SUM(L138:Q138)</f>
        <v/>
      </c>
      <c r="S138" s="136">
        <f>S105-S22</f>
        <v/>
      </c>
      <c r="T138" s="136">
        <f>T105-T22</f>
        <v/>
      </c>
      <c r="U138" s="136">
        <f>U105-U22</f>
        <v/>
      </c>
      <c r="V138" s="136">
        <f>V105-V22</f>
        <v/>
      </c>
      <c r="W138" s="136">
        <f>W105-W22</f>
        <v/>
      </c>
      <c r="X138" s="136">
        <f>X105-X22</f>
        <v/>
      </c>
      <c r="Y138" s="147">
        <f>Y105-Y22</f>
        <v/>
      </c>
    </row>
    <row r="139">
      <c r="C139" s="60" t="inlineStr">
        <is>
          <t>0017 集計</t>
        </is>
      </c>
      <c r="D139" s="22" t="inlineStr">
        <is>
          <t>鮮魚</t>
        </is>
      </c>
      <c r="E139" s="4">
        <f>E106-E23</f>
        <v/>
      </c>
      <c r="F139" s="4">
        <f>F106-F23</f>
        <v/>
      </c>
      <c r="G139" s="4">
        <f>G106-G23</f>
        <v/>
      </c>
      <c r="H139" s="4">
        <f>H106-H23</f>
        <v/>
      </c>
      <c r="I139" s="4">
        <f>I106-I23</f>
        <v/>
      </c>
      <c r="J139" s="4">
        <f>J106-J23</f>
        <v/>
      </c>
      <c r="K139" s="7">
        <f>SUM(E139:J139)</f>
        <v/>
      </c>
      <c r="L139" s="4">
        <f>L106-L23</f>
        <v/>
      </c>
      <c r="M139" s="4">
        <f>M106-M23</f>
        <v/>
      </c>
      <c r="N139" s="4">
        <f>N106-N23</f>
        <v/>
      </c>
      <c r="O139" s="4">
        <f>O106-O23</f>
        <v/>
      </c>
      <c r="P139" s="4">
        <f>P106-P23</f>
        <v/>
      </c>
      <c r="Q139" s="4">
        <f>Q106-Q23</f>
        <v/>
      </c>
      <c r="R139" s="7">
        <f>SUM(L139:Q139)</f>
        <v/>
      </c>
      <c r="S139" s="136">
        <f>S106-S23</f>
        <v/>
      </c>
      <c r="T139" s="136">
        <f>T106-T23</f>
        <v/>
      </c>
      <c r="U139" s="136">
        <f>U106-U23</f>
        <v/>
      </c>
      <c r="V139" s="136">
        <f>V106-V23</f>
        <v/>
      </c>
      <c r="W139" s="136">
        <f>W106-W23</f>
        <v/>
      </c>
      <c r="X139" s="136">
        <f>X106-X23</f>
        <v/>
      </c>
      <c r="Y139" s="147">
        <f>Y106-Y23</f>
        <v/>
      </c>
    </row>
    <row r="140">
      <c r="C140" s="60" t="inlineStr">
        <is>
          <t>0101 集計</t>
        </is>
      </c>
      <c r="D140" s="22" t="inlineStr">
        <is>
          <t>GS</t>
        </is>
      </c>
      <c r="E140" s="4">
        <f>E107-E24</f>
        <v/>
      </c>
      <c r="F140" s="4">
        <f>F107-F24</f>
        <v/>
      </c>
      <c r="G140" s="4">
        <f>G107-G24</f>
        <v/>
      </c>
      <c r="H140" s="4">
        <f>H107-H24</f>
        <v/>
      </c>
      <c r="I140" s="4">
        <f>I107-I24</f>
        <v/>
      </c>
      <c r="J140" s="4">
        <f>J107-J24</f>
        <v/>
      </c>
      <c r="K140" s="7">
        <f>SUM(E140:J140)</f>
        <v/>
      </c>
      <c r="L140" s="4">
        <f>L107-L24</f>
        <v/>
      </c>
      <c r="M140" s="4">
        <f>M107-M24</f>
        <v/>
      </c>
      <c r="N140" s="4">
        <f>N107-N24</f>
        <v/>
      </c>
      <c r="O140" s="4">
        <f>O107-O24</f>
        <v/>
      </c>
      <c r="P140" s="4">
        <f>P107-P24</f>
        <v/>
      </c>
      <c r="Q140" s="4">
        <f>Q107-Q24</f>
        <v/>
      </c>
      <c r="R140" s="7">
        <f>SUM(L140:Q140)</f>
        <v/>
      </c>
      <c r="S140" s="136">
        <f>S107-S24</f>
        <v/>
      </c>
      <c r="T140" s="136">
        <f>T107-T24</f>
        <v/>
      </c>
      <c r="U140" s="136">
        <f>U107-U24</f>
        <v/>
      </c>
      <c r="V140" s="136">
        <f>V107-V24</f>
        <v/>
      </c>
      <c r="W140" s="136">
        <f>W107-W24</f>
        <v/>
      </c>
      <c r="X140" s="136">
        <f>X107-X24</f>
        <v/>
      </c>
      <c r="Y140" s="147">
        <f>Y107-Y24</f>
        <v/>
      </c>
    </row>
    <row r="141">
      <c r="C141" s="60" t="inlineStr">
        <is>
          <t>0106 集計</t>
        </is>
      </c>
      <c r="D141" s="22" t="inlineStr">
        <is>
          <t>浜田荷役</t>
        </is>
      </c>
      <c r="E141" s="4">
        <f>E108-E25</f>
        <v/>
      </c>
      <c r="F141" s="4">
        <f>F108-F25</f>
        <v/>
      </c>
      <c r="G141" s="4">
        <f>G108-G25</f>
        <v/>
      </c>
      <c r="H141" s="4">
        <f>H108-H25</f>
        <v/>
      </c>
      <c r="I141" s="4">
        <f>I108-I25</f>
        <v/>
      </c>
      <c r="J141" s="4">
        <f>J108-J25</f>
        <v/>
      </c>
      <c r="K141" s="7">
        <f>SUM(E141:J141)</f>
        <v/>
      </c>
      <c r="L141" s="4">
        <f>L108-L25</f>
        <v/>
      </c>
      <c r="M141" s="4">
        <f>M108-M25</f>
        <v/>
      </c>
      <c r="N141" s="4">
        <f>N108-N25</f>
        <v/>
      </c>
      <c r="O141" s="4">
        <f>O108-O25</f>
        <v/>
      </c>
      <c r="P141" s="4">
        <f>P108-P25</f>
        <v/>
      </c>
      <c r="Q141" s="4">
        <f>Q108-Q25</f>
        <v/>
      </c>
      <c r="R141" s="7">
        <f>SUM(L141:Q141)</f>
        <v/>
      </c>
      <c r="S141" s="136">
        <f>S108-S25</f>
        <v/>
      </c>
      <c r="T141" s="136">
        <f>T108-T25</f>
        <v/>
      </c>
      <c r="U141" s="136">
        <f>U108-U25</f>
        <v/>
      </c>
      <c r="V141" s="136">
        <f>V108-V25</f>
        <v/>
      </c>
      <c r="W141" s="136">
        <f>W108-W25</f>
        <v/>
      </c>
      <c r="X141" s="136">
        <f>X108-X25</f>
        <v/>
      </c>
      <c r="Y141" s="147">
        <f>Y108-Y25</f>
        <v/>
      </c>
    </row>
    <row r="142">
      <c r="C142" s="60" t="inlineStr">
        <is>
          <t>浜田水産部合計</t>
        </is>
      </c>
      <c r="D142" s="22" t="n"/>
      <c r="E142" s="4">
        <f>SUM(E138:E141)</f>
        <v/>
      </c>
      <c r="F142" s="4">
        <f>SUM(F138:F141)</f>
        <v/>
      </c>
      <c r="G142" s="4">
        <f>SUM(G138:G141)</f>
        <v/>
      </c>
      <c r="H142" s="4">
        <f>SUM(H138:H141)</f>
        <v/>
      </c>
      <c r="I142" s="4">
        <f>SUM(I138:I141)</f>
        <v/>
      </c>
      <c r="J142" s="4">
        <f>SUM(J138:J141)</f>
        <v/>
      </c>
      <c r="K142" s="7">
        <f>SUM(E142:J142)</f>
        <v/>
      </c>
      <c r="L142" s="4">
        <f>SUM(L138:L141)</f>
        <v/>
      </c>
      <c r="M142" s="4">
        <f>SUM(M138:M141)</f>
        <v/>
      </c>
      <c r="N142" s="4">
        <f>SUM(N138:N141)</f>
        <v/>
      </c>
      <c r="O142" s="4">
        <f>SUM(O138:O141)</f>
        <v/>
      </c>
      <c r="P142" s="4">
        <f>SUM(P138:P141)</f>
        <v/>
      </c>
      <c r="Q142" s="4">
        <f>SUM(Q138:Q141)</f>
        <v/>
      </c>
      <c r="R142" s="7">
        <f>SUM(L142:Q142)</f>
        <v/>
      </c>
      <c r="S142" s="136">
        <f>S109-S26</f>
        <v/>
      </c>
      <c r="T142" s="136">
        <f>T109-T26</f>
        <v/>
      </c>
      <c r="U142" s="136">
        <f>U109-U26</f>
        <v/>
      </c>
      <c r="V142" s="136">
        <f>V109-V26</f>
        <v/>
      </c>
      <c r="W142" s="136">
        <f>W109-W26</f>
        <v/>
      </c>
      <c r="X142" s="136">
        <f>X109-X26</f>
        <v/>
      </c>
      <c r="Y142" s="147">
        <f>Y109-Y26</f>
        <v/>
      </c>
    </row>
    <row r="143">
      <c r="C143" s="60" t="inlineStr">
        <is>
          <t>0102 集計</t>
        </is>
      </c>
      <c r="D143" s="22" t="inlineStr">
        <is>
          <t>JF大田</t>
        </is>
      </c>
      <c r="E143" s="4">
        <f>E110-E27</f>
        <v/>
      </c>
      <c r="F143" s="4">
        <f>F110-F27</f>
        <v/>
      </c>
      <c r="G143" s="4">
        <f>G110-G27</f>
        <v/>
      </c>
      <c r="H143" s="4">
        <f>H110-H27</f>
        <v/>
      </c>
      <c r="I143" s="4">
        <f>I110-I27</f>
        <v/>
      </c>
      <c r="J143" s="4">
        <f>J110-J27</f>
        <v/>
      </c>
      <c r="K143" s="7">
        <f>SUM(E143:J143)</f>
        <v/>
      </c>
      <c r="L143" s="4">
        <f>L110-L27</f>
        <v/>
      </c>
      <c r="M143" s="4">
        <f>M110-M27</f>
        <v/>
      </c>
      <c r="N143" s="4">
        <f>N110-N27</f>
        <v/>
      </c>
      <c r="O143" s="4">
        <f>O110-O27</f>
        <v/>
      </c>
      <c r="P143" s="4">
        <f>P110-P27</f>
        <v/>
      </c>
      <c r="Q143" s="4">
        <f>Q110-Q27</f>
        <v/>
      </c>
      <c r="R143" s="7">
        <f>SUM(L143:Q143)</f>
        <v/>
      </c>
      <c r="S143" s="136">
        <f>S110-S27</f>
        <v/>
      </c>
      <c r="T143" s="136">
        <f>T110-T27</f>
        <v/>
      </c>
      <c r="U143" s="136">
        <f>U110-U27</f>
        <v/>
      </c>
      <c r="V143" s="136">
        <f>V110-V27</f>
        <v/>
      </c>
      <c r="W143" s="136">
        <f>W110-W27</f>
        <v/>
      </c>
      <c r="X143" s="136">
        <f>X110-X27</f>
        <v/>
      </c>
      <c r="Y143" s="147">
        <f>Y110-Y27</f>
        <v/>
      </c>
    </row>
    <row r="144">
      <c r="C144" s="60" t="inlineStr">
        <is>
          <t>0104 集計</t>
        </is>
      </c>
      <c r="D144" s="22" t="inlineStr">
        <is>
          <t>大田荷役</t>
        </is>
      </c>
      <c r="E144" s="4">
        <f>E111-E28</f>
        <v/>
      </c>
      <c r="F144" s="4">
        <f>F111-F28</f>
        <v/>
      </c>
      <c r="G144" s="4">
        <f>G111-G28</f>
        <v/>
      </c>
      <c r="H144" s="4">
        <f>H111-H28</f>
        <v/>
      </c>
      <c r="I144" s="4">
        <f>I111-I28</f>
        <v/>
      </c>
      <c r="J144" s="4">
        <f>J111-J28</f>
        <v/>
      </c>
      <c r="K144" s="7">
        <f>SUM(E144:J144)</f>
        <v/>
      </c>
      <c r="L144" s="4">
        <f>L111-L28</f>
        <v/>
      </c>
      <c r="M144" s="4">
        <f>M111-M28</f>
        <v/>
      </c>
      <c r="N144" s="4">
        <f>N111-N28</f>
        <v/>
      </c>
      <c r="O144" s="4">
        <f>O111-O28</f>
        <v/>
      </c>
      <c r="P144" s="4">
        <f>P111-P28</f>
        <v/>
      </c>
      <c r="Q144" s="4">
        <f>Q111-Q28</f>
        <v/>
      </c>
      <c r="R144" s="7">
        <f>SUM(L144:Q144)</f>
        <v/>
      </c>
      <c r="S144" s="136">
        <f>S111-S28</f>
        <v/>
      </c>
      <c r="T144" s="136">
        <f>T111-T28</f>
        <v/>
      </c>
      <c r="U144" s="136">
        <f>U111-U28</f>
        <v/>
      </c>
      <c r="V144" s="136">
        <f>V111-V28</f>
        <v/>
      </c>
      <c r="W144" s="136">
        <f>W111-W28</f>
        <v/>
      </c>
      <c r="X144" s="136">
        <f>X111-X28</f>
        <v/>
      </c>
      <c r="Y144" s="147">
        <f>Y111-Y28</f>
        <v/>
      </c>
    </row>
    <row r="145">
      <c r="C145" s="60" t="inlineStr">
        <is>
          <t>大田水産部</t>
        </is>
      </c>
      <c r="D145" s="22" t="n"/>
      <c r="E145" s="20">
        <f>SUM(E143:E144)</f>
        <v/>
      </c>
      <c r="F145" s="20">
        <f>SUM(F143:F144)</f>
        <v/>
      </c>
      <c r="G145" s="20">
        <f>SUM(G143:G144)</f>
        <v/>
      </c>
      <c r="H145" s="20">
        <f>SUM(H143:H144)</f>
        <v/>
      </c>
      <c r="I145" s="20">
        <f>SUM(I143:I144)</f>
        <v/>
      </c>
      <c r="J145" s="20">
        <f>SUM(J143:J144)</f>
        <v/>
      </c>
      <c r="K145" s="7">
        <f>SUM(K143:K144)</f>
        <v/>
      </c>
      <c r="L145" s="20">
        <f>SUM(L143:L144)</f>
        <v/>
      </c>
      <c r="M145" s="20">
        <f>SUM(M143:M144)</f>
        <v/>
      </c>
      <c r="N145" s="20">
        <f>SUM(N143:N144)</f>
        <v/>
      </c>
      <c r="O145" s="20">
        <f>SUM(O143:O144)</f>
        <v/>
      </c>
      <c r="P145" s="20">
        <f>SUM(P143:P144)</f>
        <v/>
      </c>
      <c r="Q145" s="20">
        <f>SUM(Q143:Q144)</f>
        <v/>
      </c>
      <c r="R145" s="7">
        <f>SUM(R143:R144)</f>
        <v/>
      </c>
      <c r="S145" s="136">
        <f>S112-S29</f>
        <v/>
      </c>
      <c r="T145" s="136">
        <f>T112-T29</f>
        <v/>
      </c>
      <c r="U145" s="136">
        <f>U112-U29</f>
        <v/>
      </c>
      <c r="V145" s="136">
        <f>V112-V29</f>
        <v/>
      </c>
      <c r="W145" s="136">
        <f>W112-W29</f>
        <v/>
      </c>
      <c r="X145" s="136">
        <f>X112-X29</f>
        <v/>
      </c>
      <c r="Y145" s="147">
        <f>Y112-Y29</f>
        <v/>
      </c>
    </row>
    <row r="146">
      <c r="C146" s="60" t="inlineStr">
        <is>
          <t>0031 集計</t>
        </is>
      </c>
      <c r="D146" s="22" t="inlineStr">
        <is>
          <t>JF境</t>
        </is>
      </c>
      <c r="E146" s="20">
        <f>E113-E30</f>
        <v/>
      </c>
      <c r="F146" s="20">
        <f>F113-F30</f>
        <v/>
      </c>
      <c r="G146" s="20">
        <f>G113-G30</f>
        <v/>
      </c>
      <c r="H146" s="20">
        <f>H113-H30</f>
        <v/>
      </c>
      <c r="I146" s="20">
        <f>I113-I30</f>
        <v/>
      </c>
      <c r="J146" s="4">
        <f>J113-J30</f>
        <v/>
      </c>
      <c r="K146" s="7">
        <f>SUM(E146:J146)</f>
        <v/>
      </c>
      <c r="L146" s="20">
        <f>L113-L30</f>
        <v/>
      </c>
      <c r="M146" s="20">
        <f>M113-M30</f>
        <v/>
      </c>
      <c r="N146" s="20">
        <f>N113-N30</f>
        <v/>
      </c>
      <c r="O146" s="20">
        <f>O113-O30</f>
        <v/>
      </c>
      <c r="P146" s="20">
        <f>P113-P30</f>
        <v/>
      </c>
      <c r="Q146" s="20">
        <f>Q113-Q30</f>
        <v/>
      </c>
      <c r="R146" s="7">
        <f>SUM(L146:Q146)</f>
        <v/>
      </c>
      <c r="S146" s="136">
        <f>S113-S30</f>
        <v/>
      </c>
      <c r="T146" s="136">
        <f>T113-T30</f>
        <v/>
      </c>
      <c r="U146" s="136">
        <f>U113-U30</f>
        <v/>
      </c>
      <c r="V146" s="136">
        <f>V113-V30</f>
        <v/>
      </c>
      <c r="W146" s="136">
        <f>W113-W30</f>
        <v/>
      </c>
      <c r="X146" s="136">
        <f>X113-X30</f>
        <v/>
      </c>
      <c r="Y146" s="147">
        <f>Y113-Y30</f>
        <v/>
      </c>
    </row>
    <row r="147">
      <c r="C147" s="60" t="inlineStr">
        <is>
          <t>0038 集計</t>
        </is>
      </c>
      <c r="D147" s="83" t="inlineStr">
        <is>
          <t>境その他</t>
        </is>
      </c>
      <c r="E147" s="20">
        <f>E114-E31</f>
        <v/>
      </c>
      <c r="F147" s="20">
        <f>F114-F31</f>
        <v/>
      </c>
      <c r="G147" s="20">
        <f>G114-G31</f>
        <v/>
      </c>
      <c r="H147" s="20">
        <f>H114-H31</f>
        <v/>
      </c>
      <c r="I147" s="20">
        <f>I114-I31</f>
        <v/>
      </c>
      <c r="J147" s="4">
        <f>J114-J31</f>
        <v/>
      </c>
      <c r="K147" s="4">
        <f>SUM(E147:J147)</f>
        <v/>
      </c>
      <c r="L147" s="20">
        <f>L114-L31</f>
        <v/>
      </c>
      <c r="M147" s="20">
        <f>M114-M31</f>
        <v/>
      </c>
      <c r="N147" s="20">
        <f>N114-N31</f>
        <v/>
      </c>
      <c r="O147" s="20">
        <f>O114-O31</f>
        <v/>
      </c>
      <c r="P147" s="20">
        <f>P114-P31</f>
        <v/>
      </c>
      <c r="Q147" s="20">
        <f>Q114-Q31</f>
        <v/>
      </c>
      <c r="R147" s="7">
        <f>SUM(L147:Q147)</f>
        <v/>
      </c>
      <c r="S147" s="149">
        <f>S114-S31</f>
        <v/>
      </c>
      <c r="T147" s="149">
        <f>T114-T31</f>
        <v/>
      </c>
      <c r="U147" s="149">
        <f>U114-U31</f>
        <v/>
      </c>
      <c r="V147" s="149">
        <f>V114-V31</f>
        <v/>
      </c>
      <c r="W147" s="149">
        <f>W114-W31</f>
        <v/>
      </c>
      <c r="X147" s="149">
        <f>X114-X31</f>
        <v/>
      </c>
      <c r="Y147" s="150">
        <f>Y114-Y31</f>
        <v/>
      </c>
    </row>
    <row r="148">
      <c r="C148" s="82" t="inlineStr">
        <is>
          <t>境港水産部合計</t>
        </is>
      </c>
      <c r="D148" s="83" t="n"/>
      <c r="E148" s="20">
        <f>SUM(E146:E147)</f>
        <v/>
      </c>
      <c r="F148" s="20">
        <f>SUM(F146:F147)</f>
        <v/>
      </c>
      <c r="G148" s="20">
        <f>SUM(G146:G147)</f>
        <v/>
      </c>
      <c r="H148" s="20">
        <f>SUM(H146:H147)</f>
        <v/>
      </c>
      <c r="I148" s="20">
        <f>SUM(I146:I147)</f>
        <v/>
      </c>
      <c r="J148" s="20">
        <f>SUM(J146:J147)</f>
        <v/>
      </c>
      <c r="K148" s="7">
        <f>SUM(K146:K147)</f>
        <v/>
      </c>
      <c r="L148" s="20">
        <f>SUM(L146:L147)</f>
        <v/>
      </c>
      <c r="M148" s="20">
        <f>SUM(M146:M147)</f>
        <v/>
      </c>
      <c r="N148" s="20">
        <f>SUM(N146:N147)</f>
        <v/>
      </c>
      <c r="O148" s="20">
        <f>SUM(O146:O147)</f>
        <v/>
      </c>
      <c r="P148" s="20">
        <f>SUM(P146:P147)</f>
        <v/>
      </c>
      <c r="Q148" s="20">
        <f>SUM(Q146:Q147)</f>
        <v/>
      </c>
      <c r="R148" s="7">
        <f>SUM(R146:R147)</f>
        <v/>
      </c>
      <c r="S148" s="149">
        <f>S115-S32</f>
        <v/>
      </c>
      <c r="T148" s="149">
        <f>T115-T32</f>
        <v/>
      </c>
      <c r="U148" s="149">
        <f>U115-U32</f>
        <v/>
      </c>
      <c r="V148" s="149">
        <f>V115-V32</f>
        <v/>
      </c>
      <c r="W148" s="149">
        <f>W115-W32</f>
        <v/>
      </c>
      <c r="X148" s="149">
        <f>X115-X32</f>
        <v/>
      </c>
      <c r="Y148" s="150">
        <f>Y115-Y32</f>
        <v/>
      </c>
    </row>
    <row r="149">
      <c r="C149" s="53" t="inlineStr">
        <is>
          <t>合計</t>
        </is>
      </c>
      <c r="D149" s="54" t="n"/>
      <c r="E149" s="8">
        <f>E142+E145+E148</f>
        <v/>
      </c>
      <c r="F149" s="8">
        <f>F142+F145+F148</f>
        <v/>
      </c>
      <c r="G149" s="8">
        <f>G142+G145+G148</f>
        <v/>
      </c>
      <c r="H149" s="8">
        <f>H142+H145+H148</f>
        <v/>
      </c>
      <c r="I149" s="8">
        <f>I142+I145+I148</f>
        <v/>
      </c>
      <c r="J149" s="8">
        <f>J142+J145+J148</f>
        <v/>
      </c>
      <c r="K149" s="9">
        <f>K142+K145+K148</f>
        <v/>
      </c>
      <c r="L149" s="8">
        <f>L142+L145+L148</f>
        <v/>
      </c>
      <c r="M149" s="8">
        <f>M142+M145+M148</f>
        <v/>
      </c>
      <c r="N149" s="8">
        <f>N142+N145+N148</f>
        <v/>
      </c>
      <c r="O149" s="8">
        <f>O142+O145+O148</f>
        <v/>
      </c>
      <c r="P149" s="8">
        <f>P142+P145+P148</f>
        <v/>
      </c>
      <c r="Q149" s="8">
        <f>Q142+Q145+Q148</f>
        <v/>
      </c>
      <c r="R149" s="9">
        <f>R142+R145+R148</f>
        <v/>
      </c>
      <c r="S149" s="139">
        <f>S116-S33</f>
        <v/>
      </c>
      <c r="T149" s="139">
        <f>T116-T33</f>
        <v/>
      </c>
      <c r="U149" s="139">
        <f>U116-U33</f>
        <v/>
      </c>
      <c r="V149" s="139">
        <f>V116-V33</f>
        <v/>
      </c>
      <c r="W149" s="139">
        <f>W116-W33</f>
        <v/>
      </c>
      <c r="X149" s="139">
        <f>X116-X33</f>
        <v/>
      </c>
      <c r="Y149" s="151">
        <f>Y116-Y33</f>
        <v/>
      </c>
    </row>
  </sheetData>
  <mergeCells count="36">
    <mergeCell ref="S136:Y136"/>
    <mergeCell ref="E120:K120"/>
    <mergeCell ref="S20:Y20"/>
    <mergeCell ref="E54:K54"/>
    <mergeCell ref="E136:K136"/>
    <mergeCell ref="S54:Y54"/>
    <mergeCell ref="C20:D20"/>
    <mergeCell ref="E37:K37"/>
    <mergeCell ref="C3:D3"/>
    <mergeCell ref="C54:D54"/>
    <mergeCell ref="C103:D103"/>
    <mergeCell ref="E3:K3"/>
    <mergeCell ref="L120:R120"/>
    <mergeCell ref="E71:K71"/>
    <mergeCell ref="L103:R103"/>
    <mergeCell ref="S71:Y71"/>
    <mergeCell ref="L37:R37"/>
    <mergeCell ref="S3:Y3"/>
    <mergeCell ref="C120:D120"/>
    <mergeCell ref="L87:R87"/>
    <mergeCell ref="C71:D71"/>
    <mergeCell ref="L3:R3"/>
    <mergeCell ref="E87:K87"/>
    <mergeCell ref="E20:K20"/>
    <mergeCell ref="E103:K103"/>
    <mergeCell ref="S120:Y120"/>
    <mergeCell ref="L71:R71"/>
    <mergeCell ref="L136:R136"/>
    <mergeCell ref="S37:Y37"/>
    <mergeCell ref="C37:D37"/>
    <mergeCell ref="S87:Y87"/>
    <mergeCell ref="S103:Y103"/>
    <mergeCell ref="L20:R20"/>
    <mergeCell ref="C136:D136"/>
    <mergeCell ref="L54:R54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Y149"/>
  <sheetViews>
    <sheetView tabSelected="1" topLeftCell="A126" zoomScaleNormal="100" workbookViewId="0">
      <pane xSplit="4" topLeftCell="E1" activePane="topRight" state="frozen"/>
      <selection activeCell="E155" sqref="E155"/>
      <selection pane="topRight" activeCell="E133" sqref="E133"/>
    </sheetView>
  </sheetViews>
  <sheetFormatPr baseColWidth="8" defaultRowHeight="18.75"/>
  <cols>
    <col width="9.75" bestFit="1" customWidth="1" style="127" min="3" max="3"/>
    <col width="10.125" customWidth="1" style="127" min="5" max="25"/>
  </cols>
  <sheetData>
    <row r="1" ht="24" customHeight="1" s="127">
      <c r="C1" s="24" t="inlineStr">
        <is>
          <t>水産部全体</t>
        </is>
      </c>
    </row>
    <row r="2">
      <c r="C2" s="128" t="inlineStr">
        <is>
          <t>1．2024年</t>
        </is>
      </c>
    </row>
    <row r="3">
      <c r="C3" s="117" t="n"/>
      <c r="D3" s="118" t="n"/>
      <c r="E3" s="117" t="inlineStr">
        <is>
          <t>売上</t>
        </is>
      </c>
      <c r="F3" s="120" t="n"/>
      <c r="G3" s="120" t="n"/>
      <c r="H3" s="120" t="n"/>
      <c r="I3" s="120" t="n"/>
      <c r="J3" s="120" t="n"/>
      <c r="K3" s="118" t="n"/>
      <c r="L3" s="121" t="inlineStr">
        <is>
          <t>粗利益</t>
        </is>
      </c>
      <c r="M3" s="120" t="n"/>
      <c r="N3" s="120" t="n"/>
      <c r="O3" s="120" t="n"/>
      <c r="P3" s="120" t="n"/>
      <c r="Q3" s="120" t="n"/>
      <c r="R3" s="118" t="n"/>
      <c r="S3" s="121" t="inlineStr">
        <is>
          <t>粗利益率</t>
        </is>
      </c>
      <c r="T3" s="120" t="n"/>
      <c r="U3" s="120" t="n"/>
      <c r="V3" s="120" t="n"/>
      <c r="W3" s="120" t="n"/>
      <c r="X3" s="120" t="n"/>
      <c r="Y3" s="118" t="n"/>
    </row>
    <row r="4">
      <c r="C4" s="1" t="n"/>
      <c r="D4" s="21" t="n"/>
      <c r="E4" s="2" t="n">
        <v>45383</v>
      </c>
      <c r="F4" s="2" t="n">
        <v>45413</v>
      </c>
      <c r="G4" s="2" t="n">
        <v>45444</v>
      </c>
      <c r="H4" s="2" t="n">
        <v>45474</v>
      </c>
      <c r="I4" s="2" t="n">
        <v>45505</v>
      </c>
      <c r="J4" s="2" t="n">
        <v>45536</v>
      </c>
      <c r="K4" s="67" t="inlineStr">
        <is>
          <t>合計</t>
        </is>
      </c>
      <c r="L4" s="61" t="n">
        <v>45383</v>
      </c>
      <c r="M4" s="2" t="n">
        <v>45413</v>
      </c>
      <c r="N4" s="2" t="n">
        <v>45444</v>
      </c>
      <c r="O4" s="2" t="n">
        <v>45474</v>
      </c>
      <c r="P4" s="2" t="n">
        <v>45505</v>
      </c>
      <c r="Q4" s="2" t="n">
        <v>45536</v>
      </c>
      <c r="R4" s="10" t="inlineStr">
        <is>
          <t>合計</t>
        </is>
      </c>
      <c r="S4" s="61" t="n">
        <v>45383</v>
      </c>
      <c r="T4" s="2" t="n">
        <v>45413</v>
      </c>
      <c r="U4" s="2" t="n">
        <v>45444</v>
      </c>
      <c r="V4" s="2" t="n">
        <v>45474</v>
      </c>
      <c r="W4" s="2" t="n">
        <v>45505</v>
      </c>
      <c r="X4" s="2" t="n">
        <v>45536</v>
      </c>
      <c r="Y4" s="10" t="inlineStr">
        <is>
          <t>合計</t>
        </is>
      </c>
    </row>
    <row r="5">
      <c r="C5" s="60" t="inlineStr">
        <is>
          <t>0010 集計</t>
        </is>
      </c>
      <c r="D5" s="22" t="inlineStr">
        <is>
          <t>JF</t>
        </is>
      </c>
      <c r="E5" s="3" t="n">
        <v>7819.702</v>
      </c>
      <c r="F5" s="4" t="n">
        <v>4795.298000000001</v>
      </c>
      <c r="G5" s="4" t="n">
        <v>1764.909</v>
      </c>
      <c r="H5" s="20" t="n">
        <v>3971.482</v>
      </c>
      <c r="I5" s="4" t="n">
        <v>4586.726</v>
      </c>
      <c r="J5" s="4" t="n">
        <v>7121.093999999999</v>
      </c>
      <c r="K5" s="62">
        <f>SUM(E5:J5)</f>
        <v/>
      </c>
      <c r="L5" s="3" t="n">
        <v>1473.163</v>
      </c>
      <c r="M5" s="4" t="n">
        <v>1047.506</v>
      </c>
      <c r="N5" s="4" t="n">
        <v>403.183</v>
      </c>
      <c r="O5" s="4" t="n">
        <v>766.4290000000001</v>
      </c>
      <c r="P5" s="4" t="n">
        <v>878.057</v>
      </c>
      <c r="Q5" s="4" t="n">
        <v>1267.57</v>
      </c>
      <c r="R5" s="62">
        <f>SUM(L5:Q5)</f>
        <v/>
      </c>
      <c r="S5" s="145">
        <f>IF(E5=0,"***",L5/E5)</f>
        <v/>
      </c>
      <c r="T5" s="136">
        <f>IF(F5=0,"***",M5/F5)</f>
        <v/>
      </c>
      <c r="U5" s="136">
        <f>IF(G5=0,"***",N5/G5)</f>
        <v/>
      </c>
      <c r="V5" s="136">
        <f>IF(H5=0,"***",O5/H5)</f>
        <v/>
      </c>
      <c r="W5" s="136">
        <f>IF(I5=0,"***",P5/I5)</f>
        <v/>
      </c>
      <c r="X5" s="136">
        <f>IF(J5=0,"***",Q5/J5)</f>
        <v/>
      </c>
      <c r="Y5" s="137">
        <f>IF(K5=0,"***",R5/K5)</f>
        <v/>
      </c>
    </row>
    <row r="6">
      <c r="C6" s="60" t="inlineStr">
        <is>
          <t>0017 集計</t>
        </is>
      </c>
      <c r="D6" s="22" t="inlineStr">
        <is>
          <t>鮮魚</t>
        </is>
      </c>
      <c r="E6" s="3" t="n">
        <v>1270.335</v>
      </c>
      <c r="F6" s="4" t="n">
        <v>1090.749</v>
      </c>
      <c r="G6" s="4" t="n">
        <v>457.537</v>
      </c>
      <c r="H6" s="20" t="n">
        <v>675.5930000000001</v>
      </c>
      <c r="I6" s="4" t="n">
        <v>2326.831</v>
      </c>
      <c r="J6" s="4" t="n">
        <v>2620.375</v>
      </c>
      <c r="K6" s="62">
        <f>SUM(E6:J6)</f>
        <v/>
      </c>
      <c r="L6" s="3" t="n">
        <v>495.785</v>
      </c>
      <c r="M6" s="4" t="n">
        <v>385.803</v>
      </c>
      <c r="N6" s="4" t="n">
        <v>164.416</v>
      </c>
      <c r="O6" s="4" t="n">
        <v>252.919</v>
      </c>
      <c r="P6" s="4" t="n">
        <v>773.717</v>
      </c>
      <c r="Q6" s="4" t="n">
        <v>827.4960000000001</v>
      </c>
      <c r="R6" s="62">
        <f>SUM(L6:Q6)</f>
        <v/>
      </c>
      <c r="S6" s="145">
        <f>IF(E6=0,"***",L6/E6)</f>
        <v/>
      </c>
      <c r="T6" s="136">
        <f>IF(F6=0,"***",M6/F6)</f>
        <v/>
      </c>
      <c r="U6" s="136">
        <f>IF(G6=0,"***",N6/G6)</f>
        <v/>
      </c>
      <c r="V6" s="136">
        <f>IF(H6=0,"***",O6/H6)</f>
        <v/>
      </c>
      <c r="W6" s="136">
        <f>IF(I6=0,"***",P6/I6)</f>
        <v/>
      </c>
      <c r="X6" s="136">
        <f>IF(J6=0,"***",Q6/J6)</f>
        <v/>
      </c>
      <c r="Y6" s="137">
        <f>IF(K6=0,"***",R6/K6)</f>
        <v/>
      </c>
    </row>
    <row r="7">
      <c r="C7" s="60" t="inlineStr">
        <is>
          <t>0101 集計</t>
        </is>
      </c>
      <c r="D7" s="22" t="inlineStr">
        <is>
          <t>GS</t>
        </is>
      </c>
      <c r="E7" s="3" t="n">
        <v>428.701</v>
      </c>
      <c r="F7" s="4" t="n">
        <v>251.499</v>
      </c>
      <c r="G7" s="4" t="n">
        <v>45.225</v>
      </c>
      <c r="H7" s="20" t="n">
        <v>35.355</v>
      </c>
      <c r="I7" s="4" t="n">
        <v>309.957</v>
      </c>
      <c r="J7" s="4" t="n">
        <v>347.305</v>
      </c>
      <c r="K7" s="62">
        <f>SUM(E7:J7)</f>
        <v/>
      </c>
      <c r="L7" s="3" t="n">
        <v>92.5</v>
      </c>
      <c r="M7" s="4" t="n">
        <v>60.83</v>
      </c>
      <c r="N7" s="4" t="n">
        <v>13.472</v>
      </c>
      <c r="O7" s="4" t="n">
        <v>13.477</v>
      </c>
      <c r="P7" s="4" t="n">
        <v>80.497</v>
      </c>
      <c r="Q7" s="4" t="n">
        <v>185.562</v>
      </c>
      <c r="R7" s="62">
        <f>SUM(L7:Q7)</f>
        <v/>
      </c>
      <c r="S7" s="145">
        <f>IF(E7=0,"***",L7/E7)</f>
        <v/>
      </c>
      <c r="T7" s="136">
        <f>IF(F7=0,"***",M7/F7)</f>
        <v/>
      </c>
      <c r="U7" s="136">
        <f>IF(G7=0,"***",N7/G7)</f>
        <v/>
      </c>
      <c r="V7" s="136">
        <f>IF(H7=0,"***",O7/H7)</f>
        <v/>
      </c>
      <c r="W7" s="136">
        <f>IF(I7=0,"***",P7/I7)</f>
        <v/>
      </c>
      <c r="X7" s="136">
        <f>IF(J7=0,"***",Q7/J7)</f>
        <v/>
      </c>
      <c r="Y7" s="137">
        <f>IF(K7=0,"***",R7/K7)</f>
        <v/>
      </c>
    </row>
    <row r="8">
      <c r="C8" s="60" t="inlineStr">
        <is>
          <t>0106 集計</t>
        </is>
      </c>
      <c r="D8" s="22" t="inlineStr">
        <is>
          <t>浜田荷役</t>
        </is>
      </c>
      <c r="E8" s="3" t="n">
        <v>3888.393</v>
      </c>
      <c r="F8" s="4" t="n">
        <v>5524.833</v>
      </c>
      <c r="G8" s="4" t="n">
        <v>2439.914</v>
      </c>
      <c r="H8" s="20" t="n">
        <v>3134.155999999999</v>
      </c>
      <c r="I8" s="4" t="n">
        <v>5261.74</v>
      </c>
      <c r="J8" s="4" t="n">
        <v>5914.2</v>
      </c>
      <c r="K8" s="62">
        <f>SUM(E8:J8)</f>
        <v/>
      </c>
      <c r="L8" s="3" t="n">
        <v>2019.778</v>
      </c>
      <c r="M8" s="4" t="n">
        <v>2623.905</v>
      </c>
      <c r="N8" s="4" t="n">
        <v>1163.914</v>
      </c>
      <c r="O8" s="20" t="n">
        <v>1742.196</v>
      </c>
      <c r="P8" s="4" t="n">
        <v>2960.678000000001</v>
      </c>
      <c r="Q8" s="4" t="n">
        <v>3437.035000000001</v>
      </c>
      <c r="R8" s="62">
        <f>SUM(L8:Q8)</f>
        <v/>
      </c>
      <c r="S8" s="145">
        <f>IF(E8=0,"***",L8/E8)</f>
        <v/>
      </c>
      <c r="T8" s="136">
        <f>IF(F8=0,"***",M8/F8)</f>
        <v/>
      </c>
      <c r="U8" s="136">
        <f>IF(G8=0,"***",N8/G8)</f>
        <v/>
      </c>
      <c r="V8" s="136">
        <f>IF(H8=0,"***",O8/H8)</f>
        <v/>
      </c>
      <c r="W8" s="136">
        <f>IF(I8=0,"***",P8/I8)</f>
        <v/>
      </c>
      <c r="X8" s="136">
        <f>IF(J8=0,"***",Q8/J8)</f>
        <v/>
      </c>
      <c r="Y8" s="137">
        <f>IF(K8=0,"***",R8/K8)</f>
        <v/>
      </c>
    </row>
    <row r="9">
      <c r="C9" s="60" t="inlineStr">
        <is>
          <t>浜田水産部合計</t>
        </is>
      </c>
      <c r="D9" s="22" t="n"/>
      <c r="E9" s="3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  <c r="J9" s="4">
        <f>SUM(J5:J8)</f>
        <v/>
      </c>
      <c r="K9" s="62">
        <f>SUM(K5:K8)</f>
        <v/>
      </c>
      <c r="L9" s="3">
        <f>SUM(L5:L8)</f>
        <v/>
      </c>
      <c r="M9" s="4">
        <f>SUM(M5:M8)</f>
        <v/>
      </c>
      <c r="N9" s="4">
        <f>SUM(N5:N8)</f>
        <v/>
      </c>
      <c r="O9" s="4">
        <f>SUM(O5:O8)</f>
        <v/>
      </c>
      <c r="P9" s="4">
        <f>SUM(P5:P8)</f>
        <v/>
      </c>
      <c r="Q9" s="4">
        <f>SUM(Q5:Q8)</f>
        <v/>
      </c>
      <c r="R9" s="62">
        <f>SUM(R5:R8)</f>
        <v/>
      </c>
      <c r="S9" s="145">
        <f>IF(E9=0,"***",L9/E9)</f>
        <v/>
      </c>
      <c r="T9" s="136">
        <f>IF(F9=0,"***",M9/F9)</f>
        <v/>
      </c>
      <c r="U9" s="136">
        <f>IF(G9=0,"***",N9/G9)</f>
        <v/>
      </c>
      <c r="V9" s="136">
        <f>IF(H9=0,"***",O9/H9)</f>
        <v/>
      </c>
      <c r="W9" s="136">
        <f>IF(I9=0,"***",P9/I9)</f>
        <v/>
      </c>
      <c r="X9" s="136">
        <f>IF(J9=0,"***",Q9/J9)</f>
        <v/>
      </c>
      <c r="Y9" s="137">
        <f>IF(K9=0,"***",R9/K9)</f>
        <v/>
      </c>
    </row>
    <row r="10">
      <c r="C10" s="60" t="inlineStr">
        <is>
          <t>0102 集計</t>
        </is>
      </c>
      <c r="D10" s="22" t="inlineStr">
        <is>
          <t>JF大田</t>
        </is>
      </c>
      <c r="E10" s="3" t="n">
        <v>8598.528</v>
      </c>
      <c r="F10" s="4" t="n">
        <v>5949.793</v>
      </c>
      <c r="G10" s="4" t="n">
        <v>6712.828</v>
      </c>
      <c r="H10" s="4" t="n">
        <v>2910.08</v>
      </c>
      <c r="I10" s="4" t="n">
        <v>4490.196</v>
      </c>
      <c r="J10" s="4" t="n">
        <v>9948.628000000001</v>
      </c>
      <c r="K10" s="62">
        <f>SUM(E10:J10)</f>
        <v/>
      </c>
      <c r="L10" s="3" t="n">
        <v>1815.375</v>
      </c>
      <c r="M10" s="4" t="n">
        <v>1139.616</v>
      </c>
      <c r="N10" s="4" t="n">
        <v>1080.601</v>
      </c>
      <c r="O10" s="4" t="n">
        <v>447.17</v>
      </c>
      <c r="P10" s="4" t="n">
        <v>851.726</v>
      </c>
      <c r="Q10" s="4" t="n">
        <v>1848.082</v>
      </c>
      <c r="R10" s="62">
        <f>SUM(L10:Q10)</f>
        <v/>
      </c>
      <c r="S10" s="145">
        <f>IF(E10=0,"***",L10/E10)</f>
        <v/>
      </c>
      <c r="T10" s="136">
        <f>IF(F10=0,"***",M10/F10)</f>
        <v/>
      </c>
      <c r="U10" s="136">
        <f>IF(G10=0,"***",N10/G10)</f>
        <v/>
      </c>
      <c r="V10" s="136">
        <f>IF(H10=0,"***",O10/H10)</f>
        <v/>
      </c>
      <c r="W10" s="136">
        <f>IF(I10=0,"***",P10/I10)</f>
        <v/>
      </c>
      <c r="X10" s="136">
        <f>IF(J10=0,"***",Q10/J10)</f>
        <v/>
      </c>
      <c r="Y10" s="137">
        <f>IF(K10=0,"***",R10/K10)</f>
        <v/>
      </c>
    </row>
    <row r="11">
      <c r="C11" s="60" t="inlineStr">
        <is>
          <t>0104 集計</t>
        </is>
      </c>
      <c r="D11" s="22" t="inlineStr">
        <is>
          <t>大田荷役</t>
        </is>
      </c>
      <c r="E11" s="3" t="n">
        <v>4686.11</v>
      </c>
      <c r="F11" s="4" t="n">
        <v>3350.13</v>
      </c>
      <c r="G11" s="4" t="n">
        <v>2005.66</v>
      </c>
      <c r="H11" s="4" t="n">
        <v>1250.16</v>
      </c>
      <c r="I11" s="4" t="n">
        <v>1488.54</v>
      </c>
      <c r="J11" s="4" t="n">
        <v>4361.415</v>
      </c>
      <c r="K11" s="62">
        <f>SUM(E11:J11)</f>
        <v/>
      </c>
      <c r="L11" s="3" t="n">
        <v>2882.91</v>
      </c>
      <c r="M11" s="4" t="n">
        <v>2089.067</v>
      </c>
      <c r="N11" s="4" t="n">
        <v>1471.597</v>
      </c>
      <c r="O11" s="4" t="n">
        <v>940.0970000000001</v>
      </c>
      <c r="P11" s="4" t="n">
        <v>1147.04</v>
      </c>
      <c r="Q11" s="4" t="n">
        <v>2488.225</v>
      </c>
      <c r="R11" s="62">
        <f>SUM(L11:Q11)</f>
        <v/>
      </c>
      <c r="S11" s="145">
        <f>IF(E11=0,"***",L11/E11)</f>
        <v/>
      </c>
      <c r="T11" s="136">
        <f>IF(F11=0,"***",M11/F11)</f>
        <v/>
      </c>
      <c r="U11" s="136">
        <f>IF(G11=0,"***",N11/G11)</f>
        <v/>
      </c>
      <c r="V11" s="136">
        <f>IF(H11=0,"***",O11/H11)</f>
        <v/>
      </c>
      <c r="W11" s="136">
        <f>IF(I11=0,"***",P11/I11)</f>
        <v/>
      </c>
      <c r="X11" s="136">
        <f>IF(J11=0,"***",Q11/J11)</f>
        <v/>
      </c>
      <c r="Y11" s="137">
        <f>IF(K11=0,"***",R11/K11)</f>
        <v/>
      </c>
    </row>
    <row r="12">
      <c r="C12" s="60" t="inlineStr">
        <is>
          <t>大田水産部</t>
        </is>
      </c>
      <c r="D12" s="22" t="n"/>
      <c r="E12" s="3">
        <f>E10+E11</f>
        <v/>
      </c>
      <c r="F12" s="20">
        <f>F10+F11</f>
        <v/>
      </c>
      <c r="G12" s="20">
        <f>G10+G11</f>
        <v/>
      </c>
      <c r="H12" s="20">
        <f>H10+H11</f>
        <v/>
      </c>
      <c r="I12" s="20">
        <f>I10+I11</f>
        <v/>
      </c>
      <c r="J12" s="20">
        <f>J10+J11</f>
        <v/>
      </c>
      <c r="K12" s="62">
        <f>K10+K11</f>
        <v/>
      </c>
      <c r="L12" s="3">
        <f>L10+L11</f>
        <v/>
      </c>
      <c r="M12" s="20">
        <f>M10+M11</f>
        <v/>
      </c>
      <c r="N12" s="20">
        <f>N10+N11</f>
        <v/>
      </c>
      <c r="O12" s="20">
        <f>O10+O11</f>
        <v/>
      </c>
      <c r="P12" s="20">
        <f>P10+P11</f>
        <v/>
      </c>
      <c r="Q12" s="20">
        <f>Q10+Q11</f>
        <v/>
      </c>
      <c r="R12" s="62">
        <f>R10+R11</f>
        <v/>
      </c>
      <c r="S12" s="145">
        <f>IF(E12=0,"***",L12/E12)</f>
        <v/>
      </c>
      <c r="T12" s="136">
        <f>IF(F12=0,"***",M12/F12)</f>
        <v/>
      </c>
      <c r="U12" s="136">
        <f>IF(G12=0,"***",N12/G12)</f>
        <v/>
      </c>
      <c r="V12" s="136">
        <f>IF(H12=0,"***",O12/H12)</f>
        <v/>
      </c>
      <c r="W12" s="136">
        <f>IF(I12=0,"***",P12/I12)</f>
        <v/>
      </c>
      <c r="X12" s="136">
        <f>IF(J12=0,"***",Q12/J12)</f>
        <v/>
      </c>
      <c r="Y12" s="137">
        <f>IF(K12=0,"***",R12/K12)</f>
        <v/>
      </c>
    </row>
    <row r="13">
      <c r="C13" s="60" t="inlineStr">
        <is>
          <t>0031 集計</t>
        </is>
      </c>
      <c r="D13" s="22" t="inlineStr">
        <is>
          <t>JF境</t>
        </is>
      </c>
      <c r="E13" s="3" t="n">
        <v>17463.391</v>
      </c>
      <c r="F13" s="20" t="n">
        <v>17710.987</v>
      </c>
      <c r="G13" s="20" t="n">
        <v>17263.698</v>
      </c>
      <c r="H13" s="20" t="n">
        <v>12230.208</v>
      </c>
      <c r="I13" s="20" t="n">
        <v>8588.548000000001</v>
      </c>
      <c r="J13" s="20" t="n">
        <v>11851.112</v>
      </c>
      <c r="K13" s="62">
        <f>SUM(E13:J13)</f>
        <v/>
      </c>
      <c r="L13" s="3" t="n">
        <v>2785.482</v>
      </c>
      <c r="M13" s="20" t="n">
        <v>2696.668</v>
      </c>
      <c r="N13" s="20" t="n">
        <v>2637.008</v>
      </c>
      <c r="O13" s="20" t="n">
        <v>1924.18</v>
      </c>
      <c r="P13" s="20" t="n">
        <v>1335.401</v>
      </c>
      <c r="Q13" s="20" t="n">
        <v>1767.93</v>
      </c>
      <c r="R13" s="62">
        <f>SUM(L13:Q13)</f>
        <v/>
      </c>
      <c r="S13" s="145">
        <f>IF(E13=0,"***",L13/E13)</f>
        <v/>
      </c>
      <c r="T13" s="136">
        <f>IF(F13=0,"***",M13/F13)</f>
        <v/>
      </c>
      <c r="U13" s="136">
        <f>IF(G13=0,"***",N13/G13)</f>
        <v/>
      </c>
      <c r="V13" s="136">
        <f>IF(H13=0,"***",O13/H13)</f>
        <v/>
      </c>
      <c r="W13" s="136">
        <f>IF(I13=0,"***",P13/I13)</f>
        <v/>
      </c>
      <c r="X13" s="136">
        <f>IF(J13=0,"***",Q13/J13)</f>
        <v/>
      </c>
      <c r="Y13" s="137">
        <f>IF(K13=0,"***",R13/K13)</f>
        <v/>
      </c>
    </row>
    <row r="14">
      <c r="C14" s="60" t="inlineStr">
        <is>
          <t>0038 集計</t>
        </is>
      </c>
      <c r="D14" s="83" t="inlineStr">
        <is>
          <t>境その他</t>
        </is>
      </c>
      <c r="E14" s="88" t="n">
        <v>0</v>
      </c>
      <c r="F14" s="84" t="n">
        <v>0</v>
      </c>
      <c r="G14" s="84" t="n">
        <v>0</v>
      </c>
      <c r="H14" s="84" t="n">
        <v>0</v>
      </c>
      <c r="I14" s="84" t="n">
        <v>0</v>
      </c>
      <c r="J14" s="84" t="n">
        <v>0</v>
      </c>
      <c r="K14" s="62">
        <f>SUM(E14:J14)</f>
        <v/>
      </c>
      <c r="L14" s="88" t="n">
        <v>0</v>
      </c>
      <c r="M14" s="84" t="n">
        <v>0</v>
      </c>
      <c r="N14" s="84" t="n">
        <v>0</v>
      </c>
      <c r="O14" s="84" t="n">
        <v>0</v>
      </c>
      <c r="P14" s="84" t="n">
        <v>0</v>
      </c>
      <c r="Q14" s="84" t="n">
        <v>0</v>
      </c>
      <c r="R14" s="62">
        <f>SUM(L14:Q14)</f>
        <v/>
      </c>
      <c r="S14" s="145">
        <f>IF(E14=0,"***",L14/E14)</f>
        <v/>
      </c>
      <c r="T14" s="136">
        <f>IF(F14=0,"***",M14/F14)</f>
        <v/>
      </c>
      <c r="U14" s="136">
        <f>IF(G14=0,"***",N14/G14)</f>
        <v/>
      </c>
      <c r="V14" s="136">
        <f>IF(H14=0,"***",O14/H14)</f>
        <v/>
      </c>
      <c r="W14" s="136">
        <f>IF(I14=0,"***",P14/I14)</f>
        <v/>
      </c>
      <c r="X14" s="136">
        <f>IF(J14=0,"***",Q14/J14)</f>
        <v/>
      </c>
      <c r="Y14" s="137">
        <f>IF(K14=0,"***",R14/K14)</f>
        <v/>
      </c>
    </row>
    <row r="15">
      <c r="C15" s="82" t="inlineStr">
        <is>
          <t>境港水産部合計</t>
        </is>
      </c>
      <c r="D15" s="83" t="n"/>
      <c r="E15" s="88">
        <f>E13+E14</f>
        <v/>
      </c>
      <c r="F15" s="84">
        <f>F13+F14</f>
        <v/>
      </c>
      <c r="G15" s="84">
        <f>G13+G14</f>
        <v/>
      </c>
      <c r="H15" s="84">
        <f>H13+H14</f>
        <v/>
      </c>
      <c r="I15" s="84">
        <f>I13+I14</f>
        <v/>
      </c>
      <c r="J15" s="84">
        <f>J13+J14</f>
        <v/>
      </c>
      <c r="K15" s="89">
        <f>K13+K14</f>
        <v/>
      </c>
      <c r="L15" s="88">
        <f>L13+L14</f>
        <v/>
      </c>
      <c r="M15" s="84">
        <f>M13+M14</f>
        <v/>
      </c>
      <c r="N15" s="84">
        <f>N13+N14</f>
        <v/>
      </c>
      <c r="O15" s="84">
        <f>O13+O14</f>
        <v/>
      </c>
      <c r="P15" s="84">
        <f>P13+P14</f>
        <v/>
      </c>
      <c r="Q15" s="84">
        <f>Q13+Q14</f>
        <v/>
      </c>
      <c r="R15" s="89">
        <f>R13+R14</f>
        <v/>
      </c>
      <c r="S15" s="145">
        <f>IF(E15=0,"***",L15/E15)</f>
        <v/>
      </c>
      <c r="T15" s="136">
        <f>IF(F15=0,"***",M15/F15)</f>
        <v/>
      </c>
      <c r="U15" s="136">
        <f>IF(G15=0,"***",N15/G15)</f>
        <v/>
      </c>
      <c r="V15" s="136">
        <f>IF(H15=0,"***",O15/H15)</f>
        <v/>
      </c>
      <c r="W15" s="136">
        <f>IF(I15=0,"***",P15/I15)</f>
        <v/>
      </c>
      <c r="X15" s="136">
        <f>IF(J15=0,"***",Q15/J15)</f>
        <v/>
      </c>
      <c r="Y15" s="137">
        <f>IF(K15=0,"***",R15/K15)</f>
        <v/>
      </c>
    </row>
    <row r="16">
      <c r="C16" s="53" t="inlineStr">
        <is>
          <t>合計</t>
        </is>
      </c>
      <c r="D16" s="54" t="n"/>
      <c r="E16" s="63">
        <f>E9+E12+E15</f>
        <v/>
      </c>
      <c r="F16" s="8">
        <f>F9+F12+F15</f>
        <v/>
      </c>
      <c r="G16" s="8">
        <f>G9+G12+G15</f>
        <v/>
      </c>
      <c r="H16" s="8">
        <f>H9+H12+H15</f>
        <v/>
      </c>
      <c r="I16" s="8">
        <f>I9+I12+I15</f>
        <v/>
      </c>
      <c r="J16" s="8">
        <f>J9+J12+J15</f>
        <v/>
      </c>
      <c r="K16" s="64">
        <f>K9+K12+K15</f>
        <v/>
      </c>
      <c r="L16" s="63">
        <f>L9+L12+L15</f>
        <v/>
      </c>
      <c r="M16" s="8">
        <f>M9+M12+M15</f>
        <v/>
      </c>
      <c r="N16" s="8">
        <f>N9+N12+N15</f>
        <v/>
      </c>
      <c r="O16" s="8">
        <f>O9+O12+O15</f>
        <v/>
      </c>
      <c r="P16" s="8">
        <f>P9+P12+P15</f>
        <v/>
      </c>
      <c r="Q16" s="8">
        <f>Q9+Q12+Q15</f>
        <v/>
      </c>
      <c r="R16" s="64">
        <f>R9+R12+R15</f>
        <v/>
      </c>
      <c r="S16" s="146">
        <f>IF(E16=0,"***",L16/E16)</f>
        <v/>
      </c>
      <c r="T16" s="139">
        <f>IF(F16=0,"***",M16/F16)</f>
        <v/>
      </c>
      <c r="U16" s="139">
        <f>IF(G16=0,"***",N16/G16)</f>
        <v/>
      </c>
      <c r="V16" s="139">
        <f>IF(H16=0,"***",O16/H16)</f>
        <v/>
      </c>
      <c r="W16" s="139">
        <f>IF(I16=0,"***",P16/I16)</f>
        <v/>
      </c>
      <c r="X16" s="139">
        <f>IF(J16=0,"***",Q16/J16)</f>
        <v/>
      </c>
      <c r="Y16" s="140">
        <f>IF(K16=0,"***",R16/K16)</f>
        <v/>
      </c>
    </row>
    <row r="17">
      <c r="C17" s="74" t="inlineStr">
        <is>
          <t>【参考】大海分</t>
        </is>
      </c>
      <c r="D17" s="75" t="n"/>
      <c r="E17" s="5" t="n">
        <v>4919</v>
      </c>
      <c r="F17" s="98" t="n">
        <v>8671.294</v>
      </c>
      <c r="G17" s="98" t="n">
        <v>1764</v>
      </c>
      <c r="H17" s="98" t="n">
        <v>2026</v>
      </c>
      <c r="I17" s="98" t="n">
        <v>5177</v>
      </c>
      <c r="J17" s="98" t="n">
        <v>7426</v>
      </c>
      <c r="K17" s="99">
        <f>SUM(E17:J17)</f>
        <v/>
      </c>
      <c r="L17" s="5" t="n">
        <v>1895</v>
      </c>
      <c r="M17" s="98" t="n">
        <v>3581.357</v>
      </c>
      <c r="N17" s="98" t="n">
        <v>607</v>
      </c>
      <c r="O17" s="98" t="n">
        <v>774</v>
      </c>
      <c r="P17" s="98" t="n">
        <v>1883</v>
      </c>
      <c r="Q17" s="98" t="n">
        <v>2772</v>
      </c>
      <c r="R17" s="99">
        <f>SUM(L17:Q17)</f>
        <v/>
      </c>
      <c r="S17" s="156">
        <f>IF(E17=0,"***",L17/E17)</f>
        <v/>
      </c>
      <c r="T17" s="142">
        <f>IF(F17=0,"***",M17/F17)</f>
        <v/>
      </c>
      <c r="U17" s="142">
        <f>IF(G17=0,"***",N17/G17)</f>
        <v/>
      </c>
      <c r="V17" s="142">
        <f>IF(H17=0,"***",O17/H17)</f>
        <v/>
      </c>
      <c r="W17" s="142">
        <f>IF(I17=0,"***",P17/I17)</f>
        <v/>
      </c>
      <c r="X17" s="142">
        <f>IF(J17=0,"***",Q17/J17)</f>
        <v/>
      </c>
      <c r="Y17" s="143">
        <f>IF(K17=0,"***",R17/K17)</f>
        <v/>
      </c>
    </row>
    <row r="18">
      <c r="C18" s="18" t="n"/>
      <c r="E18" s="17" t="n"/>
      <c r="F18" s="17" t="n"/>
      <c r="G18" s="17" t="n"/>
      <c r="H18" s="17" t="n"/>
      <c r="I18" s="17" t="n"/>
      <c r="J18" s="17" t="n"/>
      <c r="K18" s="18" t="n"/>
      <c r="L18" s="17" t="n"/>
      <c r="M18" s="17" t="n"/>
      <c r="N18" s="17" t="n"/>
      <c r="O18" s="17" t="n"/>
      <c r="P18" s="17" t="n"/>
      <c r="Q18" s="17" t="n"/>
      <c r="R18" s="18" t="n"/>
      <c r="S18" s="144" t="n"/>
      <c r="T18" s="144" t="n"/>
      <c r="U18" s="144" t="n"/>
      <c r="V18" s="144" t="n"/>
      <c r="W18" s="144" t="n"/>
      <c r="X18" s="144" t="n"/>
      <c r="Y18" s="144" t="n"/>
    </row>
    <row r="19">
      <c r="C19" s="18" t="inlineStr">
        <is>
          <t>2．2025年</t>
        </is>
      </c>
    </row>
    <row r="20">
      <c r="C20" s="117" t="n"/>
      <c r="D20" s="118" t="n"/>
      <c r="E20" s="117" t="inlineStr">
        <is>
          <t>売上</t>
        </is>
      </c>
      <c r="F20" s="120" t="n"/>
      <c r="G20" s="120" t="n"/>
      <c r="H20" s="120" t="n"/>
      <c r="I20" s="120" t="n"/>
      <c r="J20" s="120" t="n"/>
      <c r="K20" s="118" t="n"/>
      <c r="L20" s="121" t="inlineStr">
        <is>
          <t>粗利益</t>
        </is>
      </c>
      <c r="M20" s="120" t="n"/>
      <c r="N20" s="120" t="n"/>
      <c r="O20" s="120" t="n"/>
      <c r="P20" s="120" t="n"/>
      <c r="Q20" s="120" t="n"/>
      <c r="R20" s="118" t="n"/>
      <c r="S20" s="121" t="inlineStr">
        <is>
          <t>粗利益率</t>
        </is>
      </c>
      <c r="T20" s="120" t="n"/>
      <c r="U20" s="120" t="n"/>
      <c r="V20" s="120" t="n"/>
      <c r="W20" s="120" t="n"/>
      <c r="X20" s="120" t="n"/>
      <c r="Y20" s="118" t="n"/>
    </row>
    <row r="21">
      <c r="C21" s="1" t="n"/>
      <c r="D21" s="21" t="n"/>
      <c r="E21" s="61" t="n">
        <v>45748</v>
      </c>
      <c r="F21" s="2" t="n">
        <v>45778</v>
      </c>
      <c r="G21" s="2" t="n">
        <v>45809</v>
      </c>
      <c r="H21" s="2" t="n">
        <v>45839</v>
      </c>
      <c r="I21" s="2" t="n">
        <v>45870</v>
      </c>
      <c r="J21" s="2" t="n">
        <v>45901</v>
      </c>
      <c r="K21" s="10" t="inlineStr">
        <is>
          <t>合計</t>
        </is>
      </c>
      <c r="L21" s="61" t="n">
        <v>45748</v>
      </c>
      <c r="M21" s="2" t="n">
        <v>45778</v>
      </c>
      <c r="N21" s="2" t="n">
        <v>45809</v>
      </c>
      <c r="O21" s="2" t="n">
        <v>45839</v>
      </c>
      <c r="P21" s="2" t="n">
        <v>45870</v>
      </c>
      <c r="Q21" s="2" t="n">
        <v>45901</v>
      </c>
      <c r="R21" s="10" t="inlineStr">
        <is>
          <t>合計</t>
        </is>
      </c>
      <c r="S21" s="61" t="n">
        <v>45748</v>
      </c>
      <c r="T21" s="2" t="n">
        <v>45778</v>
      </c>
      <c r="U21" s="2" t="n">
        <v>45809</v>
      </c>
      <c r="V21" s="2" t="n">
        <v>45839</v>
      </c>
      <c r="W21" s="2" t="n">
        <v>45870</v>
      </c>
      <c r="X21" s="2" t="n">
        <v>45901</v>
      </c>
      <c r="Y21" s="10" t="inlineStr">
        <is>
          <t>合計</t>
        </is>
      </c>
    </row>
    <row r="22">
      <c r="C22" s="60" t="inlineStr">
        <is>
          <t>0010 集計</t>
        </is>
      </c>
      <c r="D22" s="22" t="inlineStr">
        <is>
          <t>JF</t>
        </is>
      </c>
      <c r="E22" s="3" t="n">
        <v>9147.796</v>
      </c>
      <c r="F22" s="4" t="n">
        <v>4444.472</v>
      </c>
      <c r="G22" s="4" t="n">
        <v>2355.602</v>
      </c>
      <c r="H22" s="4" t="n">
        <v>1557.684</v>
      </c>
      <c r="I22" s="4" t="n">
        <v>3298.471</v>
      </c>
      <c r="J22" s="4" t="n">
        <v>7505.23</v>
      </c>
      <c r="K22" s="62">
        <f>SUM(E22:J22)</f>
        <v/>
      </c>
      <c r="L22" s="3" t="n">
        <v>1807.735</v>
      </c>
      <c r="M22" s="4" t="n">
        <v>979.7329999999999</v>
      </c>
      <c r="N22" s="4" t="n">
        <v>613.376</v>
      </c>
      <c r="O22" s="4" t="n">
        <v>497.646</v>
      </c>
      <c r="P22" s="4" t="n">
        <v>716.7760000000001</v>
      </c>
      <c r="Q22" s="4" t="n">
        <v>1539.684</v>
      </c>
      <c r="R22" s="62">
        <f>SUM(L22:Q22)</f>
        <v/>
      </c>
      <c r="S22" s="145">
        <f>IF(E22=0,"***",L22/E22)</f>
        <v/>
      </c>
      <c r="T22" s="136">
        <f>IF(F22=0,"***",M22/F22)</f>
        <v/>
      </c>
      <c r="U22" s="136">
        <f>IF(G22=0,"***",N22/G22)</f>
        <v/>
      </c>
      <c r="V22" s="136">
        <f>IF(H22=0,"***",O22/H22)</f>
        <v/>
      </c>
      <c r="W22" s="136">
        <f>IF(I22=0,"***",P22/I22)</f>
        <v/>
      </c>
      <c r="X22" s="136">
        <f>IF(J22=0,"***",Q22/J22)</f>
        <v/>
      </c>
      <c r="Y22" s="137">
        <f>IF(K22=0,"***",R22/K22)</f>
        <v/>
      </c>
    </row>
    <row r="23">
      <c r="C23" s="60" t="inlineStr">
        <is>
          <t>0017 集計</t>
        </is>
      </c>
      <c r="D23" s="22" t="inlineStr">
        <is>
          <t>鮮魚</t>
        </is>
      </c>
      <c r="E23" s="3" t="n">
        <v>643.412</v>
      </c>
      <c r="F23" s="4" t="n">
        <v>793.478</v>
      </c>
      <c r="G23" s="4" t="n">
        <v>1761.134</v>
      </c>
      <c r="H23" s="4" t="n">
        <v>3657.34</v>
      </c>
      <c r="I23" s="4" t="n">
        <v>2898.805</v>
      </c>
      <c r="J23" s="4" t="n">
        <v>5118.363</v>
      </c>
      <c r="K23" s="62">
        <f>SUM(E23:J23)</f>
        <v/>
      </c>
      <c r="L23" s="3" t="n">
        <v>174.632</v>
      </c>
      <c r="M23" s="4" t="n">
        <v>274.091</v>
      </c>
      <c r="N23" s="4" t="n">
        <v>747.894</v>
      </c>
      <c r="O23" s="4" t="n">
        <v>1286.432</v>
      </c>
      <c r="P23" s="4" t="n">
        <v>848.42</v>
      </c>
      <c r="Q23" s="4" t="n">
        <v>1789.332</v>
      </c>
      <c r="R23" s="62">
        <f>SUM(L23:Q23)</f>
        <v/>
      </c>
      <c r="S23" s="145">
        <f>IF(E23=0,"***",L23/E23)</f>
        <v/>
      </c>
      <c r="T23" s="136">
        <f>IF(F23=0,"***",M23/F23)</f>
        <v/>
      </c>
      <c r="U23" s="136">
        <f>IF(G23=0,"***",N23/G23)</f>
        <v/>
      </c>
      <c r="V23" s="136">
        <f>IF(H23=0,"***",O23/H23)</f>
        <v/>
      </c>
      <c r="W23" s="136">
        <f>IF(I23=0,"***",P23/I23)</f>
        <v/>
      </c>
      <c r="X23" s="136">
        <f>IF(J23=0,"***",Q23/J23)</f>
        <v/>
      </c>
      <c r="Y23" s="137">
        <f>IF(K23=0,"***",R23/K23)</f>
        <v/>
      </c>
    </row>
    <row r="24">
      <c r="C24" s="60" t="inlineStr">
        <is>
          <t>0101 集計</t>
        </is>
      </c>
      <c r="D24" s="22" t="inlineStr">
        <is>
          <t>GS</t>
        </is>
      </c>
      <c r="E24" s="3" t="n">
        <v>676.904</v>
      </c>
      <c r="F24" s="4" t="n">
        <v>421.593</v>
      </c>
      <c r="G24" s="4" t="n">
        <v>54.482</v>
      </c>
      <c r="H24" s="4" t="n">
        <v>36.714</v>
      </c>
      <c r="I24" s="4" t="n">
        <v>888.853</v>
      </c>
      <c r="J24" s="4" t="n">
        <v>683.032</v>
      </c>
      <c r="K24" s="62">
        <f>SUM(E24:J24)</f>
        <v/>
      </c>
      <c r="L24" s="3" t="n">
        <v>413.214</v>
      </c>
      <c r="M24" s="4" t="n">
        <v>270.704</v>
      </c>
      <c r="N24" s="4" t="n">
        <v>22.481</v>
      </c>
      <c r="O24" s="4" t="n">
        <v>16.864</v>
      </c>
      <c r="P24" s="4" t="n">
        <v>717.357</v>
      </c>
      <c r="Q24" s="4" t="n">
        <v>517.263</v>
      </c>
      <c r="R24" s="62">
        <f>SUM(L24:Q24)</f>
        <v/>
      </c>
      <c r="S24" s="145">
        <f>IF(E24=0,"***",L24/E24)</f>
        <v/>
      </c>
      <c r="T24" s="136">
        <f>IF(F24=0,"***",M24/F24)</f>
        <v/>
      </c>
      <c r="U24" s="136">
        <f>IF(G24=0,"***",N24/G24)</f>
        <v/>
      </c>
      <c r="V24" s="136">
        <f>IF(H24=0,"***",O24/H24)</f>
        <v/>
      </c>
      <c r="W24" s="136">
        <f>IF(I24=0,"***",P24/I24)</f>
        <v/>
      </c>
      <c r="X24" s="136">
        <f>IF(J24=0,"***",Q24/J24)</f>
        <v/>
      </c>
      <c r="Y24" s="137">
        <f>IF(K24=0,"***",R24/K24)</f>
        <v/>
      </c>
    </row>
    <row r="25">
      <c r="C25" s="60" t="inlineStr">
        <is>
          <t>0106 集計</t>
        </is>
      </c>
      <c r="D25" s="22" t="inlineStr">
        <is>
          <t>浜田荷役</t>
        </is>
      </c>
      <c r="E25" s="3" t="n">
        <v>3178.58</v>
      </c>
      <c r="F25" s="4" t="n">
        <v>4702.828</v>
      </c>
      <c r="G25" s="4" t="n">
        <v>4402.220999999999</v>
      </c>
      <c r="H25" s="4" t="n">
        <v>3998.11</v>
      </c>
      <c r="I25" s="4" t="n">
        <v>1925.62</v>
      </c>
      <c r="J25" s="4" t="n">
        <v>3546.471000000001</v>
      </c>
      <c r="K25" s="62">
        <f>SUM(E25:J25)</f>
        <v/>
      </c>
      <c r="L25" s="3" t="n">
        <v>1743.381</v>
      </c>
      <c r="M25" s="4" t="n">
        <v>2764.778</v>
      </c>
      <c r="N25" s="4" t="n">
        <v>2329.6</v>
      </c>
      <c r="O25" s="4" t="n">
        <v>2041.687</v>
      </c>
      <c r="P25" s="4" t="n">
        <v>944.9979999999998</v>
      </c>
      <c r="Q25" s="4" t="n">
        <v>1949.435</v>
      </c>
      <c r="R25" s="62">
        <f>SUM(L25:Q25)</f>
        <v/>
      </c>
      <c r="S25" s="145">
        <f>IF(E25=0,"***",L25/E25)</f>
        <v/>
      </c>
      <c r="T25" s="136">
        <f>IF(F25=0,"***",M25/F25)</f>
        <v/>
      </c>
      <c r="U25" s="136">
        <f>IF(G25=0,"***",N25/G25)</f>
        <v/>
      </c>
      <c r="V25" s="136">
        <f>IF(H25=0,"***",O25/H25)</f>
        <v/>
      </c>
      <c r="W25" s="136">
        <f>IF(I25=0,"***",P25/I25)</f>
        <v/>
      </c>
      <c r="X25" s="136">
        <f>IF(J25=0,"***",Q25/J25)</f>
        <v/>
      </c>
      <c r="Y25" s="137">
        <f>IF(K25=0,"***",R25/K25)</f>
        <v/>
      </c>
    </row>
    <row r="26">
      <c r="C26" s="60" t="inlineStr">
        <is>
          <t>浜田水産部合計</t>
        </is>
      </c>
      <c r="D26" s="22" t="n"/>
      <c r="E26" s="3">
        <f>SUM(E22:E25)</f>
        <v/>
      </c>
      <c r="F26" s="4">
        <f>SUM(F22:F25)</f>
        <v/>
      </c>
      <c r="G26" s="4">
        <f>SUM(G22:G25)</f>
        <v/>
      </c>
      <c r="H26" s="4">
        <f>SUM(H22:H25)</f>
        <v/>
      </c>
      <c r="I26" s="4">
        <f>SUM(I22:I25)</f>
        <v/>
      </c>
      <c r="J26" s="4">
        <f>SUM(J22:J25)</f>
        <v/>
      </c>
      <c r="K26" s="62">
        <f>SUM(E26:J26)</f>
        <v/>
      </c>
      <c r="L26" s="3">
        <f>SUM(L22:L25)</f>
        <v/>
      </c>
      <c r="M26" s="4">
        <f>SUM(M22:M25)</f>
        <v/>
      </c>
      <c r="N26" s="4">
        <f>SUM(N22:N25)</f>
        <v/>
      </c>
      <c r="O26" s="4">
        <f>SUM(O22:O25)</f>
        <v/>
      </c>
      <c r="P26" s="4">
        <f>SUM(P22:P25)</f>
        <v/>
      </c>
      <c r="Q26" s="4">
        <f>SUM(Q22:Q25)</f>
        <v/>
      </c>
      <c r="R26" s="62">
        <f>SUM(L26:Q26)</f>
        <v/>
      </c>
      <c r="S26" s="145">
        <f>IF(E26=0,"***",L26/E26)</f>
        <v/>
      </c>
      <c r="T26" s="136">
        <f>IF(F26=0,"***",M26/F26)</f>
        <v/>
      </c>
      <c r="U26" s="136">
        <f>IF(G26=0,"***",N26/G26)</f>
        <v/>
      </c>
      <c r="V26" s="136">
        <f>IF(H26=0,"***",O26/H26)</f>
        <v/>
      </c>
      <c r="W26" s="136">
        <f>IF(I26=0,"***",P26/I26)</f>
        <v/>
      </c>
      <c r="X26" s="136">
        <f>IF(J26=0,"***",Q26/J26)</f>
        <v/>
      </c>
      <c r="Y26" s="137">
        <f>IF(K26=0,"***",R26/K26)</f>
        <v/>
      </c>
    </row>
    <row r="27">
      <c r="C27" s="60" t="inlineStr">
        <is>
          <t>0102 集計</t>
        </is>
      </c>
      <c r="D27" s="22" t="inlineStr">
        <is>
          <t>JF大田</t>
        </is>
      </c>
      <c r="E27" s="3" t="n">
        <v>5532.763</v>
      </c>
      <c r="F27" s="4" t="n">
        <v>6604.035</v>
      </c>
      <c r="G27" s="4" t="n">
        <v>7174.526</v>
      </c>
      <c r="H27" s="4" t="n">
        <v>5086.631</v>
      </c>
      <c r="I27" s="4" t="n">
        <v>5913.498</v>
      </c>
      <c r="J27" s="4" t="n">
        <v>12536.989</v>
      </c>
      <c r="K27" s="62">
        <f>SUM(E27:J27)</f>
        <v/>
      </c>
      <c r="L27" s="3" t="n">
        <v>1289.446</v>
      </c>
      <c r="M27" s="4" t="n">
        <v>1627.409</v>
      </c>
      <c r="N27" s="4" t="n">
        <v>1407.741</v>
      </c>
      <c r="O27" s="4" t="n">
        <v>950.385</v>
      </c>
      <c r="P27" s="4" t="n">
        <v>1282.931</v>
      </c>
      <c r="Q27" s="4" t="n">
        <v>2609.847</v>
      </c>
      <c r="R27" s="62">
        <f>SUM(L27:Q27)</f>
        <v/>
      </c>
      <c r="S27" s="145">
        <f>IF(E27=0,"***",L27/E27)</f>
        <v/>
      </c>
      <c r="T27" s="136">
        <f>IF(F27=0,"***",M27/F27)</f>
        <v/>
      </c>
      <c r="U27" s="136">
        <f>IF(G27=0,"***",N27/G27)</f>
        <v/>
      </c>
      <c r="V27" s="136">
        <f>IF(H27=0,"***",O27/H27)</f>
        <v/>
      </c>
      <c r="W27" s="136">
        <f>IF(I27=0,"***",P27/I27)</f>
        <v/>
      </c>
      <c r="X27" s="136">
        <f>IF(J27=0,"***",Q27/J27)</f>
        <v/>
      </c>
      <c r="Y27" s="137">
        <f>IF(K27=0,"***",R27/K27)</f>
        <v/>
      </c>
    </row>
    <row r="28">
      <c r="C28" s="60" t="inlineStr">
        <is>
          <t>0104 集計</t>
        </is>
      </c>
      <c r="D28" s="22" t="inlineStr">
        <is>
          <t>大田荷役</t>
        </is>
      </c>
      <c r="E28" s="3" t="n">
        <v>2776.405</v>
      </c>
      <c r="F28" s="4" t="n">
        <v>3884.684999999999</v>
      </c>
      <c r="G28" s="4" t="n">
        <v>4124.21</v>
      </c>
      <c r="H28" s="4" t="n">
        <v>2676.2</v>
      </c>
      <c r="I28" s="4" t="n">
        <v>1446.795</v>
      </c>
      <c r="J28" s="4" t="n">
        <v>4570.595</v>
      </c>
      <c r="K28" s="62">
        <f>SUM(E28:J28)</f>
        <v/>
      </c>
      <c r="L28" s="3" t="n">
        <v>1708.154</v>
      </c>
      <c r="M28" s="4" t="n">
        <v>2438.683</v>
      </c>
      <c r="N28" s="4" t="n">
        <v>3607.46</v>
      </c>
      <c r="O28" s="4" t="n">
        <v>2209.2</v>
      </c>
      <c r="P28" s="4" t="n">
        <v>1173.045</v>
      </c>
      <c r="Q28" s="4" t="n">
        <v>3099.141</v>
      </c>
      <c r="R28" s="62">
        <f>SUM(L28:Q28)</f>
        <v/>
      </c>
      <c r="S28" s="145">
        <f>IF(E28=0,"***",L28/E28)</f>
        <v/>
      </c>
      <c r="T28" s="136">
        <f>IF(F28=0,"***",M28/F28)</f>
        <v/>
      </c>
      <c r="U28" s="136">
        <f>IF(G28=0,"***",N28/G28)</f>
        <v/>
      </c>
      <c r="V28" s="136">
        <f>IF(H28=0,"***",O28/H28)</f>
        <v/>
      </c>
      <c r="W28" s="136">
        <f>IF(I28=0,"***",P28/I28)</f>
        <v/>
      </c>
      <c r="X28" s="136">
        <f>IF(J28=0,"***",Q28/J28)</f>
        <v/>
      </c>
      <c r="Y28" s="137">
        <f>IF(K28=0,"***",R28/K28)</f>
        <v/>
      </c>
    </row>
    <row r="29">
      <c r="C29" s="60" t="inlineStr">
        <is>
          <t>大田水産部</t>
        </is>
      </c>
      <c r="D29" s="22" t="n"/>
      <c r="E29" s="3">
        <f>SUM(E27:E28)</f>
        <v/>
      </c>
      <c r="F29" s="20">
        <f>SUM(F27:F28)</f>
        <v/>
      </c>
      <c r="G29" s="20">
        <f>SUM(G27:G28)</f>
        <v/>
      </c>
      <c r="H29" s="20">
        <f>SUM(H27:H28)</f>
        <v/>
      </c>
      <c r="I29" s="20">
        <f>SUM(I27:I28)</f>
        <v/>
      </c>
      <c r="J29" s="20">
        <f>SUM(J27:J28)</f>
        <v/>
      </c>
      <c r="K29" s="62">
        <f>SUM(K27:K28)</f>
        <v/>
      </c>
      <c r="L29" s="3">
        <f>SUM(L27:L28)</f>
        <v/>
      </c>
      <c r="M29" s="20">
        <f>SUM(M27:M28)</f>
        <v/>
      </c>
      <c r="N29" s="20">
        <f>SUM(N27:N28)</f>
        <v/>
      </c>
      <c r="O29" s="20">
        <f>SUM(O27:O28)</f>
        <v/>
      </c>
      <c r="P29" s="20">
        <f>SUM(P27:P28)</f>
        <v/>
      </c>
      <c r="Q29" s="20">
        <f>SUM(Q27:Q28)</f>
        <v/>
      </c>
      <c r="R29" s="62">
        <f>SUM(R27:R28)</f>
        <v/>
      </c>
      <c r="S29" s="145">
        <f>IF(E29=0,"***",L29/E29)</f>
        <v/>
      </c>
      <c r="T29" s="136">
        <f>IF(F29=0,"***",M29/F29)</f>
        <v/>
      </c>
      <c r="U29" s="136">
        <f>IF(G29=0,"***",N29/G29)</f>
        <v/>
      </c>
      <c r="V29" s="136">
        <f>IF(H29=0,"***",O29/H29)</f>
        <v/>
      </c>
      <c r="W29" s="136">
        <f>IF(I29=0,"***",P29/I29)</f>
        <v/>
      </c>
      <c r="X29" s="136">
        <f>IF(J29=0,"***",Q29/J29)</f>
        <v/>
      </c>
      <c r="Y29" s="137">
        <f>IF(K29=0,"***",R29/K29)</f>
        <v/>
      </c>
    </row>
    <row r="30">
      <c r="C30" s="60" t="inlineStr">
        <is>
          <t>0031 集計</t>
        </is>
      </c>
      <c r="D30" s="22" t="inlineStr">
        <is>
          <t>JF境</t>
        </is>
      </c>
      <c r="E30" s="3" t="n">
        <v>13161.188</v>
      </c>
      <c r="F30" s="20" t="n">
        <v>22618.704</v>
      </c>
      <c r="G30" s="20" t="n">
        <v>20298.313</v>
      </c>
      <c r="H30" s="20" t="n">
        <v>13511.618</v>
      </c>
      <c r="I30" s="20" t="n">
        <v>10177.025</v>
      </c>
      <c r="J30" s="20" t="n">
        <v>10696.536</v>
      </c>
      <c r="K30" s="62">
        <f>SUM(E30:J30)</f>
        <v/>
      </c>
      <c r="L30" s="3" t="n">
        <v>3307.326</v>
      </c>
      <c r="M30" s="20" t="n">
        <v>5138.178</v>
      </c>
      <c r="N30" s="20" t="n">
        <v>4393.382</v>
      </c>
      <c r="O30" s="20" t="n">
        <v>2843.846</v>
      </c>
      <c r="P30" s="20" t="n">
        <v>2115.652</v>
      </c>
      <c r="Q30" s="20" t="n">
        <v>2187.245</v>
      </c>
      <c r="R30" s="62">
        <f>SUM(L30:Q30)</f>
        <v/>
      </c>
      <c r="S30" s="145">
        <f>IF(E30=0,"***",L30/E30)</f>
        <v/>
      </c>
      <c r="T30" s="136">
        <f>IF(F30=0,"***",M30/F30)</f>
        <v/>
      </c>
      <c r="U30" s="136">
        <f>IF(G30=0,"***",N30/G30)</f>
        <v/>
      </c>
      <c r="V30" s="136">
        <f>IF(H30=0,"***",O30/H30)</f>
        <v/>
      </c>
      <c r="W30" s="136">
        <f>IF(I30=0,"***",P30/I30)</f>
        <v/>
      </c>
      <c r="X30" s="136">
        <f>IF(J30=0,"***",Q30/J30)</f>
        <v/>
      </c>
      <c r="Y30" s="137">
        <f>IF(K30=0,"***",R30/K30)</f>
        <v/>
      </c>
    </row>
    <row r="31">
      <c r="C31" s="60" t="inlineStr">
        <is>
          <t>0038 集計</t>
        </is>
      </c>
      <c r="D31" s="83" t="inlineStr">
        <is>
          <t>境その他</t>
        </is>
      </c>
      <c r="E31" s="88" t="n">
        <v>2.95</v>
      </c>
      <c r="F31" s="84" t="n">
        <v>0</v>
      </c>
      <c r="G31" s="84" t="n">
        <v>0</v>
      </c>
      <c r="H31" s="84" t="n">
        <v>16.815</v>
      </c>
      <c r="I31" s="84" t="n">
        <v>17.68</v>
      </c>
      <c r="J31" s="84" t="n">
        <v>14.48</v>
      </c>
      <c r="K31" s="62">
        <f>SUM(E31:J31)</f>
        <v/>
      </c>
      <c r="L31" s="88" t="n">
        <v>0.909</v>
      </c>
      <c r="M31" s="84" t="n">
        <v>0</v>
      </c>
      <c r="N31" s="84" t="n">
        <v>0</v>
      </c>
      <c r="O31" s="84" t="n">
        <v>5.181</v>
      </c>
      <c r="P31" s="84" t="n">
        <v>4.536</v>
      </c>
      <c r="Q31" s="84" t="n">
        <v>1.946</v>
      </c>
      <c r="R31" s="62">
        <f>SUM(L31:Q31)</f>
        <v/>
      </c>
      <c r="S31" s="145">
        <f>IF(E31=0,"***",L31/E31)</f>
        <v/>
      </c>
      <c r="T31" s="136">
        <f>IF(F31=0,"***",M31/F31)</f>
        <v/>
      </c>
      <c r="U31" s="136">
        <f>IF(G31=0,"***",N31/G31)</f>
        <v/>
      </c>
      <c r="V31" s="136">
        <f>IF(H31=0,"***",O31/H31)</f>
        <v/>
      </c>
      <c r="W31" s="136">
        <f>IF(I31=0,"***",P31/I31)</f>
        <v/>
      </c>
      <c r="X31" s="136">
        <f>IF(J31=0,"***",Q31/J31)</f>
        <v/>
      </c>
      <c r="Y31" s="137">
        <f>IF(K31=0,"***",R31/K31)</f>
        <v/>
      </c>
    </row>
    <row r="32">
      <c r="C32" s="82" t="inlineStr">
        <is>
          <t>境港水産部合計</t>
        </is>
      </c>
      <c r="D32" s="83" t="n"/>
      <c r="E32" s="88">
        <f>E30+E31</f>
        <v/>
      </c>
      <c r="F32" s="84">
        <f>F30+F31</f>
        <v/>
      </c>
      <c r="G32" s="84">
        <f>G30+G31</f>
        <v/>
      </c>
      <c r="H32" s="84">
        <f>H30+H31</f>
        <v/>
      </c>
      <c r="I32" s="84">
        <f>I30+I31</f>
        <v/>
      </c>
      <c r="J32" s="84">
        <f>J30+J31</f>
        <v/>
      </c>
      <c r="K32" s="62">
        <f>SUM(E32:J32)</f>
        <v/>
      </c>
      <c r="L32" s="88">
        <f>L30+L31</f>
        <v/>
      </c>
      <c r="M32" s="84">
        <f>M30+M31</f>
        <v/>
      </c>
      <c r="N32" s="84">
        <f>N30+N31</f>
        <v/>
      </c>
      <c r="O32" s="84">
        <f>O30+O31</f>
        <v/>
      </c>
      <c r="P32" s="84">
        <f>P30+P31</f>
        <v/>
      </c>
      <c r="Q32" s="84">
        <f>Q30+Q31</f>
        <v/>
      </c>
      <c r="R32" s="62">
        <f>SUM(L32:Q32)</f>
        <v/>
      </c>
      <c r="S32" s="145">
        <f>IF(E32=0,"***",L32/E32)</f>
        <v/>
      </c>
      <c r="T32" s="136">
        <f>IF(F32=0,"***",M32/F32)</f>
        <v/>
      </c>
      <c r="U32" s="136">
        <f>IF(G32=0,"***",N32/G32)</f>
        <v/>
      </c>
      <c r="V32" s="136">
        <f>IF(H32=0,"***",O32/H32)</f>
        <v/>
      </c>
      <c r="W32" s="136">
        <f>IF(I32=0,"***",P32/I32)</f>
        <v/>
      </c>
      <c r="X32" s="136">
        <f>IF(J32=0,"***",Q32/J32)</f>
        <v/>
      </c>
      <c r="Y32" s="137">
        <f>IF(K32=0,"***",R32/K32)</f>
        <v/>
      </c>
    </row>
    <row r="33">
      <c r="C33" s="53" t="inlineStr">
        <is>
          <t>合計</t>
        </is>
      </c>
      <c r="D33" s="54" t="n"/>
      <c r="E33" s="63">
        <f>E26+E29+E32</f>
        <v/>
      </c>
      <c r="F33" s="8">
        <f>F26+F29+F32</f>
        <v/>
      </c>
      <c r="G33" s="8">
        <f>G26+G29+G32</f>
        <v/>
      </c>
      <c r="H33" s="8">
        <f>H26+H29+H32</f>
        <v/>
      </c>
      <c r="I33" s="8">
        <f>I26+I29+I32</f>
        <v/>
      </c>
      <c r="J33" s="8">
        <f>J26+J29+J32</f>
        <v/>
      </c>
      <c r="K33" s="64">
        <f>K26+K29+K32</f>
        <v/>
      </c>
      <c r="L33" s="63">
        <f>L26+L29+L32</f>
        <v/>
      </c>
      <c r="M33" s="8">
        <f>M26+M29+M32</f>
        <v/>
      </c>
      <c r="N33" s="8">
        <f>N26+N29+N32</f>
        <v/>
      </c>
      <c r="O33" s="8">
        <f>O26+O29+O32</f>
        <v/>
      </c>
      <c r="P33" s="8">
        <f>P26+P29+P32</f>
        <v/>
      </c>
      <c r="Q33" s="8">
        <f>Q26+Q29+Q32</f>
        <v/>
      </c>
      <c r="R33" s="64">
        <f>R26+R29+R32</f>
        <v/>
      </c>
      <c r="S33" s="146">
        <f>IF(E33=0,"***",L33/E33)</f>
        <v/>
      </c>
      <c r="T33" s="139">
        <f>IF(F33=0,"***",M33/F33)</f>
        <v/>
      </c>
      <c r="U33" s="139">
        <f>IF(G33=0,"***",N33/G33)</f>
        <v/>
      </c>
      <c r="V33" s="139">
        <f>IF(H33=0,"***",O33/H33)</f>
        <v/>
      </c>
      <c r="W33" s="139">
        <f>IF(I33=0,"***",P33/I33)</f>
        <v/>
      </c>
      <c r="X33" s="139">
        <f>IF(J33=0,"***",Q33/J33)</f>
        <v/>
      </c>
      <c r="Y33" s="140">
        <f>IF(K33=0,"***",R33/K33)</f>
        <v/>
      </c>
    </row>
    <row r="34">
      <c r="C34" s="74" t="inlineStr">
        <is>
          <t>【参考】大海分</t>
        </is>
      </c>
      <c r="D34" s="75" t="n"/>
      <c r="E34" s="5" t="n">
        <v>2808</v>
      </c>
      <c r="F34" s="98" t="n">
        <v>8671.294</v>
      </c>
      <c r="G34" s="98" t="n">
        <v>3956</v>
      </c>
      <c r="H34" s="98" t="n"/>
      <c r="I34" s="98" t="n"/>
      <c r="J34" s="98" t="n"/>
      <c r="K34" s="99">
        <f>SUM(E34:J34)</f>
        <v/>
      </c>
      <c r="L34" s="5" t="n">
        <v>1068</v>
      </c>
      <c r="M34" s="98" t="n">
        <v>3581.357</v>
      </c>
      <c r="N34" s="98" t="n">
        <v>1431</v>
      </c>
      <c r="O34" s="98" t="n"/>
      <c r="P34" s="98" t="n"/>
      <c r="Q34" s="98" t="n"/>
      <c r="R34" s="99">
        <f>SUM(L34:Q34)</f>
        <v/>
      </c>
      <c r="S34" s="156">
        <f>IF(E34=0,"***",L34/E34)</f>
        <v/>
      </c>
      <c r="T34" s="142">
        <f>IF(F34=0,"***",M34/F34)</f>
        <v/>
      </c>
      <c r="U34" s="142">
        <f>IF(G34=0,"***",N34/G34)</f>
        <v/>
      </c>
      <c r="V34" s="142">
        <f>IF(H34=0,"***",O34/H34)</f>
        <v/>
      </c>
      <c r="W34" s="142">
        <f>IF(I34=0,"***",P34/I34)</f>
        <v/>
      </c>
      <c r="X34" s="142">
        <f>IF(J34=0,"***",Q34/J34)</f>
        <v/>
      </c>
      <c r="Y34" s="143">
        <f>IF(K34=0,"***",R34/K34)</f>
        <v/>
      </c>
    </row>
    <row r="35">
      <c r="C35" s="18" t="n"/>
      <c r="E35" s="17" t="n"/>
      <c r="F35" s="17" t="n"/>
      <c r="G35" s="17" t="n"/>
      <c r="H35" s="17" t="n"/>
      <c r="I35" s="17" t="n"/>
      <c r="J35" s="17" t="n"/>
      <c r="K35" s="18" t="n"/>
      <c r="L35" s="17" t="n"/>
      <c r="M35" s="17" t="n"/>
      <c r="N35" s="17" t="n"/>
      <c r="O35" s="17" t="n"/>
      <c r="P35" s="17" t="n"/>
      <c r="Q35" s="17" t="n"/>
      <c r="R35" s="18" t="n"/>
      <c r="S35" s="144" t="n"/>
      <c r="T35" s="144" t="n"/>
      <c r="U35" s="144" t="n"/>
      <c r="V35" s="144" t="n"/>
      <c r="W35" s="144" t="n"/>
      <c r="X35" s="144" t="n"/>
      <c r="Y35" s="144" t="n"/>
    </row>
    <row r="36">
      <c r="C36" s="18" t="inlineStr">
        <is>
          <t>3．過年度平均</t>
        </is>
      </c>
    </row>
    <row r="37">
      <c r="C37" s="117" t="n"/>
      <c r="D37" s="118" t="n"/>
      <c r="E37" s="122" t="inlineStr">
        <is>
          <t>売上</t>
        </is>
      </c>
      <c r="F37" s="120" t="n"/>
      <c r="G37" s="120" t="n"/>
      <c r="H37" s="120" t="n"/>
      <c r="I37" s="120" t="n"/>
      <c r="J37" s="120" t="n"/>
      <c r="K37" s="120" t="n"/>
      <c r="L37" s="121" t="inlineStr">
        <is>
          <t>粗利益</t>
        </is>
      </c>
      <c r="M37" s="120" t="n"/>
      <c r="N37" s="120" t="n"/>
      <c r="O37" s="120" t="n"/>
      <c r="P37" s="120" t="n"/>
      <c r="Q37" s="120" t="n"/>
      <c r="R37" s="118" t="n"/>
      <c r="S37" s="119" t="inlineStr">
        <is>
          <t>粗利益率</t>
        </is>
      </c>
      <c r="T37" s="120" t="n"/>
      <c r="U37" s="120" t="n"/>
      <c r="V37" s="120" t="n"/>
      <c r="W37" s="120" t="n"/>
      <c r="X37" s="120" t="n"/>
      <c r="Y37" s="118" t="n"/>
    </row>
    <row r="38">
      <c r="C38" s="1" t="n"/>
      <c r="D38" s="21" t="n"/>
      <c r="E38" s="61" t="n">
        <v>45748</v>
      </c>
      <c r="F38" s="2" t="n">
        <v>45778</v>
      </c>
      <c r="G38" s="2" t="n">
        <v>45809</v>
      </c>
      <c r="H38" s="2" t="n">
        <v>45839</v>
      </c>
      <c r="I38" s="2" t="n">
        <v>45870</v>
      </c>
      <c r="J38" s="2" t="n">
        <v>45901</v>
      </c>
      <c r="K38" s="67" t="inlineStr">
        <is>
          <t>合計</t>
        </is>
      </c>
      <c r="L38" s="61" t="n">
        <v>45748</v>
      </c>
      <c r="M38" s="2" t="n">
        <v>45778</v>
      </c>
      <c r="N38" s="2" t="n">
        <v>45809</v>
      </c>
      <c r="O38" s="2" t="n">
        <v>45839</v>
      </c>
      <c r="P38" s="2" t="n">
        <v>45870</v>
      </c>
      <c r="Q38" s="2" t="n">
        <v>45901</v>
      </c>
      <c r="R38" s="10" t="inlineStr">
        <is>
          <t>合計</t>
        </is>
      </c>
      <c r="S38" s="95" t="n">
        <v>45748</v>
      </c>
      <c r="T38" s="2" t="n">
        <v>45778</v>
      </c>
      <c r="U38" s="2" t="n">
        <v>45809</v>
      </c>
      <c r="V38" s="2" t="n">
        <v>45839</v>
      </c>
      <c r="W38" s="2" t="n">
        <v>45870</v>
      </c>
      <c r="X38" s="2" t="n">
        <v>45901</v>
      </c>
      <c r="Y38" s="10" t="inlineStr">
        <is>
          <t>合計</t>
        </is>
      </c>
    </row>
    <row r="39">
      <c r="C39" s="60" t="inlineStr">
        <is>
          <t>0010 集計</t>
        </is>
      </c>
      <c r="D39" s="22" t="inlineStr">
        <is>
          <t>JF</t>
        </is>
      </c>
      <c r="E39" s="4">
        <f>(E22+E5)/2</f>
        <v/>
      </c>
      <c r="F39" s="4">
        <f>(F22+F5)/2</f>
        <v/>
      </c>
      <c r="G39" s="4">
        <f>(G22+G5)/2</f>
        <v/>
      </c>
      <c r="H39" s="4">
        <f>(H22+H5)/2</f>
        <v/>
      </c>
      <c r="I39" s="4">
        <f>(I22+I5)/2</f>
        <v/>
      </c>
      <c r="J39" s="4">
        <f>(J22+J5)/2</f>
        <v/>
      </c>
      <c r="K39" s="68">
        <f>SUM(E39:J39)</f>
        <v/>
      </c>
      <c r="L39" s="3">
        <f>(L22+L5)/2</f>
        <v/>
      </c>
      <c r="M39" s="4">
        <f>(M22+M5)/2</f>
        <v/>
      </c>
      <c r="N39" s="4">
        <f>(N22+N5)/2</f>
        <v/>
      </c>
      <c r="O39" s="4">
        <f>(O22+O5)/2</f>
        <v/>
      </c>
      <c r="P39" s="4">
        <f>(P22+P5)/2</f>
        <v/>
      </c>
      <c r="Q39" s="4">
        <f>(Q22+Q5)/2</f>
        <v/>
      </c>
      <c r="R39" s="62">
        <f>SUM(L39:Q39)</f>
        <v/>
      </c>
      <c r="S39" s="135">
        <f>IF(E39=0,"***",L39/E39)</f>
        <v/>
      </c>
      <c r="T39" s="136">
        <f>IF(F39=0,"***",M39/F39)</f>
        <v/>
      </c>
      <c r="U39" s="136">
        <f>IF(G39=0,"***",N39/G39)</f>
        <v/>
      </c>
      <c r="V39" s="136">
        <f>IF(H39=0,"***",O39/H39)</f>
        <v/>
      </c>
      <c r="W39" s="136">
        <f>IF(I39=0,"***",P39/I39)</f>
        <v/>
      </c>
      <c r="X39" s="136">
        <f>IF(J39=0,"***",Q39/J39)</f>
        <v/>
      </c>
      <c r="Y39" s="137">
        <f>IF(K39=0,"***",R39/K39)</f>
        <v/>
      </c>
    </row>
    <row r="40">
      <c r="C40" s="60" t="inlineStr">
        <is>
          <t>0017 集計</t>
        </is>
      </c>
      <c r="D40" s="22" t="inlineStr">
        <is>
          <t>鮮魚</t>
        </is>
      </c>
      <c r="E40" s="4">
        <f>(E23+E6)/2</f>
        <v/>
      </c>
      <c r="F40" s="4">
        <f>(F23+F6)/2</f>
        <v/>
      </c>
      <c r="G40" s="4">
        <f>(G23+G6)/2</f>
        <v/>
      </c>
      <c r="H40" s="4">
        <f>(H23+H6)/2</f>
        <v/>
      </c>
      <c r="I40" s="4">
        <f>(I23+I6)/2</f>
        <v/>
      </c>
      <c r="J40" s="4">
        <f>(J23+J6)/2</f>
        <v/>
      </c>
      <c r="K40" s="68">
        <f>SUM(E40:J40)</f>
        <v/>
      </c>
      <c r="L40" s="3">
        <f>(L23+L6)/2</f>
        <v/>
      </c>
      <c r="M40" s="4">
        <f>(M23+M6)/2</f>
        <v/>
      </c>
      <c r="N40" s="4">
        <f>(N23+N6)/2</f>
        <v/>
      </c>
      <c r="O40" s="4">
        <f>(O23+O6)/2</f>
        <v/>
      </c>
      <c r="P40" s="4">
        <f>(P23+P6)/2</f>
        <v/>
      </c>
      <c r="Q40" s="4">
        <f>(Q23+Q6)/2</f>
        <v/>
      </c>
      <c r="R40" s="62">
        <f>SUM(L40:Q40)</f>
        <v/>
      </c>
      <c r="S40" s="135">
        <f>IF(E40=0,"***",L40/E40)</f>
        <v/>
      </c>
      <c r="T40" s="136">
        <f>IF(F40=0,"***",M40/F40)</f>
        <v/>
      </c>
      <c r="U40" s="136">
        <f>IF(G40=0,"***",N40/G40)</f>
        <v/>
      </c>
      <c r="V40" s="136">
        <f>IF(H40=0,"***",O40/H40)</f>
        <v/>
      </c>
      <c r="W40" s="136">
        <f>IF(I40=0,"***",P40/I40)</f>
        <v/>
      </c>
      <c r="X40" s="136">
        <f>IF(J40=0,"***",Q40/J40)</f>
        <v/>
      </c>
      <c r="Y40" s="137">
        <f>IF(K40=0,"***",R40/K40)</f>
        <v/>
      </c>
    </row>
    <row r="41">
      <c r="C41" s="60" t="inlineStr">
        <is>
          <t>0101 集計</t>
        </is>
      </c>
      <c r="D41" s="22" t="inlineStr">
        <is>
          <t>GS</t>
        </is>
      </c>
      <c r="E41" s="4">
        <f>(E24+E7)/2</f>
        <v/>
      </c>
      <c r="F41" s="4">
        <f>(F24+F7)/2</f>
        <v/>
      </c>
      <c r="G41" s="4">
        <f>(G24+G7)/2</f>
        <v/>
      </c>
      <c r="H41" s="4">
        <f>(H24+H7)/2</f>
        <v/>
      </c>
      <c r="I41" s="4">
        <f>(I24+I7)/2</f>
        <v/>
      </c>
      <c r="J41" s="4">
        <f>(J24+J7)/2</f>
        <v/>
      </c>
      <c r="K41" s="68">
        <f>SUM(E41:J41)</f>
        <v/>
      </c>
      <c r="L41" s="3">
        <f>(L24+L7)/2</f>
        <v/>
      </c>
      <c r="M41" s="4">
        <f>(M24+M7)/2</f>
        <v/>
      </c>
      <c r="N41" s="4">
        <f>(N24+N7)/2</f>
        <v/>
      </c>
      <c r="O41" s="4">
        <f>(O24+O7)/2</f>
        <v/>
      </c>
      <c r="P41" s="4">
        <f>(P24+P7)/2</f>
        <v/>
      </c>
      <c r="Q41" s="4">
        <f>(Q24+Q7)/2</f>
        <v/>
      </c>
      <c r="R41" s="62">
        <f>SUM(L41:Q41)</f>
        <v/>
      </c>
      <c r="S41" s="135">
        <f>IF(E41=0,"***",L41/E41)</f>
        <v/>
      </c>
      <c r="T41" s="136">
        <f>IF(F41=0,"***",M41/F41)</f>
        <v/>
      </c>
      <c r="U41" s="136">
        <f>IF(G41=0,"***",N41/G41)</f>
        <v/>
      </c>
      <c r="V41" s="136">
        <f>IF(H41=0,"***",O41/H41)</f>
        <v/>
      </c>
      <c r="W41" s="136">
        <f>IF(I41=0,"***",P41/I41)</f>
        <v/>
      </c>
      <c r="X41" s="136">
        <f>IF(J41=0,"***",Q41/J41)</f>
        <v/>
      </c>
      <c r="Y41" s="137">
        <f>IF(K41=0,"***",R41/K41)</f>
        <v/>
      </c>
    </row>
    <row r="42">
      <c r="C42" s="60" t="inlineStr">
        <is>
          <t>0106 集計</t>
        </is>
      </c>
      <c r="D42" s="22" t="inlineStr">
        <is>
          <t>浜田荷役</t>
        </is>
      </c>
      <c r="E42" s="4">
        <f>(E25+E8)/2</f>
        <v/>
      </c>
      <c r="F42" s="4">
        <f>(F25+F8)/2</f>
        <v/>
      </c>
      <c r="G42" s="4">
        <f>(G25+G8)/2</f>
        <v/>
      </c>
      <c r="H42" s="4">
        <f>(H25+H8)/2</f>
        <v/>
      </c>
      <c r="I42" s="4">
        <f>(I25+I8)/2</f>
        <v/>
      </c>
      <c r="J42" s="4">
        <f>(J25+J8)/2</f>
        <v/>
      </c>
      <c r="K42" s="68">
        <f>SUM(E42:J42)</f>
        <v/>
      </c>
      <c r="L42" s="3">
        <f>(L25+L8)/2</f>
        <v/>
      </c>
      <c r="M42" s="4">
        <f>(M25+M8)/2</f>
        <v/>
      </c>
      <c r="N42" s="4">
        <f>(N25+N8)/2</f>
        <v/>
      </c>
      <c r="O42" s="4">
        <f>(O25+O8)/2</f>
        <v/>
      </c>
      <c r="P42" s="4">
        <f>(P25+P8)/2</f>
        <v/>
      </c>
      <c r="Q42" s="4">
        <f>(Q25+Q8)/2</f>
        <v/>
      </c>
      <c r="R42" s="62">
        <f>SUM(L42:Q42)</f>
        <v/>
      </c>
      <c r="S42" s="135">
        <f>IF(E42=0,"***",L42/E42)</f>
        <v/>
      </c>
      <c r="T42" s="136">
        <f>IF(F42=0,"***",M42/F42)</f>
        <v/>
      </c>
      <c r="U42" s="136">
        <f>IF(G42=0,"***",N42/G42)</f>
        <v/>
      </c>
      <c r="V42" s="136">
        <f>IF(H42=0,"***",O42/H42)</f>
        <v/>
      </c>
      <c r="W42" s="136">
        <f>IF(I42=0,"***",P42/I42)</f>
        <v/>
      </c>
      <c r="X42" s="136">
        <f>IF(J42=0,"***",Q42/J42)</f>
        <v/>
      </c>
      <c r="Y42" s="137">
        <f>IF(K42=0,"***",R42/K42)</f>
        <v/>
      </c>
    </row>
    <row r="43">
      <c r="C43" s="60" t="inlineStr">
        <is>
          <t>浜田水産部合計</t>
        </is>
      </c>
      <c r="D43" s="22" t="n"/>
      <c r="E43" s="4">
        <f>SUM(E39:E42)</f>
        <v/>
      </c>
      <c r="F43" s="4">
        <f>SUM(F39:F42)</f>
        <v/>
      </c>
      <c r="G43" s="4">
        <f>SUM(G39:G42)</f>
        <v/>
      </c>
      <c r="H43" s="4">
        <f>SUM(H39:H42)</f>
        <v/>
      </c>
      <c r="I43" s="4">
        <f>SUM(I39:I42)</f>
        <v/>
      </c>
      <c r="J43" s="4">
        <f>SUM(J39:J42)</f>
        <v/>
      </c>
      <c r="K43" s="68">
        <f>SUM(E43:J43)</f>
        <v/>
      </c>
      <c r="L43" s="3">
        <f>SUM(L39:L42)</f>
        <v/>
      </c>
      <c r="M43" s="4">
        <f>SUM(M39:M42)</f>
        <v/>
      </c>
      <c r="N43" s="4">
        <f>SUM(N39:N42)</f>
        <v/>
      </c>
      <c r="O43" s="4">
        <f>SUM(O39:O42)</f>
        <v/>
      </c>
      <c r="P43" s="4">
        <f>SUM(P39:P42)</f>
        <v/>
      </c>
      <c r="Q43" s="4">
        <f>SUM(Q39:Q42)</f>
        <v/>
      </c>
      <c r="R43" s="62">
        <f>SUM(L43:Q43)</f>
        <v/>
      </c>
      <c r="S43" s="135">
        <f>IF(E43=0,"***",L43/E43)</f>
        <v/>
      </c>
      <c r="T43" s="136">
        <f>IF(F43=0,"***",M43/F43)</f>
        <v/>
      </c>
      <c r="U43" s="136">
        <f>IF(G43=0,"***",N43/G43)</f>
        <v/>
      </c>
      <c r="V43" s="136">
        <f>IF(H43=0,"***",O43/H43)</f>
        <v/>
      </c>
      <c r="W43" s="136">
        <f>IF(I43=0,"***",P43/I43)</f>
        <v/>
      </c>
      <c r="X43" s="136">
        <f>IF(J43=0,"***",Q43/J43)</f>
        <v/>
      </c>
      <c r="Y43" s="137">
        <f>IF(K43=0,"***",R43/K43)</f>
        <v/>
      </c>
    </row>
    <row r="44">
      <c r="C44" s="60" t="inlineStr">
        <is>
          <t>0102 集計</t>
        </is>
      </c>
      <c r="D44" s="22" t="inlineStr">
        <is>
          <t>JF大田</t>
        </is>
      </c>
      <c r="E44" s="4">
        <f>(E27+E10)/2</f>
        <v/>
      </c>
      <c r="F44" s="4">
        <f>(F27+F10)/2</f>
        <v/>
      </c>
      <c r="G44" s="4">
        <f>(G27+G10)/2</f>
        <v/>
      </c>
      <c r="H44" s="4">
        <f>(H27+H10)/2</f>
        <v/>
      </c>
      <c r="I44" s="4">
        <f>(I27+I10)/2</f>
        <v/>
      </c>
      <c r="J44" s="4">
        <f>(J27+J10)/2</f>
        <v/>
      </c>
      <c r="K44" s="68">
        <f>SUM(E44:J44)</f>
        <v/>
      </c>
      <c r="L44" s="3">
        <f>(L27+L10)/2</f>
        <v/>
      </c>
      <c r="M44" s="4">
        <f>(M27+M10)/2</f>
        <v/>
      </c>
      <c r="N44" s="4">
        <f>(N27+N10)/2</f>
        <v/>
      </c>
      <c r="O44" s="4">
        <f>(O27+O10)/2</f>
        <v/>
      </c>
      <c r="P44" s="4">
        <f>(P27+P10)/2</f>
        <v/>
      </c>
      <c r="Q44" s="4">
        <f>(Q27+Q10)/2</f>
        <v/>
      </c>
      <c r="R44" s="62">
        <f>SUM(L44:Q44)</f>
        <v/>
      </c>
      <c r="S44" s="135">
        <f>IF(E44=0,"***",L44/E44)</f>
        <v/>
      </c>
      <c r="T44" s="136">
        <f>IF(F44=0,"***",M44/F44)</f>
        <v/>
      </c>
      <c r="U44" s="136">
        <f>IF(G44=0,"***",N44/G44)</f>
        <v/>
      </c>
      <c r="V44" s="136">
        <f>IF(H44=0,"***",O44/H44)</f>
        <v/>
      </c>
      <c r="W44" s="136">
        <f>IF(I44=0,"***",P44/I44)</f>
        <v/>
      </c>
      <c r="X44" s="136">
        <f>IF(J44=0,"***",Q44/J44)</f>
        <v/>
      </c>
      <c r="Y44" s="137">
        <f>IF(K44=0,"***",R44/K44)</f>
        <v/>
      </c>
    </row>
    <row r="45">
      <c r="C45" s="60" t="inlineStr">
        <is>
          <t>0104 集計</t>
        </is>
      </c>
      <c r="D45" s="22" t="inlineStr">
        <is>
          <t>大田荷役</t>
        </is>
      </c>
      <c r="E45" s="4">
        <f>(E28+E11)/2</f>
        <v/>
      </c>
      <c r="F45" s="4">
        <f>(F28+F11)/2</f>
        <v/>
      </c>
      <c r="G45" s="4">
        <f>(G28+G11)/2</f>
        <v/>
      </c>
      <c r="H45" s="4">
        <f>(H28+H11)/2</f>
        <v/>
      </c>
      <c r="I45" s="4">
        <f>(I28+I11)/2</f>
        <v/>
      </c>
      <c r="J45" s="4">
        <f>(J28+J11)/2</f>
        <v/>
      </c>
      <c r="K45" s="68">
        <f>SUM(E45:J45)</f>
        <v/>
      </c>
      <c r="L45" s="3">
        <f>(L28+L11)/2</f>
        <v/>
      </c>
      <c r="M45" s="4">
        <f>(M28+M11)/2</f>
        <v/>
      </c>
      <c r="N45" s="4">
        <f>(N28+N11)/2</f>
        <v/>
      </c>
      <c r="O45" s="4">
        <f>(O28+O11)/2</f>
        <v/>
      </c>
      <c r="P45" s="4">
        <f>(P28+P11)/2</f>
        <v/>
      </c>
      <c r="Q45" s="4">
        <f>(Q28+Q11)/2</f>
        <v/>
      </c>
      <c r="R45" s="62">
        <f>SUM(L45:Q45)</f>
        <v/>
      </c>
      <c r="S45" s="135">
        <f>IF(E45=0,"***",L45/E45)</f>
        <v/>
      </c>
      <c r="T45" s="136">
        <f>IF(F45=0,"***",M45/F45)</f>
        <v/>
      </c>
      <c r="U45" s="136">
        <f>IF(G45=0,"***",N45/G45)</f>
        <v/>
      </c>
      <c r="V45" s="136">
        <f>IF(H45=0,"***",O45/H45)</f>
        <v/>
      </c>
      <c r="W45" s="136">
        <f>IF(I45=0,"***",P45/I45)</f>
        <v/>
      </c>
      <c r="X45" s="136">
        <f>IF(J45=0,"***",Q45/J45)</f>
        <v/>
      </c>
      <c r="Y45" s="137">
        <f>IF(K45=0,"***",R45/K45)</f>
        <v/>
      </c>
    </row>
    <row r="46">
      <c r="C46" s="60" t="inlineStr">
        <is>
          <t>大田水産部</t>
        </is>
      </c>
      <c r="D46" s="22" t="n"/>
      <c r="E46" s="20">
        <f>SUM(E44:E45)</f>
        <v/>
      </c>
      <c r="F46" s="20">
        <f>SUM(F44:F45)</f>
        <v/>
      </c>
      <c r="G46" s="20">
        <f>SUM(G44:G45)</f>
        <v/>
      </c>
      <c r="H46" s="20">
        <f>SUM(H44:H45)</f>
        <v/>
      </c>
      <c r="I46" s="20">
        <f>SUM(I44:I45)</f>
        <v/>
      </c>
      <c r="J46" s="20">
        <f>SUM(J44:J45)</f>
        <v/>
      </c>
      <c r="K46" s="68">
        <f>SUM(K44:K45)</f>
        <v/>
      </c>
      <c r="L46" s="3">
        <f>SUM(L44:L45)</f>
        <v/>
      </c>
      <c r="M46" s="20">
        <f>SUM(M44:M45)</f>
        <v/>
      </c>
      <c r="N46" s="20">
        <f>SUM(N44:N45)</f>
        <v/>
      </c>
      <c r="O46" s="20">
        <f>SUM(O44:O45)</f>
        <v/>
      </c>
      <c r="P46" s="20">
        <f>SUM(P44:P45)</f>
        <v/>
      </c>
      <c r="Q46" s="20">
        <f>SUM(Q44:Q45)</f>
        <v/>
      </c>
      <c r="R46" s="62">
        <f>SUM(R44:R45)</f>
        <v/>
      </c>
      <c r="S46" s="135">
        <f>IF(E46=0,"***",L46/E46)</f>
        <v/>
      </c>
      <c r="T46" s="136">
        <f>IF(F46=0,"***",M46/F46)</f>
        <v/>
      </c>
      <c r="U46" s="136">
        <f>IF(G46=0,"***",N46/G46)</f>
        <v/>
      </c>
      <c r="V46" s="136">
        <f>IF(H46=0,"***",O46/H46)</f>
        <v/>
      </c>
      <c r="W46" s="136">
        <f>IF(I46=0,"***",P46/I46)</f>
        <v/>
      </c>
      <c r="X46" s="136">
        <f>IF(J46=0,"***",Q46/J46)</f>
        <v/>
      </c>
      <c r="Y46" s="137">
        <f>IF(K46=0,"***",R46/K46)</f>
        <v/>
      </c>
    </row>
    <row r="47">
      <c r="C47" s="60" t="inlineStr">
        <is>
          <t>0031 集計</t>
        </is>
      </c>
      <c r="D47" s="22" t="inlineStr">
        <is>
          <t>JF境</t>
        </is>
      </c>
      <c r="E47" s="20">
        <f>(E30+E13)/2</f>
        <v/>
      </c>
      <c r="F47" s="20">
        <f>(F30+F13)/2</f>
        <v/>
      </c>
      <c r="G47" s="20">
        <f>(G30+G13)/2</f>
        <v/>
      </c>
      <c r="H47" s="20">
        <f>(H30+H13)/2</f>
        <v/>
      </c>
      <c r="I47" s="20">
        <f>(I30+I13)/2</f>
        <v/>
      </c>
      <c r="J47" s="20">
        <f>(J30+J13)/2</f>
        <v/>
      </c>
      <c r="K47" s="68">
        <f>SUM(E47:J47)</f>
        <v/>
      </c>
      <c r="L47" s="3">
        <f>(L30+L13)/2</f>
        <v/>
      </c>
      <c r="M47" s="20">
        <f>(M30+M13)/2</f>
        <v/>
      </c>
      <c r="N47" s="20">
        <f>(N30+N13)/2</f>
        <v/>
      </c>
      <c r="O47" s="20">
        <f>(O30+O13)/2</f>
        <v/>
      </c>
      <c r="P47" s="20">
        <f>(P30+P13)/2</f>
        <v/>
      </c>
      <c r="Q47" s="20">
        <f>(Q30+Q13)/2</f>
        <v/>
      </c>
      <c r="R47" s="62">
        <f>SUM(L47:Q47)</f>
        <v/>
      </c>
      <c r="S47" s="135">
        <f>IF(E47=0,"***",L47/E47)</f>
        <v/>
      </c>
      <c r="T47" s="136">
        <f>IF(F47=0,"***",M47/F47)</f>
        <v/>
      </c>
      <c r="U47" s="136">
        <f>IF(G47=0,"***",N47/G47)</f>
        <v/>
      </c>
      <c r="V47" s="136">
        <f>IF(H47=0,"***",O47/H47)</f>
        <v/>
      </c>
      <c r="W47" s="136">
        <f>IF(I47=0,"***",P47/I47)</f>
        <v/>
      </c>
      <c r="X47" s="136">
        <f>IF(J47=0,"***",Q47/J47)</f>
        <v/>
      </c>
      <c r="Y47" s="137">
        <f>IF(K47=0,"***",R47/K47)</f>
        <v/>
      </c>
    </row>
    <row r="48">
      <c r="C48" s="60" t="inlineStr">
        <is>
          <t>0038 集計</t>
        </is>
      </c>
      <c r="D48" s="83" t="inlineStr">
        <is>
          <t>境その他</t>
        </is>
      </c>
      <c r="E48" s="20">
        <f>(E31+E14)/2</f>
        <v/>
      </c>
      <c r="F48" s="20">
        <f>(F31+F14)/2</f>
        <v/>
      </c>
      <c r="G48" s="20">
        <f>(G31+G14)/2</f>
        <v/>
      </c>
      <c r="H48" s="20">
        <f>(H31+H14)/2</f>
        <v/>
      </c>
      <c r="I48" s="20">
        <f>(I31+I14)/2</f>
        <v/>
      </c>
      <c r="J48" s="20">
        <f>(J31+J14)/2</f>
        <v/>
      </c>
      <c r="K48" s="68">
        <f>SUM(E48:J48)</f>
        <v/>
      </c>
      <c r="L48" s="3">
        <f>(L31+L14)/2</f>
        <v/>
      </c>
      <c r="M48" s="20">
        <f>(M31+M14)/2</f>
        <v/>
      </c>
      <c r="N48" s="20">
        <f>(N31+N14)/2</f>
        <v/>
      </c>
      <c r="O48" s="20">
        <f>(O31+O14)/2</f>
        <v/>
      </c>
      <c r="P48" s="20">
        <f>(P31+P14)/2</f>
        <v/>
      </c>
      <c r="Q48" s="20">
        <f>(Q31+Q14)/2</f>
        <v/>
      </c>
      <c r="R48" s="62">
        <f>SUM(L48:Q48)</f>
        <v/>
      </c>
      <c r="S48" s="135">
        <f>IF(E48=0,"***",L48/E48)</f>
        <v/>
      </c>
      <c r="T48" s="136">
        <f>IF(F48=0,"***",M48/F48)</f>
        <v/>
      </c>
      <c r="U48" s="136">
        <f>IF(G48=0,"***",N48/G48)</f>
        <v/>
      </c>
      <c r="V48" s="136">
        <f>IF(H48=0,"***",O48/H48)</f>
        <v/>
      </c>
      <c r="W48" s="136">
        <f>IF(I48=0,"***",P48/I48)</f>
        <v/>
      </c>
      <c r="X48" s="136">
        <f>IF(J48=0,"***",Q48/J48)</f>
        <v/>
      </c>
      <c r="Y48" s="137">
        <f>IF(K48=0,"***",R48/K48)</f>
        <v/>
      </c>
    </row>
    <row r="49">
      <c r="C49" s="82" t="inlineStr">
        <is>
          <t>境港水産部合計</t>
        </is>
      </c>
      <c r="D49" s="83" t="n"/>
      <c r="E49" s="20">
        <f>SUM(E47:E48)</f>
        <v/>
      </c>
      <c r="F49" s="20">
        <f>SUM(F47:F48)</f>
        <v/>
      </c>
      <c r="G49" s="20">
        <f>SUM(G47:G48)</f>
        <v/>
      </c>
      <c r="H49" s="20">
        <f>SUM(H47:H48)</f>
        <v/>
      </c>
      <c r="I49" s="20">
        <f>SUM(I47:I48)</f>
        <v/>
      </c>
      <c r="J49" s="20">
        <f>SUM(J47:J48)</f>
        <v/>
      </c>
      <c r="K49" s="68">
        <f>SUM(E49:J49)</f>
        <v/>
      </c>
      <c r="L49" s="3">
        <f>SUM(L47:L48)</f>
        <v/>
      </c>
      <c r="M49" s="20">
        <f>SUM(M47:M48)</f>
        <v/>
      </c>
      <c r="N49" s="20">
        <f>SUM(N47:N48)</f>
        <v/>
      </c>
      <c r="O49" s="20">
        <f>SUM(O47:O48)</f>
        <v/>
      </c>
      <c r="P49" s="20">
        <f>SUM(P47:P48)</f>
        <v/>
      </c>
      <c r="Q49" s="20">
        <f>SUM(Q47:Q48)</f>
        <v/>
      </c>
      <c r="R49" s="62">
        <f>SUM(L49:Q49)</f>
        <v/>
      </c>
      <c r="S49" s="135">
        <f>IF(E49=0,"***",L49/E49)</f>
        <v/>
      </c>
      <c r="T49" s="136">
        <f>IF(F49=0,"***",M49/F49)</f>
        <v/>
      </c>
      <c r="U49" s="136">
        <f>IF(G49=0,"***",N49/G49)</f>
        <v/>
      </c>
      <c r="V49" s="136">
        <f>IF(H49=0,"***",O49/H49)</f>
        <v/>
      </c>
      <c r="W49" s="136">
        <f>IF(I49=0,"***",P49/I49)</f>
        <v/>
      </c>
      <c r="X49" s="136">
        <f>IF(J49=0,"***",Q49/J49)</f>
        <v/>
      </c>
      <c r="Y49" s="137">
        <f>IF(K49=0,"***",R49/K49)</f>
        <v/>
      </c>
    </row>
    <row r="50">
      <c r="C50" s="53" t="inlineStr">
        <is>
          <t>合計</t>
        </is>
      </c>
      <c r="D50" s="54" t="n"/>
      <c r="E50" s="63">
        <f>E43+E46+E49</f>
        <v/>
      </c>
      <c r="F50" s="8">
        <f>F43+F46+F49</f>
        <v/>
      </c>
      <c r="G50" s="8">
        <f>G43+G46+G49</f>
        <v/>
      </c>
      <c r="H50" s="8">
        <f>H43+H46+H49</f>
        <v/>
      </c>
      <c r="I50" s="8">
        <f>I43+I46+I49</f>
        <v/>
      </c>
      <c r="J50" s="8">
        <f>J43+J46+J49</f>
        <v/>
      </c>
      <c r="K50" s="69">
        <f>K43+K46+K49</f>
        <v/>
      </c>
      <c r="L50" s="63">
        <f>L43+L46+L49</f>
        <v/>
      </c>
      <c r="M50" s="8">
        <f>M43+M46+M49</f>
        <v/>
      </c>
      <c r="N50" s="8">
        <f>N43+N46+N49</f>
        <v/>
      </c>
      <c r="O50" s="8">
        <f>O43+O46+O49</f>
        <v/>
      </c>
      <c r="P50" s="8">
        <f>P43+P46+P49</f>
        <v/>
      </c>
      <c r="Q50" s="8">
        <f>Q43+Q46+Q49</f>
        <v/>
      </c>
      <c r="R50" s="64">
        <f>R43+R46+R49</f>
        <v/>
      </c>
      <c r="S50" s="138">
        <f>IF(E50=0,"***",L50/E50)</f>
        <v/>
      </c>
      <c r="T50" s="139">
        <f>IF(F50=0,"***",M50/F50)</f>
        <v/>
      </c>
      <c r="U50" s="139">
        <f>IF(G50=0,"***",N50/G50)</f>
        <v/>
      </c>
      <c r="V50" s="139">
        <f>IF(H50=0,"***",O50/H50)</f>
        <v/>
      </c>
      <c r="W50" s="139">
        <f>IF(I50=0,"***",P50/I50)</f>
        <v/>
      </c>
      <c r="X50" s="139">
        <f>IF(J50=0,"***",Q50/J50)</f>
        <v/>
      </c>
      <c r="Y50" s="140">
        <f>IF(K50=0,"***",R50/K50)</f>
        <v/>
      </c>
    </row>
    <row r="51">
      <c r="C51" s="74" t="inlineStr">
        <is>
          <t>【参考】大海分</t>
        </is>
      </c>
      <c r="D51" s="75" t="n"/>
      <c r="E51" s="98">
        <f>(E34+E17)/2</f>
        <v/>
      </c>
      <c r="F51" s="98">
        <f>(F34+F17)/2</f>
        <v/>
      </c>
      <c r="G51" s="98">
        <f>(G34+G17)/2</f>
        <v/>
      </c>
      <c r="H51" s="98">
        <f>(H34+H17)/2</f>
        <v/>
      </c>
      <c r="I51" s="98">
        <f>(I34+I17)/2</f>
        <v/>
      </c>
      <c r="J51" s="98">
        <f>(J34+J17)/2</f>
        <v/>
      </c>
      <c r="K51" s="106">
        <f>SUM(E51:J51)</f>
        <v/>
      </c>
      <c r="L51" s="5">
        <f>(L34+L17)/2</f>
        <v/>
      </c>
      <c r="M51" s="98">
        <f>(M34+M17)/2</f>
        <v/>
      </c>
      <c r="N51" s="98">
        <f>(N34+N17)/2</f>
        <v/>
      </c>
      <c r="O51" s="98">
        <f>(O34+O17)/2</f>
        <v/>
      </c>
      <c r="P51" s="98">
        <f>(P34+P17)/2</f>
        <v/>
      </c>
      <c r="Q51" s="98">
        <f>(Q34+Q17)/2</f>
        <v/>
      </c>
      <c r="R51" s="99">
        <f>SUM(L51:Q51)</f>
        <v/>
      </c>
      <c r="S51" s="141">
        <f>IF(E51=0,"***",L51/E51)</f>
        <v/>
      </c>
      <c r="T51" s="142">
        <f>IF(F51=0,"***",M51/F51)</f>
        <v/>
      </c>
      <c r="U51" s="142">
        <f>IF(G51=0,"***",N51/G51)</f>
        <v/>
      </c>
      <c r="V51" s="142">
        <f>IF(H51=0,"***",O51/H51)</f>
        <v/>
      </c>
      <c r="W51" s="142">
        <f>IF(I51=0,"***",P51/I51)</f>
        <v/>
      </c>
      <c r="X51" s="142">
        <f>IF(J51=0,"***",Q51/J51)</f>
        <v/>
      </c>
      <c r="Y51" s="143">
        <f>IF(K51=0,"***",R51/K51)</f>
        <v/>
      </c>
    </row>
    <row r="52">
      <c r="E52" s="17" t="n"/>
      <c r="F52" s="17" t="n"/>
      <c r="G52" s="17" t="n"/>
      <c r="H52" s="17" t="n"/>
      <c r="I52" s="17" t="n"/>
      <c r="J52" s="17" t="n"/>
      <c r="K52" s="18" t="n"/>
      <c r="L52" s="17" t="n"/>
      <c r="M52" s="17" t="n"/>
      <c r="N52" s="17" t="n"/>
      <c r="O52" s="17" t="n"/>
      <c r="P52" s="17" t="n"/>
      <c r="Q52" s="17" t="n"/>
      <c r="R52" s="18" t="n"/>
      <c r="S52" s="144" t="n"/>
      <c r="T52" s="144" t="n"/>
      <c r="U52" s="144" t="n"/>
      <c r="V52" s="144" t="n"/>
      <c r="W52" s="144" t="n"/>
      <c r="X52" s="144" t="n"/>
      <c r="Y52" s="144" t="n"/>
    </row>
    <row r="53">
      <c r="C53" s="18" t="inlineStr">
        <is>
          <t>4．計画</t>
        </is>
      </c>
    </row>
    <row r="54">
      <c r="C54" s="117" t="n"/>
      <c r="D54" s="118" t="n"/>
      <c r="E54" s="117" t="inlineStr">
        <is>
          <t>売上</t>
        </is>
      </c>
      <c r="F54" s="120" t="n"/>
      <c r="G54" s="120" t="n"/>
      <c r="H54" s="120" t="n"/>
      <c r="I54" s="120" t="n"/>
      <c r="J54" s="120" t="n"/>
      <c r="K54" s="118" t="n"/>
      <c r="L54" s="119" t="inlineStr">
        <is>
          <t>粗利益</t>
        </is>
      </c>
      <c r="M54" s="120" t="n"/>
      <c r="N54" s="120" t="n"/>
      <c r="O54" s="120" t="n"/>
      <c r="P54" s="120" t="n"/>
      <c r="Q54" s="120" t="n"/>
      <c r="R54" s="118" t="n"/>
      <c r="S54" s="119" t="inlineStr">
        <is>
          <t>粗利益率</t>
        </is>
      </c>
      <c r="T54" s="120" t="n"/>
      <c r="U54" s="120" t="n"/>
      <c r="V54" s="120" t="n"/>
      <c r="W54" s="120" t="n"/>
      <c r="X54" s="120" t="n"/>
      <c r="Y54" s="118" t="n"/>
    </row>
    <row r="55">
      <c r="C55" s="1" t="n"/>
      <c r="D55" s="21" t="n"/>
      <c r="E55" s="61" t="n">
        <v>46113</v>
      </c>
      <c r="F55" s="2" t="n">
        <v>46143</v>
      </c>
      <c r="G55" s="2" t="n">
        <v>46174</v>
      </c>
      <c r="H55" s="2" t="n">
        <v>46204</v>
      </c>
      <c r="I55" s="2" t="n">
        <v>46235</v>
      </c>
      <c r="J55" s="2" t="n">
        <v>46266</v>
      </c>
      <c r="K55" s="10" t="inlineStr">
        <is>
          <t>合計</t>
        </is>
      </c>
      <c r="L55" s="95" t="n">
        <v>46113</v>
      </c>
      <c r="M55" s="2" t="n">
        <v>46143</v>
      </c>
      <c r="N55" s="2" t="n">
        <v>46174</v>
      </c>
      <c r="O55" s="2" t="n">
        <v>46204</v>
      </c>
      <c r="P55" s="2" t="n">
        <v>46235</v>
      </c>
      <c r="Q55" s="2" t="n">
        <v>46266</v>
      </c>
      <c r="R55" s="10" t="inlineStr">
        <is>
          <t>合計</t>
        </is>
      </c>
      <c r="S55" s="95" t="n">
        <v>46113</v>
      </c>
      <c r="T55" s="2" t="n">
        <v>46143</v>
      </c>
      <c r="U55" s="2" t="n">
        <v>46174</v>
      </c>
      <c r="V55" s="2" t="n">
        <v>46204</v>
      </c>
      <c r="W55" s="2" t="n">
        <v>46235</v>
      </c>
      <c r="X55" s="2" t="n">
        <v>46266</v>
      </c>
      <c r="Y55" s="10" t="inlineStr">
        <is>
          <t>合計</t>
        </is>
      </c>
    </row>
    <row r="56">
      <c r="C56" s="60" t="inlineStr">
        <is>
          <t>0010 集計</t>
        </is>
      </c>
      <c r="D56" s="22" t="inlineStr">
        <is>
          <t>JF</t>
        </is>
      </c>
      <c r="E56" s="3" t="n">
        <v>8690</v>
      </c>
      <c r="F56" s="20" t="n">
        <v>4400</v>
      </c>
      <c r="G56" s="20" t="n">
        <v>2060</v>
      </c>
      <c r="H56" s="20" t="n">
        <v>2900</v>
      </c>
      <c r="I56" s="20" t="n">
        <v>5310</v>
      </c>
      <c r="J56" s="20" t="n">
        <v>8440</v>
      </c>
      <c r="K56" s="62">
        <f>SUM(E56:J56)</f>
        <v/>
      </c>
      <c r="L56" s="20" t="n">
        <v>2370</v>
      </c>
      <c r="M56" s="4" t="n">
        <v>1310</v>
      </c>
      <c r="N56" s="4" t="n">
        <v>540</v>
      </c>
      <c r="O56" s="20" t="n">
        <v>650</v>
      </c>
      <c r="P56" s="4" t="n">
        <v>1460</v>
      </c>
      <c r="Q56" s="4" t="n">
        <v>1690</v>
      </c>
      <c r="R56" s="62">
        <f>SUM(L56:Q56)</f>
        <v/>
      </c>
      <c r="S56" s="135">
        <f>IF(E56=0,"***",L56/E56)</f>
        <v/>
      </c>
      <c r="T56" s="136">
        <f>IF(F56=0,"***",M56/F56)</f>
        <v/>
      </c>
      <c r="U56" s="136">
        <f>IF(G56=0,"***",N56/G56)</f>
        <v/>
      </c>
      <c r="V56" s="136">
        <f>IF(H56=0,"***",O56/H56)</f>
        <v/>
      </c>
      <c r="W56" s="136">
        <f>IF(I56=0,"***",P56/I56)</f>
        <v/>
      </c>
      <c r="X56" s="136">
        <f>IF(J56=0,"***",Q56/J56)</f>
        <v/>
      </c>
      <c r="Y56" s="137">
        <f>IF(K56=0,"***",R56/K56)</f>
        <v/>
      </c>
    </row>
    <row r="57">
      <c r="C57" s="60" t="inlineStr">
        <is>
          <t>0017 集計</t>
        </is>
      </c>
      <c r="D57" s="22" t="inlineStr">
        <is>
          <t>鮮魚</t>
        </is>
      </c>
      <c r="E57" s="3" t="n">
        <v>3810</v>
      </c>
      <c r="F57" s="20" t="n">
        <v>3300</v>
      </c>
      <c r="G57" s="20" t="n">
        <v>4690</v>
      </c>
      <c r="H57" s="20" t="n">
        <v>3660</v>
      </c>
      <c r="I57" s="20" t="n">
        <v>2900</v>
      </c>
      <c r="J57" s="20" t="n">
        <v>5110</v>
      </c>
      <c r="K57" s="62">
        <f>SUM(E57:J57)</f>
        <v/>
      </c>
      <c r="L57" s="20" t="n">
        <v>1140</v>
      </c>
      <c r="M57" s="4" t="n">
        <v>990</v>
      </c>
      <c r="N57" s="4" t="n">
        <v>1410</v>
      </c>
      <c r="O57" s="20" t="n">
        <v>1100</v>
      </c>
      <c r="P57" s="4" t="n">
        <v>870</v>
      </c>
      <c r="Q57" s="4" t="n">
        <v>1530</v>
      </c>
      <c r="R57" s="62">
        <f>SUM(L57:Q57)</f>
        <v/>
      </c>
      <c r="S57" s="135">
        <f>IF(E57=0,"***",L57/E57)</f>
        <v/>
      </c>
      <c r="T57" s="136">
        <f>IF(F57=0,"***",M57/F57)</f>
        <v/>
      </c>
      <c r="U57" s="136">
        <f>IF(G57=0,"***",N57/G57)</f>
        <v/>
      </c>
      <c r="V57" s="136">
        <f>IF(H57=0,"***",O57/H57)</f>
        <v/>
      </c>
      <c r="W57" s="136">
        <f>IF(I57=0,"***",P57/I57)</f>
        <v/>
      </c>
      <c r="X57" s="136">
        <f>IF(J57=0,"***",Q57/J57)</f>
        <v/>
      </c>
      <c r="Y57" s="137">
        <f>IF(K57=0,"***",R57/K57)</f>
        <v/>
      </c>
    </row>
    <row r="58">
      <c r="C58" s="60" t="inlineStr">
        <is>
          <t>0101 集計</t>
        </is>
      </c>
      <c r="D58" s="22" t="inlineStr">
        <is>
          <t>GS</t>
        </is>
      </c>
      <c r="E58" s="3" t="n">
        <v>580</v>
      </c>
      <c r="F58" s="20" t="n">
        <v>380</v>
      </c>
      <c r="G58" s="20" t="n">
        <v>50</v>
      </c>
      <c r="H58" s="20" t="n">
        <v>40</v>
      </c>
      <c r="I58" s="20" t="n">
        <v>600</v>
      </c>
      <c r="J58" s="20" t="n">
        <v>520</v>
      </c>
      <c r="K58" s="62">
        <f>SUM(E58:J58)</f>
        <v/>
      </c>
      <c r="L58" s="20" t="n">
        <v>260</v>
      </c>
      <c r="M58" s="4" t="n">
        <v>170</v>
      </c>
      <c r="N58" s="4" t="n">
        <v>20</v>
      </c>
      <c r="O58" s="20" t="n">
        <v>20</v>
      </c>
      <c r="P58" s="4" t="n">
        <v>300</v>
      </c>
      <c r="Q58" s="4" t="n">
        <v>360</v>
      </c>
      <c r="R58" s="62">
        <f>SUM(L58:Q58)</f>
        <v/>
      </c>
      <c r="S58" s="135">
        <f>IF(E58=0,"***",L58/E58)</f>
        <v/>
      </c>
      <c r="T58" s="136">
        <f>IF(F58=0,"***",M58/F58)</f>
        <v/>
      </c>
      <c r="U58" s="136">
        <f>IF(G58=0,"***",N58/G58)</f>
        <v/>
      </c>
      <c r="V58" s="136">
        <f>IF(H58=0,"***",O58/H58)</f>
        <v/>
      </c>
      <c r="W58" s="136">
        <f>IF(I58=0,"***",P58/I58)</f>
        <v/>
      </c>
      <c r="X58" s="136">
        <f>IF(J58=0,"***",Q58/J58)</f>
        <v/>
      </c>
      <c r="Y58" s="137">
        <f>IF(K58=0,"***",R58/K58)</f>
        <v/>
      </c>
    </row>
    <row r="59">
      <c r="C59" s="60" t="inlineStr">
        <is>
          <t>0106 集計</t>
        </is>
      </c>
      <c r="D59" s="22" t="inlineStr">
        <is>
          <t>浜田荷役</t>
        </is>
      </c>
      <c r="E59" s="3" t="n">
        <v>3680</v>
      </c>
      <c r="F59" s="20" t="n">
        <v>5200</v>
      </c>
      <c r="G59" s="20" t="n">
        <v>4720</v>
      </c>
      <c r="H59" s="20" t="n">
        <v>3850</v>
      </c>
      <c r="I59" s="20" t="n">
        <v>2300</v>
      </c>
      <c r="J59" s="20" t="n">
        <v>3540</v>
      </c>
      <c r="K59" s="62">
        <f>SUM(E59:J59)</f>
        <v/>
      </c>
      <c r="L59" s="20" t="n">
        <v>1940</v>
      </c>
      <c r="M59" s="4" t="n">
        <v>2700</v>
      </c>
      <c r="N59" s="4" t="n">
        <v>1890</v>
      </c>
      <c r="O59" s="20" t="n">
        <v>1930</v>
      </c>
      <c r="P59" s="4" t="n">
        <v>1250</v>
      </c>
      <c r="Q59" s="4" t="n">
        <v>1770</v>
      </c>
      <c r="R59" s="62">
        <f>SUM(L59:Q59)</f>
        <v/>
      </c>
      <c r="S59" s="135">
        <f>IF(E59=0,"***",L59/E59)</f>
        <v/>
      </c>
      <c r="T59" s="136">
        <f>IF(F59=0,"***",M59/F59)</f>
        <v/>
      </c>
      <c r="U59" s="136">
        <f>IF(G59=0,"***",N59/G59)</f>
        <v/>
      </c>
      <c r="V59" s="136">
        <f>IF(H59=0,"***",O59/H59)</f>
        <v/>
      </c>
      <c r="W59" s="136">
        <f>IF(I59=0,"***",P59/I59)</f>
        <v/>
      </c>
      <c r="X59" s="136">
        <f>IF(J59=0,"***",Q59/J59)</f>
        <v/>
      </c>
      <c r="Y59" s="137">
        <f>IF(K59=0,"***",R59/K59)</f>
        <v/>
      </c>
    </row>
    <row r="60">
      <c r="C60" s="60" t="inlineStr">
        <is>
          <t>浜田水産部合計</t>
        </is>
      </c>
      <c r="D60" s="22" t="n"/>
      <c r="E60" s="3">
        <f>SUM(E56:E59)</f>
        <v/>
      </c>
      <c r="F60" s="4">
        <f>SUM(F56:F59)</f>
        <v/>
      </c>
      <c r="G60" s="4">
        <f>SUM(G56:G59)</f>
        <v/>
      </c>
      <c r="H60" s="4">
        <f>SUM(H56:H59)</f>
        <v/>
      </c>
      <c r="I60" s="4">
        <f>SUM(I56:I59)</f>
        <v/>
      </c>
      <c r="J60" s="4">
        <f>SUM(J56:J59)</f>
        <v/>
      </c>
      <c r="K60" s="62">
        <f>SUM(E60:J60)</f>
        <v/>
      </c>
      <c r="L60" s="20">
        <f>SUM(L56:L59)</f>
        <v/>
      </c>
      <c r="M60" s="4">
        <f>SUM(M56:M59)</f>
        <v/>
      </c>
      <c r="N60" s="4">
        <f>SUM(N56:N59)</f>
        <v/>
      </c>
      <c r="O60" s="4">
        <f>SUM(O56:O59)</f>
        <v/>
      </c>
      <c r="P60" s="4">
        <f>SUM(P56:P59)</f>
        <v/>
      </c>
      <c r="Q60" s="4">
        <f>SUM(Q56:Q59)</f>
        <v/>
      </c>
      <c r="R60" s="62">
        <f>SUM(L60:Q60)</f>
        <v/>
      </c>
      <c r="S60" s="135">
        <f>IF(E60=0,"***",L60/E60)</f>
        <v/>
      </c>
      <c r="T60" s="136">
        <f>IF(F60=0,"***",M60/F60)</f>
        <v/>
      </c>
      <c r="U60" s="136">
        <f>IF(G60=0,"***",N60/G60)</f>
        <v/>
      </c>
      <c r="V60" s="136">
        <f>IF(H60=0,"***",O60/H60)</f>
        <v/>
      </c>
      <c r="W60" s="136">
        <f>IF(I60=0,"***",P60/I60)</f>
        <v/>
      </c>
      <c r="X60" s="136">
        <f>IF(J60=0,"***",Q60/J60)</f>
        <v/>
      </c>
      <c r="Y60" s="137">
        <f>IF(K60=0,"***",R60/K60)</f>
        <v/>
      </c>
    </row>
    <row r="61">
      <c r="C61" s="60" t="inlineStr">
        <is>
          <t>0102 集計</t>
        </is>
      </c>
      <c r="D61" s="22" t="inlineStr">
        <is>
          <t>JF大田</t>
        </is>
      </c>
      <c r="E61" s="3" t="n">
        <v>5500</v>
      </c>
      <c r="F61" s="20" t="n">
        <v>6400</v>
      </c>
      <c r="G61" s="20" t="n">
        <v>6700</v>
      </c>
      <c r="H61" s="20" t="n">
        <v>4800</v>
      </c>
      <c r="I61" s="20" t="n">
        <v>5700</v>
      </c>
      <c r="J61" s="20" t="n">
        <v>12500</v>
      </c>
      <c r="K61" s="62">
        <f>SUM(E61:J61)</f>
        <v/>
      </c>
      <c r="L61" s="20" t="n">
        <v>1100</v>
      </c>
      <c r="M61" s="4" t="n">
        <v>1570</v>
      </c>
      <c r="N61" s="4" t="n">
        <v>1310</v>
      </c>
      <c r="O61" s="4" t="n">
        <v>750</v>
      </c>
      <c r="P61" s="4" t="n">
        <v>1090</v>
      </c>
      <c r="Q61" s="4" t="n">
        <v>2340</v>
      </c>
      <c r="R61" s="62">
        <f>SUM(L61:Q61)</f>
        <v/>
      </c>
      <c r="S61" s="135">
        <f>IF(E61=0,"***",L61/E61)</f>
        <v/>
      </c>
      <c r="T61" s="136">
        <f>IF(F61=0,"***",M61/F61)</f>
        <v/>
      </c>
      <c r="U61" s="136">
        <f>IF(G61=0,"***",N61/G61)</f>
        <v/>
      </c>
      <c r="V61" s="136">
        <f>IF(H61=0,"***",O61/H61)</f>
        <v/>
      </c>
      <c r="W61" s="136">
        <f>IF(I61=0,"***",P61/I61)</f>
        <v/>
      </c>
      <c r="X61" s="136">
        <f>IF(J61=0,"***",Q61/J61)</f>
        <v/>
      </c>
      <c r="Y61" s="137">
        <f>IF(K61=0,"***",R61/K61)</f>
        <v/>
      </c>
    </row>
    <row r="62">
      <c r="C62" s="60" t="inlineStr">
        <is>
          <t>0104 集計</t>
        </is>
      </c>
      <c r="D62" s="22" t="inlineStr">
        <is>
          <t>大田荷役</t>
        </is>
      </c>
      <c r="E62" s="3" t="n">
        <v>4110</v>
      </c>
      <c r="F62" s="20" t="n">
        <v>4540</v>
      </c>
      <c r="G62" s="20" t="n">
        <v>4100</v>
      </c>
      <c r="H62" s="20" t="n">
        <v>4410</v>
      </c>
      <c r="I62" s="20" t="n">
        <v>1540</v>
      </c>
      <c r="J62" s="20" t="n">
        <v>4950</v>
      </c>
      <c r="K62" s="62">
        <f>SUM(E62:J62)</f>
        <v/>
      </c>
      <c r="L62" s="20" t="n">
        <v>2690</v>
      </c>
      <c r="M62" s="4" t="n">
        <v>2880</v>
      </c>
      <c r="N62" s="4" t="n">
        <v>2920</v>
      </c>
      <c r="O62" s="4" t="n">
        <v>3130</v>
      </c>
      <c r="P62" s="4" t="n">
        <v>1130</v>
      </c>
      <c r="Q62" s="4" t="n">
        <v>3120</v>
      </c>
      <c r="R62" s="62">
        <f>SUM(L62:Q62)</f>
        <v/>
      </c>
      <c r="S62" s="135">
        <f>IF(E62=0,"***",L62/E62)</f>
        <v/>
      </c>
      <c r="T62" s="136">
        <f>IF(F62=0,"***",M62/F62)</f>
        <v/>
      </c>
      <c r="U62" s="136">
        <f>IF(G62=0,"***",N62/G62)</f>
        <v/>
      </c>
      <c r="V62" s="136">
        <f>IF(H62=0,"***",O62/H62)</f>
        <v/>
      </c>
      <c r="W62" s="136">
        <f>IF(I62=0,"***",P62/I62)</f>
        <v/>
      </c>
      <c r="X62" s="136">
        <f>IF(J62=0,"***",Q62/J62)</f>
        <v/>
      </c>
      <c r="Y62" s="137">
        <f>IF(K62=0,"***",R62/K62)</f>
        <v/>
      </c>
    </row>
    <row r="63">
      <c r="C63" s="60" t="inlineStr">
        <is>
          <t>大田水産部</t>
        </is>
      </c>
      <c r="D63" s="22" t="n"/>
      <c r="E63" s="3">
        <f>SUM(E61:E62)</f>
        <v/>
      </c>
      <c r="F63" s="20">
        <f>SUM(F61:F62)</f>
        <v/>
      </c>
      <c r="G63" s="20">
        <f>SUM(G61:G62)</f>
        <v/>
      </c>
      <c r="H63" s="20">
        <f>SUM(H61:H62)</f>
        <v/>
      </c>
      <c r="I63" s="20">
        <f>SUM(I61:I62)</f>
        <v/>
      </c>
      <c r="J63" s="20">
        <f>SUM(J61:J62)</f>
        <v/>
      </c>
      <c r="K63" s="62">
        <f>SUM(K61:K62)</f>
        <v/>
      </c>
      <c r="L63" s="20">
        <f>SUM(L61:L62)</f>
        <v/>
      </c>
      <c r="M63" s="20">
        <f>SUM(M61:M62)</f>
        <v/>
      </c>
      <c r="N63" s="20">
        <f>SUM(N61:N62)</f>
        <v/>
      </c>
      <c r="O63" s="20">
        <f>SUM(O61:O62)</f>
        <v/>
      </c>
      <c r="P63" s="20">
        <f>SUM(P61:P62)</f>
        <v/>
      </c>
      <c r="Q63" s="20">
        <f>SUM(Q61:Q62)</f>
        <v/>
      </c>
      <c r="R63" s="62">
        <f>SUM(R61:R62)</f>
        <v/>
      </c>
      <c r="S63" s="135">
        <f>IF(E63=0,"***",L63/E63)</f>
        <v/>
      </c>
      <c r="T63" s="136">
        <f>IF(F63=0,"***",M63/F63)</f>
        <v/>
      </c>
      <c r="U63" s="136">
        <f>IF(G63=0,"***",N63/G63)</f>
        <v/>
      </c>
      <c r="V63" s="136">
        <f>IF(H63=0,"***",O63/H63)</f>
        <v/>
      </c>
      <c r="W63" s="136">
        <f>IF(I63=0,"***",P63/I63)</f>
        <v/>
      </c>
      <c r="X63" s="136">
        <f>IF(J63=0,"***",Q63/J63)</f>
        <v/>
      </c>
      <c r="Y63" s="137">
        <f>IF(K63=0,"***",R63/K63)</f>
        <v/>
      </c>
    </row>
    <row r="64">
      <c r="C64" s="60" t="inlineStr">
        <is>
          <t>0031 集計</t>
        </is>
      </c>
      <c r="D64" s="22" t="inlineStr">
        <is>
          <t>JF境</t>
        </is>
      </c>
      <c r="E64" s="3" t="n">
        <v>15400</v>
      </c>
      <c r="F64" s="20" t="n">
        <v>22090</v>
      </c>
      <c r="G64" s="20" t="n">
        <v>20330</v>
      </c>
      <c r="H64" s="20" t="n">
        <v>13690</v>
      </c>
      <c r="I64" s="20" t="n">
        <v>10290</v>
      </c>
      <c r="J64" s="20" t="n">
        <v>11090</v>
      </c>
      <c r="K64" s="62">
        <f>SUM(E64:J64)</f>
        <v/>
      </c>
      <c r="L64" s="20" t="n">
        <v>3910</v>
      </c>
      <c r="M64" s="20" t="n">
        <v>5010</v>
      </c>
      <c r="N64" s="20" t="n">
        <v>4270</v>
      </c>
      <c r="O64" s="20" t="n">
        <v>2740</v>
      </c>
      <c r="P64" s="20" t="n">
        <v>2060</v>
      </c>
      <c r="Q64" s="20" t="n">
        <v>2220</v>
      </c>
      <c r="R64" s="62">
        <f>SUM(L64:Q64)</f>
        <v/>
      </c>
      <c r="S64" s="135">
        <f>IF(E64=0,"***",L64/E64)</f>
        <v/>
      </c>
      <c r="T64" s="136">
        <f>IF(F64=0,"***",M64/F64)</f>
        <v/>
      </c>
      <c r="U64" s="136">
        <f>IF(G64=0,"***",N64/G64)</f>
        <v/>
      </c>
      <c r="V64" s="136">
        <f>IF(H64=0,"***",O64/H64)</f>
        <v/>
      </c>
      <c r="W64" s="136">
        <f>IF(I64=0,"***",P64/I64)</f>
        <v/>
      </c>
      <c r="X64" s="136">
        <f>IF(J64=0,"***",Q64/J64)</f>
        <v/>
      </c>
      <c r="Y64" s="137">
        <f>IF(K64=0,"***",R64/K64)</f>
        <v/>
      </c>
    </row>
    <row r="65">
      <c r="C65" s="60" t="inlineStr">
        <is>
          <t>0038 集計</t>
        </is>
      </c>
      <c r="D65" s="83" t="inlineStr">
        <is>
          <t>境その他</t>
        </is>
      </c>
      <c r="E65" s="88" t="n">
        <v>30</v>
      </c>
      <c r="F65" s="84" t="n">
        <v>30</v>
      </c>
      <c r="G65" s="84" t="n">
        <v>30</v>
      </c>
      <c r="H65" s="84" t="n">
        <v>30</v>
      </c>
      <c r="I65" s="84" t="n">
        <v>30</v>
      </c>
      <c r="J65" s="84" t="n">
        <v>30</v>
      </c>
      <c r="K65" s="89" t="n">
        <v>180</v>
      </c>
      <c r="L65" s="84" t="n">
        <v>10</v>
      </c>
      <c r="M65" s="84" t="n">
        <v>10</v>
      </c>
      <c r="N65" s="84" t="n">
        <v>10</v>
      </c>
      <c r="O65" s="84" t="n">
        <v>10</v>
      </c>
      <c r="P65" s="84" t="n">
        <v>10</v>
      </c>
      <c r="Q65" s="84" t="n">
        <v>10</v>
      </c>
      <c r="R65" s="89">
        <f>SUM(L65:Q65)</f>
        <v/>
      </c>
      <c r="S65" s="135">
        <f>IF(E65=0,"***",L65/E65)</f>
        <v/>
      </c>
      <c r="T65" s="136">
        <f>IF(F65=0,"***",M65/F65)</f>
        <v/>
      </c>
      <c r="U65" s="136">
        <f>IF(G65=0,"***",N65/G65)</f>
        <v/>
      </c>
      <c r="V65" s="136">
        <f>IF(H65=0,"***",O65/H65)</f>
        <v/>
      </c>
      <c r="W65" s="136">
        <f>IF(I65=0,"***",P65/I65)</f>
        <v/>
      </c>
      <c r="X65" s="136">
        <f>IF(J65=0,"***",Q65/J65)</f>
        <v/>
      </c>
      <c r="Y65" s="137">
        <f>IF(K65=0,"***",R65/K65)</f>
        <v/>
      </c>
    </row>
    <row r="66">
      <c r="C66" s="82" t="inlineStr">
        <is>
          <t>境港水産部合計</t>
        </is>
      </c>
      <c r="D66" s="83" t="n"/>
      <c r="E66" s="88">
        <f>E64+E65</f>
        <v/>
      </c>
      <c r="F66" s="84" t="n">
        <v>22120</v>
      </c>
      <c r="G66" s="84">
        <f>G64+G65</f>
        <v/>
      </c>
      <c r="H66" s="84">
        <f>H64+H65</f>
        <v/>
      </c>
      <c r="I66" s="84">
        <f>I64+I65</f>
        <v/>
      </c>
      <c r="J66" s="84">
        <f>J64+J65</f>
        <v/>
      </c>
      <c r="K66" s="62">
        <f>SUM(E66:J66)</f>
        <v/>
      </c>
      <c r="L66" s="88">
        <f>L64+L65</f>
        <v/>
      </c>
      <c r="M66" s="84">
        <f>M64+M65</f>
        <v/>
      </c>
      <c r="N66" s="84">
        <f>N64+N65</f>
        <v/>
      </c>
      <c r="O66" s="84">
        <f>O64+O65</f>
        <v/>
      </c>
      <c r="P66" s="84">
        <f>P64+P65</f>
        <v/>
      </c>
      <c r="Q66" s="84">
        <f>Q64+Q65</f>
        <v/>
      </c>
      <c r="R66" s="62">
        <f>SUM(L66:Q66)</f>
        <v/>
      </c>
      <c r="S66" s="145">
        <f>IF(E66=0,"***",L66/E66)</f>
        <v/>
      </c>
      <c r="T66" s="136">
        <f>IF(F66=0,"***",M66/F66)</f>
        <v/>
      </c>
      <c r="U66" s="136">
        <f>IF(G66=0,"***",N66/G66)</f>
        <v/>
      </c>
      <c r="V66" s="136">
        <f>IF(H66=0,"***",O66/H66)</f>
        <v/>
      </c>
      <c r="W66" s="136">
        <f>IF(I66=0,"***",P66/I66)</f>
        <v/>
      </c>
      <c r="X66" s="136">
        <f>IF(J66=0,"***",Q66/J66)</f>
        <v/>
      </c>
      <c r="Y66" s="137">
        <f>IF(K66=0,"***",R66/K66)</f>
        <v/>
      </c>
    </row>
    <row r="67">
      <c r="C67" s="53" t="inlineStr">
        <is>
          <t>合計</t>
        </is>
      </c>
      <c r="D67" s="54" t="n"/>
      <c r="E67" s="63">
        <f>E60+E63+E66</f>
        <v/>
      </c>
      <c r="F67" s="8">
        <f>F60+F63+F66</f>
        <v/>
      </c>
      <c r="G67" s="8">
        <f>G60+G63+G66</f>
        <v/>
      </c>
      <c r="H67" s="8">
        <f>H60+H63+H66</f>
        <v/>
      </c>
      <c r="I67" s="8">
        <f>I60+I63+I66</f>
        <v/>
      </c>
      <c r="J67" s="8">
        <f>J60+J63+J66</f>
        <v/>
      </c>
      <c r="K67" s="64">
        <f>K60+K63+K66</f>
        <v/>
      </c>
      <c r="L67" s="63">
        <f>L60+L63+L66</f>
        <v/>
      </c>
      <c r="M67" s="8">
        <f>M60+M63+M66</f>
        <v/>
      </c>
      <c r="N67" s="8">
        <f>N60+N63+N66</f>
        <v/>
      </c>
      <c r="O67" s="8">
        <f>O60+O63+O66</f>
        <v/>
      </c>
      <c r="P67" s="8">
        <f>P60+P63+P66</f>
        <v/>
      </c>
      <c r="Q67" s="8">
        <f>Q60+Q63+Q66</f>
        <v/>
      </c>
      <c r="R67" s="64">
        <f>R60+R63+R66</f>
        <v/>
      </c>
      <c r="S67" s="138">
        <f>IF(E67=0,"***",L67/E67)</f>
        <v/>
      </c>
      <c r="T67" s="139">
        <f>IF(F67=0,"***",M67/F67)</f>
        <v/>
      </c>
      <c r="U67" s="139">
        <f>IF(G67=0,"***",N67/G67)</f>
        <v/>
      </c>
      <c r="V67" s="139">
        <f>IF(H67=0,"***",O67/H67)</f>
        <v/>
      </c>
      <c r="W67" s="139">
        <f>IF(I67=0,"***",P67/I67)</f>
        <v/>
      </c>
      <c r="X67" s="139">
        <f>IF(J67=0,"***",Q67/J67)</f>
        <v/>
      </c>
      <c r="Y67" s="140">
        <f>IF(K67=0,"***",R67/K67)</f>
        <v/>
      </c>
    </row>
    <row r="68">
      <c r="C68" s="74" t="inlineStr">
        <is>
          <t>【参考】大海分</t>
        </is>
      </c>
      <c r="D68" s="75" t="n"/>
      <c r="E68" s="98">
        <f>(E51+E34)/2</f>
        <v/>
      </c>
      <c r="F68" s="98">
        <f>(F51+F34)/2</f>
        <v/>
      </c>
      <c r="G68" s="98">
        <f>(G51+G34)/2</f>
        <v/>
      </c>
      <c r="H68" s="98">
        <f>(H51+H34)/2</f>
        <v/>
      </c>
      <c r="I68" s="98">
        <f>(I51+I34)/2</f>
        <v/>
      </c>
      <c r="J68" s="98">
        <f>(J51+J34)/2</f>
        <v/>
      </c>
      <c r="K68" s="107">
        <f>SUM(E68:J68)</f>
        <v/>
      </c>
      <c r="L68" s="98">
        <f>(L51+L34)/2</f>
        <v/>
      </c>
      <c r="M68" s="98">
        <f>(M51+M34)/2</f>
        <v/>
      </c>
      <c r="N68" s="98">
        <f>(N51+N34)/2</f>
        <v/>
      </c>
      <c r="O68" s="98">
        <f>(O51+O34)/2</f>
        <v/>
      </c>
      <c r="P68" s="98">
        <f>(P51+P34)/2</f>
        <v/>
      </c>
      <c r="Q68" s="98">
        <f>(Q51+Q34)/2</f>
        <v/>
      </c>
      <c r="R68" s="103">
        <f>SUM(L68:Q68)</f>
        <v/>
      </c>
      <c r="S68" s="142">
        <f>IF(E68=0,"***",L68/E68)</f>
        <v/>
      </c>
      <c r="T68" s="142">
        <f>IF(F68=0,"***",M68/F68)</f>
        <v/>
      </c>
      <c r="U68" s="142">
        <f>IF(G68=0,"***",N68/G68)</f>
        <v/>
      </c>
      <c r="V68" s="142">
        <f>IF(H68=0,"***",O68/H68)</f>
        <v/>
      </c>
      <c r="W68" s="142">
        <f>IF(I68=0,"***",P68/I68)</f>
        <v/>
      </c>
      <c r="X68" s="142">
        <f>IF(J68=0,"***",Q68/J68)</f>
        <v/>
      </c>
      <c r="Y68" s="143">
        <f>IF(K68=0,"***",R68/K68)</f>
        <v/>
      </c>
    </row>
    <row r="69">
      <c r="C69" s="18" t="inlineStr">
        <is>
          <t>＊大海分の計画入力は不要</t>
        </is>
      </c>
      <c r="E69" s="17" t="n"/>
      <c r="F69" s="17" t="n">
        <v>8671.294</v>
      </c>
      <c r="G69" s="17" t="n"/>
      <c r="H69" s="17" t="n"/>
      <c r="I69" s="17" t="n"/>
      <c r="J69" s="17" t="n"/>
      <c r="K69" s="18" t="n"/>
      <c r="L69" s="17" t="n"/>
      <c r="M69" s="17" t="n">
        <v>3581.357</v>
      </c>
      <c r="N69" s="17" t="n"/>
      <c r="O69" s="17" t="n"/>
      <c r="P69" s="17" t="n"/>
      <c r="Q69" s="17" t="n"/>
      <c r="R69" s="18" t="n"/>
      <c r="S69" s="144" t="n"/>
      <c r="T69" s="144" t="n"/>
      <c r="U69" s="144" t="n"/>
      <c r="V69" s="144" t="n"/>
      <c r="W69" s="144" t="n"/>
      <c r="X69" s="144" t="n"/>
      <c r="Y69" s="144" t="n"/>
    </row>
    <row r="70" hidden="1" s="127">
      <c r="C70" s="18" t="inlineStr">
        <is>
          <t>5．前期比</t>
        </is>
      </c>
    </row>
    <row r="71" hidden="1" s="127">
      <c r="C71" s="117" t="n"/>
      <c r="D71" s="118" t="n"/>
      <c r="E71" s="122" t="inlineStr">
        <is>
          <t>売上</t>
        </is>
      </c>
      <c r="F71" s="120" t="n"/>
      <c r="G71" s="120" t="n"/>
      <c r="H71" s="120" t="n"/>
      <c r="I71" s="120" t="n"/>
      <c r="J71" s="120" t="n"/>
      <c r="K71" s="120" t="n"/>
      <c r="L71" s="121" t="inlineStr">
        <is>
          <t>粗利益</t>
        </is>
      </c>
      <c r="M71" s="120" t="n"/>
      <c r="N71" s="120" t="n"/>
      <c r="O71" s="120" t="n"/>
      <c r="P71" s="120" t="n"/>
      <c r="Q71" s="120" t="n"/>
      <c r="R71" s="118" t="n"/>
      <c r="S71" s="119" t="inlineStr">
        <is>
          <t>粗利益率</t>
        </is>
      </c>
      <c r="T71" s="120" t="n"/>
      <c r="U71" s="120" t="n"/>
      <c r="V71" s="120" t="n"/>
      <c r="W71" s="120" t="n"/>
      <c r="X71" s="120" t="n"/>
      <c r="Y71" s="118" t="n"/>
    </row>
    <row r="72" hidden="1" s="127">
      <c r="C72" s="1" t="n"/>
      <c r="D72" s="21" t="n"/>
      <c r="E72" s="61" t="n">
        <v>46113</v>
      </c>
      <c r="F72" s="2" t="n">
        <v>46143</v>
      </c>
      <c r="G72" s="2" t="n">
        <v>46174</v>
      </c>
      <c r="H72" s="2" t="n">
        <v>46204</v>
      </c>
      <c r="I72" s="2" t="n">
        <v>46235</v>
      </c>
      <c r="J72" s="2" t="n">
        <v>46266</v>
      </c>
      <c r="K72" s="67" t="inlineStr">
        <is>
          <t>合計</t>
        </is>
      </c>
      <c r="L72" s="61" t="n">
        <v>46113</v>
      </c>
      <c r="M72" s="2" t="n">
        <v>46143</v>
      </c>
      <c r="N72" s="2" t="n">
        <v>46174</v>
      </c>
      <c r="O72" s="2" t="n">
        <v>46204</v>
      </c>
      <c r="P72" s="2" t="n">
        <v>46235</v>
      </c>
      <c r="Q72" s="2" t="n">
        <v>46266</v>
      </c>
      <c r="R72" s="10" t="inlineStr">
        <is>
          <t>合計</t>
        </is>
      </c>
      <c r="S72" s="95" t="n">
        <v>46113</v>
      </c>
      <c r="T72" s="2" t="n">
        <v>46143</v>
      </c>
      <c r="U72" s="2" t="n">
        <v>46174</v>
      </c>
      <c r="V72" s="2" t="n">
        <v>46204</v>
      </c>
      <c r="W72" s="2" t="n">
        <v>46235</v>
      </c>
      <c r="X72" s="2" t="n">
        <v>46266</v>
      </c>
      <c r="Y72" s="10" t="inlineStr">
        <is>
          <t>合計</t>
        </is>
      </c>
    </row>
    <row r="73" hidden="1" s="127">
      <c r="C73" s="60" t="inlineStr">
        <is>
          <t>0010 集計</t>
        </is>
      </c>
      <c r="D73" s="22" t="inlineStr">
        <is>
          <t>JF</t>
        </is>
      </c>
      <c r="E73" s="4">
        <f>E56-E22</f>
        <v/>
      </c>
      <c r="F73" s="4">
        <f>F56-F22</f>
        <v/>
      </c>
      <c r="G73" s="4">
        <f>G56-G22</f>
        <v/>
      </c>
      <c r="H73" s="4">
        <f>H56-H22</f>
        <v/>
      </c>
      <c r="I73" s="4">
        <f>I56-I22</f>
        <v/>
      </c>
      <c r="J73" s="4">
        <f>J56-J22</f>
        <v/>
      </c>
      <c r="K73" s="68">
        <f>SUM(E73:J73)</f>
        <v/>
      </c>
      <c r="L73" s="3">
        <f>L56-L22</f>
        <v/>
      </c>
      <c r="M73" s="4">
        <f>M56-M22</f>
        <v/>
      </c>
      <c r="N73" s="4">
        <f>N56-N22</f>
        <v/>
      </c>
      <c r="O73" s="4">
        <f>O56-O22</f>
        <v/>
      </c>
      <c r="P73" s="4">
        <f>P56-P22</f>
        <v/>
      </c>
      <c r="Q73" s="4">
        <f>Q56-Q22</f>
        <v/>
      </c>
      <c r="R73" s="62">
        <f>SUM(L73:Q73)</f>
        <v/>
      </c>
      <c r="S73" s="135">
        <f>-S22</f>
        <v/>
      </c>
      <c r="T73" s="136">
        <f>-T22</f>
        <v/>
      </c>
      <c r="U73" s="136">
        <f>-U22</f>
        <v/>
      </c>
      <c r="V73" s="136">
        <f>-V22</f>
        <v/>
      </c>
      <c r="W73" s="136">
        <f>-W22</f>
        <v/>
      </c>
      <c r="X73" s="136">
        <f>-X22</f>
        <v/>
      </c>
      <c r="Y73" s="147">
        <f>-Y22</f>
        <v/>
      </c>
    </row>
    <row r="74" hidden="1" s="127">
      <c r="C74" s="60" t="inlineStr">
        <is>
          <t>0017 集計</t>
        </is>
      </c>
      <c r="D74" s="22" t="inlineStr">
        <is>
          <t>鮮魚</t>
        </is>
      </c>
      <c r="E74" s="4">
        <f>E57-E23</f>
        <v/>
      </c>
      <c r="F74" s="4">
        <f>F57-F23</f>
        <v/>
      </c>
      <c r="G74" s="4">
        <f>G57-G23</f>
        <v/>
      </c>
      <c r="H74" s="4">
        <f>H57-H23</f>
        <v/>
      </c>
      <c r="I74" s="4">
        <f>I57-I23</f>
        <v/>
      </c>
      <c r="J74" s="4">
        <f>J57-J23</f>
        <v/>
      </c>
      <c r="K74" s="68">
        <f>SUM(E74:J74)</f>
        <v/>
      </c>
      <c r="L74" s="3">
        <f>L57-L23</f>
        <v/>
      </c>
      <c r="M74" s="4">
        <f>M57-M23</f>
        <v/>
      </c>
      <c r="N74" s="4">
        <f>N57-N23</f>
        <v/>
      </c>
      <c r="O74" s="4">
        <f>O57-O23</f>
        <v/>
      </c>
      <c r="P74" s="4">
        <f>P57-P23</f>
        <v/>
      </c>
      <c r="Q74" s="4">
        <f>Q57-Q23</f>
        <v/>
      </c>
      <c r="R74" s="62">
        <f>SUM(L74:Q74)</f>
        <v/>
      </c>
      <c r="S74" s="135">
        <f>-S23</f>
        <v/>
      </c>
      <c r="T74" s="136">
        <f>-T23</f>
        <v/>
      </c>
      <c r="U74" s="136">
        <f>-U23</f>
        <v/>
      </c>
      <c r="V74" s="136">
        <f>-V23</f>
        <v/>
      </c>
      <c r="W74" s="136">
        <f>-W23</f>
        <v/>
      </c>
      <c r="X74" s="136">
        <f>-X23</f>
        <v/>
      </c>
      <c r="Y74" s="147">
        <f>-Y23</f>
        <v/>
      </c>
    </row>
    <row r="75" hidden="1" s="127">
      <c r="C75" s="60" t="inlineStr">
        <is>
          <t>0101 集計</t>
        </is>
      </c>
      <c r="D75" s="22" t="inlineStr">
        <is>
          <t>GS</t>
        </is>
      </c>
      <c r="E75" s="4">
        <f>E58-E24</f>
        <v/>
      </c>
      <c r="F75" s="4">
        <f>F58-F24</f>
        <v/>
      </c>
      <c r="G75" s="4">
        <f>G58-G24</f>
        <v/>
      </c>
      <c r="H75" s="4">
        <f>H58-H24</f>
        <v/>
      </c>
      <c r="I75" s="4">
        <f>I58-I24</f>
        <v/>
      </c>
      <c r="J75" s="4">
        <f>J58-J24</f>
        <v/>
      </c>
      <c r="K75" s="68">
        <f>SUM(E75:J75)</f>
        <v/>
      </c>
      <c r="L75" s="3">
        <f>L58-L24</f>
        <v/>
      </c>
      <c r="M75" s="4">
        <f>M58-M24</f>
        <v/>
      </c>
      <c r="N75" s="4">
        <f>N58-N24</f>
        <v/>
      </c>
      <c r="O75" s="4">
        <f>O58-O24</f>
        <v/>
      </c>
      <c r="P75" s="4">
        <f>P58-P24</f>
        <v/>
      </c>
      <c r="Q75" s="4">
        <f>Q58-Q24</f>
        <v/>
      </c>
      <c r="R75" s="62">
        <f>SUM(L75:Q75)</f>
        <v/>
      </c>
      <c r="S75" s="135">
        <f>-S24</f>
        <v/>
      </c>
      <c r="T75" s="136">
        <f>-T24</f>
        <v/>
      </c>
      <c r="U75" s="136">
        <f>-U24</f>
        <v/>
      </c>
      <c r="V75" s="136">
        <f>-V24</f>
        <v/>
      </c>
      <c r="W75" s="136">
        <f>-W24</f>
        <v/>
      </c>
      <c r="X75" s="136">
        <f>-X24</f>
        <v/>
      </c>
      <c r="Y75" s="147">
        <f>-Y24</f>
        <v/>
      </c>
    </row>
    <row r="76" hidden="1" s="127">
      <c r="C76" s="60" t="inlineStr">
        <is>
          <t>0106 集計</t>
        </is>
      </c>
      <c r="D76" s="22" t="inlineStr">
        <is>
          <t>浜田荷役</t>
        </is>
      </c>
      <c r="E76" s="4">
        <f>E59-E25</f>
        <v/>
      </c>
      <c r="F76" s="4">
        <f>F59-F25</f>
        <v/>
      </c>
      <c r="G76" s="4">
        <f>G59-G25</f>
        <v/>
      </c>
      <c r="H76" s="4">
        <f>H59-H25</f>
        <v/>
      </c>
      <c r="I76" s="4">
        <f>I59-I25</f>
        <v/>
      </c>
      <c r="J76" s="4">
        <f>J59-J25</f>
        <v/>
      </c>
      <c r="K76" s="68">
        <f>SUM(E76:J76)</f>
        <v/>
      </c>
      <c r="L76" s="3">
        <f>L59-L25</f>
        <v/>
      </c>
      <c r="M76" s="4">
        <f>M59-M25</f>
        <v/>
      </c>
      <c r="N76" s="4">
        <f>N59-N25</f>
        <v/>
      </c>
      <c r="O76" s="4">
        <f>O59-O25</f>
        <v/>
      </c>
      <c r="P76" s="4">
        <f>P59-P25</f>
        <v/>
      </c>
      <c r="Q76" s="4">
        <f>Q59-Q25</f>
        <v/>
      </c>
      <c r="R76" s="62">
        <f>SUM(L76:Q76)</f>
        <v/>
      </c>
      <c r="S76" s="135">
        <f>-S25</f>
        <v/>
      </c>
      <c r="T76" s="136">
        <f>-T25</f>
        <v/>
      </c>
      <c r="U76" s="136">
        <f>-U25</f>
        <v/>
      </c>
      <c r="V76" s="136">
        <f>-V25</f>
        <v/>
      </c>
      <c r="W76" s="136">
        <f>-W25</f>
        <v/>
      </c>
      <c r="X76" s="136">
        <f>-X25</f>
        <v/>
      </c>
      <c r="Y76" s="147">
        <f>-Y25</f>
        <v/>
      </c>
    </row>
    <row r="77" hidden="1" s="127">
      <c r="C77" s="60" t="inlineStr">
        <is>
          <t>浜田水産部合計</t>
        </is>
      </c>
      <c r="D77" s="22" t="n"/>
      <c r="E77" s="4">
        <f>SUM(E73:E76)</f>
        <v/>
      </c>
      <c r="F77" s="4">
        <f>SUM(F73:F76)</f>
        <v/>
      </c>
      <c r="G77" s="4">
        <f>SUM(G73:G76)</f>
        <v/>
      </c>
      <c r="H77" s="4">
        <f>SUM(H73:H76)</f>
        <v/>
      </c>
      <c r="I77" s="4">
        <f>SUM(I73:I76)</f>
        <v/>
      </c>
      <c r="J77" s="4">
        <f>SUM(J73:J76)</f>
        <v/>
      </c>
      <c r="K77" s="68">
        <f>SUM(E77:J77)</f>
        <v/>
      </c>
      <c r="L77" s="3">
        <f>SUM(L73:L76)</f>
        <v/>
      </c>
      <c r="M77" s="4">
        <f>SUM(M73:M76)</f>
        <v/>
      </c>
      <c r="N77" s="4">
        <f>SUM(N73:N76)</f>
        <v/>
      </c>
      <c r="O77" s="4">
        <f>SUM(O73:O76)</f>
        <v/>
      </c>
      <c r="P77" s="4">
        <f>SUM(P73:P76)</f>
        <v/>
      </c>
      <c r="Q77" s="4">
        <f>SUM(Q73:Q76)</f>
        <v/>
      </c>
      <c r="R77" s="62">
        <f>SUM(L77:Q77)</f>
        <v/>
      </c>
      <c r="S77" s="135">
        <f>-S26</f>
        <v/>
      </c>
      <c r="T77" s="136">
        <f>-T26</f>
        <v/>
      </c>
      <c r="U77" s="136">
        <f>-U26</f>
        <v/>
      </c>
      <c r="V77" s="136">
        <f>-V26</f>
        <v/>
      </c>
      <c r="W77" s="136">
        <f>-W26</f>
        <v/>
      </c>
      <c r="X77" s="136">
        <f>-X26</f>
        <v/>
      </c>
      <c r="Y77" s="147">
        <f>-Y26</f>
        <v/>
      </c>
    </row>
    <row r="78" hidden="1" s="127">
      <c r="C78" s="60" t="inlineStr">
        <is>
          <t>0102 集計</t>
        </is>
      </c>
      <c r="D78" s="22" t="inlineStr">
        <is>
          <t>JF大田</t>
        </is>
      </c>
      <c r="E78" s="4">
        <f>E61-E27</f>
        <v/>
      </c>
      <c r="F78" s="4">
        <f>F61-F27</f>
        <v/>
      </c>
      <c r="G78" s="4">
        <f>G61-G27</f>
        <v/>
      </c>
      <c r="H78" s="4">
        <f>H61-H27</f>
        <v/>
      </c>
      <c r="I78" s="4">
        <f>I61-I27</f>
        <v/>
      </c>
      <c r="J78" s="4">
        <f>J61-J27</f>
        <v/>
      </c>
      <c r="K78" s="68">
        <f>SUM(E78:J78)</f>
        <v/>
      </c>
      <c r="L78" s="3">
        <f>L61-L27</f>
        <v/>
      </c>
      <c r="M78" s="4">
        <f>M61-M27</f>
        <v/>
      </c>
      <c r="N78" s="4">
        <f>N61-N27</f>
        <v/>
      </c>
      <c r="O78" s="4">
        <f>O61-O27</f>
        <v/>
      </c>
      <c r="P78" s="4">
        <f>P61-P27</f>
        <v/>
      </c>
      <c r="Q78" s="4">
        <f>Q61-Q27</f>
        <v/>
      </c>
      <c r="R78" s="62">
        <f>SUM(L78:Q78)</f>
        <v/>
      </c>
      <c r="S78" s="135">
        <f>-S27</f>
        <v/>
      </c>
      <c r="T78" s="136">
        <f>-T27</f>
        <v/>
      </c>
      <c r="U78" s="136">
        <f>-U27</f>
        <v/>
      </c>
      <c r="V78" s="136">
        <f>-V27</f>
        <v/>
      </c>
      <c r="W78" s="136">
        <f>-W27</f>
        <v/>
      </c>
      <c r="X78" s="136">
        <f>-X27</f>
        <v/>
      </c>
      <c r="Y78" s="147">
        <f>-Y27</f>
        <v/>
      </c>
    </row>
    <row r="79" hidden="1" s="127">
      <c r="C79" s="60" t="inlineStr">
        <is>
          <t>0104 集計</t>
        </is>
      </c>
      <c r="D79" s="22" t="inlineStr">
        <is>
          <t>大田荷役</t>
        </is>
      </c>
      <c r="E79" s="4">
        <f>E62-E28</f>
        <v/>
      </c>
      <c r="F79" s="4">
        <f>F62-F28</f>
        <v/>
      </c>
      <c r="G79" s="4">
        <f>G62-G28</f>
        <v/>
      </c>
      <c r="H79" s="4">
        <f>H62-H28</f>
        <v/>
      </c>
      <c r="I79" s="4">
        <f>I62-I28</f>
        <v/>
      </c>
      <c r="J79" s="4">
        <f>J62-J28</f>
        <v/>
      </c>
      <c r="K79" s="68">
        <f>SUM(E79:J79)</f>
        <v/>
      </c>
      <c r="L79" s="3">
        <f>L62-L28</f>
        <v/>
      </c>
      <c r="M79" s="4">
        <f>M62-M28</f>
        <v/>
      </c>
      <c r="N79" s="4">
        <f>N62-N28</f>
        <v/>
      </c>
      <c r="O79" s="4">
        <f>O62-O28</f>
        <v/>
      </c>
      <c r="P79" s="4">
        <f>P62-P28</f>
        <v/>
      </c>
      <c r="Q79" s="4">
        <f>Q62-Q28</f>
        <v/>
      </c>
      <c r="R79" s="62">
        <f>SUM(L79:Q79)</f>
        <v/>
      </c>
      <c r="S79" s="135">
        <f>-S28</f>
        <v/>
      </c>
      <c r="T79" s="136">
        <f>-T28</f>
        <v/>
      </c>
      <c r="U79" s="136">
        <f>-U28</f>
        <v/>
      </c>
      <c r="V79" s="136">
        <f>-V28</f>
        <v/>
      </c>
      <c r="W79" s="136">
        <f>-W28</f>
        <v/>
      </c>
      <c r="X79" s="136">
        <f>-X28</f>
        <v/>
      </c>
      <c r="Y79" s="147">
        <f>-Y28</f>
        <v/>
      </c>
    </row>
    <row r="80" hidden="1" s="127">
      <c r="C80" s="60" t="inlineStr">
        <is>
          <t>大田水産部</t>
        </is>
      </c>
      <c r="D80" s="22" t="n"/>
      <c r="E80" s="20">
        <f>SUM(E78:E79)</f>
        <v/>
      </c>
      <c r="F80" s="20">
        <f>SUM(F78:F79)</f>
        <v/>
      </c>
      <c r="G80" s="20">
        <f>SUM(G78:G79)</f>
        <v/>
      </c>
      <c r="H80" s="20">
        <f>SUM(H78:H79)</f>
        <v/>
      </c>
      <c r="I80" s="20">
        <f>SUM(I78:I79)</f>
        <v/>
      </c>
      <c r="J80" s="20">
        <f>SUM(J78:J79)</f>
        <v/>
      </c>
      <c r="K80" s="68">
        <f>SUM(K78:K79)</f>
        <v/>
      </c>
      <c r="L80" s="3">
        <f>SUM(L78:L79)</f>
        <v/>
      </c>
      <c r="M80" s="20">
        <f>SUM(M78:M79)</f>
        <v/>
      </c>
      <c r="N80" s="20">
        <f>SUM(N78:N79)</f>
        <v/>
      </c>
      <c r="O80" s="20">
        <f>SUM(O78:O79)</f>
        <v/>
      </c>
      <c r="P80" s="20">
        <f>SUM(P78:P79)</f>
        <v/>
      </c>
      <c r="Q80" s="20">
        <f>SUM(Q78:Q79)</f>
        <v/>
      </c>
      <c r="R80" s="62">
        <f>SUM(R78:R79)</f>
        <v/>
      </c>
      <c r="S80" s="135">
        <f>-S29</f>
        <v/>
      </c>
      <c r="T80" s="136">
        <f>-T29</f>
        <v/>
      </c>
      <c r="U80" s="136">
        <f>-U29</f>
        <v/>
      </c>
      <c r="V80" s="136">
        <f>-V29</f>
        <v/>
      </c>
      <c r="W80" s="136">
        <f>-W29</f>
        <v/>
      </c>
      <c r="X80" s="136">
        <f>-X29</f>
        <v/>
      </c>
      <c r="Y80" s="147">
        <f>-Y29</f>
        <v/>
      </c>
    </row>
    <row r="81" hidden="1" s="127">
      <c r="C81" s="60" t="inlineStr">
        <is>
          <t>0031 集計</t>
        </is>
      </c>
      <c r="D81" s="22" t="inlineStr">
        <is>
          <t>JF境</t>
        </is>
      </c>
      <c r="E81" s="20">
        <f>E64-E30</f>
        <v/>
      </c>
      <c r="F81" s="20">
        <f>F64-F30</f>
        <v/>
      </c>
      <c r="G81" s="20">
        <f>G64-G30</f>
        <v/>
      </c>
      <c r="H81" s="20">
        <f>H64-H30</f>
        <v/>
      </c>
      <c r="I81" s="20">
        <f>I64-I30</f>
        <v/>
      </c>
      <c r="J81" s="20">
        <f>J64-J30</f>
        <v/>
      </c>
      <c r="K81" s="68">
        <f>SUM(E81:J81)</f>
        <v/>
      </c>
      <c r="L81" s="3">
        <f>L64-L30</f>
        <v/>
      </c>
      <c r="M81" s="20">
        <f>M64-M30</f>
        <v/>
      </c>
      <c r="N81" s="20">
        <f>N64-N30</f>
        <v/>
      </c>
      <c r="O81" s="20">
        <f>O64-O30</f>
        <v/>
      </c>
      <c r="P81" s="20">
        <f>P64-P30</f>
        <v/>
      </c>
      <c r="Q81" s="20">
        <f>Q64-Q30</f>
        <v/>
      </c>
      <c r="R81" s="62">
        <f>SUM(L81:Q81)</f>
        <v/>
      </c>
      <c r="S81" s="135">
        <f>-S30</f>
        <v/>
      </c>
      <c r="T81" s="136">
        <f>-T30</f>
        <v/>
      </c>
      <c r="U81" s="136">
        <f>-U30</f>
        <v/>
      </c>
      <c r="V81" s="136">
        <f>-V30</f>
        <v/>
      </c>
      <c r="W81" s="136">
        <f>-W30</f>
        <v/>
      </c>
      <c r="X81" s="136">
        <f>-X30</f>
        <v/>
      </c>
      <c r="Y81" s="147">
        <f>-Y30</f>
        <v/>
      </c>
    </row>
    <row r="82" hidden="1" s="127">
      <c r="C82" s="60" t="inlineStr">
        <is>
          <t>0038 集計</t>
        </is>
      </c>
      <c r="D82" s="83" t="inlineStr">
        <is>
          <t>境その他</t>
        </is>
      </c>
      <c r="E82" s="84">
        <f>E65-E31</f>
        <v/>
      </c>
      <c r="F82" s="84">
        <f>F65-F31</f>
        <v/>
      </c>
      <c r="G82" s="84">
        <f>G65-G31</f>
        <v/>
      </c>
      <c r="H82" s="84">
        <f>H65-H31</f>
        <v/>
      </c>
      <c r="I82" s="84">
        <f>I65-I31</f>
        <v/>
      </c>
      <c r="J82" s="84">
        <f>J65-J31</f>
        <v/>
      </c>
      <c r="K82" s="68">
        <f>SUM(E82:J82)</f>
        <v/>
      </c>
      <c r="L82" s="88">
        <f>L65-L31</f>
        <v/>
      </c>
      <c r="M82" s="84">
        <f>M65-M31</f>
        <v/>
      </c>
      <c r="N82" s="84">
        <f>N65-N31</f>
        <v/>
      </c>
      <c r="O82" s="84">
        <f>O65-O31</f>
        <v/>
      </c>
      <c r="P82" s="84">
        <f>P65-P31</f>
        <v/>
      </c>
      <c r="Q82" s="84">
        <f>Q65-Q31</f>
        <v/>
      </c>
      <c r="R82" s="62">
        <f>SUM(L82:Q82)</f>
        <v/>
      </c>
      <c r="S82" s="148">
        <f>-S31</f>
        <v/>
      </c>
      <c r="T82" s="149">
        <f>-T31</f>
        <v/>
      </c>
      <c r="U82" s="149">
        <f>-U31</f>
        <v/>
      </c>
      <c r="V82" s="149">
        <f>-V31</f>
        <v/>
      </c>
      <c r="W82" s="149">
        <f>-W31</f>
        <v/>
      </c>
      <c r="X82" s="149">
        <f>-X31</f>
        <v/>
      </c>
      <c r="Y82" s="150">
        <f>-Y31</f>
        <v/>
      </c>
    </row>
    <row r="83" hidden="1" s="127">
      <c r="C83" s="82" t="inlineStr">
        <is>
          <t>境港水産部合計</t>
        </is>
      </c>
      <c r="D83" s="83" t="n"/>
      <c r="E83" s="88">
        <f>E81+E82</f>
        <v/>
      </c>
      <c r="F83" s="84">
        <f>F81+F82</f>
        <v/>
      </c>
      <c r="G83" s="84">
        <f>G81+G82</f>
        <v/>
      </c>
      <c r="H83" s="84">
        <f>H81+H82</f>
        <v/>
      </c>
      <c r="I83" s="84">
        <f>I81+I82</f>
        <v/>
      </c>
      <c r="J83" s="84">
        <f>J81+J82</f>
        <v/>
      </c>
      <c r="K83" s="68">
        <f>SUM(E83:J83)</f>
        <v/>
      </c>
      <c r="L83" s="88">
        <f>L81+L82</f>
        <v/>
      </c>
      <c r="M83" s="84">
        <f>M81+M82</f>
        <v/>
      </c>
      <c r="N83" s="84">
        <f>N81+N82</f>
        <v/>
      </c>
      <c r="O83" s="84">
        <f>O81+O82</f>
        <v/>
      </c>
      <c r="P83" s="84">
        <f>P81+P82</f>
        <v/>
      </c>
      <c r="Q83" s="84">
        <f>Q81+Q82</f>
        <v/>
      </c>
      <c r="R83" s="62">
        <f>SUM(L83:Q83)</f>
        <v/>
      </c>
      <c r="S83" s="148">
        <f>-S32</f>
        <v/>
      </c>
      <c r="T83" s="149">
        <f>-T32</f>
        <v/>
      </c>
      <c r="U83" s="149">
        <f>-U32</f>
        <v/>
      </c>
      <c r="V83" s="149">
        <f>-V32</f>
        <v/>
      </c>
      <c r="W83" s="149">
        <f>-W32</f>
        <v/>
      </c>
      <c r="X83" s="149">
        <f>-X32</f>
        <v/>
      </c>
      <c r="Y83" s="150">
        <f>-Y32</f>
        <v/>
      </c>
    </row>
    <row r="84" hidden="1" s="127">
      <c r="C84" s="53" t="inlineStr">
        <is>
          <t>合計</t>
        </is>
      </c>
      <c r="D84" s="54" t="n"/>
      <c r="E84" s="63">
        <f>E77+E80+E83</f>
        <v/>
      </c>
      <c r="F84" s="8">
        <f>F77+F80+F83</f>
        <v/>
      </c>
      <c r="G84" s="8">
        <f>G77+G80+G83</f>
        <v/>
      </c>
      <c r="H84" s="8">
        <f>H77+H80+H83</f>
        <v/>
      </c>
      <c r="I84" s="8">
        <f>I77+I80+I83</f>
        <v/>
      </c>
      <c r="J84" s="8">
        <f>J77+J80+J83</f>
        <v/>
      </c>
      <c r="K84" s="69">
        <f>K77+K80+K83</f>
        <v/>
      </c>
      <c r="L84" s="63">
        <f>L77+L80+L83</f>
        <v/>
      </c>
      <c r="M84" s="8">
        <f>M77+M80+M83</f>
        <v/>
      </c>
      <c r="N84" s="8">
        <f>N77+N80+N83</f>
        <v/>
      </c>
      <c r="O84" s="8">
        <f>O77+O80+O83</f>
        <v/>
      </c>
      <c r="P84" s="8">
        <f>P77+P80+P83</f>
        <v/>
      </c>
      <c r="Q84" s="8">
        <f>Q77+Q80+Q83</f>
        <v/>
      </c>
      <c r="R84" s="64">
        <f>R77+R80+R83</f>
        <v/>
      </c>
      <c r="S84" s="138">
        <f>-S33</f>
        <v/>
      </c>
      <c r="T84" s="139">
        <f>-T33</f>
        <v/>
      </c>
      <c r="U84" s="139">
        <f>-U33</f>
        <v/>
      </c>
      <c r="V84" s="139">
        <f>-V33</f>
        <v/>
      </c>
      <c r="W84" s="139">
        <f>-W33</f>
        <v/>
      </c>
      <c r="X84" s="139">
        <f>-X33</f>
        <v/>
      </c>
      <c r="Y84" s="151">
        <f>-Y33</f>
        <v/>
      </c>
    </row>
    <row r="85" hidden="1" s="127">
      <c r="C85" s="18" t="n"/>
      <c r="E85" s="17" t="n"/>
      <c r="F85" s="17" t="n"/>
      <c r="G85" s="17" t="n"/>
      <c r="H85" s="17" t="n"/>
      <c r="I85" s="17" t="n"/>
      <c r="J85" s="17" t="n"/>
      <c r="K85" s="18" t="n"/>
      <c r="L85" s="17" t="n"/>
      <c r="M85" s="17" t="n"/>
      <c r="N85" s="17" t="n"/>
      <c r="O85" s="17" t="n"/>
      <c r="P85" s="17" t="n"/>
      <c r="Q85" s="17" t="n"/>
      <c r="R85" s="18" t="n"/>
      <c r="S85" s="144" t="n"/>
      <c r="T85" s="144" t="n"/>
      <c r="U85" s="144" t="n"/>
      <c r="V85" s="144" t="n"/>
      <c r="W85" s="144" t="n"/>
      <c r="X85" s="144" t="n"/>
      <c r="Y85" s="144" t="n"/>
    </row>
    <row r="86" hidden="1" s="127">
      <c r="C86" s="18" t="inlineStr">
        <is>
          <t>6．過年度平均比</t>
        </is>
      </c>
    </row>
    <row r="87" hidden="1" s="127">
      <c r="C87" s="117" t="n"/>
      <c r="D87" s="118" t="n"/>
      <c r="E87" s="117" t="inlineStr">
        <is>
          <t>売上</t>
        </is>
      </c>
      <c r="F87" s="120" t="n"/>
      <c r="G87" s="120" t="n"/>
      <c r="H87" s="120" t="n"/>
      <c r="I87" s="120" t="n"/>
      <c r="J87" s="120" t="n"/>
      <c r="K87" s="118" t="n"/>
      <c r="L87" s="119" t="inlineStr">
        <is>
          <t>粗利益</t>
        </is>
      </c>
      <c r="M87" s="120" t="n"/>
      <c r="N87" s="120" t="n"/>
      <c r="O87" s="120" t="n"/>
      <c r="P87" s="120" t="n"/>
      <c r="Q87" s="120" t="n"/>
      <c r="R87" s="118" t="n"/>
      <c r="S87" s="119" t="inlineStr">
        <is>
          <t>粗利益率</t>
        </is>
      </c>
      <c r="T87" s="120" t="n"/>
      <c r="U87" s="120" t="n"/>
      <c r="V87" s="120" t="n"/>
      <c r="W87" s="120" t="n"/>
      <c r="X87" s="120" t="n"/>
      <c r="Y87" s="118" t="n"/>
    </row>
    <row r="88" hidden="1" s="127">
      <c r="C88" s="1" t="n"/>
      <c r="D88" s="21" t="n"/>
      <c r="E88" s="61" t="n">
        <v>46113</v>
      </c>
      <c r="F88" s="2" t="n">
        <v>46143</v>
      </c>
      <c r="G88" s="2" t="n">
        <v>46174</v>
      </c>
      <c r="H88" s="2" t="n">
        <v>46204</v>
      </c>
      <c r="I88" s="2" t="n">
        <v>46235</v>
      </c>
      <c r="J88" s="2" t="n">
        <v>46266</v>
      </c>
      <c r="K88" s="10" t="inlineStr">
        <is>
          <t>合計</t>
        </is>
      </c>
      <c r="L88" s="95" t="n">
        <v>46113</v>
      </c>
      <c r="M88" s="2" t="n">
        <v>46143</v>
      </c>
      <c r="N88" s="2" t="n">
        <v>46174</v>
      </c>
      <c r="O88" s="2" t="n">
        <v>46204</v>
      </c>
      <c r="P88" s="2" t="n">
        <v>46235</v>
      </c>
      <c r="Q88" s="2" t="n">
        <v>46266</v>
      </c>
      <c r="R88" s="10" t="inlineStr">
        <is>
          <t>合計</t>
        </is>
      </c>
      <c r="S88" s="95" t="n">
        <v>46113</v>
      </c>
      <c r="T88" s="2" t="n">
        <v>46143</v>
      </c>
      <c r="U88" s="2" t="n">
        <v>46174</v>
      </c>
      <c r="V88" s="2" t="n">
        <v>46204</v>
      </c>
      <c r="W88" s="2" t="n">
        <v>46235</v>
      </c>
      <c r="X88" s="2" t="n">
        <v>46266</v>
      </c>
      <c r="Y88" s="10" t="inlineStr">
        <is>
          <t>合計</t>
        </is>
      </c>
    </row>
    <row r="89" hidden="1" s="127">
      <c r="C89" s="60" t="inlineStr">
        <is>
          <t>0010 集計</t>
        </is>
      </c>
      <c r="D89" s="22" t="inlineStr">
        <is>
          <t>JF</t>
        </is>
      </c>
      <c r="E89" s="4">
        <f>E56-E39</f>
        <v/>
      </c>
      <c r="F89" s="4">
        <f>F56-F39</f>
        <v/>
      </c>
      <c r="G89" s="4">
        <f>G56-G39</f>
        <v/>
      </c>
      <c r="H89" s="4">
        <f>H56-H39</f>
        <v/>
      </c>
      <c r="I89" s="4">
        <f>I56-I39</f>
        <v/>
      </c>
      <c r="J89" s="4">
        <f>J56-J39</f>
        <v/>
      </c>
      <c r="K89" s="7">
        <f>SUM(E89:J89)</f>
        <v/>
      </c>
      <c r="L89" s="4">
        <f>L56-L39</f>
        <v/>
      </c>
      <c r="M89" s="4">
        <f>M56-M39</f>
        <v/>
      </c>
      <c r="N89" s="4">
        <f>N56-N39</f>
        <v/>
      </c>
      <c r="O89" s="4">
        <f>O56-O39</f>
        <v/>
      </c>
      <c r="P89" s="4">
        <f>P56-P39</f>
        <v/>
      </c>
      <c r="Q89" s="4">
        <f>Q56-Q39</f>
        <v/>
      </c>
      <c r="R89" s="7">
        <f>SUM(L89:Q89)</f>
        <v/>
      </c>
      <c r="S89" s="136">
        <f>S56-S39</f>
        <v/>
      </c>
      <c r="T89" s="136">
        <f>T56-T39</f>
        <v/>
      </c>
      <c r="U89" s="136">
        <f>U56-U39</f>
        <v/>
      </c>
      <c r="V89" s="136">
        <f>V56-V39</f>
        <v/>
      </c>
      <c r="W89" s="136">
        <f>W56-W39</f>
        <v/>
      </c>
      <c r="X89" s="136">
        <f>X56-X39</f>
        <v/>
      </c>
      <c r="Y89" s="147">
        <f>Y56-Y39</f>
        <v/>
      </c>
    </row>
    <row r="90" hidden="1" s="127">
      <c r="C90" s="60" t="inlineStr">
        <is>
          <t>0017 集計</t>
        </is>
      </c>
      <c r="D90" s="22" t="inlineStr">
        <is>
          <t>鮮魚</t>
        </is>
      </c>
      <c r="E90" s="4">
        <f>E57-E40</f>
        <v/>
      </c>
      <c r="F90" s="4">
        <f>F57-F40</f>
        <v/>
      </c>
      <c r="G90" s="4">
        <f>G57-G40</f>
        <v/>
      </c>
      <c r="H90" s="4">
        <f>H57-H40</f>
        <v/>
      </c>
      <c r="I90" s="4">
        <f>I57-I40</f>
        <v/>
      </c>
      <c r="J90" s="4">
        <f>J57-J40</f>
        <v/>
      </c>
      <c r="K90" s="7">
        <f>SUM(E90:J90)</f>
        <v/>
      </c>
      <c r="L90" s="4">
        <f>L57-L40</f>
        <v/>
      </c>
      <c r="M90" s="4">
        <f>M57-M40</f>
        <v/>
      </c>
      <c r="N90" s="4">
        <f>N57-N40</f>
        <v/>
      </c>
      <c r="O90" s="4">
        <f>O57-O40</f>
        <v/>
      </c>
      <c r="P90" s="4">
        <f>P57-P40</f>
        <v/>
      </c>
      <c r="Q90" s="4">
        <f>Q57-Q40</f>
        <v/>
      </c>
      <c r="R90" s="7">
        <f>SUM(L90:Q90)</f>
        <v/>
      </c>
      <c r="S90" s="136">
        <f>S57-S40</f>
        <v/>
      </c>
      <c r="T90" s="136">
        <f>T57-T40</f>
        <v/>
      </c>
      <c r="U90" s="136">
        <f>U57-U40</f>
        <v/>
      </c>
      <c r="V90" s="136">
        <f>V57-V40</f>
        <v/>
      </c>
      <c r="W90" s="136">
        <f>W57-W40</f>
        <v/>
      </c>
      <c r="X90" s="136">
        <f>X57-X40</f>
        <v/>
      </c>
      <c r="Y90" s="147">
        <f>Y57-Y40</f>
        <v/>
      </c>
    </row>
    <row r="91" hidden="1" s="127">
      <c r="C91" s="60" t="inlineStr">
        <is>
          <t>0101 集計</t>
        </is>
      </c>
      <c r="D91" s="22" t="inlineStr">
        <is>
          <t>GS</t>
        </is>
      </c>
      <c r="E91" s="4">
        <f>E58-E41</f>
        <v/>
      </c>
      <c r="F91" s="4">
        <f>F58-F41</f>
        <v/>
      </c>
      <c r="G91" s="4">
        <f>G58-G41</f>
        <v/>
      </c>
      <c r="H91" s="4">
        <f>H58-H41</f>
        <v/>
      </c>
      <c r="I91" s="4">
        <f>I58-I41</f>
        <v/>
      </c>
      <c r="J91" s="4">
        <f>J58-J41</f>
        <v/>
      </c>
      <c r="K91" s="7">
        <f>SUM(E91:J91)</f>
        <v/>
      </c>
      <c r="L91" s="4">
        <f>L58-L41</f>
        <v/>
      </c>
      <c r="M91" s="4">
        <f>M58-M41</f>
        <v/>
      </c>
      <c r="N91" s="4">
        <f>N58-N41</f>
        <v/>
      </c>
      <c r="O91" s="4">
        <f>O58-O41</f>
        <v/>
      </c>
      <c r="P91" s="4">
        <f>P58-P41</f>
        <v/>
      </c>
      <c r="Q91" s="4">
        <f>Q58-Q41</f>
        <v/>
      </c>
      <c r="R91" s="7">
        <f>SUM(L91:Q91)</f>
        <v/>
      </c>
      <c r="S91" s="136">
        <f>S58-S41</f>
        <v/>
      </c>
      <c r="T91" s="136">
        <f>T58-T41</f>
        <v/>
      </c>
      <c r="U91" s="136">
        <f>U58-U41</f>
        <v/>
      </c>
      <c r="V91" s="136">
        <f>V58-V41</f>
        <v/>
      </c>
      <c r="W91" s="136">
        <f>W58-W41</f>
        <v/>
      </c>
      <c r="X91" s="136">
        <f>X58-X41</f>
        <v/>
      </c>
      <c r="Y91" s="147">
        <f>Y58-Y41</f>
        <v/>
      </c>
    </row>
    <row r="92" hidden="1" s="127">
      <c r="C92" s="60" t="inlineStr">
        <is>
          <t>0106 集計</t>
        </is>
      </c>
      <c r="D92" s="22" t="inlineStr">
        <is>
          <t>浜田荷役</t>
        </is>
      </c>
      <c r="E92" s="4">
        <f>E59-E42</f>
        <v/>
      </c>
      <c r="F92" s="4">
        <f>F59-F42</f>
        <v/>
      </c>
      <c r="G92" s="4">
        <f>G59-G42</f>
        <v/>
      </c>
      <c r="H92" s="4">
        <f>H59-H42</f>
        <v/>
      </c>
      <c r="I92" s="4">
        <f>I59-I42</f>
        <v/>
      </c>
      <c r="J92" s="4">
        <f>J59-J42</f>
        <v/>
      </c>
      <c r="K92" s="7">
        <f>SUM(E92:J92)</f>
        <v/>
      </c>
      <c r="L92" s="4">
        <f>L59-L42</f>
        <v/>
      </c>
      <c r="M92" s="4">
        <f>M59-M42</f>
        <v/>
      </c>
      <c r="N92" s="4">
        <f>N59-N42</f>
        <v/>
      </c>
      <c r="O92" s="4">
        <f>O59-O42</f>
        <v/>
      </c>
      <c r="P92" s="4">
        <f>P59-P42</f>
        <v/>
      </c>
      <c r="Q92" s="4">
        <f>Q59-Q42</f>
        <v/>
      </c>
      <c r="R92" s="7">
        <f>SUM(L92:Q92)</f>
        <v/>
      </c>
      <c r="S92" s="136">
        <f>S59-S42</f>
        <v/>
      </c>
      <c r="T92" s="136">
        <f>T59-T42</f>
        <v/>
      </c>
      <c r="U92" s="136">
        <f>U59-U42</f>
        <v/>
      </c>
      <c r="V92" s="136">
        <f>V59-V42</f>
        <v/>
      </c>
      <c r="W92" s="136">
        <f>W59-W42</f>
        <v/>
      </c>
      <c r="X92" s="136">
        <f>X59-X42</f>
        <v/>
      </c>
      <c r="Y92" s="147">
        <f>Y59-Y42</f>
        <v/>
      </c>
    </row>
    <row r="93" hidden="1" s="127">
      <c r="C93" s="60" t="inlineStr">
        <is>
          <t>浜田水産部合計</t>
        </is>
      </c>
      <c r="D93" s="22" t="n"/>
      <c r="E93" s="4">
        <f>SUM(E89:E92)</f>
        <v/>
      </c>
      <c r="F93" s="4">
        <f>SUM(F89:F92)</f>
        <v/>
      </c>
      <c r="G93" s="4">
        <f>SUM(G89:G92)</f>
        <v/>
      </c>
      <c r="H93" s="4">
        <f>SUM(H89:H92)</f>
        <v/>
      </c>
      <c r="I93" s="4">
        <f>SUM(I89:I92)</f>
        <v/>
      </c>
      <c r="J93" s="4">
        <f>SUM(J89:J92)</f>
        <v/>
      </c>
      <c r="K93" s="7">
        <f>SUM(E93:J93)</f>
        <v/>
      </c>
      <c r="L93" s="4">
        <f>SUM(L89:L92)</f>
        <v/>
      </c>
      <c r="M93" s="4">
        <f>SUM(M89:M92)</f>
        <v/>
      </c>
      <c r="N93" s="4">
        <f>SUM(N89:N92)</f>
        <v/>
      </c>
      <c r="O93" s="4">
        <f>SUM(O89:O92)</f>
        <v/>
      </c>
      <c r="P93" s="4">
        <f>SUM(P89:P92)</f>
        <v/>
      </c>
      <c r="Q93" s="4">
        <f>SUM(Q89:Q92)</f>
        <v/>
      </c>
      <c r="R93" s="7">
        <f>SUM(L93:Q93)</f>
        <v/>
      </c>
      <c r="S93" s="136">
        <f>S60-S43</f>
        <v/>
      </c>
      <c r="T93" s="136">
        <f>T60-T43</f>
        <v/>
      </c>
      <c r="U93" s="136">
        <f>U60-U43</f>
        <v/>
      </c>
      <c r="V93" s="136">
        <f>V60-V43</f>
        <v/>
      </c>
      <c r="W93" s="136">
        <f>W60-W43</f>
        <v/>
      </c>
      <c r="X93" s="136">
        <f>X60-X43</f>
        <v/>
      </c>
      <c r="Y93" s="147">
        <f>Y60-Y43</f>
        <v/>
      </c>
    </row>
    <row r="94" hidden="1" s="127">
      <c r="C94" s="60" t="inlineStr">
        <is>
          <t>0102 集計</t>
        </is>
      </c>
      <c r="D94" s="22" t="inlineStr">
        <is>
          <t>JF大田</t>
        </is>
      </c>
      <c r="E94" s="4">
        <f>E61-E44</f>
        <v/>
      </c>
      <c r="F94" s="4">
        <f>F61-F44</f>
        <v/>
      </c>
      <c r="G94" s="4">
        <f>G61-G44</f>
        <v/>
      </c>
      <c r="H94" s="4">
        <f>H61-H44</f>
        <v/>
      </c>
      <c r="I94" s="4">
        <f>I61-I44</f>
        <v/>
      </c>
      <c r="J94" s="4">
        <f>J61-J44</f>
        <v/>
      </c>
      <c r="K94" s="7">
        <f>SUM(E94:J94)</f>
        <v/>
      </c>
      <c r="L94" s="4">
        <f>L61-L44</f>
        <v/>
      </c>
      <c r="M94" s="4">
        <f>M61-M44</f>
        <v/>
      </c>
      <c r="N94" s="4">
        <f>N61-N44</f>
        <v/>
      </c>
      <c r="O94" s="4">
        <f>O61-O44</f>
        <v/>
      </c>
      <c r="P94" s="4">
        <f>P61-P44</f>
        <v/>
      </c>
      <c r="Q94" s="4">
        <f>Q61-Q44</f>
        <v/>
      </c>
      <c r="R94" s="7">
        <f>SUM(L94:Q94)</f>
        <v/>
      </c>
      <c r="S94" s="136">
        <f>S61-S44</f>
        <v/>
      </c>
      <c r="T94" s="136">
        <f>T61-T44</f>
        <v/>
      </c>
      <c r="U94" s="136">
        <f>U61-U44</f>
        <v/>
      </c>
      <c r="V94" s="136">
        <f>V61-V44</f>
        <v/>
      </c>
      <c r="W94" s="136">
        <f>W61-W44</f>
        <v/>
      </c>
      <c r="X94" s="136">
        <f>X61-X44</f>
        <v/>
      </c>
      <c r="Y94" s="147">
        <f>Y61-Y44</f>
        <v/>
      </c>
    </row>
    <row r="95" hidden="1" s="127">
      <c r="C95" s="60" t="inlineStr">
        <is>
          <t>0104 集計</t>
        </is>
      </c>
      <c r="D95" s="22" t="inlineStr">
        <is>
          <t>大田荷役</t>
        </is>
      </c>
      <c r="E95" s="4">
        <f>E62-E45</f>
        <v/>
      </c>
      <c r="F95" s="4">
        <f>F62-F45</f>
        <v/>
      </c>
      <c r="G95" s="4">
        <f>G62-G45</f>
        <v/>
      </c>
      <c r="H95" s="4">
        <f>H62-H45</f>
        <v/>
      </c>
      <c r="I95" s="4">
        <f>I62-I45</f>
        <v/>
      </c>
      <c r="J95" s="4">
        <f>J62-J45</f>
        <v/>
      </c>
      <c r="K95" s="7">
        <f>SUM(E95:J95)</f>
        <v/>
      </c>
      <c r="L95" s="4">
        <f>L62-L45</f>
        <v/>
      </c>
      <c r="M95" s="4">
        <f>M62-M45</f>
        <v/>
      </c>
      <c r="N95" s="4">
        <f>N62-N45</f>
        <v/>
      </c>
      <c r="O95" s="4">
        <f>O62-O45</f>
        <v/>
      </c>
      <c r="P95" s="4">
        <f>P62-P45</f>
        <v/>
      </c>
      <c r="Q95" s="4">
        <f>Q62-Q45</f>
        <v/>
      </c>
      <c r="R95" s="7">
        <f>SUM(L95:Q95)</f>
        <v/>
      </c>
      <c r="S95" s="136">
        <f>S62-S45</f>
        <v/>
      </c>
      <c r="T95" s="136">
        <f>T62-T45</f>
        <v/>
      </c>
      <c r="U95" s="136">
        <f>U62-U45</f>
        <v/>
      </c>
      <c r="V95" s="136">
        <f>V62-V45</f>
        <v/>
      </c>
      <c r="W95" s="136">
        <f>W62-W45</f>
        <v/>
      </c>
      <c r="X95" s="136">
        <f>X62-X45</f>
        <v/>
      </c>
      <c r="Y95" s="147">
        <f>Y62-Y45</f>
        <v/>
      </c>
    </row>
    <row r="96" hidden="1" s="127">
      <c r="C96" s="60" t="inlineStr">
        <is>
          <t>大田水産部</t>
        </is>
      </c>
      <c r="D96" s="22" t="n"/>
      <c r="E96" s="20">
        <f>SUM(E94:E95)</f>
        <v/>
      </c>
      <c r="F96" s="20">
        <f>SUM(F94:F95)</f>
        <v/>
      </c>
      <c r="G96" s="20">
        <f>SUM(G94:G95)</f>
        <v/>
      </c>
      <c r="H96" s="20">
        <f>SUM(H94:H95)</f>
        <v/>
      </c>
      <c r="I96" s="20">
        <f>SUM(I94:I95)</f>
        <v/>
      </c>
      <c r="J96" s="20">
        <f>SUM(J94:J95)</f>
        <v/>
      </c>
      <c r="K96" s="7">
        <f>SUM(K94:K95)</f>
        <v/>
      </c>
      <c r="L96" s="20">
        <f>SUM(L94:L95)</f>
        <v/>
      </c>
      <c r="M96" s="20">
        <f>SUM(M94:M95)</f>
        <v/>
      </c>
      <c r="N96" s="20">
        <f>SUM(N94:N95)</f>
        <v/>
      </c>
      <c r="O96" s="20">
        <f>SUM(O94:O95)</f>
        <v/>
      </c>
      <c r="P96" s="20">
        <f>SUM(P94:P95)</f>
        <v/>
      </c>
      <c r="Q96" s="20">
        <f>SUM(Q94:Q95)</f>
        <v/>
      </c>
      <c r="R96" s="7">
        <f>SUM(R94:R95)</f>
        <v/>
      </c>
      <c r="S96" s="136">
        <f>S63-S46</f>
        <v/>
      </c>
      <c r="T96" s="136">
        <f>T63-T46</f>
        <v/>
      </c>
      <c r="U96" s="136">
        <f>U63-U46</f>
        <v/>
      </c>
      <c r="V96" s="136">
        <f>V63-V46</f>
        <v/>
      </c>
      <c r="W96" s="136">
        <f>W63-W46</f>
        <v/>
      </c>
      <c r="X96" s="136">
        <f>X63-X46</f>
        <v/>
      </c>
      <c r="Y96" s="147">
        <f>Y63-Y46</f>
        <v/>
      </c>
    </row>
    <row r="97" hidden="1" s="127">
      <c r="C97" s="60" t="inlineStr">
        <is>
          <t>0031 集計</t>
        </is>
      </c>
      <c r="D97" s="22" t="inlineStr">
        <is>
          <t>JF境</t>
        </is>
      </c>
      <c r="E97" s="20">
        <f>E64-E47</f>
        <v/>
      </c>
      <c r="F97" s="20">
        <f>F64-F47</f>
        <v/>
      </c>
      <c r="G97" s="20">
        <f>G64-G47</f>
        <v/>
      </c>
      <c r="H97" s="20">
        <f>H64-H47</f>
        <v/>
      </c>
      <c r="I97" s="20">
        <f>I64-I47</f>
        <v/>
      </c>
      <c r="J97" s="20">
        <f>J64-J47</f>
        <v/>
      </c>
      <c r="K97" s="7">
        <f>SUM(E97:J97)</f>
        <v/>
      </c>
      <c r="L97" s="20">
        <f>L64-L47</f>
        <v/>
      </c>
      <c r="M97" s="20">
        <f>M64-M47</f>
        <v/>
      </c>
      <c r="N97" s="20">
        <f>N64-N47</f>
        <v/>
      </c>
      <c r="O97" s="20">
        <f>O64-O47</f>
        <v/>
      </c>
      <c r="P97" s="20">
        <f>P64-P47</f>
        <v/>
      </c>
      <c r="Q97" s="20">
        <f>Q64-Q47</f>
        <v/>
      </c>
      <c r="R97" s="7">
        <f>SUM(L97:Q97)</f>
        <v/>
      </c>
      <c r="S97" s="136">
        <f>S64-S47</f>
        <v/>
      </c>
      <c r="T97" s="136">
        <f>T64-T47</f>
        <v/>
      </c>
      <c r="U97" s="136">
        <f>U64-U47</f>
        <v/>
      </c>
      <c r="V97" s="136">
        <f>V64-V47</f>
        <v/>
      </c>
      <c r="W97" s="136">
        <f>W64-W47</f>
        <v/>
      </c>
      <c r="X97" s="136">
        <f>X64-X47</f>
        <v/>
      </c>
      <c r="Y97" s="147">
        <f>Y64-Y47</f>
        <v/>
      </c>
    </row>
    <row r="98" hidden="1" s="127">
      <c r="C98" s="60" t="inlineStr">
        <is>
          <t>0038 集計</t>
        </is>
      </c>
      <c r="D98" s="83" t="inlineStr">
        <is>
          <t>境その他</t>
        </is>
      </c>
      <c r="E98" s="20">
        <f>E65-E48</f>
        <v/>
      </c>
      <c r="F98" s="20">
        <f>F65-F48</f>
        <v/>
      </c>
      <c r="G98" s="20">
        <f>G65-G48</f>
        <v/>
      </c>
      <c r="H98" s="20">
        <f>H65-H48</f>
        <v/>
      </c>
      <c r="I98" s="20">
        <f>I65-I48</f>
        <v/>
      </c>
      <c r="J98" s="20">
        <f>J65-J48</f>
        <v/>
      </c>
      <c r="K98" s="7">
        <f>SUM(E98:J98)</f>
        <v/>
      </c>
      <c r="L98" s="20">
        <f>L65-L48</f>
        <v/>
      </c>
      <c r="M98" s="20">
        <f>M65-M48</f>
        <v/>
      </c>
      <c r="N98" s="20">
        <f>N65-N48</f>
        <v/>
      </c>
      <c r="O98" s="20">
        <f>O65-O48</f>
        <v/>
      </c>
      <c r="P98" s="20">
        <f>P65-P48</f>
        <v/>
      </c>
      <c r="Q98" s="20">
        <f>Q65-Q48</f>
        <v/>
      </c>
      <c r="R98" s="7">
        <f>SUM(L98:Q98)</f>
        <v/>
      </c>
      <c r="S98" s="136">
        <f>S65-S48</f>
        <v/>
      </c>
      <c r="T98" s="136">
        <f>T65-T48</f>
        <v/>
      </c>
      <c r="U98" s="136">
        <f>U65-U48</f>
        <v/>
      </c>
      <c r="V98" s="136">
        <f>V65-V48</f>
        <v/>
      </c>
      <c r="W98" s="136">
        <f>W65-W48</f>
        <v/>
      </c>
      <c r="X98" s="136">
        <f>X65-X48</f>
        <v/>
      </c>
      <c r="Y98" s="147">
        <f>Y65-Y48</f>
        <v/>
      </c>
    </row>
    <row r="99" hidden="1" s="127">
      <c r="C99" s="82" t="inlineStr">
        <is>
          <t>境港水産部合計</t>
        </is>
      </c>
      <c r="D99" s="83" t="n"/>
      <c r="E99" s="20">
        <f>SUM(E97:E98)</f>
        <v/>
      </c>
      <c r="F99" s="20">
        <f>SUM(F97:F98)</f>
        <v/>
      </c>
      <c r="G99" s="20">
        <f>SUM(G97:G98)</f>
        <v/>
      </c>
      <c r="H99" s="20">
        <f>SUM(H97:H98)</f>
        <v/>
      </c>
      <c r="I99" s="20">
        <f>SUM(I97:I98)</f>
        <v/>
      </c>
      <c r="J99" s="20">
        <f>SUM(J97:J98)</f>
        <v/>
      </c>
      <c r="K99" s="7">
        <f>SUM(K97:K98)</f>
        <v/>
      </c>
      <c r="L99" s="20">
        <f>SUM(L97:L98)</f>
        <v/>
      </c>
      <c r="M99" s="20">
        <f>SUM(M97:M98)</f>
        <v/>
      </c>
      <c r="N99" s="20">
        <f>SUM(N97:N98)</f>
        <v/>
      </c>
      <c r="O99" s="20">
        <f>SUM(O97:O98)</f>
        <v/>
      </c>
      <c r="P99" s="20">
        <f>SUM(P97:P98)</f>
        <v/>
      </c>
      <c r="Q99" s="20">
        <f>SUM(Q97:Q98)</f>
        <v/>
      </c>
      <c r="R99" s="7">
        <f>SUM(R97:R98)</f>
        <v/>
      </c>
      <c r="S99" s="136">
        <f>S66-S49</f>
        <v/>
      </c>
      <c r="T99" s="136">
        <f>T66-T49</f>
        <v/>
      </c>
      <c r="U99" s="136">
        <f>U66-U49</f>
        <v/>
      </c>
      <c r="V99" s="136">
        <f>V66-V49</f>
        <v/>
      </c>
      <c r="W99" s="136">
        <f>W66-W49</f>
        <v/>
      </c>
      <c r="X99" s="136">
        <f>X66-X49</f>
        <v/>
      </c>
      <c r="Y99" s="147">
        <f>Y66-Y49</f>
        <v/>
      </c>
    </row>
    <row r="100" hidden="1" s="127">
      <c r="C100" s="53" t="inlineStr">
        <is>
          <t>合計</t>
        </is>
      </c>
      <c r="D100" s="54" t="n"/>
      <c r="E100" s="8">
        <f>E93+E96+E99</f>
        <v/>
      </c>
      <c r="F100" s="8">
        <f>F93+F96+F99</f>
        <v/>
      </c>
      <c r="G100" s="8">
        <f>G93+G96+G99</f>
        <v/>
      </c>
      <c r="H100" s="8">
        <f>H93+H96+H99</f>
        <v/>
      </c>
      <c r="I100" s="8">
        <f>I93+I96+I99</f>
        <v/>
      </c>
      <c r="J100" s="8">
        <f>J93+J96+J99</f>
        <v/>
      </c>
      <c r="K100" s="9">
        <f>K93+K96+K99</f>
        <v/>
      </c>
      <c r="L100" s="8">
        <f>L93+L96+L99</f>
        <v/>
      </c>
      <c r="M100" s="8">
        <f>M93+M96+M99</f>
        <v/>
      </c>
      <c r="N100" s="8">
        <f>N93+N96+N99</f>
        <v/>
      </c>
      <c r="O100" s="8">
        <f>O93+O96+O99</f>
        <v/>
      </c>
      <c r="P100" s="8">
        <f>P93+P96+P99</f>
        <v/>
      </c>
      <c r="Q100" s="8">
        <f>Q93+Q96+Q99</f>
        <v/>
      </c>
      <c r="R100" s="9">
        <f>R93+R96+R99</f>
        <v/>
      </c>
      <c r="S100" s="139">
        <f>S67-S50</f>
        <v/>
      </c>
      <c r="T100" s="139">
        <f>T67-T50</f>
        <v/>
      </c>
      <c r="U100" s="139">
        <f>U67-U50</f>
        <v/>
      </c>
      <c r="V100" s="139">
        <f>V67-V50</f>
        <v/>
      </c>
      <c r="W100" s="139">
        <f>W67-W50</f>
        <v/>
      </c>
      <c r="X100" s="139">
        <f>X67-X50</f>
        <v/>
      </c>
      <c r="Y100" s="151">
        <f>Y67-Y50</f>
        <v/>
      </c>
    </row>
    <row r="101" hidden="1" s="127">
      <c r="C101" s="18" t="n"/>
      <c r="E101" s="17" t="n"/>
      <c r="F101" s="17" t="n"/>
      <c r="G101" s="17" t="n"/>
      <c r="H101" s="17" t="n"/>
      <c r="I101" s="17" t="n"/>
      <c r="J101" s="17" t="n"/>
      <c r="K101" s="18" t="n"/>
      <c r="L101" s="17" t="n"/>
      <c r="M101" s="17" t="n"/>
      <c r="N101" s="17" t="n"/>
      <c r="O101" s="17" t="n"/>
      <c r="P101" s="17" t="n"/>
      <c r="Q101" s="17" t="n"/>
      <c r="R101" s="18" t="n"/>
      <c r="S101" s="144" t="n"/>
      <c r="T101" s="144" t="n"/>
      <c r="U101" s="144" t="n"/>
      <c r="V101" s="144" t="n"/>
      <c r="W101" s="144" t="n"/>
      <c r="X101" s="144" t="n"/>
      <c r="Y101" s="144" t="n"/>
    </row>
    <row r="102">
      <c r="C102" s="18" t="inlineStr">
        <is>
          <t>7．実績</t>
        </is>
      </c>
    </row>
    <row r="103">
      <c r="C103" s="117" t="n"/>
      <c r="D103" s="118" t="n"/>
      <c r="E103" s="117" t="inlineStr">
        <is>
          <t>売上</t>
        </is>
      </c>
      <c r="F103" s="120" t="n"/>
      <c r="G103" s="120" t="n"/>
      <c r="H103" s="120" t="n"/>
      <c r="I103" s="120" t="n"/>
      <c r="J103" s="120" t="n"/>
      <c r="K103" s="118" t="n"/>
      <c r="L103" s="119" t="inlineStr">
        <is>
          <t>粗利益</t>
        </is>
      </c>
      <c r="M103" s="120" t="n"/>
      <c r="N103" s="120" t="n"/>
      <c r="O103" s="120" t="n"/>
      <c r="P103" s="120" t="n"/>
      <c r="Q103" s="120" t="n"/>
      <c r="R103" s="118" t="n"/>
      <c r="S103" s="119" t="inlineStr">
        <is>
          <t>粗利益率</t>
        </is>
      </c>
      <c r="T103" s="120" t="n"/>
      <c r="U103" s="120" t="n"/>
      <c r="V103" s="120" t="n"/>
      <c r="W103" s="120" t="n"/>
      <c r="X103" s="120" t="n"/>
      <c r="Y103" s="118" t="n"/>
    </row>
    <row r="104">
      <c r="C104" s="1" t="n"/>
      <c r="D104" s="21" t="n"/>
      <c r="E104" s="61" t="n">
        <v>46113</v>
      </c>
      <c r="F104" s="2" t="n">
        <v>46143</v>
      </c>
      <c r="G104" s="2" t="n">
        <v>46174</v>
      </c>
      <c r="H104" s="2" t="n">
        <v>46204</v>
      </c>
      <c r="I104" s="2" t="n">
        <v>46235</v>
      </c>
      <c r="J104" s="2" t="n">
        <v>46266</v>
      </c>
      <c r="K104" s="10" t="inlineStr">
        <is>
          <t>合計</t>
        </is>
      </c>
      <c r="L104" s="95" t="n">
        <v>46113</v>
      </c>
      <c r="M104" s="2" t="n">
        <v>46143</v>
      </c>
      <c r="N104" s="2" t="n">
        <v>46174</v>
      </c>
      <c r="O104" s="2" t="n">
        <v>46204</v>
      </c>
      <c r="P104" s="2" t="n">
        <v>46235</v>
      </c>
      <c r="Q104" s="2" t="n">
        <v>46266</v>
      </c>
      <c r="R104" s="10" t="inlineStr">
        <is>
          <t>合計</t>
        </is>
      </c>
      <c r="S104" s="95" t="n">
        <v>46113</v>
      </c>
      <c r="T104" s="2" t="n">
        <v>46143</v>
      </c>
      <c r="U104" s="2" t="n">
        <v>46174</v>
      </c>
      <c r="V104" s="2" t="n">
        <v>46204</v>
      </c>
      <c r="W104" s="2" t="n">
        <v>46235</v>
      </c>
      <c r="X104" s="2" t="n">
        <v>46266</v>
      </c>
      <c r="Y104" s="10" t="inlineStr">
        <is>
          <t>合計</t>
        </is>
      </c>
    </row>
    <row r="105">
      <c r="C105" s="60" t="inlineStr">
        <is>
          <t>0010 集計</t>
        </is>
      </c>
      <c r="D105" s="22" t="inlineStr">
        <is>
          <t>JF</t>
        </is>
      </c>
      <c r="E105" s="20" t="n">
        <v>7432.895</v>
      </c>
      <c r="F105" s="20" t="n">
        <v>5654</v>
      </c>
      <c r="G105" s="109" t="n">
        <v>2372.437</v>
      </c>
      <c r="H105" s="20" t="n">
        <v>1601.743</v>
      </c>
      <c r="I105" s="20" t="n">
        <v>4563.577</v>
      </c>
      <c r="J105" s="20" t="n">
        <v>10655.917</v>
      </c>
      <c r="K105" s="7">
        <f>SUM(E105:J105)</f>
        <v/>
      </c>
      <c r="L105" s="20" t="n">
        <v>1476.758</v>
      </c>
      <c r="M105" s="4" t="n">
        <v>1043</v>
      </c>
      <c r="N105" s="110" t="n">
        <v>426.527</v>
      </c>
      <c r="O105" s="20" t="n">
        <v>286.418</v>
      </c>
      <c r="P105" s="4" t="n">
        <v>737.38</v>
      </c>
      <c r="Q105" s="4" t="n">
        <v>1732.022</v>
      </c>
      <c r="R105" s="7">
        <f>SUM(L105:Q105)</f>
        <v/>
      </c>
      <c r="S105" s="136">
        <f>IF(E105=0,"***",L105/E105)</f>
        <v/>
      </c>
      <c r="T105" s="136">
        <f>IF(F105=0,"***",M105/F105)</f>
        <v/>
      </c>
      <c r="U105" s="136">
        <f>IF(G105=0,"***",N105/G105)</f>
        <v/>
      </c>
      <c r="V105" s="136">
        <f>IF(H105=0,"***",O105/H105)</f>
        <v/>
      </c>
      <c r="W105" s="136">
        <f>IF(I105=0,"***",P105/I105)</f>
        <v/>
      </c>
      <c r="X105" s="136">
        <f>IF(J105=0,"***",Q105/J105)</f>
        <v/>
      </c>
      <c r="Y105" s="147">
        <f>IF(K105=0,"***",R105/K105)</f>
        <v/>
      </c>
    </row>
    <row r="106">
      <c r="C106" s="60" t="inlineStr">
        <is>
          <t>0017 集計</t>
        </is>
      </c>
      <c r="D106" s="22" t="inlineStr">
        <is>
          <t>鮮魚</t>
        </is>
      </c>
      <c r="E106" s="20" t="n">
        <v>8579.040999999999</v>
      </c>
      <c r="F106" s="20" t="n">
        <v>10766.038</v>
      </c>
      <c r="G106" s="109" t="n">
        <v>8785.306</v>
      </c>
      <c r="H106" s="20" t="n">
        <v>5356.049</v>
      </c>
      <c r="I106" s="20" t="n">
        <v>4693.687</v>
      </c>
      <c r="J106" s="20" t="n">
        <v>7085.653</v>
      </c>
      <c r="K106" s="7">
        <f>SUM(E106:J106)</f>
        <v/>
      </c>
      <c r="L106" s="20" t="n">
        <v>3333.44</v>
      </c>
      <c r="M106" s="4" t="n">
        <v>4060.094</v>
      </c>
      <c r="N106" s="110" t="n">
        <v>3064.809</v>
      </c>
      <c r="O106" s="20" t="n">
        <v>1699.295</v>
      </c>
      <c r="P106" s="4" t="n">
        <v>1571.449</v>
      </c>
      <c r="Q106" s="4" t="n">
        <v>2641.428</v>
      </c>
      <c r="R106" s="7">
        <f>SUM(L106:Q106)</f>
        <v/>
      </c>
      <c r="S106" s="136">
        <f>IF(E106=0,"***",L106/E106)</f>
        <v/>
      </c>
      <c r="T106" s="136">
        <f>IF(F106=0,"***",M106/F106)</f>
        <v/>
      </c>
      <c r="U106" s="136">
        <f>IF(G106=0,"***",N106/G106)</f>
        <v/>
      </c>
      <c r="V106" s="136">
        <f>IF(H106=0,"***",O106/H106)</f>
        <v/>
      </c>
      <c r="W106" s="136">
        <f>IF(I106=0,"***",P106/I106)</f>
        <v/>
      </c>
      <c r="X106" s="136">
        <f>IF(J106=0,"***",Q106/J106)</f>
        <v/>
      </c>
      <c r="Y106" s="147">
        <f>IF(K106=0,"***",R106/K106)</f>
        <v/>
      </c>
    </row>
    <row r="107">
      <c r="C107" s="60" t="inlineStr">
        <is>
          <t>0101 集計</t>
        </is>
      </c>
      <c r="D107" s="22" t="inlineStr">
        <is>
          <t>GS</t>
        </is>
      </c>
      <c r="E107" s="20" t="n">
        <v>706.8049999999999</v>
      </c>
      <c r="F107" s="20" t="n">
        <v>528.396</v>
      </c>
      <c r="G107" s="109" t="n">
        <v>69.48</v>
      </c>
      <c r="H107" s="20" t="n">
        <v>41.977</v>
      </c>
      <c r="I107" s="20" t="n">
        <v>891.601</v>
      </c>
      <c r="J107" s="20" t="n">
        <v>845.513</v>
      </c>
      <c r="K107" s="7">
        <f>SUM(E107:J107)</f>
        <v/>
      </c>
      <c r="L107" s="20" t="n">
        <v>470.38</v>
      </c>
      <c r="M107" s="4" t="n">
        <v>323.308</v>
      </c>
      <c r="N107" s="110" t="n">
        <v>14.833</v>
      </c>
      <c r="O107" s="20" t="n">
        <v>24.608</v>
      </c>
      <c r="P107" s="4" t="n">
        <v>712.481</v>
      </c>
      <c r="Q107" s="4" t="n">
        <v>609.22</v>
      </c>
      <c r="R107" s="7">
        <f>SUM(L107:Q107)</f>
        <v/>
      </c>
      <c r="S107" s="136">
        <f>IF(E107=0,"***",L107/E107)</f>
        <v/>
      </c>
      <c r="T107" s="136">
        <f>IF(F107=0,"***",M107/F107)</f>
        <v/>
      </c>
      <c r="U107" s="136">
        <f>IF(G107=0,"***",N107/G107)</f>
        <v/>
      </c>
      <c r="V107" s="136">
        <f>IF(H107=0,"***",O107/H107)</f>
        <v/>
      </c>
      <c r="W107" s="136">
        <f>IF(I107=0,"***",P107/I107)</f>
        <v/>
      </c>
      <c r="X107" s="136">
        <f>IF(J107=0,"***",Q107/J107)</f>
        <v/>
      </c>
      <c r="Y107" s="147">
        <f>IF(K107=0,"***",R107/K107)</f>
        <v/>
      </c>
    </row>
    <row r="108">
      <c r="C108" s="60" t="inlineStr">
        <is>
          <t>0106 集計</t>
        </is>
      </c>
      <c r="D108" s="22" t="inlineStr">
        <is>
          <t>浜田荷役</t>
        </is>
      </c>
      <c r="E108" s="20" t="n">
        <v>3727</v>
      </c>
      <c r="F108" s="20" t="n">
        <v>6281.791</v>
      </c>
      <c r="G108" s="109" t="n">
        <v>5189.783</v>
      </c>
      <c r="H108" s="20" t="n">
        <v>4966.143</v>
      </c>
      <c r="I108" s="20" t="n">
        <v>1898.343</v>
      </c>
      <c r="J108" s="20" t="n">
        <v>3221.203</v>
      </c>
      <c r="K108" s="7">
        <f>SUM(E108:J108)</f>
        <v/>
      </c>
      <c r="L108" s="20" t="n">
        <v>1989</v>
      </c>
      <c r="M108" s="4" t="n">
        <v>3436.727</v>
      </c>
      <c r="N108" s="110" t="n">
        <v>2804.344</v>
      </c>
      <c r="O108" s="20" t="n">
        <v>2588.363</v>
      </c>
      <c r="P108" s="4" t="n">
        <v>1068.395</v>
      </c>
      <c r="Q108" s="4" t="n">
        <v>1871.836</v>
      </c>
      <c r="R108" s="7">
        <f>SUM(L108:Q108)</f>
        <v/>
      </c>
      <c r="S108" s="136">
        <f>IF(E108=0,"***",L108/E108)</f>
        <v/>
      </c>
      <c r="T108" s="136">
        <f>IF(F108=0,"***",M108/F108)</f>
        <v/>
      </c>
      <c r="U108" s="136">
        <f>IF(G108=0,"***",N108/G108)</f>
        <v/>
      </c>
      <c r="V108" s="136">
        <f>IF(H108=0,"***",O108/H108)</f>
        <v/>
      </c>
      <c r="W108" s="136">
        <f>IF(I108=0,"***",P108/I108)</f>
        <v/>
      </c>
      <c r="X108" s="136">
        <f>IF(J108=0,"***",Q108/J108)</f>
        <v/>
      </c>
      <c r="Y108" s="147">
        <f>IF(K108=0,"***",R108/K108)</f>
        <v/>
      </c>
    </row>
    <row r="109">
      <c r="C109" s="60" t="inlineStr">
        <is>
          <t>浜田水産部合計</t>
        </is>
      </c>
      <c r="D109" s="22" t="n"/>
      <c r="E109" s="4">
        <f>SUM(E105:E108)</f>
        <v/>
      </c>
      <c r="F109" s="4">
        <f>SUM(F105:F108)</f>
        <v/>
      </c>
      <c r="G109" s="4">
        <f>SUM(G105:G108)</f>
        <v/>
      </c>
      <c r="H109" s="4">
        <f>SUM(H105:H108)</f>
        <v/>
      </c>
      <c r="I109" s="4">
        <f>SUM(I105:I108)</f>
        <v/>
      </c>
      <c r="J109" s="4">
        <f>SUM(J105:J108)</f>
        <v/>
      </c>
      <c r="K109" s="7">
        <f>SUM(E109:J109)</f>
        <v/>
      </c>
      <c r="L109" s="4">
        <f>SUM(L105:L108)</f>
        <v/>
      </c>
      <c r="M109" s="4">
        <f>SUM(M105:M108)</f>
        <v/>
      </c>
      <c r="N109" s="4">
        <f>SUM(N105:N108)</f>
        <v/>
      </c>
      <c r="O109" s="4">
        <f>SUM(O105:O108)</f>
        <v/>
      </c>
      <c r="P109" s="4">
        <f>SUM(P105:P108)</f>
        <v/>
      </c>
      <c r="Q109" s="4">
        <f>SUM(Q105:Q108)</f>
        <v/>
      </c>
      <c r="R109" s="7">
        <f>SUM(L109:Q109)</f>
        <v/>
      </c>
      <c r="S109" s="136">
        <f>IF(E109=0,"***",L109/E109)</f>
        <v/>
      </c>
      <c r="T109" s="136">
        <f>IF(F109=0,"***",M109/F109)</f>
        <v/>
      </c>
      <c r="U109" s="136">
        <f>IF(G109=0,"***",N109/G109)</f>
        <v/>
      </c>
      <c r="V109" s="136">
        <f>IF(H109=0,"***",O109/H109)</f>
        <v/>
      </c>
      <c r="W109" s="136">
        <f>IF(I109=0,"***",P109/I109)</f>
        <v/>
      </c>
      <c r="X109" s="136">
        <f>IF(J109=0,"***",Q109/J109)</f>
        <v/>
      </c>
      <c r="Y109" s="147">
        <f>IF(K109=0,"***",R109/K109)</f>
        <v/>
      </c>
    </row>
    <row r="110">
      <c r="C110" s="60" t="inlineStr">
        <is>
          <t>0102 集計</t>
        </is>
      </c>
      <c r="D110" s="22" t="inlineStr">
        <is>
          <t>JF大田</t>
        </is>
      </c>
      <c r="E110" s="20" t="n">
        <v>9581.916999999999</v>
      </c>
      <c r="F110" s="20" t="n">
        <v>8198.089</v>
      </c>
      <c r="G110" s="109" t="n">
        <v>7791.673</v>
      </c>
      <c r="H110" s="20" t="n">
        <v>4587.709</v>
      </c>
      <c r="I110" s="20" t="n">
        <v>4505.06</v>
      </c>
      <c r="J110" s="20" t="n">
        <v>11659.237</v>
      </c>
      <c r="K110" s="7">
        <f>SUM(E110:J110)</f>
        <v/>
      </c>
      <c r="L110" s="4" t="n">
        <v>2282.322</v>
      </c>
      <c r="M110" s="4" t="n">
        <v>2022.106</v>
      </c>
      <c r="N110" s="110" t="n">
        <v>1573.684</v>
      </c>
      <c r="O110" s="4" t="n">
        <v>868.227</v>
      </c>
      <c r="P110" s="4" t="n">
        <v>973.835</v>
      </c>
      <c r="Q110" s="4" t="n">
        <v>2547.81</v>
      </c>
      <c r="R110" s="7">
        <f>SUM(L110:Q110)</f>
        <v/>
      </c>
      <c r="S110" s="136">
        <f>IF(E110=0,"***",L110/E110)</f>
        <v/>
      </c>
      <c r="T110" s="136">
        <f>IF(F110=0,"***",M110/F110)</f>
        <v/>
      </c>
      <c r="U110" s="136">
        <f>IF(G110=0,"***",N110/G110)</f>
        <v/>
      </c>
      <c r="V110" s="136">
        <f>IF(H110=0,"***",O110/H110)</f>
        <v/>
      </c>
      <c r="W110" s="136">
        <f>IF(I110=0,"***",P110/I110)</f>
        <v/>
      </c>
      <c r="X110" s="136">
        <f>IF(J110=0,"***",Q110/J110)</f>
        <v/>
      </c>
      <c r="Y110" s="147">
        <f>IF(K110=0,"***",R110/K110)</f>
        <v/>
      </c>
    </row>
    <row r="111">
      <c r="C111" s="60" t="inlineStr">
        <is>
          <t>0104 集計</t>
        </is>
      </c>
      <c r="D111" s="22" t="inlineStr">
        <is>
          <t>大田荷役</t>
        </is>
      </c>
      <c r="E111" s="20" t="n">
        <v>4167</v>
      </c>
      <c r="F111" s="20" t="n">
        <v>3870.535</v>
      </c>
      <c r="G111" s="109" t="n">
        <v>2740.64</v>
      </c>
      <c r="H111" s="20" t="n">
        <v>2087.995</v>
      </c>
      <c r="I111" s="20" t="n">
        <v>1503.815</v>
      </c>
      <c r="J111" s="20" t="n">
        <v>4028.685</v>
      </c>
      <c r="K111" s="7">
        <f>SUM(E111:J111)</f>
        <v/>
      </c>
      <c r="L111" s="4" t="n">
        <v>2513</v>
      </c>
      <c r="M111" s="4" t="n">
        <v>2465.249</v>
      </c>
      <c r="N111" s="110" t="n">
        <v>2267.056</v>
      </c>
      <c r="O111" s="4" t="n">
        <v>1594.106</v>
      </c>
      <c r="P111" s="4" t="n">
        <v>1173.421</v>
      </c>
      <c r="Q111" s="4" t="n">
        <v>2585.018</v>
      </c>
      <c r="R111" s="7">
        <f>SUM(L111:Q111)</f>
        <v/>
      </c>
      <c r="S111" s="136">
        <f>IF(E111=0,"***",L111/E111)</f>
        <v/>
      </c>
      <c r="T111" s="136">
        <f>IF(F111=0,"***",M111/F111)</f>
        <v/>
      </c>
      <c r="U111" s="136">
        <f>IF(G111=0,"***",N111/G111)</f>
        <v/>
      </c>
      <c r="V111" s="136">
        <f>IF(H111=0,"***",O111/H111)</f>
        <v/>
      </c>
      <c r="W111" s="136">
        <f>IF(I111=0,"***",P111/I111)</f>
        <v/>
      </c>
      <c r="X111" s="136">
        <f>IF(J111=0,"***",Q111/J111)</f>
        <v/>
      </c>
      <c r="Y111" s="147">
        <f>IF(K111=0,"***",R111/K111)</f>
        <v/>
      </c>
    </row>
    <row r="112">
      <c r="C112" s="60" t="inlineStr">
        <is>
          <t>大田水産部</t>
        </is>
      </c>
      <c r="D112" s="22" t="n"/>
      <c r="E112" s="20">
        <f>SUM(E110:E111)</f>
        <v/>
      </c>
      <c r="F112" s="20">
        <f>SUM(F110:F111)</f>
        <v/>
      </c>
      <c r="G112" s="20">
        <f>SUM(G110:G111)</f>
        <v/>
      </c>
      <c r="H112" s="20">
        <f>SUM(H110:H111)</f>
        <v/>
      </c>
      <c r="I112" s="20">
        <f>SUM(I110:I111)</f>
        <v/>
      </c>
      <c r="J112" s="20">
        <f>SUM(J110:J111)</f>
        <v/>
      </c>
      <c r="K112" s="7">
        <f>SUM(K110:K111)</f>
        <v/>
      </c>
      <c r="L112" s="20">
        <f>SUM(L110:L111)</f>
        <v/>
      </c>
      <c r="M112" s="20">
        <f>SUM(M110:M111)</f>
        <v/>
      </c>
      <c r="N112" s="20">
        <f>SUM(N110:N111)</f>
        <v/>
      </c>
      <c r="O112" s="20">
        <f>SUM(O110:O111)</f>
        <v/>
      </c>
      <c r="P112" s="20">
        <f>SUM(P110:P111)</f>
        <v/>
      </c>
      <c r="Q112" s="20">
        <f>SUM(Q110:Q111)</f>
        <v/>
      </c>
      <c r="R112" s="7">
        <f>SUM(R110:R111)</f>
        <v/>
      </c>
      <c r="S112" s="136">
        <f>IF(E112=0,"***",L112/E112)</f>
        <v/>
      </c>
      <c r="T112" s="136">
        <f>IF(F112=0,"***",M112/F112)</f>
        <v/>
      </c>
      <c r="U112" s="136">
        <f>IF(G112=0,"***",N112/G112)</f>
        <v/>
      </c>
      <c r="V112" s="136">
        <f>IF(H112=0,"***",O112/H112)</f>
        <v/>
      </c>
      <c r="W112" s="136">
        <f>IF(I112=0,"***",P112/I112)</f>
        <v/>
      </c>
      <c r="X112" s="136">
        <f>IF(J112=0,"***",Q112/J112)</f>
        <v/>
      </c>
      <c r="Y112" s="147">
        <f>IF(K112=0,"***",R112/K112)</f>
        <v/>
      </c>
    </row>
    <row r="113">
      <c r="C113" s="60" t="inlineStr">
        <is>
          <t>0031 集計</t>
        </is>
      </c>
      <c r="D113" s="22" t="inlineStr">
        <is>
          <t>JF境</t>
        </is>
      </c>
      <c r="E113" s="20" t="n">
        <v>22233.102</v>
      </c>
      <c r="F113" s="20" t="n">
        <v>19353.64</v>
      </c>
      <c r="G113" s="109" t="n">
        <v>29426.041</v>
      </c>
      <c r="H113" s="20" t="n">
        <v>15433.341</v>
      </c>
      <c r="I113" s="20" t="n">
        <v>14647.605</v>
      </c>
      <c r="J113" s="20" t="n">
        <v>12966.356</v>
      </c>
      <c r="K113" s="7">
        <f>SUM(E113:J113)</f>
        <v/>
      </c>
      <c r="L113" s="20" t="n">
        <v>4926.404</v>
      </c>
      <c r="M113" s="20" t="n">
        <v>4136.038</v>
      </c>
      <c r="N113" s="109" t="n">
        <v>6344.651</v>
      </c>
      <c r="O113" s="20" t="n">
        <v>2621.939</v>
      </c>
      <c r="P113" s="20" t="n">
        <v>2539.196</v>
      </c>
      <c r="Q113" s="20" t="n">
        <v>2247.959</v>
      </c>
      <c r="R113" s="7">
        <f>SUM(L113:Q113)</f>
        <v/>
      </c>
      <c r="S113" s="136">
        <f>IF(E113=0,"***",L113/E113)</f>
        <v/>
      </c>
      <c r="T113" s="136">
        <f>IF(F113=0,"***",M113/F113)</f>
        <v/>
      </c>
      <c r="U113" s="136">
        <f>IF(G113=0,"***",N113/G113)</f>
        <v/>
      </c>
      <c r="V113" s="136">
        <f>IF(H113=0,"***",O113/H113)</f>
        <v/>
      </c>
      <c r="W113" s="136">
        <f>IF(I113=0,"***",P113/I113)</f>
        <v/>
      </c>
      <c r="X113" s="136">
        <f>IF(J113=0,"***",Q113/J113)</f>
        <v/>
      </c>
      <c r="Y113" s="147">
        <f>IF(K113=0,"***",R113/K113)</f>
        <v/>
      </c>
    </row>
    <row r="114">
      <c r="C114" s="60" t="inlineStr">
        <is>
          <t>0038 集計</t>
        </is>
      </c>
      <c r="D114" s="83" t="inlineStr">
        <is>
          <t>境その他</t>
        </is>
      </c>
      <c r="E114" s="84" t="n">
        <v>0</v>
      </c>
      <c r="F114" s="84" t="n"/>
      <c r="G114" s="84" t="n"/>
      <c r="H114" s="84" t="n"/>
      <c r="I114" s="84" t="n">
        <v>0</v>
      </c>
      <c r="J114" s="84" t="n">
        <v>14.662</v>
      </c>
      <c r="K114" s="84">
        <f>SUM(E114:J114)</f>
        <v/>
      </c>
      <c r="L114" s="84" t="n">
        <v>0</v>
      </c>
      <c r="M114" s="84" t="n"/>
      <c r="N114" s="84" t="n"/>
      <c r="O114" s="84" t="n"/>
      <c r="P114" s="84" t="n">
        <v>0</v>
      </c>
      <c r="Q114" s="84" t="n">
        <v>3.987</v>
      </c>
      <c r="R114" s="84">
        <f>SUM(L114:Q114)</f>
        <v/>
      </c>
      <c r="S114" s="149" t="n"/>
      <c r="T114" s="149" t="n"/>
      <c r="U114" s="149" t="n"/>
      <c r="V114" s="149" t="n"/>
      <c r="W114" s="149" t="n"/>
      <c r="X114" s="149" t="n"/>
      <c r="Y114" s="150" t="n"/>
    </row>
    <row r="115">
      <c r="C115" s="82" t="inlineStr">
        <is>
          <t>境港水産部合計</t>
        </is>
      </c>
      <c r="D115" s="83" t="n"/>
      <c r="E115" s="20">
        <f>SUM(E113:E114)</f>
        <v/>
      </c>
      <c r="F115" s="20">
        <f>SUM(F113:F114)</f>
        <v/>
      </c>
      <c r="G115" s="20">
        <f>SUM(G113:G114)</f>
        <v/>
      </c>
      <c r="H115" s="20">
        <f>SUM(H113:H114)</f>
        <v/>
      </c>
      <c r="I115" s="20">
        <f>SUM(I113:I114)</f>
        <v/>
      </c>
      <c r="J115" s="20">
        <f>SUM(J113:J114)</f>
        <v/>
      </c>
      <c r="K115" s="7">
        <f>SUM(K113:K114)</f>
        <v/>
      </c>
      <c r="L115" s="20">
        <f>SUM(L113:L114)</f>
        <v/>
      </c>
      <c r="M115" s="20">
        <f>SUM(M113:M114)</f>
        <v/>
      </c>
      <c r="N115" s="20">
        <f>SUM(N113:N114)</f>
        <v/>
      </c>
      <c r="O115" s="20">
        <f>SUM(O113:O114)</f>
        <v/>
      </c>
      <c r="P115" s="20">
        <f>SUM(P113:P114)</f>
        <v/>
      </c>
      <c r="Q115" s="20">
        <f>SUM(Q113:Q114)</f>
        <v/>
      </c>
      <c r="R115" s="7">
        <f>SUM(R113:R114)</f>
        <v/>
      </c>
      <c r="S115" s="149" t="n"/>
      <c r="T115" s="149" t="n"/>
      <c r="U115" s="149" t="n"/>
      <c r="V115" s="149" t="n"/>
      <c r="W115" s="149" t="n"/>
      <c r="X115" s="149" t="n"/>
      <c r="Y115" s="150" t="n"/>
    </row>
    <row r="116">
      <c r="C116" s="53" t="inlineStr">
        <is>
          <t>合計</t>
        </is>
      </c>
      <c r="D116" s="54" t="n"/>
      <c r="E116" s="8">
        <f>E109+E112+E115</f>
        <v/>
      </c>
      <c r="F116" s="8">
        <f>F109+F112+F115</f>
        <v/>
      </c>
      <c r="G116" s="8">
        <f>G109+G112+G115</f>
        <v/>
      </c>
      <c r="H116" s="8">
        <f>H109+H112+H115</f>
        <v/>
      </c>
      <c r="I116" s="8">
        <f>I109+I112+I115</f>
        <v/>
      </c>
      <c r="J116" s="8">
        <f>J109+J112+J115</f>
        <v/>
      </c>
      <c r="K116" s="9">
        <f>K109+K112+K115</f>
        <v/>
      </c>
      <c r="L116" s="8">
        <f>L109+L112+L115</f>
        <v/>
      </c>
      <c r="M116" s="8">
        <f>M109+M112+M115</f>
        <v/>
      </c>
      <c r="N116" s="8">
        <f>N109+N112+N115</f>
        <v/>
      </c>
      <c r="O116" s="8">
        <f>O109+O112+O115</f>
        <v/>
      </c>
      <c r="P116" s="8">
        <f>P109+P112+P115</f>
        <v/>
      </c>
      <c r="Q116" s="8">
        <f>Q109+Q112+Q115</f>
        <v/>
      </c>
      <c r="R116" s="9">
        <f>R109+R112+R115</f>
        <v/>
      </c>
      <c r="S116" s="139">
        <f>IF(E116=0,"***",L116/E116)</f>
        <v/>
      </c>
      <c r="T116" s="139">
        <f>IF(F116=0,"***",M116/F116)</f>
        <v/>
      </c>
      <c r="U116" s="139">
        <f>IF(G116=0,"***",N116/G116)</f>
        <v/>
      </c>
      <c r="V116" s="139">
        <f>IF(H116=0,"***",O116/H116)</f>
        <v/>
      </c>
      <c r="W116" s="139">
        <f>IF(I116=0,"***",P116/I116)</f>
        <v/>
      </c>
      <c r="X116" s="139">
        <f>IF(J116=0,"***",Q116/J116)</f>
        <v/>
      </c>
      <c r="Y116" s="151">
        <f>IF(K116=0,"***",R116/K116)</f>
        <v/>
      </c>
    </row>
    <row r="117">
      <c r="C117" s="74" t="inlineStr">
        <is>
          <t>【参考】大海分</t>
        </is>
      </c>
      <c r="D117" s="75" t="n"/>
      <c r="E117" s="76" t="n">
        <v>6468.262</v>
      </c>
      <c r="F117" s="76" t="n">
        <v>8671.294</v>
      </c>
      <c r="G117" s="115" t="n">
        <v>7118.591</v>
      </c>
      <c r="H117" s="76" t="n">
        <v>3619.471</v>
      </c>
      <c r="I117" s="76" t="n"/>
      <c r="J117" s="76" t="n"/>
      <c r="K117" s="77">
        <f>SUM(E117:J117)</f>
        <v/>
      </c>
      <c r="L117" s="78" t="n">
        <v>2590.049</v>
      </c>
      <c r="M117" s="76" t="n">
        <v>3581.357</v>
      </c>
      <c r="N117" s="115" t="n">
        <v>2702.93</v>
      </c>
      <c r="O117" s="76" t="n">
        <v>1322.609</v>
      </c>
      <c r="P117" s="76" t="n"/>
      <c r="Q117" s="76" t="n"/>
      <c r="R117" s="77">
        <f>SUM(L117:Q117)</f>
        <v/>
      </c>
      <c r="S117" s="157">
        <f>IF(E117=0,"***",L117/E117)</f>
        <v/>
      </c>
      <c r="T117" s="157">
        <f>IF(F117=0,"***",M117/F117)</f>
        <v/>
      </c>
      <c r="U117" s="157">
        <f>IF(G117=0,"***",N117/G117)</f>
        <v/>
      </c>
      <c r="V117" s="153">
        <f>IF(H117=0,"***",O117/H117)</f>
        <v/>
      </c>
      <c r="W117" s="153">
        <f>IF(I117=0,"***",P117/I117)</f>
        <v/>
      </c>
      <c r="X117" s="153">
        <f>IF(J117=0,"***",Q117/J117)</f>
        <v/>
      </c>
      <c r="Y117" s="154">
        <f>IF(K117=0,"***",R117/K117)</f>
        <v/>
      </c>
    </row>
    <row r="118">
      <c r="C118" s="18" t="n"/>
      <c r="E118" s="17" t="n"/>
      <c r="F118" s="17" t="n"/>
      <c r="G118" s="17" t="n"/>
      <c r="H118" s="17" t="n"/>
      <c r="I118" s="17" t="n"/>
      <c r="J118" s="17" t="n"/>
      <c r="K118" s="18" t="n"/>
      <c r="L118" s="17" t="n"/>
      <c r="M118" s="17" t="n"/>
      <c r="N118" s="17" t="n"/>
      <c r="O118" s="17" t="n"/>
      <c r="P118" s="17" t="n"/>
      <c r="Q118" s="17" t="n"/>
      <c r="R118" s="18" t="n"/>
      <c r="S118" s="144" t="n"/>
      <c r="T118" s="144" t="n"/>
      <c r="U118" s="144" t="n"/>
      <c r="V118" s="144" t="n"/>
      <c r="W118" s="144" t="n"/>
      <c r="X118" s="144" t="n"/>
      <c r="Y118" s="144" t="n"/>
    </row>
    <row r="119">
      <c r="C119" s="18" t="inlineStr">
        <is>
          <t>8．計画比</t>
        </is>
      </c>
    </row>
    <row r="120">
      <c r="C120" s="117" t="n"/>
      <c r="D120" s="118" t="n"/>
      <c r="E120" s="117" t="inlineStr">
        <is>
          <t>売上</t>
        </is>
      </c>
      <c r="F120" s="120" t="n"/>
      <c r="G120" s="120" t="n"/>
      <c r="H120" s="120" t="n"/>
      <c r="I120" s="120" t="n"/>
      <c r="J120" s="120" t="n"/>
      <c r="K120" s="118" t="n"/>
      <c r="L120" s="119" t="inlineStr">
        <is>
          <t>粗利益</t>
        </is>
      </c>
      <c r="M120" s="120" t="n"/>
      <c r="N120" s="120" t="n"/>
      <c r="O120" s="120" t="n"/>
      <c r="P120" s="120" t="n"/>
      <c r="Q120" s="120" t="n"/>
      <c r="R120" s="118" t="n"/>
      <c r="S120" s="119" t="inlineStr">
        <is>
          <t>粗利益率</t>
        </is>
      </c>
      <c r="T120" s="120" t="n"/>
      <c r="U120" s="120" t="n"/>
      <c r="V120" s="120" t="n"/>
      <c r="W120" s="120" t="n"/>
      <c r="X120" s="120" t="n"/>
      <c r="Y120" s="118" t="n"/>
    </row>
    <row r="121">
      <c r="C121" s="1" t="n"/>
      <c r="D121" s="21" t="n"/>
      <c r="E121" s="61" t="n">
        <v>46113</v>
      </c>
      <c r="F121" s="2" t="n">
        <v>46143</v>
      </c>
      <c r="G121" s="2" t="n">
        <v>46174</v>
      </c>
      <c r="H121" s="2" t="n">
        <v>46204</v>
      </c>
      <c r="I121" s="2" t="n">
        <v>46235</v>
      </c>
      <c r="J121" s="2" t="n">
        <v>46266</v>
      </c>
      <c r="K121" s="10" t="inlineStr">
        <is>
          <t>合計</t>
        </is>
      </c>
      <c r="L121" s="95" t="n">
        <v>46113</v>
      </c>
      <c r="M121" s="2" t="n">
        <v>46143</v>
      </c>
      <c r="N121" s="2" t="n">
        <v>46174</v>
      </c>
      <c r="O121" s="2" t="n">
        <v>46204</v>
      </c>
      <c r="P121" s="2" t="n">
        <v>46235</v>
      </c>
      <c r="Q121" s="2" t="n">
        <v>46266</v>
      </c>
      <c r="R121" s="10" t="inlineStr">
        <is>
          <t>合計</t>
        </is>
      </c>
      <c r="S121" s="95" t="n">
        <v>46113</v>
      </c>
      <c r="T121" s="2" t="n">
        <v>46143</v>
      </c>
      <c r="U121" s="2" t="n">
        <v>46174</v>
      </c>
      <c r="V121" s="2" t="n">
        <v>46204</v>
      </c>
      <c r="W121" s="2" t="n">
        <v>46235</v>
      </c>
      <c r="X121" s="2" t="n">
        <v>46266</v>
      </c>
      <c r="Y121" s="10" t="inlineStr">
        <is>
          <t>合計</t>
        </is>
      </c>
    </row>
    <row r="122">
      <c r="C122" s="60" t="inlineStr">
        <is>
          <t>0010 集計</t>
        </is>
      </c>
      <c r="D122" s="22" t="inlineStr">
        <is>
          <t>JF</t>
        </is>
      </c>
      <c r="E122" s="20">
        <f>E105-E56</f>
        <v/>
      </c>
      <c r="F122" s="20">
        <f>F105-F56</f>
        <v/>
      </c>
      <c r="G122" s="109">
        <f>G105-G56</f>
        <v/>
      </c>
      <c r="H122" s="20">
        <f>H105-H56</f>
        <v/>
      </c>
      <c r="I122" s="20">
        <f>I105-I56</f>
        <v/>
      </c>
      <c r="J122" s="20">
        <f>J105-J56</f>
        <v/>
      </c>
      <c r="K122" s="7">
        <f>SUM(E122:J122)</f>
        <v/>
      </c>
      <c r="L122" s="20">
        <f>L105-L56</f>
        <v/>
      </c>
      <c r="M122" s="4">
        <f>M105-M56</f>
        <v/>
      </c>
      <c r="N122" s="110">
        <f>N105-N56</f>
        <v/>
      </c>
      <c r="O122" s="20">
        <f>O105-O56</f>
        <v/>
      </c>
      <c r="P122" s="20">
        <f>P105-P56</f>
        <v/>
      </c>
      <c r="Q122" s="20">
        <f>Q105-Q56</f>
        <v/>
      </c>
      <c r="R122" s="7">
        <f>SUM(L122:Q122)</f>
        <v/>
      </c>
      <c r="S122" s="136">
        <f>S105-S56</f>
        <v/>
      </c>
      <c r="T122" s="136">
        <f>T105-T56</f>
        <v/>
      </c>
      <c r="U122" s="136">
        <f>U105-U56</f>
        <v/>
      </c>
      <c r="V122" s="136">
        <f>V105-V56</f>
        <v/>
      </c>
      <c r="W122" s="136">
        <f>W105-W56</f>
        <v/>
      </c>
      <c r="X122" s="136">
        <f>X105-X56</f>
        <v/>
      </c>
      <c r="Y122" s="147">
        <f>Y105-Y56</f>
        <v/>
      </c>
    </row>
    <row r="123">
      <c r="C123" s="60" t="inlineStr">
        <is>
          <t>0017 集計</t>
        </is>
      </c>
      <c r="D123" s="22" t="inlineStr">
        <is>
          <t>鮮魚</t>
        </is>
      </c>
      <c r="E123" s="20">
        <f>E106-E57</f>
        <v/>
      </c>
      <c r="F123" s="20">
        <f>F106-F57</f>
        <v/>
      </c>
      <c r="G123" s="109">
        <f>G106-G57</f>
        <v/>
      </c>
      <c r="H123" s="20">
        <f>H106-H57</f>
        <v/>
      </c>
      <c r="I123" s="20">
        <f>I106-I57</f>
        <v/>
      </c>
      <c r="J123" s="20">
        <f>J106-J57</f>
        <v/>
      </c>
      <c r="K123" s="7">
        <f>SUM(E123:J123)</f>
        <v/>
      </c>
      <c r="L123" s="20">
        <f>L106-L57</f>
        <v/>
      </c>
      <c r="M123" s="4">
        <f>M106-M57</f>
        <v/>
      </c>
      <c r="N123" s="110">
        <f>N106-N57</f>
        <v/>
      </c>
      <c r="O123" s="20">
        <f>O106-O57</f>
        <v/>
      </c>
      <c r="P123" s="20">
        <f>P106-P57</f>
        <v/>
      </c>
      <c r="Q123" s="20">
        <f>Q106-Q57</f>
        <v/>
      </c>
      <c r="R123" s="7">
        <f>SUM(L123:Q123)</f>
        <v/>
      </c>
      <c r="S123" s="136">
        <f>S106-S57</f>
        <v/>
      </c>
      <c r="T123" s="136">
        <f>T106-T57</f>
        <v/>
      </c>
      <c r="U123" s="136">
        <f>U106-U57</f>
        <v/>
      </c>
      <c r="V123" s="136">
        <f>V106-V57</f>
        <v/>
      </c>
      <c r="W123" s="136">
        <f>W106-W57</f>
        <v/>
      </c>
      <c r="X123" s="136">
        <f>X106-X57</f>
        <v/>
      </c>
      <c r="Y123" s="147">
        <f>Y106-Y57</f>
        <v/>
      </c>
    </row>
    <row r="124">
      <c r="C124" s="60" t="inlineStr">
        <is>
          <t>0101 集計</t>
        </is>
      </c>
      <c r="D124" s="22" t="inlineStr">
        <is>
          <t>GS</t>
        </is>
      </c>
      <c r="E124" s="20">
        <f>E107-E58</f>
        <v/>
      </c>
      <c r="F124" s="20">
        <f>F107-F58</f>
        <v/>
      </c>
      <c r="G124" s="109">
        <f>G107-G58</f>
        <v/>
      </c>
      <c r="H124" s="20">
        <f>H107-H58</f>
        <v/>
      </c>
      <c r="I124" s="20">
        <f>I107-I58</f>
        <v/>
      </c>
      <c r="J124" s="20">
        <f>J107-J58</f>
        <v/>
      </c>
      <c r="K124" s="7">
        <f>SUM(E124:J124)</f>
        <v/>
      </c>
      <c r="L124" s="20">
        <f>L107-L58</f>
        <v/>
      </c>
      <c r="M124" s="4">
        <f>M107-M58</f>
        <v/>
      </c>
      <c r="N124" s="110">
        <f>N107-N58</f>
        <v/>
      </c>
      <c r="O124" s="20">
        <f>O107-O58</f>
        <v/>
      </c>
      <c r="P124" s="20">
        <f>P107-P58</f>
        <v/>
      </c>
      <c r="Q124" s="20">
        <f>Q107-Q58</f>
        <v/>
      </c>
      <c r="R124" s="7">
        <f>SUM(L124:Q124)</f>
        <v/>
      </c>
      <c r="S124" s="136">
        <f>S107-S58</f>
        <v/>
      </c>
      <c r="T124" s="136">
        <f>T107-T58</f>
        <v/>
      </c>
      <c r="U124" s="136">
        <f>U107-U58</f>
        <v/>
      </c>
      <c r="V124" s="136">
        <f>V107-V58</f>
        <v/>
      </c>
      <c r="W124" s="136">
        <f>W107-W58</f>
        <v/>
      </c>
      <c r="X124" s="136">
        <f>X107-X58</f>
        <v/>
      </c>
      <c r="Y124" s="147">
        <f>Y107-Y58</f>
        <v/>
      </c>
    </row>
    <row r="125">
      <c r="C125" s="60" t="inlineStr">
        <is>
          <t>0106 集計</t>
        </is>
      </c>
      <c r="D125" s="22" t="inlineStr">
        <is>
          <t>浜田荷役</t>
        </is>
      </c>
      <c r="E125" s="20">
        <f>E108-E59</f>
        <v/>
      </c>
      <c r="F125" s="20">
        <f>F108-F59</f>
        <v/>
      </c>
      <c r="G125" s="109">
        <f>G108-G59</f>
        <v/>
      </c>
      <c r="H125" s="20">
        <f>H108-H59</f>
        <v/>
      </c>
      <c r="I125" s="20">
        <f>I108-I59</f>
        <v/>
      </c>
      <c r="J125" s="20">
        <f>J108-J59</f>
        <v/>
      </c>
      <c r="K125" s="7">
        <f>SUM(E125:J125)</f>
        <v/>
      </c>
      <c r="L125" s="20">
        <f>L108-L59</f>
        <v/>
      </c>
      <c r="M125" s="4">
        <f>M108-M59</f>
        <v/>
      </c>
      <c r="N125" s="110">
        <f>N108-N59</f>
        <v/>
      </c>
      <c r="O125" s="20">
        <f>O108-O59</f>
        <v/>
      </c>
      <c r="P125" s="20">
        <f>P108-P59</f>
        <v/>
      </c>
      <c r="Q125" s="20">
        <f>Q108-Q59</f>
        <v/>
      </c>
      <c r="R125" s="7">
        <f>SUM(L125:Q125)</f>
        <v/>
      </c>
      <c r="S125" s="136">
        <f>S108-S59</f>
        <v/>
      </c>
      <c r="T125" s="136">
        <f>T108-T59</f>
        <v/>
      </c>
      <c r="U125" s="136">
        <f>U108-U59</f>
        <v/>
      </c>
      <c r="V125" s="136">
        <f>V108-V59</f>
        <v/>
      </c>
      <c r="W125" s="136">
        <f>W108-W59</f>
        <v/>
      </c>
      <c r="X125" s="136">
        <f>X108-X59</f>
        <v/>
      </c>
      <c r="Y125" s="147">
        <f>Y108-Y59</f>
        <v/>
      </c>
    </row>
    <row r="126">
      <c r="C126" s="60" t="inlineStr">
        <is>
          <t>浜田水産部合計</t>
        </is>
      </c>
      <c r="D126" s="22" t="n"/>
      <c r="E126" s="4">
        <f>SUM(E122:E125)</f>
        <v/>
      </c>
      <c r="F126" s="4">
        <f>SUM(F122:F125)</f>
        <v/>
      </c>
      <c r="G126" s="4">
        <f>SUM(G122:G125)</f>
        <v/>
      </c>
      <c r="H126" s="4">
        <f>SUM(H122:H125)</f>
        <v/>
      </c>
      <c r="I126" s="4">
        <f>SUM(I122:I125)</f>
        <v/>
      </c>
      <c r="J126" s="4">
        <f>SUM(J122:J125)</f>
        <v/>
      </c>
      <c r="K126" s="7">
        <f>SUM(E126:J126)</f>
        <v/>
      </c>
      <c r="L126" s="4">
        <f>SUM(L122:L125)</f>
        <v/>
      </c>
      <c r="M126" s="4">
        <f>SUM(M122:M125)</f>
        <v/>
      </c>
      <c r="N126" s="4">
        <f>SUM(N122:N125)</f>
        <v/>
      </c>
      <c r="O126" s="4">
        <f>SUM(O122:O125)</f>
        <v/>
      </c>
      <c r="P126" s="4">
        <f>SUM(P122:P125)</f>
        <v/>
      </c>
      <c r="Q126" s="4">
        <f>SUM(Q122:Q125)</f>
        <v/>
      </c>
      <c r="R126" s="7">
        <f>SUM(L126:Q126)</f>
        <v/>
      </c>
      <c r="S126" s="136">
        <f>S109-S60</f>
        <v/>
      </c>
      <c r="T126" s="136">
        <f>T109-T60</f>
        <v/>
      </c>
      <c r="U126" s="136">
        <f>U109-U60</f>
        <v/>
      </c>
      <c r="V126" s="136">
        <f>V109-V60</f>
        <v/>
      </c>
      <c r="W126" s="136">
        <f>W109-W60</f>
        <v/>
      </c>
      <c r="X126" s="136">
        <f>X109-X60</f>
        <v/>
      </c>
      <c r="Y126" s="147">
        <f>Y109-Y60</f>
        <v/>
      </c>
    </row>
    <row r="127">
      <c r="C127" s="60" t="inlineStr">
        <is>
          <t>0102 集計</t>
        </is>
      </c>
      <c r="D127" s="22" t="inlineStr">
        <is>
          <t>JF大田</t>
        </is>
      </c>
      <c r="E127" s="20">
        <f>E110-E61</f>
        <v/>
      </c>
      <c r="F127" s="20">
        <f>F110-F61</f>
        <v/>
      </c>
      <c r="G127" s="109">
        <f>G110-G61</f>
        <v/>
      </c>
      <c r="H127" s="20">
        <f>H110-H61</f>
        <v/>
      </c>
      <c r="I127" s="20">
        <f>I110-I61</f>
        <v/>
      </c>
      <c r="J127" s="20">
        <f>J110-J61</f>
        <v/>
      </c>
      <c r="K127" s="7">
        <f>SUM(E127:J127)</f>
        <v/>
      </c>
      <c r="L127" s="20">
        <f>L110-L61</f>
        <v/>
      </c>
      <c r="M127" s="4">
        <f>M110-M61</f>
        <v/>
      </c>
      <c r="N127" s="110">
        <f>N110-N61</f>
        <v/>
      </c>
      <c r="O127" s="4">
        <f>O110-O61</f>
        <v/>
      </c>
      <c r="P127" s="4">
        <f>P110-P61</f>
        <v/>
      </c>
      <c r="Q127" s="4">
        <f>Q110-Q61</f>
        <v/>
      </c>
      <c r="R127" s="7">
        <f>SUM(L127:Q127)</f>
        <v/>
      </c>
      <c r="S127" s="136">
        <f>S110-S61</f>
        <v/>
      </c>
      <c r="T127" s="136">
        <f>T110-T61</f>
        <v/>
      </c>
      <c r="U127" s="136">
        <f>U110-U61</f>
        <v/>
      </c>
      <c r="V127" s="136">
        <f>V110-V61</f>
        <v/>
      </c>
      <c r="W127" s="136">
        <f>W110-W61</f>
        <v/>
      </c>
      <c r="X127" s="136">
        <f>X110-X61</f>
        <v/>
      </c>
      <c r="Y127" s="147">
        <f>Y110-Y61</f>
        <v/>
      </c>
    </row>
    <row r="128">
      <c r="C128" s="60" t="inlineStr">
        <is>
          <t>0104 集計</t>
        </is>
      </c>
      <c r="D128" s="22" t="inlineStr">
        <is>
          <t>大田荷役</t>
        </is>
      </c>
      <c r="E128" s="20">
        <f>E111-E62</f>
        <v/>
      </c>
      <c r="F128" s="20">
        <f>F111-F62</f>
        <v/>
      </c>
      <c r="G128" s="109">
        <f>G111-G62</f>
        <v/>
      </c>
      <c r="H128" s="20">
        <f>H111-H62</f>
        <v/>
      </c>
      <c r="I128" s="20">
        <f>I111-I62</f>
        <v/>
      </c>
      <c r="J128" s="20">
        <f>J111-J62</f>
        <v/>
      </c>
      <c r="K128" s="7">
        <f>SUM(E128:J128)</f>
        <v/>
      </c>
      <c r="L128" s="20">
        <f>L111-L62</f>
        <v/>
      </c>
      <c r="M128" s="4">
        <f>M111-M62</f>
        <v/>
      </c>
      <c r="N128" s="110">
        <f>N111-N62</f>
        <v/>
      </c>
      <c r="O128" s="4">
        <f>O111-O62</f>
        <v/>
      </c>
      <c r="P128" s="4">
        <f>P111-P62</f>
        <v/>
      </c>
      <c r="Q128" s="4">
        <f>Q111-Q62</f>
        <v/>
      </c>
      <c r="R128" s="7">
        <f>SUM(L128:Q128)</f>
        <v/>
      </c>
      <c r="S128" s="136">
        <f>S111-S62</f>
        <v/>
      </c>
      <c r="T128" s="136">
        <f>T111-T62</f>
        <v/>
      </c>
      <c r="U128" s="136">
        <f>U111-U62</f>
        <v/>
      </c>
      <c r="V128" s="136">
        <f>V111-V62</f>
        <v/>
      </c>
      <c r="W128" s="136">
        <f>W111-W62</f>
        <v/>
      </c>
      <c r="X128" s="136">
        <f>X111-X62</f>
        <v/>
      </c>
      <c r="Y128" s="147">
        <f>Y111-Y62</f>
        <v/>
      </c>
    </row>
    <row r="129">
      <c r="C129" s="60" t="inlineStr">
        <is>
          <t>大田水産部</t>
        </is>
      </c>
      <c r="D129" s="22" t="n"/>
      <c r="E129" s="20">
        <f>SUM(E127:E128)</f>
        <v/>
      </c>
      <c r="F129" s="20">
        <f>SUM(F127:F128)</f>
        <v/>
      </c>
      <c r="G129" s="20">
        <f>SUM(G127:G128)</f>
        <v/>
      </c>
      <c r="H129" s="20">
        <f>SUM(H127:H128)</f>
        <v/>
      </c>
      <c r="I129" s="20">
        <f>SUM(I127:I128)</f>
        <v/>
      </c>
      <c r="J129" s="20">
        <f>SUM(J127:J128)</f>
        <v/>
      </c>
      <c r="K129" s="7">
        <f>SUM(K127:K128)</f>
        <v/>
      </c>
      <c r="L129" s="20">
        <f>SUM(L127:L128)</f>
        <v/>
      </c>
      <c r="M129" s="20">
        <f>SUM(M127:M128)</f>
        <v/>
      </c>
      <c r="N129" s="20">
        <f>SUM(N127:N128)</f>
        <v/>
      </c>
      <c r="O129" s="20">
        <f>SUM(O127:O128)</f>
        <v/>
      </c>
      <c r="P129" s="20">
        <f>SUM(P127:P128)</f>
        <v/>
      </c>
      <c r="Q129" s="20">
        <f>SUM(Q127:Q128)</f>
        <v/>
      </c>
      <c r="R129" s="7">
        <f>SUM(R127:R128)</f>
        <v/>
      </c>
      <c r="S129" s="136">
        <f>S112-S63</f>
        <v/>
      </c>
      <c r="T129" s="136">
        <f>T112-T63</f>
        <v/>
      </c>
      <c r="U129" s="136">
        <f>U112-U63</f>
        <v/>
      </c>
      <c r="V129" s="136">
        <f>V112-V63</f>
        <v/>
      </c>
      <c r="W129" s="136">
        <f>W112-W63</f>
        <v/>
      </c>
      <c r="X129" s="136">
        <f>X112-X63</f>
        <v/>
      </c>
      <c r="Y129" s="147">
        <f>Y112-Y63</f>
        <v/>
      </c>
    </row>
    <row r="130">
      <c r="C130" s="60" t="inlineStr">
        <is>
          <t>0031 集計</t>
        </is>
      </c>
      <c r="D130" s="22" t="inlineStr">
        <is>
          <t>JF境</t>
        </is>
      </c>
      <c r="E130" s="20">
        <f>E113-E64</f>
        <v/>
      </c>
      <c r="F130" s="20">
        <f>F113-F64</f>
        <v/>
      </c>
      <c r="G130" s="109">
        <f>G113-G64</f>
        <v/>
      </c>
      <c r="H130" s="20">
        <f>H113-H64</f>
        <v/>
      </c>
      <c r="I130" s="20">
        <f>I113-I64</f>
        <v/>
      </c>
      <c r="J130" s="20">
        <f>J113-J64</f>
        <v/>
      </c>
      <c r="K130" s="7">
        <f>SUM(E130:J130)</f>
        <v/>
      </c>
      <c r="L130" s="20">
        <f>L113-L64</f>
        <v/>
      </c>
      <c r="M130" s="20">
        <f>M113-M64</f>
        <v/>
      </c>
      <c r="N130" s="109">
        <f>N113-N64</f>
        <v/>
      </c>
      <c r="O130" s="20">
        <f>O113-O64</f>
        <v/>
      </c>
      <c r="P130" s="20">
        <f>P113-P64</f>
        <v/>
      </c>
      <c r="Q130" s="20">
        <f>Q113-Q64</f>
        <v/>
      </c>
      <c r="R130" s="7">
        <f>SUM(L130:Q130)</f>
        <v/>
      </c>
      <c r="S130" s="136">
        <f>S113-S64</f>
        <v/>
      </c>
      <c r="T130" s="136">
        <f>T113-T64</f>
        <v/>
      </c>
      <c r="U130" s="136">
        <f>U113-U64</f>
        <v/>
      </c>
      <c r="V130" s="136">
        <f>V113-V64</f>
        <v/>
      </c>
      <c r="W130" s="136">
        <f>W113-W64</f>
        <v/>
      </c>
      <c r="X130" s="136">
        <f>X113-X64</f>
        <v/>
      </c>
      <c r="Y130" s="147">
        <f>Y113-Y64</f>
        <v/>
      </c>
    </row>
    <row r="131">
      <c r="C131" s="60" t="inlineStr">
        <is>
          <t>0038 集計</t>
        </is>
      </c>
      <c r="D131" s="83" t="inlineStr">
        <is>
          <t>境その他</t>
        </is>
      </c>
      <c r="E131" s="20">
        <f>E114-E65</f>
        <v/>
      </c>
      <c r="F131" s="20">
        <f>F114-F65</f>
        <v/>
      </c>
      <c r="G131" s="109">
        <f>G114-G65</f>
        <v/>
      </c>
      <c r="H131" s="20">
        <f>H114-H65</f>
        <v/>
      </c>
      <c r="I131" s="20">
        <f>I114-I65</f>
        <v/>
      </c>
      <c r="J131" s="20">
        <f>J114-J65</f>
        <v/>
      </c>
      <c r="K131" s="7">
        <f>SUM(E131:J131)</f>
        <v/>
      </c>
      <c r="L131" s="20">
        <f>L114-L65</f>
        <v/>
      </c>
      <c r="M131" s="20">
        <f>M114-M65</f>
        <v/>
      </c>
      <c r="N131" s="109">
        <f>N114-N65</f>
        <v/>
      </c>
      <c r="O131" s="20">
        <f>O114-O65</f>
        <v/>
      </c>
      <c r="P131" s="20">
        <f>P114-P65</f>
        <v/>
      </c>
      <c r="Q131" s="20">
        <f>Q114-Q65</f>
        <v/>
      </c>
      <c r="R131" s="7">
        <f>SUM(L131:Q131)</f>
        <v/>
      </c>
      <c r="S131" s="136">
        <f>S114-S65</f>
        <v/>
      </c>
      <c r="T131" s="136">
        <f>T114-T65</f>
        <v/>
      </c>
      <c r="U131" s="136">
        <f>U114-U65</f>
        <v/>
      </c>
      <c r="V131" s="136">
        <f>V114-V65</f>
        <v/>
      </c>
      <c r="W131" s="136">
        <f>W114-W65</f>
        <v/>
      </c>
      <c r="X131" s="136">
        <f>X114-X65</f>
        <v/>
      </c>
      <c r="Y131" s="147">
        <f>Y114-Y65</f>
        <v/>
      </c>
    </row>
    <row r="132">
      <c r="C132" s="82" t="inlineStr">
        <is>
          <t>境港水産部合計</t>
        </is>
      </c>
      <c r="D132" s="83" t="n"/>
      <c r="E132" s="20">
        <f>SUM(E130:E131)</f>
        <v/>
      </c>
      <c r="F132" s="20">
        <f>SUM(F130:F131)</f>
        <v/>
      </c>
      <c r="G132" s="20">
        <f>SUM(G130:G131)</f>
        <v/>
      </c>
      <c r="H132" s="20">
        <f>SUM(H130:H131)</f>
        <v/>
      </c>
      <c r="I132" s="20">
        <f>SUM(I130:I131)</f>
        <v/>
      </c>
      <c r="J132" s="20">
        <f>SUM(J130:J131)</f>
        <v/>
      </c>
      <c r="K132" s="7">
        <f>SUM(K130:K131)</f>
        <v/>
      </c>
      <c r="L132" s="20">
        <f>SUM(L130:L131)</f>
        <v/>
      </c>
      <c r="M132" s="20">
        <f>SUM(M130:M131)</f>
        <v/>
      </c>
      <c r="N132" s="20">
        <f>SUM(N130:N131)</f>
        <v/>
      </c>
      <c r="O132" s="20">
        <f>SUM(O130:O131)</f>
        <v/>
      </c>
      <c r="P132" s="20">
        <f>SUM(P130:P131)</f>
        <v/>
      </c>
      <c r="Q132" s="20">
        <f>SUM(Q130:Q131)</f>
        <v/>
      </c>
      <c r="R132" s="7">
        <f>SUM(R130:R131)</f>
        <v/>
      </c>
      <c r="S132" s="149">
        <f>S115-S66</f>
        <v/>
      </c>
      <c r="T132" s="149">
        <f>T115-T66</f>
        <v/>
      </c>
      <c r="U132" s="149">
        <f>U115-U66</f>
        <v/>
      </c>
      <c r="V132" s="149">
        <f>V115-V66</f>
        <v/>
      </c>
      <c r="W132" s="149">
        <f>W115-W66</f>
        <v/>
      </c>
      <c r="X132" s="149">
        <f>X115-X66</f>
        <v/>
      </c>
      <c r="Y132" s="150">
        <f>Y115-Y66</f>
        <v/>
      </c>
    </row>
    <row r="133">
      <c r="C133" s="53" t="inlineStr">
        <is>
          <t>合計</t>
        </is>
      </c>
      <c r="D133" s="54" t="n"/>
      <c r="E133" s="8">
        <f>E126+E129+E132</f>
        <v/>
      </c>
      <c r="F133" s="8">
        <f>F126+F129+F132</f>
        <v/>
      </c>
      <c r="G133" s="8">
        <f>G126+G129+G132</f>
        <v/>
      </c>
      <c r="H133" s="8">
        <f>H126+H129+H132</f>
        <v/>
      </c>
      <c r="I133" s="8">
        <f>I126+I129+I132</f>
        <v/>
      </c>
      <c r="J133" s="8">
        <f>J126+J129+J132</f>
        <v/>
      </c>
      <c r="K133" s="9">
        <f>K126+K129+K132</f>
        <v/>
      </c>
      <c r="L133" s="8">
        <f>L126+L129+L132</f>
        <v/>
      </c>
      <c r="M133" s="8">
        <f>M126+M129+M132</f>
        <v/>
      </c>
      <c r="N133" s="8">
        <f>N126+N129+N132</f>
        <v/>
      </c>
      <c r="O133" s="8">
        <f>O126+O129+O132</f>
        <v/>
      </c>
      <c r="P133" s="8">
        <f>P126+P129+P132</f>
        <v/>
      </c>
      <c r="Q133" s="8">
        <f>Q126+Q129+Q132</f>
        <v/>
      </c>
      <c r="R133" s="9">
        <f>R126+R129+R132</f>
        <v/>
      </c>
      <c r="S133" s="139">
        <f>S116-S67</f>
        <v/>
      </c>
      <c r="T133" s="139">
        <f>T116-T67</f>
        <v/>
      </c>
      <c r="U133" s="139">
        <f>U116-U67</f>
        <v/>
      </c>
      <c r="V133" s="139">
        <f>V116-V67</f>
        <v/>
      </c>
      <c r="W133" s="139">
        <f>W116-W67</f>
        <v/>
      </c>
      <c r="X133" s="139">
        <f>X116-X67</f>
        <v/>
      </c>
      <c r="Y133" s="151">
        <f>Y116-Y67</f>
        <v/>
      </c>
    </row>
    <row r="134">
      <c r="C134" s="18" t="n"/>
      <c r="E134" s="17" t="n"/>
      <c r="F134" s="17" t="n"/>
      <c r="G134" s="17" t="n"/>
      <c r="H134" s="17" t="n"/>
      <c r="I134" s="17" t="n"/>
      <c r="J134" s="17" t="n"/>
      <c r="K134" s="18" t="n"/>
      <c r="L134" s="17" t="n"/>
      <c r="M134" s="17" t="n"/>
      <c r="N134" s="17" t="n"/>
      <c r="O134" s="17" t="n"/>
      <c r="P134" s="17" t="n"/>
      <c r="Q134" s="17" t="n"/>
      <c r="R134" s="18" t="n"/>
      <c r="S134" s="144" t="n"/>
      <c r="T134" s="144" t="n"/>
      <c r="U134" s="144" t="n"/>
      <c r="V134" s="144" t="n"/>
      <c r="W134" s="144" t="n"/>
      <c r="X134" s="144" t="n"/>
      <c r="Y134" s="144" t="n"/>
    </row>
    <row r="135">
      <c r="C135" s="18" t="inlineStr">
        <is>
          <t>9．前期比</t>
        </is>
      </c>
    </row>
    <row r="136">
      <c r="C136" s="117" t="n"/>
      <c r="D136" s="118" t="n"/>
      <c r="E136" s="117" t="inlineStr">
        <is>
          <t>売上</t>
        </is>
      </c>
      <c r="F136" s="120" t="n"/>
      <c r="G136" s="120" t="n"/>
      <c r="H136" s="120" t="n"/>
      <c r="I136" s="120" t="n"/>
      <c r="J136" s="120" t="n"/>
      <c r="K136" s="118" t="n"/>
      <c r="L136" s="119" t="inlineStr">
        <is>
          <t>粗利益</t>
        </is>
      </c>
      <c r="M136" s="120" t="n"/>
      <c r="N136" s="120" t="n"/>
      <c r="O136" s="120" t="n"/>
      <c r="P136" s="120" t="n"/>
      <c r="Q136" s="120" t="n"/>
      <c r="R136" s="118" t="n"/>
      <c r="S136" s="119" t="inlineStr">
        <is>
          <t>粗利益率</t>
        </is>
      </c>
      <c r="T136" s="120" t="n"/>
      <c r="U136" s="120" t="n"/>
      <c r="V136" s="120" t="n"/>
      <c r="W136" s="120" t="n"/>
      <c r="X136" s="120" t="n"/>
      <c r="Y136" s="118" t="n"/>
    </row>
    <row r="137">
      <c r="C137" s="1" t="n"/>
      <c r="D137" s="21" t="n"/>
      <c r="E137" s="61" t="n">
        <v>46113</v>
      </c>
      <c r="F137" s="2" t="n">
        <v>46143</v>
      </c>
      <c r="G137" s="2" t="n">
        <v>46174</v>
      </c>
      <c r="H137" s="2" t="n">
        <v>46204</v>
      </c>
      <c r="I137" s="2" t="n">
        <v>46235</v>
      </c>
      <c r="J137" s="2" t="n">
        <v>46266</v>
      </c>
      <c r="K137" s="10" t="inlineStr">
        <is>
          <t>合計</t>
        </is>
      </c>
      <c r="L137" s="95" t="n">
        <v>46113</v>
      </c>
      <c r="M137" s="2" t="n">
        <v>46143</v>
      </c>
      <c r="N137" s="2" t="n">
        <v>46174</v>
      </c>
      <c r="O137" s="2" t="n">
        <v>46204</v>
      </c>
      <c r="P137" s="2" t="n">
        <v>46235</v>
      </c>
      <c r="Q137" s="2" t="n">
        <v>46266</v>
      </c>
      <c r="R137" s="10" t="inlineStr">
        <is>
          <t>合計</t>
        </is>
      </c>
      <c r="S137" s="95" t="n">
        <v>46113</v>
      </c>
      <c r="T137" s="2" t="n">
        <v>46143</v>
      </c>
      <c r="U137" s="2" t="n">
        <v>46174</v>
      </c>
      <c r="V137" s="2" t="n">
        <v>46204</v>
      </c>
      <c r="W137" s="2" t="n">
        <v>46235</v>
      </c>
      <c r="X137" s="2" t="n">
        <v>46266</v>
      </c>
      <c r="Y137" s="10" t="inlineStr">
        <is>
          <t>合計</t>
        </is>
      </c>
    </row>
    <row r="138">
      <c r="C138" s="60" t="inlineStr">
        <is>
          <t>0010 集計</t>
        </is>
      </c>
      <c r="D138" s="22" t="inlineStr">
        <is>
          <t>JF</t>
        </is>
      </c>
      <c r="E138" s="20">
        <f>E105-E22</f>
        <v/>
      </c>
      <c r="F138" s="20">
        <f>F105-F22</f>
        <v/>
      </c>
      <c r="G138" s="109">
        <f>G105-G22</f>
        <v/>
      </c>
      <c r="H138" s="20">
        <f>H105-H22</f>
        <v/>
      </c>
      <c r="I138" s="20">
        <f>I105-I22</f>
        <v/>
      </c>
      <c r="J138" s="20">
        <f>J105-J22</f>
        <v/>
      </c>
      <c r="K138" s="7">
        <f>SUM(E138:J138)</f>
        <v/>
      </c>
      <c r="L138" s="20">
        <f>L105-L22</f>
        <v/>
      </c>
      <c r="M138" s="20">
        <f>M105-M22</f>
        <v/>
      </c>
      <c r="N138" s="110">
        <f>N105-N22</f>
        <v/>
      </c>
      <c r="O138" s="20">
        <f>O105-O22</f>
        <v/>
      </c>
      <c r="P138" s="20">
        <f>P105-P22</f>
        <v/>
      </c>
      <c r="Q138" s="20">
        <f>Q105-Q22</f>
        <v/>
      </c>
      <c r="R138" s="7">
        <f>SUM(L138:Q138)</f>
        <v/>
      </c>
      <c r="S138" s="136">
        <f>S105-S22</f>
        <v/>
      </c>
      <c r="T138" s="136">
        <f>T105-T22</f>
        <v/>
      </c>
      <c r="U138" s="136">
        <f>U105-U22</f>
        <v/>
      </c>
      <c r="V138" s="136">
        <f>V105-V22</f>
        <v/>
      </c>
      <c r="W138" s="136">
        <f>W105-W22</f>
        <v/>
      </c>
      <c r="X138" s="136">
        <f>X105-X22</f>
        <v/>
      </c>
      <c r="Y138" s="147">
        <f>Y105-Y22</f>
        <v/>
      </c>
    </row>
    <row r="139">
      <c r="C139" s="60" t="inlineStr">
        <is>
          <t>0017 集計</t>
        </is>
      </c>
      <c r="D139" s="22" t="inlineStr">
        <is>
          <t>鮮魚</t>
        </is>
      </c>
      <c r="E139" s="20">
        <f>E106-E23</f>
        <v/>
      </c>
      <c r="F139" s="20">
        <f>F106-F23</f>
        <v/>
      </c>
      <c r="G139" s="109">
        <f>G106-G23</f>
        <v/>
      </c>
      <c r="H139" s="20">
        <f>H106-H23</f>
        <v/>
      </c>
      <c r="I139" s="20">
        <f>I106-I23</f>
        <v/>
      </c>
      <c r="J139" s="20">
        <f>J106-J23</f>
        <v/>
      </c>
      <c r="K139" s="7">
        <f>SUM(E139:J139)</f>
        <v/>
      </c>
      <c r="L139" s="20">
        <f>L106-L23</f>
        <v/>
      </c>
      <c r="M139" s="20">
        <f>M106-M23</f>
        <v/>
      </c>
      <c r="N139" s="110">
        <f>N106-N23</f>
        <v/>
      </c>
      <c r="O139" s="20">
        <f>O106-O23</f>
        <v/>
      </c>
      <c r="P139" s="20">
        <f>P106-P23</f>
        <v/>
      </c>
      <c r="Q139" s="20">
        <f>Q106-Q23</f>
        <v/>
      </c>
      <c r="R139" s="7">
        <f>SUM(L139:Q139)</f>
        <v/>
      </c>
      <c r="S139" s="136">
        <f>S106-S23</f>
        <v/>
      </c>
      <c r="T139" s="136">
        <f>T106-T23</f>
        <v/>
      </c>
      <c r="U139" s="136">
        <f>U106-U23</f>
        <v/>
      </c>
      <c r="V139" s="136">
        <f>V106-V23</f>
        <v/>
      </c>
      <c r="W139" s="136">
        <f>W106-W23</f>
        <v/>
      </c>
      <c r="X139" s="136">
        <f>X106-X23</f>
        <v/>
      </c>
      <c r="Y139" s="147">
        <f>Y106-Y23</f>
        <v/>
      </c>
    </row>
    <row r="140">
      <c r="C140" s="60" t="inlineStr">
        <is>
          <t>0101 集計</t>
        </is>
      </c>
      <c r="D140" s="22" t="inlineStr">
        <is>
          <t>GS</t>
        </is>
      </c>
      <c r="E140" s="20">
        <f>E107-E24</f>
        <v/>
      </c>
      <c r="F140" s="20">
        <f>F107-F24</f>
        <v/>
      </c>
      <c r="G140" s="109">
        <f>G107-G24</f>
        <v/>
      </c>
      <c r="H140" s="20">
        <f>H107-H24</f>
        <v/>
      </c>
      <c r="I140" s="20">
        <f>I107-I24</f>
        <v/>
      </c>
      <c r="J140" s="20">
        <f>J107-J24</f>
        <v/>
      </c>
      <c r="K140" s="7">
        <f>SUM(E140:J140)</f>
        <v/>
      </c>
      <c r="L140" s="20">
        <f>L107-L24</f>
        <v/>
      </c>
      <c r="M140" s="20">
        <f>M107-M24</f>
        <v/>
      </c>
      <c r="N140" s="110">
        <f>N107-N24</f>
        <v/>
      </c>
      <c r="O140" s="20">
        <f>O107-O24</f>
        <v/>
      </c>
      <c r="P140" s="20">
        <f>P107-P24</f>
        <v/>
      </c>
      <c r="Q140" s="20">
        <f>Q107-Q24</f>
        <v/>
      </c>
      <c r="R140" s="7">
        <f>SUM(L140:Q140)</f>
        <v/>
      </c>
      <c r="S140" s="136">
        <f>S107-S24</f>
        <v/>
      </c>
      <c r="T140" s="136">
        <f>T107-T24</f>
        <v/>
      </c>
      <c r="U140" s="136">
        <f>U107-U24</f>
        <v/>
      </c>
      <c r="V140" s="136">
        <f>V107-V24</f>
        <v/>
      </c>
      <c r="W140" s="136">
        <f>W107-W24</f>
        <v/>
      </c>
      <c r="X140" s="136">
        <f>X107-X24</f>
        <v/>
      </c>
      <c r="Y140" s="147">
        <f>Y107-Y24</f>
        <v/>
      </c>
    </row>
    <row r="141">
      <c r="C141" s="60" t="inlineStr">
        <is>
          <t>0106 集計</t>
        </is>
      </c>
      <c r="D141" s="22" t="inlineStr">
        <is>
          <t>浜田荷役</t>
        </is>
      </c>
      <c r="E141" s="20">
        <f>E108-E25</f>
        <v/>
      </c>
      <c r="F141" s="20">
        <f>F108-F25</f>
        <v/>
      </c>
      <c r="G141" s="109">
        <f>G108-G25</f>
        <v/>
      </c>
      <c r="H141" s="20">
        <f>H108-H25</f>
        <v/>
      </c>
      <c r="I141" s="20">
        <f>I108-I25</f>
        <v/>
      </c>
      <c r="J141" s="20">
        <f>J108-J25</f>
        <v/>
      </c>
      <c r="K141" s="7">
        <f>SUM(E141:J141)</f>
        <v/>
      </c>
      <c r="L141" s="20">
        <f>L108-L25</f>
        <v/>
      </c>
      <c r="M141" s="20">
        <f>M108-M25</f>
        <v/>
      </c>
      <c r="N141" s="110">
        <f>N108-N25</f>
        <v/>
      </c>
      <c r="O141" s="20">
        <f>O108-O25</f>
        <v/>
      </c>
      <c r="P141" s="20">
        <f>P108-P25</f>
        <v/>
      </c>
      <c r="Q141" s="20">
        <f>Q108-Q25</f>
        <v/>
      </c>
      <c r="R141" s="7">
        <f>SUM(L141:Q141)</f>
        <v/>
      </c>
      <c r="S141" s="136">
        <f>S108-S25</f>
        <v/>
      </c>
      <c r="T141" s="136">
        <f>T108-T25</f>
        <v/>
      </c>
      <c r="U141" s="136">
        <f>U108-U25</f>
        <v/>
      </c>
      <c r="V141" s="136">
        <f>V108-V25</f>
        <v/>
      </c>
      <c r="W141" s="136">
        <f>W108-W25</f>
        <v/>
      </c>
      <c r="X141" s="136">
        <f>X108-X25</f>
        <v/>
      </c>
      <c r="Y141" s="147">
        <f>Y108-Y25</f>
        <v/>
      </c>
    </row>
    <row r="142">
      <c r="C142" s="60" t="inlineStr">
        <is>
          <t>浜田水産部合計</t>
        </is>
      </c>
      <c r="D142" s="22" t="n"/>
      <c r="E142" s="4">
        <f>SUM(E138:E141)</f>
        <v/>
      </c>
      <c r="F142" s="4">
        <f>SUM(F138:F141)</f>
        <v/>
      </c>
      <c r="G142" s="4">
        <f>SUM(G138:G141)</f>
        <v/>
      </c>
      <c r="H142" s="4">
        <f>SUM(H138:H141)</f>
        <v/>
      </c>
      <c r="I142" s="4">
        <f>SUM(I138:I141)</f>
        <v/>
      </c>
      <c r="J142" s="4">
        <f>SUM(J138:J141)</f>
        <v/>
      </c>
      <c r="K142" s="7">
        <f>SUM(E142:J142)</f>
        <v/>
      </c>
      <c r="L142" s="4">
        <f>SUM(L138:L141)</f>
        <v/>
      </c>
      <c r="M142" s="4">
        <f>SUM(M140:M141)</f>
        <v/>
      </c>
      <c r="N142" s="4">
        <f>SUM(N140:N141)</f>
        <v/>
      </c>
      <c r="O142" s="4">
        <f>SUM(O140:O141)</f>
        <v/>
      </c>
      <c r="P142" s="4">
        <f>SUM(P140:P141)</f>
        <v/>
      </c>
      <c r="Q142" s="4">
        <f>SUM(Q140:Q141)</f>
        <v/>
      </c>
      <c r="R142" s="7">
        <f>SUM(L142:Q142)</f>
        <v/>
      </c>
      <c r="S142" s="136">
        <f>S109-S26</f>
        <v/>
      </c>
      <c r="T142" s="136">
        <f>T109-T26</f>
        <v/>
      </c>
      <c r="U142" s="136">
        <f>U109-U26</f>
        <v/>
      </c>
      <c r="V142" s="136">
        <f>V109-V26</f>
        <v/>
      </c>
      <c r="W142" s="136">
        <f>W109-W26</f>
        <v/>
      </c>
      <c r="X142" s="136">
        <f>X109-X26</f>
        <v/>
      </c>
      <c r="Y142" s="147">
        <f>Y109-Y26</f>
        <v/>
      </c>
    </row>
    <row r="143">
      <c r="C143" s="60" t="inlineStr">
        <is>
          <t>0102 集計</t>
        </is>
      </c>
      <c r="D143" s="22" t="inlineStr">
        <is>
          <t>JF大田</t>
        </is>
      </c>
      <c r="E143" s="20">
        <f>E110-E27</f>
        <v/>
      </c>
      <c r="F143" s="20">
        <f>F110-F27</f>
        <v/>
      </c>
      <c r="G143" s="109">
        <f>G110-G27</f>
        <v/>
      </c>
      <c r="H143" s="20">
        <f>H110-H27</f>
        <v/>
      </c>
      <c r="I143" s="20">
        <f>I110-I27</f>
        <v/>
      </c>
      <c r="J143" s="20">
        <f>J110-J27</f>
        <v/>
      </c>
      <c r="K143" s="7">
        <f>SUM(E143:J143)</f>
        <v/>
      </c>
      <c r="L143" s="20">
        <f>L110-L27</f>
        <v/>
      </c>
      <c r="M143" s="20">
        <f>M110-M27</f>
        <v/>
      </c>
      <c r="N143" s="110">
        <f>N110-N27</f>
        <v/>
      </c>
      <c r="O143" s="4">
        <f>O110-O27</f>
        <v/>
      </c>
      <c r="P143" s="4">
        <f>P110-P27</f>
        <v/>
      </c>
      <c r="Q143" s="4">
        <f>Q110-Q27</f>
        <v/>
      </c>
      <c r="R143" s="7">
        <f>SUM(L143:Q143)</f>
        <v/>
      </c>
      <c r="S143" s="136">
        <f>S110-S27</f>
        <v/>
      </c>
      <c r="T143" s="136">
        <f>T110-T27</f>
        <v/>
      </c>
      <c r="U143" s="136">
        <f>U110-U27</f>
        <v/>
      </c>
      <c r="V143" s="136">
        <f>V110-V27</f>
        <v/>
      </c>
      <c r="W143" s="136">
        <f>W110-W27</f>
        <v/>
      </c>
      <c r="X143" s="136">
        <f>X110-X27</f>
        <v/>
      </c>
      <c r="Y143" s="147">
        <f>Y110-Y27</f>
        <v/>
      </c>
    </row>
    <row r="144">
      <c r="C144" s="60" t="inlineStr">
        <is>
          <t>0104 集計</t>
        </is>
      </c>
      <c r="D144" s="22" t="inlineStr">
        <is>
          <t>大田荷役</t>
        </is>
      </c>
      <c r="E144" s="20">
        <f>E111-E28</f>
        <v/>
      </c>
      <c r="F144" s="20">
        <f>F111-F28</f>
        <v/>
      </c>
      <c r="G144" s="109">
        <f>G111-G28</f>
        <v/>
      </c>
      <c r="H144" s="20">
        <f>H111-H28</f>
        <v/>
      </c>
      <c r="I144" s="20">
        <f>I111-I28</f>
        <v/>
      </c>
      <c r="J144" s="20">
        <f>J111-J28</f>
        <v/>
      </c>
      <c r="K144" s="7">
        <f>SUM(E144:J144)</f>
        <v/>
      </c>
      <c r="L144" s="20">
        <f>L111-L28</f>
        <v/>
      </c>
      <c r="M144" s="20">
        <f>M111-M28</f>
        <v/>
      </c>
      <c r="N144" s="110">
        <f>N111-N28</f>
        <v/>
      </c>
      <c r="O144" s="4">
        <f>O111-O28</f>
        <v/>
      </c>
      <c r="P144" s="4">
        <f>P111-P28</f>
        <v/>
      </c>
      <c r="Q144" s="4">
        <f>Q111-Q28</f>
        <v/>
      </c>
      <c r="R144" s="7">
        <f>SUM(L144:Q144)</f>
        <v/>
      </c>
      <c r="S144" s="136">
        <f>S111-S28</f>
        <v/>
      </c>
      <c r="T144" s="136">
        <f>T111-T28</f>
        <v/>
      </c>
      <c r="U144" s="136">
        <f>U111-U28</f>
        <v/>
      </c>
      <c r="V144" s="136">
        <f>V111-V28</f>
        <v/>
      </c>
      <c r="W144" s="136">
        <f>W111-W28</f>
        <v/>
      </c>
      <c r="X144" s="136">
        <f>X111-X28</f>
        <v/>
      </c>
      <c r="Y144" s="147">
        <f>Y111-Y28</f>
        <v/>
      </c>
    </row>
    <row r="145">
      <c r="C145" s="60" t="inlineStr">
        <is>
          <t>大田水産部</t>
        </is>
      </c>
      <c r="D145" s="22" t="n"/>
      <c r="E145" s="20">
        <f>SUM(E143:E144)</f>
        <v/>
      </c>
      <c r="F145" s="20">
        <f>SUM(F141:F144)</f>
        <v/>
      </c>
      <c r="G145" s="20">
        <f>SUM(G141:G144)</f>
        <v/>
      </c>
      <c r="H145" s="20">
        <f>SUM(H141:H144)</f>
        <v/>
      </c>
      <c r="I145" s="20">
        <f>SUM(I141:I144)</f>
        <v/>
      </c>
      <c r="J145" s="20">
        <f>SUM(J141:J144)</f>
        <v/>
      </c>
      <c r="K145" s="7">
        <f>SUM(K143:K144)</f>
        <v/>
      </c>
      <c r="L145" s="20">
        <f>SUM(L143:L144)</f>
        <v/>
      </c>
      <c r="M145" s="20">
        <f>SUM(M143:M144)</f>
        <v/>
      </c>
      <c r="N145" s="20">
        <f>SUM(N143:N144)</f>
        <v/>
      </c>
      <c r="O145" s="20">
        <f>SUM(O143:O144)</f>
        <v/>
      </c>
      <c r="P145" s="20">
        <f>SUM(P143:P144)</f>
        <v/>
      </c>
      <c r="Q145" s="20">
        <f>SUM(Q143:Q144)</f>
        <v/>
      </c>
      <c r="R145" s="7">
        <f>SUM(R143:R144)</f>
        <v/>
      </c>
      <c r="S145" s="136">
        <f>S112-S29</f>
        <v/>
      </c>
      <c r="T145" s="136">
        <f>T112-T29</f>
        <v/>
      </c>
      <c r="U145" s="136">
        <f>U112-U29</f>
        <v/>
      </c>
      <c r="V145" s="136">
        <f>V112-V29</f>
        <v/>
      </c>
      <c r="W145" s="136">
        <f>W112-W29</f>
        <v/>
      </c>
      <c r="X145" s="136">
        <f>X112-X29</f>
        <v/>
      </c>
      <c r="Y145" s="147">
        <f>Y112-Y29</f>
        <v/>
      </c>
    </row>
    <row r="146">
      <c r="C146" s="60" t="inlineStr">
        <is>
          <t>0031 集計</t>
        </is>
      </c>
      <c r="D146" s="22" t="inlineStr">
        <is>
          <t>JF境</t>
        </is>
      </c>
      <c r="E146" s="20">
        <f>E113-E30</f>
        <v/>
      </c>
      <c r="F146" s="20">
        <f>F113-F30</f>
        <v/>
      </c>
      <c r="G146" s="109">
        <f>G113-G30</f>
        <v/>
      </c>
      <c r="H146" s="20">
        <f>H113-H30</f>
        <v/>
      </c>
      <c r="I146" s="20">
        <f>I113-I30</f>
        <v/>
      </c>
      <c r="J146" s="20">
        <f>J113-J30</f>
        <v/>
      </c>
      <c r="K146" s="7">
        <f>SUM(E146:J146)</f>
        <v/>
      </c>
      <c r="L146" s="20">
        <f>L113-L30</f>
        <v/>
      </c>
      <c r="M146" s="20">
        <f>M113-M30</f>
        <v/>
      </c>
      <c r="N146" s="109">
        <f>N113-N30</f>
        <v/>
      </c>
      <c r="O146" s="20">
        <f>O113-O30</f>
        <v/>
      </c>
      <c r="P146" s="20">
        <f>P113-P30</f>
        <v/>
      </c>
      <c r="Q146" s="20">
        <f>Q113-Q30</f>
        <v/>
      </c>
      <c r="R146" s="7">
        <f>SUM(L146:Q146)</f>
        <v/>
      </c>
      <c r="S146" s="136">
        <f>S113-S30</f>
        <v/>
      </c>
      <c r="T146" s="136">
        <f>T113-T30</f>
        <v/>
      </c>
      <c r="U146" s="136">
        <f>U113-U30</f>
        <v/>
      </c>
      <c r="V146" s="136">
        <f>V113-V30</f>
        <v/>
      </c>
      <c r="W146" s="136">
        <f>W113-W30</f>
        <v/>
      </c>
      <c r="X146" s="136">
        <f>X113-X30</f>
        <v/>
      </c>
      <c r="Y146" s="147">
        <f>Y113-Y30</f>
        <v/>
      </c>
    </row>
    <row r="147">
      <c r="C147" s="60" t="inlineStr">
        <is>
          <t>0038 集計</t>
        </is>
      </c>
      <c r="D147" s="83" t="inlineStr">
        <is>
          <t>境その他</t>
        </is>
      </c>
      <c r="E147" s="20">
        <f>E114-E31</f>
        <v/>
      </c>
      <c r="F147" s="20">
        <f>F114-F31</f>
        <v/>
      </c>
      <c r="G147" s="109">
        <f>G114-G31</f>
        <v/>
      </c>
      <c r="H147" s="20">
        <f>H114-H31</f>
        <v/>
      </c>
      <c r="I147" s="20">
        <f>I114-I31</f>
        <v/>
      </c>
      <c r="J147" s="20">
        <f>J114-J31</f>
        <v/>
      </c>
      <c r="K147" s="20">
        <f>SUM(E147:J147)</f>
        <v/>
      </c>
      <c r="L147" s="20">
        <f>L114-L31</f>
        <v/>
      </c>
      <c r="M147" s="20">
        <f>M114-M31</f>
        <v/>
      </c>
      <c r="N147" s="109">
        <f>N114-N31</f>
        <v/>
      </c>
      <c r="O147" s="20">
        <f>O114-O31</f>
        <v/>
      </c>
      <c r="P147" s="20">
        <f>P114-P31</f>
        <v/>
      </c>
      <c r="Q147" s="20">
        <f>Q114-Q31</f>
        <v/>
      </c>
      <c r="R147" s="7">
        <f>SUM(L147:Q147)</f>
        <v/>
      </c>
      <c r="S147" s="149">
        <f>S114-S31</f>
        <v/>
      </c>
      <c r="T147" s="149">
        <f>T114-T31</f>
        <v/>
      </c>
      <c r="U147" s="149">
        <f>U114-U31</f>
        <v/>
      </c>
      <c r="V147" s="149">
        <f>V114-V31</f>
        <v/>
      </c>
      <c r="W147" s="149">
        <f>W114-W31</f>
        <v/>
      </c>
      <c r="X147" s="149">
        <f>X114-X31</f>
        <v/>
      </c>
      <c r="Y147" s="150">
        <f>Y114-Y31</f>
        <v/>
      </c>
    </row>
    <row r="148">
      <c r="C148" s="82" t="inlineStr">
        <is>
          <t>境港水産部合計</t>
        </is>
      </c>
      <c r="D148" s="83" t="n"/>
      <c r="E148" s="20">
        <f>SUM(E146:E147)</f>
        <v/>
      </c>
      <c r="F148" s="20">
        <f>SUM(F146:F147)</f>
        <v/>
      </c>
      <c r="G148" s="20">
        <f>SUM(G146:G147)</f>
        <v/>
      </c>
      <c r="H148" s="20">
        <f>SUM(H146:H147)</f>
        <v/>
      </c>
      <c r="I148" s="20">
        <f>SUM(I146:I147)</f>
        <v/>
      </c>
      <c r="J148" s="20">
        <f>SUM(J146:J147)</f>
        <v/>
      </c>
      <c r="K148" s="7">
        <f>SUM(K146:K147)</f>
        <v/>
      </c>
      <c r="L148" s="20">
        <f>SUM(L146:L147)</f>
        <v/>
      </c>
      <c r="M148" s="20">
        <f>SUM(M146:M147)</f>
        <v/>
      </c>
      <c r="N148" s="20">
        <f>SUM(N146:N147)</f>
        <v/>
      </c>
      <c r="O148" s="20">
        <f>SUM(O146:O147)</f>
        <v/>
      </c>
      <c r="P148" s="20">
        <f>SUM(P146:P147)</f>
        <v/>
      </c>
      <c r="Q148" s="20">
        <f>SUM(Q146:Q147)</f>
        <v/>
      </c>
      <c r="R148" s="7">
        <f>SUM(R146:R147)</f>
        <v/>
      </c>
      <c r="S148" s="149">
        <f>S115-S32</f>
        <v/>
      </c>
      <c r="T148" s="149">
        <f>T115-T32</f>
        <v/>
      </c>
      <c r="U148" s="149">
        <f>U115-U32</f>
        <v/>
      </c>
      <c r="V148" s="149">
        <f>V115-V32</f>
        <v/>
      </c>
      <c r="W148" s="149">
        <f>W115-W32</f>
        <v/>
      </c>
      <c r="X148" s="149">
        <f>X115-X32</f>
        <v/>
      </c>
      <c r="Y148" s="150">
        <f>Y115-Y32</f>
        <v/>
      </c>
    </row>
    <row r="149">
      <c r="C149" s="53" t="inlineStr">
        <is>
          <t>合計</t>
        </is>
      </c>
      <c r="D149" s="54" t="n"/>
      <c r="E149" s="8">
        <f>E142+E145+E148</f>
        <v/>
      </c>
      <c r="F149" s="8">
        <f>F142+F145+F148</f>
        <v/>
      </c>
      <c r="G149" s="8">
        <f>G142+G145+G148</f>
        <v/>
      </c>
      <c r="H149" s="8">
        <f>H142+H145+H148</f>
        <v/>
      </c>
      <c r="I149" s="8">
        <f>I142+I145+I148</f>
        <v/>
      </c>
      <c r="J149" s="8">
        <f>J142+J145+J148</f>
        <v/>
      </c>
      <c r="K149" s="9">
        <f>K142+K145+K148</f>
        <v/>
      </c>
      <c r="L149" s="8">
        <f>L142+L145+L148</f>
        <v/>
      </c>
      <c r="M149" s="8">
        <f>M142+M145+M148</f>
        <v/>
      </c>
      <c r="N149" s="8">
        <f>N142+N145+N148</f>
        <v/>
      </c>
      <c r="O149" s="8">
        <f>O142+O145+O148</f>
        <v/>
      </c>
      <c r="P149" s="8">
        <f>P142+P145+P148</f>
        <v/>
      </c>
      <c r="Q149" s="8">
        <f>Q142+Q145+Q148</f>
        <v/>
      </c>
      <c r="R149" s="9">
        <f>R142+R145+R148</f>
        <v/>
      </c>
      <c r="S149" s="139">
        <f>S116-S33</f>
        <v/>
      </c>
      <c r="T149" s="139">
        <f>T116-T33</f>
        <v/>
      </c>
      <c r="U149" s="139">
        <f>U116-U33</f>
        <v/>
      </c>
      <c r="V149" s="139">
        <f>V116-V33</f>
        <v/>
      </c>
      <c r="W149" s="139">
        <f>W116-W33</f>
        <v/>
      </c>
      <c r="X149" s="139">
        <f>X116-X33</f>
        <v/>
      </c>
      <c r="Y149" s="151">
        <f>Y116-Y33</f>
        <v/>
      </c>
    </row>
  </sheetData>
  <mergeCells count="36">
    <mergeCell ref="S136:Y136"/>
    <mergeCell ref="E120:K120"/>
    <mergeCell ref="S20:Y20"/>
    <mergeCell ref="E54:K54"/>
    <mergeCell ref="E136:K136"/>
    <mergeCell ref="S54:Y54"/>
    <mergeCell ref="C20:D20"/>
    <mergeCell ref="E37:K37"/>
    <mergeCell ref="C3:D3"/>
    <mergeCell ref="C54:D54"/>
    <mergeCell ref="C103:D103"/>
    <mergeCell ref="E3:K3"/>
    <mergeCell ref="L120:R120"/>
    <mergeCell ref="E71:K71"/>
    <mergeCell ref="L103:R103"/>
    <mergeCell ref="S71:Y71"/>
    <mergeCell ref="L37:R37"/>
    <mergeCell ref="S3:Y3"/>
    <mergeCell ref="C120:D120"/>
    <mergeCell ref="L87:R87"/>
    <mergeCell ref="C71:D71"/>
    <mergeCell ref="L3:R3"/>
    <mergeCell ref="E87:K87"/>
    <mergeCell ref="E20:K20"/>
    <mergeCell ref="E103:K103"/>
    <mergeCell ref="S120:Y120"/>
    <mergeCell ref="L71:R71"/>
    <mergeCell ref="L136:R136"/>
    <mergeCell ref="S37:Y37"/>
    <mergeCell ref="C37:D37"/>
    <mergeCell ref="S87:Y87"/>
    <mergeCell ref="S103:Y103"/>
    <mergeCell ref="L20:R20"/>
    <mergeCell ref="C136:D136"/>
    <mergeCell ref="L54:R54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3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D1:U23"/>
  <sheetViews>
    <sheetView topLeftCell="A6" workbookViewId="0">
      <selection activeCell="P17" sqref="P17"/>
    </sheetView>
  </sheetViews>
  <sheetFormatPr baseColWidth="8" defaultRowHeight="18.75"/>
  <cols>
    <col width="1.625" customWidth="1" style="127" min="4" max="5"/>
    <col width="54.375" customWidth="1" style="127" min="21" max="21"/>
  </cols>
  <sheetData>
    <row r="1" ht="21.75" customHeight="1" s="127">
      <c r="D1" s="126" t="inlineStr">
        <is>
          <t>水産部第50期下期予算について</t>
        </is>
      </c>
    </row>
    <row r="3">
      <c r="D3" s="36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8" t="n"/>
    </row>
    <row r="4">
      <c r="D4" s="39" t="n"/>
      <c r="U4" s="57" t="n"/>
    </row>
    <row r="5">
      <c r="D5" s="4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1" t="n"/>
    </row>
    <row r="7">
      <c r="D7" s="117" t="n"/>
      <c r="E7" s="129" t="n"/>
      <c r="F7" s="130" t="n"/>
      <c r="G7" s="123" t="inlineStr">
        <is>
          <t>2024年4～9月</t>
        </is>
      </c>
      <c r="H7" s="124" t="n"/>
      <c r="I7" s="125" t="n"/>
      <c r="J7" s="123" t="inlineStr">
        <is>
          <t>2025年4～9月</t>
        </is>
      </c>
      <c r="K7" s="124" t="n"/>
      <c r="L7" s="125" t="n"/>
      <c r="M7" s="123" t="inlineStr">
        <is>
          <t>過年度平均</t>
        </is>
      </c>
      <c r="N7" s="124" t="n"/>
      <c r="O7" s="125" t="n"/>
      <c r="P7" s="123" t="inlineStr">
        <is>
          <t>計画</t>
        </is>
      </c>
      <c r="Q7" s="124" t="n"/>
      <c r="R7" s="124" t="n"/>
      <c r="S7" s="124" t="n"/>
      <c r="T7" s="125" t="n"/>
      <c r="U7" s="117" t="inlineStr">
        <is>
          <t>根拠</t>
        </is>
      </c>
    </row>
    <row r="8">
      <c r="D8" s="131" t="n"/>
      <c r="E8" s="132" t="n"/>
      <c r="F8" s="133" t="n"/>
      <c r="G8" s="46" t="inlineStr">
        <is>
          <t>売上</t>
        </is>
      </c>
      <c r="H8" s="47" t="inlineStr">
        <is>
          <t>粗利益</t>
        </is>
      </c>
      <c r="I8" s="48" t="inlineStr">
        <is>
          <t>粗利益率</t>
        </is>
      </c>
      <c r="J8" s="46" t="inlineStr">
        <is>
          <t>売上</t>
        </is>
      </c>
      <c r="K8" s="47" t="inlineStr">
        <is>
          <t>粗利益</t>
        </is>
      </c>
      <c r="L8" s="48" t="inlineStr">
        <is>
          <t>粗利益率</t>
        </is>
      </c>
      <c r="M8" s="46" t="inlineStr">
        <is>
          <t>売上</t>
        </is>
      </c>
      <c r="N8" s="47" t="inlineStr">
        <is>
          <t>粗利益</t>
        </is>
      </c>
      <c r="O8" s="48" t="inlineStr">
        <is>
          <t>粗利益率</t>
        </is>
      </c>
      <c r="P8" s="46" t="inlineStr">
        <is>
          <t>売上</t>
        </is>
      </c>
      <c r="Q8" s="47" t="inlineStr">
        <is>
          <t>粗利益</t>
        </is>
      </c>
      <c r="R8" s="49" t="inlineStr">
        <is>
          <t>粗利益率</t>
        </is>
      </c>
      <c r="S8" s="49" t="inlineStr">
        <is>
          <t>年率</t>
        </is>
      </c>
      <c r="T8" s="48" t="inlineStr">
        <is>
          <t>粗利益年率</t>
        </is>
      </c>
      <c r="U8" s="134" t="n"/>
    </row>
    <row r="9">
      <c r="D9" s="36" t="inlineStr">
        <is>
          <t>水産部</t>
        </is>
      </c>
      <c r="E9" s="37" t="n"/>
      <c r="F9" s="38" t="n"/>
      <c r="G9" s="58">
        <f>G13+G17+G21</f>
        <v/>
      </c>
      <c r="H9" s="59">
        <f>H13+H17+H21</f>
        <v/>
      </c>
      <c r="I9" s="158">
        <f>H9/G9</f>
        <v/>
      </c>
      <c r="J9" s="58">
        <f>J13+J17+J21</f>
        <v/>
      </c>
      <c r="K9" s="59">
        <f>K13+K17+K21</f>
        <v/>
      </c>
      <c r="L9" s="158">
        <f>K9/J9</f>
        <v/>
      </c>
      <c r="M9" s="41">
        <f>(G9+J9)/2</f>
        <v/>
      </c>
      <c r="N9" s="42">
        <f>(H9+K9)/2</f>
        <v/>
      </c>
      <c r="O9" s="158">
        <f>N9/M9</f>
        <v/>
      </c>
      <c r="P9" s="41">
        <f>P13+P17+P21</f>
        <v/>
      </c>
      <c r="Q9" s="42">
        <f>Q13+Q17+Q21</f>
        <v/>
      </c>
      <c r="R9" s="159">
        <f>Q9/P9</f>
        <v/>
      </c>
      <c r="S9" s="159">
        <f>P9/J9-1</f>
        <v/>
      </c>
      <c r="T9" s="158">
        <f>Q9/K9-1</f>
        <v/>
      </c>
      <c r="U9" s="45" t="n"/>
    </row>
    <row r="10">
      <c r="D10" s="39" t="n"/>
      <c r="F10" s="31" t="inlineStr">
        <is>
          <t>包装資材</t>
        </is>
      </c>
      <c r="G10" s="41">
        <f>G9-G11-G12</f>
        <v/>
      </c>
      <c r="H10" s="42">
        <f>H9-H11-H12</f>
        <v/>
      </c>
      <c r="I10" s="158">
        <f>H10/G10</f>
        <v/>
      </c>
      <c r="J10" s="41">
        <f>J9-J11-J12</f>
        <v/>
      </c>
      <c r="K10" s="42">
        <f>K9-K11-K12</f>
        <v/>
      </c>
      <c r="L10" s="158">
        <f>K10/J10</f>
        <v/>
      </c>
      <c r="M10" s="3">
        <f>(G10+J10)/2</f>
        <v/>
      </c>
      <c r="N10" s="4">
        <f>(H10+K10)/2</f>
        <v/>
      </c>
      <c r="O10" s="160">
        <f>N10/M10</f>
        <v/>
      </c>
      <c r="P10" s="41">
        <f>P9-P12-P11</f>
        <v/>
      </c>
      <c r="Q10" s="42">
        <f>Q9-Q12-Q11</f>
        <v/>
      </c>
      <c r="R10" s="161">
        <f>Q10/P10</f>
        <v/>
      </c>
      <c r="S10" s="161">
        <f>P10/J10-1</f>
        <v/>
      </c>
      <c r="T10" s="160">
        <f>Q10/K10-1</f>
        <v/>
      </c>
      <c r="U10" s="27" t="n"/>
    </row>
    <row r="11">
      <c r="D11" s="39" t="n"/>
      <c r="F11" s="35" t="inlineStr">
        <is>
          <t>荷役</t>
        </is>
      </c>
      <c r="G11" s="41">
        <f>G15+G19</f>
        <v/>
      </c>
      <c r="H11" s="42">
        <f>H15+H19</f>
        <v/>
      </c>
      <c r="I11" s="158">
        <f>H11/G11</f>
        <v/>
      </c>
      <c r="J11" s="41">
        <f>J15+J19</f>
        <v/>
      </c>
      <c r="K11" s="42">
        <f>K15+K19</f>
        <v/>
      </c>
      <c r="L11" s="158">
        <f>K11/J11</f>
        <v/>
      </c>
      <c r="M11" s="3">
        <f>(G11+J11)/2</f>
        <v/>
      </c>
      <c r="N11" s="4">
        <f>(H11+K11)/2</f>
        <v/>
      </c>
      <c r="O11" s="160">
        <f>N11/M11</f>
        <v/>
      </c>
      <c r="P11" s="41">
        <f>P15+P19</f>
        <v/>
      </c>
      <c r="Q11" s="42">
        <f>Q15+Q19</f>
        <v/>
      </c>
      <c r="R11" s="161">
        <f>Q11/P11</f>
        <v/>
      </c>
      <c r="S11" s="161">
        <f>P11/J11-1</f>
        <v/>
      </c>
      <c r="T11" s="160">
        <f>Q11/K11-1</f>
        <v/>
      </c>
      <c r="U11" s="45" t="n"/>
    </row>
    <row r="12">
      <c r="D12" s="39" t="n"/>
      <c r="F12" s="35" t="inlineStr">
        <is>
          <t>機械</t>
        </is>
      </c>
      <c r="G12" s="41">
        <f>G16+G20+G23</f>
        <v/>
      </c>
      <c r="H12" s="42">
        <f>H16+H20+H23</f>
        <v/>
      </c>
      <c r="I12" s="158">
        <f>H12/G12</f>
        <v/>
      </c>
      <c r="J12" s="41">
        <f>J16+J20+J23</f>
        <v/>
      </c>
      <c r="K12" s="42">
        <f>K16+K20+K23</f>
        <v/>
      </c>
      <c r="L12" s="158">
        <f>K12/J12</f>
        <v/>
      </c>
      <c r="M12" s="3">
        <f>(G12+J12)/2</f>
        <v/>
      </c>
      <c r="N12" s="4">
        <f>(H12+K12)/2</f>
        <v/>
      </c>
      <c r="O12" s="160">
        <f>N12/M12</f>
        <v/>
      </c>
      <c r="P12" s="41">
        <f>P16+P20+P23</f>
        <v/>
      </c>
      <c r="Q12" s="42">
        <f>Q16+Q20+Q23</f>
        <v/>
      </c>
      <c r="R12" s="161">
        <f>Q12/P12</f>
        <v/>
      </c>
      <c r="S12" s="161">
        <f>P12/J12-1</f>
        <v/>
      </c>
      <c r="T12" s="160">
        <f>Q12/K12-1</f>
        <v/>
      </c>
      <c r="U12" s="45" t="n"/>
    </row>
    <row r="13">
      <c r="D13" s="39" t="n"/>
      <c r="E13" s="32" t="inlineStr">
        <is>
          <t>浜田</t>
        </is>
      </c>
      <c r="F13" s="33" t="n"/>
      <c r="G13" s="3" t="n">
        <v>66081.909</v>
      </c>
      <c r="H13" s="4" t="n">
        <v>23129.888</v>
      </c>
      <c r="I13" s="160">
        <f>H13/G13</f>
        <v/>
      </c>
      <c r="J13" s="3" t="n">
        <v>67697.19500000001</v>
      </c>
      <c r="K13" s="4" t="n">
        <v>25007.513</v>
      </c>
      <c r="L13" s="160">
        <f>K13/J13</f>
        <v/>
      </c>
      <c r="M13" s="3">
        <f>(G13+J13)/2</f>
        <v/>
      </c>
      <c r="N13" s="4">
        <f>(H13+K13)/2</f>
        <v/>
      </c>
      <c r="O13" s="160">
        <f>N13/M13</f>
        <v/>
      </c>
      <c r="P13" s="3">
        <f>P14+P16+P15</f>
        <v/>
      </c>
      <c r="Q13" s="4">
        <f>Q14+Q16+Q15</f>
        <v/>
      </c>
      <c r="R13" s="161">
        <f>Q13/P13</f>
        <v/>
      </c>
      <c r="S13" s="161">
        <f>P13/J13-1</f>
        <v/>
      </c>
      <c r="T13" s="160">
        <f>Q13/K13-1</f>
        <v/>
      </c>
      <c r="U13" s="27" t="n"/>
    </row>
    <row r="14">
      <c r="D14" s="39" t="n"/>
      <c r="E14" s="34" t="n"/>
      <c r="F14" s="31" t="inlineStr">
        <is>
          <t>包装資材</t>
        </is>
      </c>
      <c r="G14" s="3">
        <f>G13-G15-G16</f>
        <v/>
      </c>
      <c r="H14" s="4">
        <f>H13-H15-H16</f>
        <v/>
      </c>
      <c r="I14" s="160">
        <f>H14/G14</f>
        <v/>
      </c>
      <c r="J14" s="3">
        <f>J13-J15-J16</f>
        <v/>
      </c>
      <c r="K14" s="4">
        <f>K13-K15-K16</f>
        <v/>
      </c>
      <c r="L14" s="160">
        <f>K14/J14</f>
        <v/>
      </c>
      <c r="M14" s="3">
        <f>(G14+J14)/2</f>
        <v/>
      </c>
      <c r="N14" s="4">
        <f>(H14+K14)/2</f>
        <v/>
      </c>
      <c r="O14" s="160">
        <f>N14/M14</f>
        <v/>
      </c>
      <c r="P14" s="3" t="n">
        <v>57140</v>
      </c>
      <c r="Q14" s="4" t="n">
        <v>16130</v>
      </c>
      <c r="R14" s="161">
        <f>Q14/P14</f>
        <v/>
      </c>
      <c r="S14" s="161">
        <f>P14/J14-1</f>
        <v/>
      </c>
      <c r="T14" s="160">
        <f>Q14/K14-1</f>
        <v/>
      </c>
      <c r="U14" s="70" t="inlineStr">
        <is>
          <t>生産者向け売価15％増で売上8％増加、粗利益率2％改善、福宝▲800/月</t>
        </is>
      </c>
    </row>
    <row r="15">
      <c r="D15" s="39" t="n"/>
      <c r="E15" s="34" t="n"/>
      <c r="F15" s="35" t="inlineStr">
        <is>
          <t>荷役</t>
        </is>
      </c>
      <c r="G15" s="41" t="n">
        <v>26163.236</v>
      </c>
      <c r="H15" s="42" t="n">
        <v>13947.506</v>
      </c>
      <c r="I15" s="160">
        <f>H15/G15</f>
        <v/>
      </c>
      <c r="J15" s="41" t="n">
        <v>21753.83</v>
      </c>
      <c r="K15" s="42" t="n">
        <v>11773.879</v>
      </c>
      <c r="L15" s="160">
        <f>K15/J15</f>
        <v/>
      </c>
      <c r="M15" s="3">
        <f>(G15+J15)/2</f>
        <v/>
      </c>
      <c r="N15" s="4">
        <f>(H15+K15)/2</f>
        <v/>
      </c>
      <c r="O15" s="160">
        <f>N15/M15</f>
        <v/>
      </c>
      <c r="P15" s="3" t="n">
        <v>23290</v>
      </c>
      <c r="Q15" s="4" t="n">
        <v>11480</v>
      </c>
      <c r="R15" s="161">
        <f>Q15/P15</f>
        <v/>
      </c>
      <c r="S15" s="161">
        <f>P15/J15-1</f>
        <v/>
      </c>
      <c r="T15" s="160">
        <f>Q15/K15-1</f>
        <v/>
      </c>
      <c r="U15" s="27" t="n"/>
    </row>
    <row r="16">
      <c r="D16" s="39" t="n"/>
      <c r="E16" s="34" t="n"/>
      <c r="F16" s="35" t="inlineStr">
        <is>
          <t>機械</t>
        </is>
      </c>
      <c r="G16" s="41" t="n">
        <v>2131.8</v>
      </c>
      <c r="H16" s="42" t="n">
        <v>428.4</v>
      </c>
      <c r="I16" s="160">
        <f>H16/G16</f>
        <v/>
      </c>
      <c r="J16" s="41" t="n">
        <v>126</v>
      </c>
      <c r="K16" s="42" t="n">
        <v>43</v>
      </c>
      <c r="L16" s="160">
        <f>K16/J16</f>
        <v/>
      </c>
      <c r="M16" s="3">
        <f>(G16+J16)/2</f>
        <v/>
      </c>
      <c r="N16" s="4">
        <f>(H16+K16)/2</f>
        <v/>
      </c>
      <c r="O16" s="160">
        <f>N16/M16</f>
        <v/>
      </c>
      <c r="P16" s="3" t="n">
        <v>300</v>
      </c>
      <c r="Q16" s="4" t="n">
        <v>60</v>
      </c>
      <c r="R16" s="161">
        <f>Q16/P16</f>
        <v/>
      </c>
      <c r="S16" s="161">
        <f>P16/J16-1</f>
        <v/>
      </c>
      <c r="T16" s="160">
        <f>Q16/K16-1</f>
        <v/>
      </c>
      <c r="U16" s="27" t="inlineStr">
        <is>
          <t>ベルトコンベヤーのメンテナンス料と部品代</t>
        </is>
      </c>
    </row>
    <row r="17">
      <c r="D17" s="39" t="n"/>
      <c r="E17" s="32" t="inlineStr">
        <is>
          <t>大田</t>
        </is>
      </c>
      <c r="F17" s="33" t="n"/>
      <c r="G17" s="3" t="n">
        <v>55752.068</v>
      </c>
      <c r="H17" s="4" t="n">
        <v>18201.506</v>
      </c>
      <c r="I17" s="160">
        <f>H17/G17</f>
        <v/>
      </c>
      <c r="J17" s="3" t="n">
        <v>62327.332</v>
      </c>
      <c r="K17" s="4" t="n">
        <v>23403.442</v>
      </c>
      <c r="L17" s="160">
        <f>K17/J17</f>
        <v/>
      </c>
      <c r="M17" s="3">
        <f>(G17+J17)/2</f>
        <v/>
      </c>
      <c r="N17" s="4">
        <f>(H17+K17)/2</f>
        <v/>
      </c>
      <c r="O17" s="160">
        <f>N17/M17</f>
        <v/>
      </c>
      <c r="P17" s="3">
        <f>P18+P19+P20</f>
        <v/>
      </c>
      <c r="Q17" s="4">
        <f>Q18+Q19+Q20</f>
        <v/>
      </c>
      <c r="R17" s="161">
        <f>Q17/P17</f>
        <v/>
      </c>
      <c r="S17" s="161">
        <f>P17/J17-1</f>
        <v/>
      </c>
      <c r="T17" s="160">
        <f>Q17/K17-1</f>
        <v/>
      </c>
      <c r="U17" s="27" t="n"/>
    </row>
    <row r="18">
      <c r="D18" s="39" t="n"/>
      <c r="E18" s="34" t="n"/>
      <c r="F18" s="31" t="inlineStr">
        <is>
          <t>包装資材</t>
        </is>
      </c>
      <c r="G18" s="3">
        <f>G17-G19-G20</f>
        <v/>
      </c>
      <c r="H18" s="4">
        <f>H17-H19-H20</f>
        <v/>
      </c>
      <c r="I18" s="160">
        <f>H18/G18</f>
        <v/>
      </c>
      <c r="J18" s="3">
        <f>J17-J19-J20</f>
        <v/>
      </c>
      <c r="K18" s="4">
        <f>K17-K19-K20</f>
        <v/>
      </c>
      <c r="L18" s="160">
        <f>K18/J18</f>
        <v/>
      </c>
      <c r="M18" s="3">
        <f>(G18+J18)/2</f>
        <v/>
      </c>
      <c r="N18" s="4">
        <f>(H18+K18)/2</f>
        <v/>
      </c>
      <c r="O18" s="160">
        <f>N18/M18</f>
        <v/>
      </c>
      <c r="P18" s="3" t="n">
        <v>41600</v>
      </c>
      <c r="Q18" s="4" t="n">
        <v>8160</v>
      </c>
      <c r="R18" s="161">
        <f>Q18/P18</f>
        <v/>
      </c>
      <c r="S18" s="161">
        <f>P18/J18-1</f>
        <v/>
      </c>
      <c r="T18" s="160">
        <f>Q18/K18-1</f>
        <v/>
      </c>
      <c r="U18" s="70" t="inlineStr">
        <is>
          <t>生産者向け売価15％増で売上8％増加、粗利益率2％改善</t>
        </is>
      </c>
    </row>
    <row r="19">
      <c r="D19" s="39" t="n"/>
      <c r="E19" s="34" t="n"/>
      <c r="F19" s="35" t="inlineStr">
        <is>
          <t>荷役</t>
        </is>
      </c>
      <c r="G19" s="3" t="n">
        <v>17142.015</v>
      </c>
      <c r="H19" s="4" t="n">
        <v>11018.936</v>
      </c>
      <c r="I19" s="160">
        <f>H19/G19</f>
        <v/>
      </c>
      <c r="J19" s="3" t="n">
        <v>19478.89</v>
      </c>
      <c r="K19" s="4" t="n">
        <v>14235.683</v>
      </c>
      <c r="L19" s="160">
        <f>K19/J19</f>
        <v/>
      </c>
      <c r="M19" s="3">
        <f>(G19+J19)/2</f>
        <v/>
      </c>
      <c r="N19" s="4">
        <f>(H19+K19)/2</f>
        <v/>
      </c>
      <c r="O19" s="160">
        <f>N19/M19</f>
        <v/>
      </c>
      <c r="P19" s="3" t="n">
        <v>23650</v>
      </c>
      <c r="Q19" s="4" t="n">
        <v>15870</v>
      </c>
      <c r="R19" s="161">
        <f>Q19/P19</f>
        <v/>
      </c>
      <c r="S19" s="161">
        <f>P19/J19-1</f>
        <v/>
      </c>
      <c r="T19" s="160">
        <f>Q19/K19-1</f>
        <v/>
      </c>
      <c r="U19" s="27" t="n"/>
    </row>
    <row r="20">
      <c r="D20" s="52" t="n"/>
      <c r="E20" s="56" t="n"/>
      <c r="F20" s="35" t="inlineStr">
        <is>
          <t>機械</t>
        </is>
      </c>
      <c r="G20" s="3" t="n">
        <v>0</v>
      </c>
      <c r="H20" s="4" t="n">
        <v>0</v>
      </c>
      <c r="I20" s="160">
        <f>H20/G20</f>
        <v/>
      </c>
      <c r="J20" s="3" t="n">
        <v>0</v>
      </c>
      <c r="K20" s="4" t="n">
        <v>0</v>
      </c>
      <c r="L20" s="160">
        <f>K20/J20</f>
        <v/>
      </c>
      <c r="M20" s="3">
        <f>(G20+J20)/2</f>
        <v/>
      </c>
      <c r="N20" s="4">
        <f>(H20+K20)/2</f>
        <v/>
      </c>
      <c r="O20" s="160">
        <f>N20/M20</f>
        <v/>
      </c>
      <c r="P20" s="3" t="n">
        <v>0</v>
      </c>
      <c r="Q20" s="4" t="n">
        <v>0</v>
      </c>
      <c r="R20" s="161">
        <f>Q20/P20</f>
        <v/>
      </c>
      <c r="S20" s="161">
        <f>P20/J20-1</f>
        <v/>
      </c>
      <c r="T20" s="160">
        <f>Q20/K20-1</f>
        <v/>
      </c>
      <c r="U20" s="27" t="n"/>
    </row>
    <row r="21">
      <c r="D21" s="52" t="n"/>
      <c r="E21" s="32" t="inlineStr">
        <is>
          <t>境港</t>
        </is>
      </c>
      <c r="F21" s="33" t="n"/>
      <c r="G21" s="3" t="n">
        <v>85107.94399999999</v>
      </c>
      <c r="H21" s="4" t="n">
        <v>13146.669</v>
      </c>
      <c r="I21" s="160">
        <f>H21/G21</f>
        <v/>
      </c>
      <c r="J21" s="3" t="n">
        <v>90515.30900000001</v>
      </c>
      <c r="K21" s="4" t="n">
        <v>19998.201</v>
      </c>
      <c r="L21" s="160">
        <f>K21/J21</f>
        <v/>
      </c>
      <c r="M21" s="3">
        <f>(G21+J21)/2</f>
        <v/>
      </c>
      <c r="N21" s="4">
        <f>(H21+K21)/2</f>
        <v/>
      </c>
      <c r="O21" s="160">
        <f>N21/M21</f>
        <v/>
      </c>
      <c r="P21" s="3">
        <f>P22+P23</f>
        <v/>
      </c>
      <c r="Q21" s="4">
        <f>Q22+Q23</f>
        <v/>
      </c>
      <c r="R21" s="161">
        <f>Q21/P21</f>
        <v/>
      </c>
      <c r="S21" s="161">
        <f>P21/J21-1</f>
        <v/>
      </c>
      <c r="T21" s="160">
        <f>Q21/K21-1</f>
        <v/>
      </c>
      <c r="U21" s="27" t="n"/>
    </row>
    <row r="22">
      <c r="D22" s="39" t="n"/>
      <c r="E22" s="34" t="n"/>
      <c r="F22" s="31" t="inlineStr">
        <is>
          <t>包装資材</t>
        </is>
      </c>
      <c r="G22" s="3">
        <f>G21-G23</f>
        <v/>
      </c>
      <c r="H22" s="4">
        <f>H21-H23</f>
        <v/>
      </c>
      <c r="I22" s="160">
        <f>H22/G22</f>
        <v/>
      </c>
      <c r="J22" s="3">
        <f>J21-J23</f>
        <v/>
      </c>
      <c r="K22" s="4">
        <f>K21-K23</f>
        <v/>
      </c>
      <c r="L22" s="160">
        <f>K22/J22</f>
        <v/>
      </c>
      <c r="M22" s="3">
        <f>(G22+J22)/2</f>
        <v/>
      </c>
      <c r="N22" s="4">
        <f>(H22+K22)/2</f>
        <v/>
      </c>
      <c r="O22" s="160">
        <f>N22/M22</f>
        <v/>
      </c>
      <c r="P22" s="3" t="n">
        <v>93070</v>
      </c>
      <c r="Q22" s="4" t="n">
        <v>20270</v>
      </c>
      <c r="R22" s="161">
        <f>Q22/P22</f>
        <v/>
      </c>
      <c r="S22" s="161">
        <f>P22/J22-1</f>
        <v/>
      </c>
      <c r="T22" s="160">
        <f>Q22/K22-1</f>
        <v/>
      </c>
      <c r="U22" s="27" t="n"/>
    </row>
    <row r="23">
      <c r="D23" s="40" t="n"/>
      <c r="E23" s="55" t="n"/>
      <c r="F23" s="23" t="inlineStr">
        <is>
          <t>機械</t>
        </is>
      </c>
      <c r="G23" s="5" t="n">
        <v>325.96</v>
      </c>
      <c r="H23" s="6" t="n">
        <v>40.325</v>
      </c>
      <c r="I23" s="162">
        <f>H23/G23</f>
        <v/>
      </c>
      <c r="J23" s="5" t="n">
        <v>780.856</v>
      </c>
      <c r="K23" s="6" t="n">
        <v>131</v>
      </c>
      <c r="L23" s="162">
        <f>K23/J23</f>
        <v/>
      </c>
      <c r="M23" s="5">
        <f>(G23+J23)/2</f>
        <v/>
      </c>
      <c r="N23" s="6">
        <f>(H23+K23)/2</f>
        <v/>
      </c>
      <c r="O23" s="162">
        <f>N23/M23</f>
        <v/>
      </c>
      <c r="P23" s="5" t="n">
        <v>0</v>
      </c>
      <c r="Q23" s="6" t="n">
        <v>0</v>
      </c>
      <c r="R23" s="163">
        <f>Q23/P23</f>
        <v/>
      </c>
      <c r="S23" s="163">
        <f>P23/J23-1</f>
        <v/>
      </c>
      <c r="T23" s="162">
        <f>Q23/K23-1</f>
        <v/>
      </c>
      <c r="U23" s="28" t="n"/>
    </row>
  </sheetData>
  <mergeCells count="7">
    <mergeCell ref="J7:L7"/>
    <mergeCell ref="D1:U1"/>
    <mergeCell ref="P7:T7"/>
    <mergeCell ref="M7:O7"/>
    <mergeCell ref="G7:I7"/>
    <mergeCell ref="D7:F8"/>
    <mergeCell ref="U7:U8"/>
  </mergeCells>
  <pageMargins left="0.7086614173228347" right="0.7086614173228347" top="0.7480314960629921" bottom="0.7480314960629921" header="0.3149606299212598" footer="0.3149606299212598"/>
  <pageSetup orientation="landscape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ma-takahashi</dc:creator>
  <dcterms:created xmlns:dcterms="http://purl.org/dc/terms/" xmlns:xsi="http://www.w3.org/2001/XMLSchema-instance" xsi:type="dcterms:W3CDTF">2024-06-27T00:13:49Z</dcterms:created>
  <dcterms:modified xmlns:dcterms="http://purl.org/dc/terms/" xmlns:xsi="http://www.w3.org/2001/XMLSchema-instance" xsi:type="dcterms:W3CDTF">2026-10-07T00:56:34Z</dcterms:modified>
  <cp:lastModifiedBy>ma-takahashi</cp:lastModifiedBy>
  <cp:lastPrinted>2026-03-25T18:42:16Z</cp:lastPrinted>
</cp:coreProperties>
</file>