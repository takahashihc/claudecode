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9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8月" sheetId="4" state="visible" r:id="rId4"/>
    <sheet xmlns:r="http://schemas.openxmlformats.org/officeDocument/2006/relationships" name="BACKDATA7月" sheetId="5" state="visible" r:id="rId5"/>
    <sheet xmlns:r="http://schemas.openxmlformats.org/officeDocument/2006/relationships" name="BACKDATA6月" sheetId="6" state="visible" r:id="rId6"/>
    <sheet xmlns:r="http://schemas.openxmlformats.org/officeDocument/2006/relationships" name="BACKDATA5月" sheetId="7" state="visible" r:id="rId7"/>
    <sheet xmlns:r="http://schemas.openxmlformats.org/officeDocument/2006/relationships" name="BACKDATA4月" sheetId="8" state="visible" r:id="rId8"/>
    <sheet xmlns:r="http://schemas.openxmlformats.org/officeDocument/2006/relationships" name="BACKDATA上期" sheetId="9" state="visible" r:id="rId9"/>
  </sheets>
  <definedNames>
    <definedName name="_xlnm.Print_Area" localSheetId="7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8.5" customWidth="1" style="302" min="13" max="14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2024年9月売上実績</t>
        </is>
      </c>
      <c r="J3" s="290" t="inlineStr">
        <is>
          <t>2025年9月売上実績</t>
        </is>
      </c>
      <c r="K3" s="292" t="inlineStr">
        <is>
          <t>2026年9月売上計画</t>
        </is>
      </c>
      <c r="L3" s="292" t="inlineStr">
        <is>
          <t>2026年9月売上実績</t>
        </is>
      </c>
      <c r="M3" s="303" t="n"/>
      <c r="N3" s="303" t="n"/>
      <c r="O3" s="4" t="n"/>
      <c r="P3" s="282" t="inlineStr">
        <is>
          <t>2024年9月粗利益実績</t>
        </is>
      </c>
      <c r="Q3" s="290" t="inlineStr">
        <is>
          <t>2025年9月粗利益実績</t>
        </is>
      </c>
      <c r="R3" s="292" t="inlineStr">
        <is>
          <t>2026年9月粗利益計画</t>
        </is>
      </c>
      <c r="S3" s="292" t="inlineStr">
        <is>
          <t>2026年9月粗利益実績</t>
        </is>
      </c>
      <c r="T3" s="303" t="n"/>
      <c r="U3" s="303" t="n"/>
      <c r="V3" s="4" t="n"/>
      <c r="W3" s="297" t="inlineStr">
        <is>
          <t>2024年9月粗利益率実績</t>
        </is>
      </c>
      <c r="X3" s="298" t="inlineStr">
        <is>
          <t>2025年9月粗利益率実績</t>
        </is>
      </c>
      <c r="Y3" s="294" t="inlineStr">
        <is>
          <t>2026年9月粗利益率計画</t>
        </is>
      </c>
      <c r="Z3" s="294" t="inlineStr">
        <is>
          <t>2026年9月粗利益率実績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I6+I9</f>
        <v/>
      </c>
      <c r="J5" s="306">
        <f>J6+J9</f>
        <v/>
      </c>
      <c r="K5" s="307">
        <f>K6+K9</f>
        <v/>
      </c>
      <c r="L5" s="306">
        <f>L6+L9</f>
        <v/>
      </c>
      <c r="M5" s="308">
        <f>L5-K5</f>
        <v/>
      </c>
      <c r="N5" s="308">
        <f>L5-J5</f>
        <v/>
      </c>
      <c r="O5" s="309">
        <f>IF(J5=0,"***",N5/J5)</f>
        <v/>
      </c>
      <c r="P5" s="310">
        <f>P6+P9</f>
        <v/>
      </c>
      <c r="Q5" s="310">
        <f>Q6+Q9</f>
        <v/>
      </c>
      <c r="R5" s="310">
        <f>R6+R9</f>
        <v/>
      </c>
      <c r="S5" s="310">
        <f>S6+S9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I7+I8</f>
        <v/>
      </c>
      <c r="J6" s="315">
        <f>J7+J8</f>
        <v/>
      </c>
      <c r="K6" s="316">
        <f>K7+K8</f>
        <v/>
      </c>
      <c r="L6" s="315">
        <f>L7+L8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P7+P8</f>
        <v/>
      </c>
      <c r="Q6" s="315">
        <f>Q7+Q8</f>
        <v/>
      </c>
      <c r="R6" s="316">
        <f>R7+R8</f>
        <v/>
      </c>
      <c r="S6" s="315">
        <f>S7+S8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 t="n">
        <v>70718.053</v>
      </c>
      <c r="J7" s="315" t="n">
        <v>66210.745</v>
      </c>
      <c r="K7" s="316" t="n">
        <v>71580</v>
      </c>
      <c r="L7" s="315" t="n">
        <v>70004.913</v>
      </c>
      <c r="M7" s="317">
        <f>L7-K7</f>
        <v/>
      </c>
      <c r="N7" s="317">
        <f>L7-J7</f>
        <v/>
      </c>
      <c r="O7" s="318">
        <f>IF(J7=0,"***",N7/J7)</f>
        <v/>
      </c>
      <c r="P7" s="314" t="n">
        <v>18782.8018</v>
      </c>
      <c r="Q7" s="315" t="n">
        <v>18258.4215</v>
      </c>
      <c r="R7" s="316" t="n">
        <v>19370</v>
      </c>
      <c r="S7" s="315" t="n">
        <v>20470.658</v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3369.766</v>
      </c>
      <c r="J8" s="323" t="n">
        <v>2525.518</v>
      </c>
      <c r="K8" s="324" t="n">
        <v>4000</v>
      </c>
      <c r="L8" s="323" t="n">
        <v>3704.643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853.7670000000001</v>
      </c>
      <c r="Q8" s="328" t="n">
        <v>384.371</v>
      </c>
      <c r="R8" s="324" t="n">
        <v>640</v>
      </c>
      <c r="S8" s="328" t="n">
        <v>793.366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I11+I14+I15</f>
        <v/>
      </c>
      <c r="J10" s="343">
        <f>J11+J14+J15</f>
        <v/>
      </c>
      <c r="K10" s="344">
        <f>K11+K14+K15</f>
        <v/>
      </c>
      <c r="L10" s="343">
        <f>L11+L14+L15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P11+P14+P15</f>
        <v/>
      </c>
      <c r="Q10" s="343">
        <f>Q11+Q14+Q15</f>
        <v/>
      </c>
      <c r="R10" s="344">
        <f>R11+R14+R15</f>
        <v/>
      </c>
      <c r="S10" s="343">
        <f>S11+S14+S15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I12+I13</f>
        <v/>
      </c>
      <c r="J11" s="315">
        <f>J12+J13</f>
        <v/>
      </c>
      <c r="K11" s="316">
        <f>K12+K13</f>
        <v/>
      </c>
      <c r="L11" s="315">
        <f>L12+L13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P12+P13</f>
        <v/>
      </c>
      <c r="Q11" s="315">
        <f>Q12+Q13</f>
        <v/>
      </c>
      <c r="R11" s="316">
        <f>R12+R13</f>
        <v/>
      </c>
      <c r="S11" s="315">
        <f>S12+S13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 t="n">
        <v>43883.934</v>
      </c>
      <c r="J12" s="315" t="n">
        <v>44908.574</v>
      </c>
      <c r="K12" s="316" t="n">
        <v>46100</v>
      </c>
      <c r="L12" s="315" t="n">
        <v>49733.57999999999</v>
      </c>
      <c r="M12" s="317">
        <f>L12-K12</f>
        <v/>
      </c>
      <c r="N12" s="317">
        <f>L12-J12</f>
        <v/>
      </c>
      <c r="O12" s="318">
        <f>IF(J12=0,"***",N12/J12)</f>
        <v/>
      </c>
      <c r="P12" s="314" t="n">
        <v>8798.133</v>
      </c>
      <c r="Q12" s="315" t="n">
        <v>9171.665000000001</v>
      </c>
      <c r="R12" s="316" t="n">
        <v>9810</v>
      </c>
      <c r="S12" s="315" t="n">
        <v>10714.184</v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367</v>
      </c>
      <c r="J13" s="351" t="n">
        <v>455</v>
      </c>
      <c r="K13" s="316" t="n">
        <v>10400</v>
      </c>
      <c r="L13" s="351" t="n">
        <v>978.177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73</v>
      </c>
      <c r="Q13" s="351" t="n">
        <v>43</v>
      </c>
      <c r="R13" s="316" t="n">
        <v>1490</v>
      </c>
      <c r="S13" s="351" t="n">
        <v>163.717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2238.475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136.78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I17+I20</f>
        <v/>
      </c>
      <c r="J16" s="306">
        <f>J17+J20</f>
        <v/>
      </c>
      <c r="K16" s="307">
        <f>K17+K20</f>
        <v/>
      </c>
      <c r="L16" s="306">
        <f>L17+L20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P17+P20</f>
        <v/>
      </c>
      <c r="Q16" s="306">
        <f>Q17+Q20</f>
        <v/>
      </c>
      <c r="R16" s="307">
        <f>R17+R20</f>
        <v/>
      </c>
      <c r="S16" s="306">
        <f>S17+S20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I18+I19</f>
        <v/>
      </c>
      <c r="J17" s="315">
        <f>J18+J19</f>
        <v/>
      </c>
      <c r="K17" s="316">
        <f>K18+K19</f>
        <v/>
      </c>
      <c r="L17" s="315">
        <f>L18+L19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P18+P19</f>
        <v/>
      </c>
      <c r="Q17" s="315">
        <f>Q18+Q19</f>
        <v/>
      </c>
      <c r="R17" s="316">
        <f>R18+R19</f>
        <v/>
      </c>
      <c r="S17" s="315">
        <f>S18+S19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 t="n">
        <v>26651.792</v>
      </c>
      <c r="J18" s="315" t="n">
        <v>23805.849</v>
      </c>
      <c r="K18" s="316" t="n">
        <v>27160</v>
      </c>
      <c r="L18" s="315" t="n">
        <v>32202.155</v>
      </c>
      <c r="M18" s="317">
        <f>L18-K18</f>
        <v/>
      </c>
      <c r="N18" s="317">
        <f>L18-J18</f>
        <v/>
      </c>
      <c r="O18" s="318">
        <f>IF(J18=0,"***",N18/J18)</f>
        <v/>
      </c>
      <c r="P18" s="314" t="n">
        <v>7194.016000000001</v>
      </c>
      <c r="Q18" s="315" t="n">
        <v>6271.271</v>
      </c>
      <c r="R18" s="316" t="n">
        <v>7290</v>
      </c>
      <c r="S18" s="315" t="n">
        <v>9183.168599999999</v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-2100</v>
      </c>
      <c r="J19" s="355" t="n">
        <v>1500</v>
      </c>
      <c r="K19" s="80" t="n">
        <v>500</v>
      </c>
      <c r="L19" s="355" t="n">
        <v>316.11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-406</v>
      </c>
      <c r="Q19" s="355" t="n">
        <v>302</v>
      </c>
      <c r="R19" s="80" t="n">
        <v>120</v>
      </c>
      <c r="S19" s="355" t="n">
        <v>37.8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24111.466</v>
      </c>
      <c r="J20" s="333" t="n">
        <v>9994.712</v>
      </c>
      <c r="K20" s="334" t="n">
        <v>0</v>
      </c>
      <c r="L20" s="333" t="n">
        <v>5999.68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642.976</v>
      </c>
      <c r="Q20" s="333" t="n">
        <v>197.752</v>
      </c>
      <c r="R20" s="334" t="n">
        <v>0</v>
      </c>
      <c r="S20" s="333" t="n">
        <v>235.12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I22+I23</f>
        <v/>
      </c>
      <c r="J21" s="357">
        <f>J22+J23</f>
        <v/>
      </c>
      <c r="K21" s="307">
        <f>K22+K23</f>
        <v/>
      </c>
      <c r="L21" s="357">
        <f>L22+L23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P22+P23</f>
        <v/>
      </c>
      <c r="Q21" s="357">
        <f>Q22+Q23</f>
        <v/>
      </c>
      <c r="R21" s="307">
        <f>R22+R23</f>
        <v/>
      </c>
      <c r="S21" s="357">
        <f>S22+S23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 t="n">
        <v>36984.824</v>
      </c>
      <c r="J22" s="315" t="n">
        <v>41545.023</v>
      </c>
      <c r="K22" s="316" t="n">
        <v>44700</v>
      </c>
      <c r="L22" s="315" t="n">
        <v>50047.833</v>
      </c>
      <c r="M22" s="359">
        <f>L22-K22</f>
        <v/>
      </c>
      <c r="N22" s="359">
        <f>L22-J22</f>
        <v/>
      </c>
      <c r="O22" s="318">
        <f>IF(J22=0,"***",N22/J22)</f>
        <v/>
      </c>
      <c r="P22" s="314" t="n">
        <v>5553.109</v>
      </c>
      <c r="Q22" s="315" t="n">
        <v>6115.989</v>
      </c>
      <c r="R22" s="316" t="n">
        <v>6600</v>
      </c>
      <c r="S22" s="315" t="n">
        <v>9368.0075</v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45</v>
      </c>
      <c r="J23" s="315" t="n">
        <v>133</v>
      </c>
      <c r="K23" s="316" t="n">
        <v>1000</v>
      </c>
      <c r="L23" s="315" t="n">
        <v>18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</v>
      </c>
      <c r="Q23" s="315" t="n">
        <v>5</v>
      </c>
      <c r="R23" s="316" t="n">
        <v>110</v>
      </c>
      <c r="S23" s="315" t="n">
        <v>3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I25+I26</f>
        <v/>
      </c>
      <c r="J24" s="355">
        <f>J25+J26</f>
        <v/>
      </c>
      <c r="K24" s="316">
        <f>K25+K26</f>
        <v/>
      </c>
      <c r="L24" s="355">
        <f>L25+L26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0">
        <f>P25+P26</f>
        <v/>
      </c>
      <c r="Q24" s="351">
        <f>Q25+Q26</f>
        <v/>
      </c>
      <c r="R24" s="316">
        <f>R25+R26</f>
        <v/>
      </c>
      <c r="S24" s="351">
        <f>S25+S26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 t="n">
        <v>26152.68</v>
      </c>
      <c r="J25" s="315" t="n">
        <v>30475.051</v>
      </c>
      <c r="K25" s="316" t="n">
        <v>29394.45825</v>
      </c>
      <c r="L25" s="315" t="n">
        <v>39014.492</v>
      </c>
      <c r="M25" s="359">
        <f>L25-K25</f>
        <v/>
      </c>
      <c r="N25" s="359">
        <f>L25-J25</f>
        <v/>
      </c>
      <c r="O25" s="318">
        <f>IF(J25=0,"***",N25/J25)</f>
        <v/>
      </c>
      <c r="P25" s="314" t="n">
        <v>3986.081</v>
      </c>
      <c r="Q25" s="315" t="n">
        <v>4616.129</v>
      </c>
      <c r="R25" s="316" t="n">
        <v>4458.617</v>
      </c>
      <c r="S25" s="315" t="n">
        <v>7756.133</v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78</v>
      </c>
      <c r="K26" s="316" t="n">
        <v>65.25</v>
      </c>
      <c r="L26" s="355" t="n">
        <v>0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0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I28+I29</f>
        <v/>
      </c>
      <c r="J27" s="316">
        <f>J28+J29</f>
        <v/>
      </c>
      <c r="K27" s="316">
        <f>K28+K29</f>
        <v/>
      </c>
      <c r="L27" s="316">
        <f>L28+L29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P28+P29</f>
        <v/>
      </c>
      <c r="Q27" s="316">
        <f>Q28+Q29</f>
        <v/>
      </c>
      <c r="R27" s="316">
        <f>R28+R29</f>
        <v/>
      </c>
      <c r="S27" s="316">
        <f>S28+S29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I22-I25</f>
        <v/>
      </c>
      <c r="J28" s="316">
        <f>J22-J25</f>
        <v/>
      </c>
      <c r="K28" s="316">
        <f>K22-K25</f>
        <v/>
      </c>
      <c r="L28" s="316">
        <f>L22-L25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P22-P25</f>
        <v/>
      </c>
      <c r="Q28" s="316">
        <f>Q22-Q25</f>
        <v/>
      </c>
      <c r="R28" s="316">
        <f>R22-R25</f>
        <v/>
      </c>
      <c r="S28" s="316">
        <f>S22-S25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I31+I34+I35</f>
        <v/>
      </c>
      <c r="J30" s="306">
        <f>J31+J34+J35</f>
        <v/>
      </c>
      <c r="K30" s="307">
        <f>K31+K34+K35</f>
        <v/>
      </c>
      <c r="L30" s="306">
        <f>L31+L34+L35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10">
        <f>P31+P34+P35</f>
        <v/>
      </c>
      <c r="Q30" s="368">
        <f>Q31+Q34+Q35</f>
        <v/>
      </c>
      <c r="R30" s="307">
        <f>R31+R34+R35</f>
        <v/>
      </c>
      <c r="S30" s="368">
        <f>S31+S34+S35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I32+I33</f>
        <v/>
      </c>
      <c r="J31" s="315">
        <f>J32+J33</f>
        <v/>
      </c>
      <c r="K31" s="316">
        <f>K32+K33</f>
        <v/>
      </c>
      <c r="L31" s="315">
        <f>L32+L33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P32+P33</f>
        <v/>
      </c>
      <c r="Q31" s="315">
        <f>Q32+Q33</f>
        <v/>
      </c>
      <c r="R31" s="316">
        <f>R32+R33</f>
        <v/>
      </c>
      <c r="S31" s="315">
        <f>S32+S33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 t="n">
        <v>56586.054</v>
      </c>
      <c r="J32" s="315" t="n">
        <v>56594.93400000001</v>
      </c>
      <c r="K32" s="316" t="n">
        <v>60780</v>
      </c>
      <c r="L32" s="315" t="n">
        <v>54710.037</v>
      </c>
      <c r="M32" s="317">
        <f>L32-K32</f>
        <v/>
      </c>
      <c r="N32" s="317">
        <f>L32-J32</f>
        <v/>
      </c>
      <c r="O32" s="318">
        <f>IF(J32=0,"***",N32/J32)</f>
        <v/>
      </c>
      <c r="P32" s="369" t="n">
        <v>11307.8404</v>
      </c>
      <c r="Q32" s="315" t="n">
        <v>11259.94</v>
      </c>
      <c r="R32" s="316" t="n">
        <v>12690</v>
      </c>
      <c r="S32" s="315" t="n">
        <v>11341.6076</v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2875</v>
      </c>
      <c r="J33" s="355" t="n">
        <v>32090</v>
      </c>
      <c r="K33" s="316" t="n">
        <v>8500</v>
      </c>
      <c r="L33" s="355" t="n">
        <v>8167.36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740</v>
      </c>
      <c r="Q33" s="351" t="n">
        <v>7906</v>
      </c>
      <c r="R33" s="316" t="n">
        <v>1880</v>
      </c>
      <c r="S33" s="351" t="n">
        <v>1940.263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3240.614</v>
      </c>
      <c r="J35" s="333" t="n">
        <v>693.45</v>
      </c>
      <c r="K35" s="334" t="n">
        <v>2600</v>
      </c>
      <c r="L35" s="333" t="n">
        <v>0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653.405</v>
      </c>
      <c r="Q35" s="338" t="n">
        <v>204.995</v>
      </c>
      <c r="R35" s="334" t="n">
        <v>430</v>
      </c>
      <c r="S35" s="372" t="n">
        <v>0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I42+I43+I44</f>
        <v/>
      </c>
      <c r="J41" s="306">
        <f>J42+J43+J44</f>
        <v/>
      </c>
      <c r="K41" s="307">
        <f>K42+K43+K44</f>
        <v/>
      </c>
      <c r="L41" s="306">
        <f>L42+L43+L44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P42+P43+P44</f>
        <v/>
      </c>
      <c r="Q41" s="306">
        <f>Q42+Q43+Q44</f>
        <v/>
      </c>
      <c r="R41" s="307">
        <f>R42+R43+R44</f>
        <v/>
      </c>
      <c r="S41" s="306">
        <f>S42+S43+S44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 t="n">
        <v>31866.514</v>
      </c>
      <c r="J42" s="344" t="n">
        <v>36348.304</v>
      </c>
      <c r="K42" s="344" t="n">
        <v>37600</v>
      </c>
      <c r="L42" s="344" t="n">
        <v>42909.41800000001</v>
      </c>
      <c r="M42" s="345">
        <f>L42-K42</f>
        <v/>
      </c>
      <c r="N42" s="345">
        <f>L42-J42</f>
        <v/>
      </c>
      <c r="O42" s="346">
        <f>IF(J42=0,"***",N42/J42)</f>
        <v/>
      </c>
      <c r="P42" s="385" t="n">
        <v>5894.44</v>
      </c>
      <c r="Q42" s="344" t="n">
        <v>8597.972</v>
      </c>
      <c r="R42" s="344" t="n">
        <v>8130</v>
      </c>
      <c r="S42" s="344" t="n">
        <v>9717.886</v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10275.615</v>
      </c>
      <c r="J43" s="390" t="n">
        <v>8117.066000000001</v>
      </c>
      <c r="K43" s="390" t="n">
        <v>8490</v>
      </c>
      <c r="L43" s="390" t="n">
        <v>7249.888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5925.26</v>
      </c>
      <c r="Q43" s="390" t="n">
        <v>5048.576</v>
      </c>
      <c r="R43" s="390" t="n">
        <v>4890</v>
      </c>
      <c r="S43" s="390" t="n">
        <v>4456.854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206.326</v>
      </c>
      <c r="K44" s="390" t="n">
        <v>90</v>
      </c>
      <c r="L44" s="390" t="n">
        <v>317.92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47.345</v>
      </c>
      <c r="R44" s="390" t="n">
        <v>20</v>
      </c>
      <c r="S44" s="390" t="n">
        <v>64.54000000000001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I45-I47-I48-I49</f>
        <v/>
      </c>
      <c r="J46" s="402">
        <f>J45-J47-J48-J49</f>
        <v/>
      </c>
      <c r="K46" s="403">
        <f>K45-K47-K48-K49</f>
        <v/>
      </c>
      <c r="L46" s="403">
        <f>L45-L47-L48-L49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P45-P47-P48-P49</f>
        <v/>
      </c>
      <c r="Q46" s="403">
        <f>Q45-Q47-Q48-Q49</f>
        <v/>
      </c>
      <c r="R46" s="403">
        <f>R45-R47-R48-R49</f>
        <v/>
      </c>
      <c r="S46" s="403">
        <f>S45-S47-S48-S49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1720</v>
      </c>
      <c r="J50" s="431" t="n">
        <v>1350</v>
      </c>
      <c r="K50" s="431" t="n">
        <v>1510</v>
      </c>
      <c r="L50" s="431" t="n">
        <v>1734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890</v>
      </c>
      <c r="Q50" s="431" t="n">
        <v>950</v>
      </c>
      <c r="R50" s="431" t="n">
        <v>900</v>
      </c>
      <c r="S50" s="431" t="n">
        <v>1025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13" bestFit="1" customWidth="1" style="1" min="9" max="9"/>
    <col width="13" customWidth="1" style="1" min="10" max="10"/>
    <col width="13" customWidth="1" style="1" min="11" max="11"/>
    <col width="13" customWidth="1" style="1" min="12" max="12"/>
    <col width="8.5" customWidth="1" style="302" min="13" max="14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I6+I9</f>
        <v/>
      </c>
      <c r="J5" s="306">
        <f>J6+J9</f>
        <v/>
      </c>
      <c r="K5" s="307">
        <f>K6+K9</f>
        <v/>
      </c>
      <c r="L5" s="306">
        <f>L6+L9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P6+P9</f>
        <v/>
      </c>
      <c r="Q5" s="306">
        <f>Q6+Q9</f>
        <v/>
      </c>
      <c r="R5" s="307">
        <f>R6+R9</f>
        <v/>
      </c>
      <c r="S5" s="306">
        <f>S6+S9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I7+I8</f>
        <v/>
      </c>
      <c r="J6" s="315">
        <f>J7+J8</f>
        <v/>
      </c>
      <c r="K6" s="316">
        <f>K7+K8</f>
        <v/>
      </c>
      <c r="L6" s="315">
        <f>L7+L8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P7+P8</f>
        <v/>
      </c>
      <c r="Q6" s="315">
        <f>Q7+Q8</f>
        <v/>
      </c>
      <c r="R6" s="316">
        <f>R7+R8</f>
        <v/>
      </c>
      <c r="S6" s="315">
        <f>S7+S8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'9月'!I7+BACKDATA8月!I7+BACKDATA7月!I7+BACKDATA6月!I7+BACKDATA5月!I7+BACKDATA4月!I7</f>
        <v/>
      </c>
      <c r="J7" s="315">
        <f>'9月'!J7+BACKDATA8月!J7+BACKDATA7月!J7+BACKDATA6月!J7+BACKDATA5月!J7+BACKDATA4月!J7</f>
        <v/>
      </c>
      <c r="K7" s="316">
        <f>'9月'!K7+BACKDATA8月!K7+BACKDATA7月!K7+BACKDATA6月!K7+BACKDATA5月!K7+BACKDATA4月!K7</f>
        <v/>
      </c>
      <c r="L7" s="315">
        <f>'9月'!L7+BACKDATA8月!L7+BACKDATA7月!L7+BACKDATA6月!L7+BACKDATA5月!L7+BACKDATA4月!L7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'9月'!P7+BACKDATA8月!P7+BACKDATA7月!P7+BACKDATA6月!P7+BACKDATA5月!P7+BACKDATA4月!P7</f>
        <v/>
      </c>
      <c r="Q7" s="315">
        <f>'9月'!Q7+BACKDATA8月!Q7+BACKDATA7月!Q7+BACKDATA6月!Q7+BACKDATA5月!Q7+BACKDATA4月!Q7</f>
        <v/>
      </c>
      <c r="R7" s="316">
        <f>'9月'!R7+BACKDATA8月!R7+BACKDATA7月!R7+BACKDATA6月!R7+BACKDATA5月!R7+BACKDATA4月!R7</f>
        <v/>
      </c>
      <c r="S7" s="315">
        <f>'9月'!S7+BACKDATA8月!S7+BACKDATA7月!S7+BACKDATA6月!S7+BACKDATA5月!S7+BACKDATA4月!S7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'9月'!I8+BACKDATA8月!I8+BACKDATA7月!I8+BACKDATA6月!I8+BACKDATA5月!I8+BACKDATA4月!I8</f>
        <v/>
      </c>
      <c r="J8" s="323">
        <f>'9月'!J8+BACKDATA8月!J8+BACKDATA7月!J8+BACKDATA6月!J8+BACKDATA5月!J8+BACKDATA4月!J8</f>
        <v/>
      </c>
      <c r="K8" s="324">
        <f>'9月'!K8+BACKDATA8月!K8+BACKDATA7月!K8+BACKDATA6月!K8+BACKDATA5月!K8+BACKDATA4月!K8</f>
        <v/>
      </c>
      <c r="L8" s="323">
        <f>'9月'!L8+BACKDATA8月!L8+BACKDATA7月!L8+BACKDATA6月!L8+BACKDATA5月!L8+BACKDATA4月!L8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'9月'!P8+BACKDATA8月!P8+BACKDATA7月!P8+BACKDATA6月!P8+BACKDATA5月!P8+BACKDATA4月!P8</f>
        <v/>
      </c>
      <c r="Q8" s="323">
        <f>'9月'!Q8+BACKDATA8月!Q8+BACKDATA7月!Q8+BACKDATA6月!Q8+BACKDATA5月!Q8+BACKDATA4月!Q8</f>
        <v/>
      </c>
      <c r="R8" s="324">
        <f>'9月'!R8+BACKDATA8月!R8+BACKDATA7月!R8+BACKDATA6月!R8+BACKDATA5月!R8+BACKDATA4月!R8</f>
        <v/>
      </c>
      <c r="S8" s="323">
        <f>'9月'!S8+BACKDATA8月!S8+BACKDATA7月!S8+BACKDATA6月!S8+BACKDATA5月!S8+BACKDATA4月!S8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'9月'!I9+BACKDATA8月!I9+BACKDATA7月!I9+BACKDATA6月!I9+BACKDATA5月!I9+BACKDATA4月!I9</f>
        <v/>
      </c>
      <c r="J9" s="333">
        <f>'9月'!J9+BACKDATA8月!J9+BACKDATA7月!J9+BACKDATA6月!J9+BACKDATA5月!J9+BACKDATA4月!J9</f>
        <v/>
      </c>
      <c r="K9" s="334">
        <f>'9月'!K9+BACKDATA8月!K9+BACKDATA7月!K9+BACKDATA6月!K9+BACKDATA5月!K9+BACKDATA4月!K9</f>
        <v/>
      </c>
      <c r="L9" s="333">
        <f>'9月'!L9+BACKDATA8月!L9+BACKDATA7月!L9+BACKDATA6月!L9+BACKDATA5月!L9+BACKDATA4月!L9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'9月'!P9+BACKDATA8月!P9+BACKDATA7月!P9+BACKDATA6月!P9+BACKDATA5月!P9+BACKDATA4月!P9</f>
        <v/>
      </c>
      <c r="Q9" s="333">
        <f>'9月'!Q9+BACKDATA8月!Q9+BACKDATA7月!Q9+BACKDATA6月!Q9+BACKDATA5月!Q9+BACKDATA4月!Q9</f>
        <v/>
      </c>
      <c r="R9" s="334">
        <f>'9月'!R9+BACKDATA8月!R9+BACKDATA7月!R9+BACKDATA6月!R9+BACKDATA5月!R9+BACKDATA4月!R9</f>
        <v/>
      </c>
      <c r="S9" s="333">
        <f>'9月'!S9+BACKDATA8月!S9+BACKDATA7月!S9+BACKDATA6月!S9+BACKDATA5月!S9+BACKDATA4月!S9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I11+I14+I15</f>
        <v/>
      </c>
      <c r="J10" s="343">
        <f>J11+J14+J15</f>
        <v/>
      </c>
      <c r="K10" s="344">
        <f>K11+K14+K15</f>
        <v/>
      </c>
      <c r="L10" s="343">
        <f>L11+L14+L15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P11+P14+P15</f>
        <v/>
      </c>
      <c r="Q10" s="343">
        <f>Q11+Q14+Q15</f>
        <v/>
      </c>
      <c r="R10" s="344">
        <f>R11+R14+R15</f>
        <v/>
      </c>
      <c r="S10" s="343">
        <f>S11+S14+S15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I12+I13</f>
        <v/>
      </c>
      <c r="J11" s="315">
        <f>J12+J13</f>
        <v/>
      </c>
      <c r="K11" s="316">
        <f>K12+K13</f>
        <v/>
      </c>
      <c r="L11" s="315">
        <f>L12+L13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P12+P13</f>
        <v/>
      </c>
      <c r="Q11" s="315">
        <f>Q12+Q13</f>
        <v/>
      </c>
      <c r="R11" s="316">
        <f>R12+R13</f>
        <v/>
      </c>
      <c r="S11" s="315">
        <f>S12+S13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'9月'!I12+BACKDATA8月!I12+BACKDATA7月!I12+BACKDATA6月!I12+BACKDATA5月!I12+BACKDATA4月!I12</f>
        <v/>
      </c>
      <c r="J12" s="315">
        <f>'9月'!J12+BACKDATA8月!J12+BACKDATA7月!J12+BACKDATA6月!J12+BACKDATA5月!J12+BACKDATA4月!J12</f>
        <v/>
      </c>
      <c r="K12" s="316">
        <f>'9月'!K12+BACKDATA8月!K12+BACKDATA7月!K12+BACKDATA6月!K12+BACKDATA5月!K12+BACKDATA4月!K12</f>
        <v/>
      </c>
      <c r="L12" s="315">
        <f>'9月'!L12+BACKDATA8月!L12+BACKDATA7月!L12+BACKDATA6月!L12+BACKDATA5月!L12+BACKDATA4月!L12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'9月'!P12+BACKDATA8月!P12+BACKDATA7月!P12+BACKDATA6月!P12+BACKDATA5月!P12+BACKDATA4月!P12</f>
        <v/>
      </c>
      <c r="Q12" s="315">
        <f>'9月'!Q12+BACKDATA8月!Q12+BACKDATA7月!Q12+BACKDATA6月!Q12+BACKDATA5月!Q12+BACKDATA4月!Q12</f>
        <v/>
      </c>
      <c r="R12" s="316">
        <f>'9月'!R12+BACKDATA8月!R12+BACKDATA7月!R12+BACKDATA6月!R12+BACKDATA5月!R12+BACKDATA4月!R12</f>
        <v/>
      </c>
      <c r="S12" s="315">
        <f>'9月'!S12+BACKDATA8月!S12+BACKDATA7月!S12+BACKDATA6月!S12+BACKDATA5月!S12+BACKDATA4月!S12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'9月'!I13+BACKDATA8月!I13+BACKDATA7月!I13+BACKDATA6月!I13+BACKDATA5月!I13+BACKDATA4月!I13</f>
        <v/>
      </c>
      <c r="J13" s="351">
        <f>'9月'!J13+BACKDATA8月!J13+BACKDATA7月!J13+BACKDATA6月!J13+BACKDATA5月!J13+BACKDATA4月!J13</f>
        <v/>
      </c>
      <c r="K13" s="316">
        <f>'9月'!K13+BACKDATA8月!K13+BACKDATA7月!K13+BACKDATA6月!K13+BACKDATA5月!K13+BACKDATA4月!K13</f>
        <v/>
      </c>
      <c r="L13" s="351">
        <f>'9月'!L13+BACKDATA8月!L13+BACKDATA7月!L13+BACKDATA6月!L13+BACKDATA5月!L13+BACKDATA4月!L13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'9月'!P13+BACKDATA8月!P13+BACKDATA7月!P13+BACKDATA6月!P13+BACKDATA5月!P13+BACKDATA4月!P13</f>
        <v/>
      </c>
      <c r="Q13" s="351">
        <f>'9月'!Q13+BACKDATA8月!Q13+BACKDATA7月!Q13+BACKDATA6月!Q13+BACKDATA5月!Q13+BACKDATA4月!Q13</f>
        <v/>
      </c>
      <c r="R13" s="316">
        <f>'9月'!R13+BACKDATA8月!R13+BACKDATA7月!R13+BACKDATA6月!R13+BACKDATA5月!R13+BACKDATA4月!R13</f>
        <v/>
      </c>
      <c r="S13" s="351">
        <f>'9月'!S13+BACKDATA8月!S13+BACKDATA7月!S13+BACKDATA6月!S13+BACKDATA5月!S13+BACKDATA4月!S13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'9月'!I14+BACKDATA8月!I14+BACKDATA7月!I14+BACKDATA6月!I14+BACKDATA5月!I14+BACKDATA4月!I14</f>
        <v/>
      </c>
      <c r="J14" s="328">
        <f>'9月'!J14+BACKDATA8月!J14+BACKDATA7月!J14+BACKDATA6月!J14+BACKDATA5月!J14+BACKDATA4月!J14</f>
        <v/>
      </c>
      <c r="K14" s="324">
        <f>'9月'!K14+BACKDATA8月!K14+BACKDATA7月!K14+BACKDATA6月!K14+BACKDATA5月!K14+BACKDATA4月!K14</f>
        <v/>
      </c>
      <c r="L14" s="328">
        <f>'9月'!L14+BACKDATA8月!L14+BACKDATA7月!L14+BACKDATA6月!L14+BACKDATA5月!L14+BACKDATA4月!L14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'9月'!P14+BACKDATA8月!P14+BACKDATA7月!P14+BACKDATA6月!P14+BACKDATA5月!P14+BACKDATA4月!P14</f>
        <v/>
      </c>
      <c r="Q14" s="328">
        <f>'9月'!Q14+BACKDATA8月!Q14+BACKDATA7月!Q14+BACKDATA6月!Q14+BACKDATA5月!Q14+BACKDATA4月!Q14</f>
        <v/>
      </c>
      <c r="R14" s="324">
        <f>'9月'!R14+BACKDATA8月!R14+BACKDATA7月!R14+BACKDATA6月!R14+BACKDATA5月!R14+BACKDATA4月!R14</f>
        <v/>
      </c>
      <c r="S14" s="328">
        <f>'9月'!S14+BACKDATA8月!S14+BACKDATA7月!S14+BACKDATA6月!S14+BACKDATA5月!S14+BACKDATA4月!S14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'9月'!I15+BACKDATA8月!I15+BACKDATA7月!I15+BACKDATA6月!I15+BACKDATA5月!I15+BACKDATA4月!I15</f>
        <v/>
      </c>
      <c r="J15" s="338">
        <f>'9月'!J15+BACKDATA8月!J15+BACKDATA7月!J15+BACKDATA6月!J15+BACKDATA5月!J15+BACKDATA4月!J15</f>
        <v/>
      </c>
      <c r="K15" s="334">
        <f>'9月'!K15+BACKDATA8月!K15+BACKDATA7月!K15+BACKDATA6月!K15+BACKDATA5月!K15+BACKDATA4月!K15</f>
        <v/>
      </c>
      <c r="L15" s="338">
        <f>'9月'!L15+BACKDATA8月!L15+BACKDATA7月!L15+BACKDATA6月!L15+BACKDATA5月!L15+BACKDATA4月!L15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'9月'!P15+BACKDATA8月!P15+BACKDATA7月!P15+BACKDATA6月!P15+BACKDATA5月!P15+BACKDATA4月!P15</f>
        <v/>
      </c>
      <c r="Q15" s="338">
        <f>'9月'!Q15+BACKDATA8月!Q15+BACKDATA7月!Q15+BACKDATA6月!Q15+BACKDATA5月!Q15+BACKDATA4月!Q15</f>
        <v/>
      </c>
      <c r="R15" s="334">
        <f>'9月'!R15+BACKDATA8月!R15+BACKDATA7月!R15+BACKDATA6月!R15+BACKDATA5月!R15+BACKDATA4月!R15</f>
        <v/>
      </c>
      <c r="S15" s="338">
        <f>'9月'!S15+BACKDATA8月!S15+BACKDATA7月!S15+BACKDATA6月!S15+BACKDATA5月!S15+BACKDATA4月!S15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I17+I20</f>
        <v/>
      </c>
      <c r="J16" s="306">
        <f>J17+J20</f>
        <v/>
      </c>
      <c r="K16" s="307">
        <f>K17+K20</f>
        <v/>
      </c>
      <c r="L16" s="306">
        <f>L17+L20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P17+P20</f>
        <v/>
      </c>
      <c r="Q16" s="306">
        <f>Q17+Q20</f>
        <v/>
      </c>
      <c r="R16" s="307">
        <f>R17+R20</f>
        <v/>
      </c>
      <c r="S16" s="306">
        <f>S17+S20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I18+I19</f>
        <v/>
      </c>
      <c r="J17" s="315">
        <f>J18+J19</f>
        <v/>
      </c>
      <c r="K17" s="316">
        <f>K18+K19</f>
        <v/>
      </c>
      <c r="L17" s="315">
        <f>L18+L19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P18+P19</f>
        <v/>
      </c>
      <c r="Q17" s="315">
        <f>Q18+Q19</f>
        <v/>
      </c>
      <c r="R17" s="316">
        <f>R18+R19</f>
        <v/>
      </c>
      <c r="S17" s="315">
        <f>S18+S19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'9月'!I18+BACKDATA8月!I18+BACKDATA7月!I18+BACKDATA6月!I18+BACKDATA5月!I18+BACKDATA4月!I18</f>
        <v/>
      </c>
      <c r="J18" s="315">
        <f>'9月'!J18+BACKDATA8月!J18+BACKDATA7月!J18+BACKDATA6月!J18+BACKDATA5月!J18+BACKDATA4月!J18</f>
        <v/>
      </c>
      <c r="K18" s="316">
        <f>'9月'!K18+BACKDATA8月!K18+BACKDATA7月!K18+BACKDATA6月!K18+BACKDATA5月!K18+BACKDATA4月!K18</f>
        <v/>
      </c>
      <c r="L18" s="315">
        <f>'9月'!L18+BACKDATA8月!L18+BACKDATA7月!L18+BACKDATA6月!L18+BACKDATA5月!L18+BACKDATA4月!L18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'9月'!P18+BACKDATA8月!P18+BACKDATA7月!P18+BACKDATA6月!P18+BACKDATA5月!P18+BACKDATA4月!P18</f>
        <v/>
      </c>
      <c r="Q18" s="315">
        <f>'9月'!Q18+BACKDATA8月!Q18+BACKDATA7月!Q18+BACKDATA6月!Q18+BACKDATA5月!Q18+BACKDATA4月!Q18</f>
        <v/>
      </c>
      <c r="R18" s="316">
        <f>'9月'!R18+BACKDATA8月!R18+BACKDATA7月!R18+BACKDATA6月!R18+BACKDATA5月!R18+BACKDATA4月!R18</f>
        <v/>
      </c>
      <c r="S18" s="315">
        <f>'9月'!S18+BACKDATA8月!S18+BACKDATA7月!S18+BACKDATA6月!S18+BACKDATA5月!S18+BACKDATA4月!S18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'9月'!I19+BACKDATA8月!I19+BACKDATA7月!I19+BACKDATA6月!I19+BACKDATA5月!I19+BACKDATA4月!I19</f>
        <v/>
      </c>
      <c r="J19" s="355">
        <f>'9月'!J19+BACKDATA8月!J19+BACKDATA7月!J19+BACKDATA6月!J19+BACKDATA5月!J19+BACKDATA4月!J19</f>
        <v/>
      </c>
      <c r="K19" s="80">
        <f>'9月'!K19+BACKDATA8月!K19+BACKDATA7月!K19+BACKDATA6月!K19+BACKDATA5月!K19+BACKDATA4月!K19</f>
        <v/>
      </c>
      <c r="L19" s="355">
        <f>'9月'!L19+BACKDATA8月!L19+BACKDATA7月!L19+BACKDATA6月!L19+BACKDATA5月!L19+BACKDATA4月!L19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'9月'!P19+BACKDATA8月!P19+BACKDATA7月!P19+BACKDATA6月!P19+BACKDATA5月!P19+BACKDATA4月!P19</f>
        <v/>
      </c>
      <c r="Q19" s="355">
        <f>'9月'!Q19+BACKDATA8月!Q19+BACKDATA7月!Q19+BACKDATA6月!Q19+BACKDATA5月!Q19+BACKDATA4月!Q19</f>
        <v/>
      </c>
      <c r="R19" s="80">
        <f>'9月'!R19+BACKDATA8月!R19+BACKDATA7月!R19+BACKDATA6月!R19+BACKDATA5月!R19+BACKDATA4月!R19</f>
        <v/>
      </c>
      <c r="S19" s="355">
        <f>'9月'!S19+BACKDATA8月!S19+BACKDATA7月!S19+BACKDATA6月!S19+BACKDATA5月!S19+BACKDATA4月!S19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'9月'!I20+BACKDATA8月!I20+BACKDATA7月!I20+BACKDATA6月!I20+BACKDATA5月!I20+BACKDATA4月!I20</f>
        <v/>
      </c>
      <c r="J20" s="333">
        <f>'9月'!J20+BACKDATA8月!J20+BACKDATA7月!J20+BACKDATA6月!J20+BACKDATA5月!J20+BACKDATA4月!J20</f>
        <v/>
      </c>
      <c r="K20" s="334">
        <f>'9月'!K20+BACKDATA8月!K20+BACKDATA7月!K20+BACKDATA6月!K20+BACKDATA5月!K20+BACKDATA4月!K20</f>
        <v/>
      </c>
      <c r="L20" s="333">
        <f>'9月'!L20+BACKDATA8月!L20+BACKDATA7月!L20+BACKDATA6月!L20+BACKDATA5月!L20+BACKDATA4月!L20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'9月'!P20+BACKDATA8月!P20+BACKDATA7月!P20+BACKDATA6月!P20+BACKDATA5月!P20+BACKDATA4月!P20</f>
        <v/>
      </c>
      <c r="Q20" s="333">
        <f>'9月'!Q20+BACKDATA8月!Q20+BACKDATA7月!Q20+BACKDATA6月!Q20+BACKDATA5月!Q20+BACKDATA4月!Q20</f>
        <v/>
      </c>
      <c r="R20" s="334">
        <f>'9月'!R20+BACKDATA8月!R20+BACKDATA7月!R20+BACKDATA6月!R20+BACKDATA5月!R20+BACKDATA4月!R20</f>
        <v/>
      </c>
      <c r="S20" s="333">
        <f>'9月'!S20+BACKDATA8月!S20+BACKDATA7月!S20+BACKDATA6月!S20+BACKDATA5月!S20+BACKDATA4月!S20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I22+I23</f>
        <v/>
      </c>
      <c r="J21" s="357">
        <f>J22+J23</f>
        <v/>
      </c>
      <c r="K21" s="307">
        <f>K22+K23</f>
        <v/>
      </c>
      <c r="L21" s="357">
        <f>L22+L23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P22+P23</f>
        <v/>
      </c>
      <c r="Q21" s="357">
        <f>Q22+Q23</f>
        <v/>
      </c>
      <c r="R21" s="307">
        <f>R22+R23</f>
        <v/>
      </c>
      <c r="S21" s="357">
        <f>S22+S23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'9月'!I22+BACKDATA8月!I22+BACKDATA7月!I22+BACKDATA6月!I22+BACKDATA5月!I22+BACKDATA4月!I22</f>
        <v/>
      </c>
      <c r="J22" s="315">
        <f>'9月'!J22+BACKDATA8月!J22+BACKDATA7月!J22+BACKDATA6月!J22+BACKDATA5月!J22+BACKDATA4月!J22</f>
        <v/>
      </c>
      <c r="K22" s="316">
        <f>'9月'!K22+BACKDATA8月!K22+BACKDATA7月!K22+BACKDATA6月!K22+BACKDATA5月!K22+BACKDATA4月!K22</f>
        <v/>
      </c>
      <c r="L22" s="315">
        <f>'9月'!L22+BACKDATA8月!L22+BACKDATA7月!L22+BACKDATA6月!L22+BACKDATA5月!L22+BACKDATA4月!L22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'9月'!P22+BACKDATA8月!P22+BACKDATA7月!P22+BACKDATA6月!P22+BACKDATA5月!P22+BACKDATA4月!P22</f>
        <v/>
      </c>
      <c r="Q22" s="315">
        <f>'9月'!Q22+BACKDATA8月!Q22+BACKDATA7月!Q22+BACKDATA6月!Q22+BACKDATA5月!Q22+BACKDATA4月!Q22</f>
        <v/>
      </c>
      <c r="R22" s="316">
        <f>'9月'!R22+BACKDATA8月!R22+BACKDATA7月!R22+BACKDATA6月!R22+BACKDATA5月!R22+BACKDATA4月!R22</f>
        <v/>
      </c>
      <c r="S22" s="315">
        <f>'9月'!S22+BACKDATA8月!S22+BACKDATA7月!S22+BACKDATA6月!S22+BACKDATA5月!S22+BACKDATA4月!S22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'9月'!I23+BACKDATA8月!I23+BACKDATA7月!I23+BACKDATA6月!I23+BACKDATA5月!I23+BACKDATA4月!I23</f>
        <v/>
      </c>
      <c r="J23" s="315">
        <f>'9月'!J23+BACKDATA8月!J23+BACKDATA7月!J23+BACKDATA6月!J23+BACKDATA5月!J23+BACKDATA4月!J23</f>
        <v/>
      </c>
      <c r="K23" s="316">
        <f>'9月'!K23+BACKDATA8月!K23+BACKDATA7月!K23+BACKDATA6月!K23+BACKDATA5月!K23+BACKDATA4月!K23</f>
        <v/>
      </c>
      <c r="L23" s="315">
        <f>'9月'!L23+BACKDATA8月!L23+BACKDATA7月!L23+BACKDATA6月!L23+BACKDATA5月!L23+BACKDATA4月!L23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'9月'!P23+BACKDATA8月!P23+BACKDATA7月!P23+BACKDATA6月!P23+BACKDATA5月!P23+BACKDATA4月!P23</f>
        <v/>
      </c>
      <c r="Q23" s="315">
        <f>'9月'!Q23+BACKDATA8月!Q23+BACKDATA7月!Q23+BACKDATA6月!Q23+BACKDATA5月!Q23+BACKDATA4月!Q23</f>
        <v/>
      </c>
      <c r="R23" s="316">
        <f>'9月'!R23+BACKDATA8月!R23+BACKDATA7月!R23+BACKDATA6月!R23+BACKDATA5月!R23+BACKDATA4月!R23</f>
        <v/>
      </c>
      <c r="S23" s="315">
        <f>'9月'!S23+BACKDATA8月!S23+BACKDATA7月!S23+BACKDATA6月!S23+BACKDATA5月!S23+BACKDATA4月!S23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I25+I26</f>
        <v/>
      </c>
      <c r="J24" s="355">
        <f>J25+J26</f>
        <v/>
      </c>
      <c r="K24" s="316">
        <f>K25+K26</f>
        <v/>
      </c>
      <c r="L24" s="355">
        <f>L25+L26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P25+P26</f>
        <v/>
      </c>
      <c r="Q24" s="355">
        <f>Q25+Q26</f>
        <v/>
      </c>
      <c r="R24" s="316">
        <f>R25+R26</f>
        <v/>
      </c>
      <c r="S24" s="355">
        <f>S25+S26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'9月'!I25+BACKDATA8月!I25+BACKDATA7月!I25+BACKDATA6月!I25+BACKDATA5月!I25+BACKDATA4月!I25</f>
        <v/>
      </c>
      <c r="J25" s="315">
        <f>'9月'!J25+BACKDATA8月!J25+BACKDATA7月!J25+BACKDATA6月!J25+BACKDATA5月!J25+BACKDATA4月!J25</f>
        <v/>
      </c>
      <c r="K25" s="316">
        <f>'9月'!K25+BACKDATA8月!K25+BACKDATA7月!K25+BACKDATA6月!K25+BACKDATA5月!K25+BACKDATA4月!K25</f>
        <v/>
      </c>
      <c r="L25" s="315">
        <f>'9月'!L25+BACKDATA8月!L25+BACKDATA7月!L25+BACKDATA6月!L25+BACKDATA5月!L25+BACKDATA4月!L25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'9月'!P25+BACKDATA8月!P25+BACKDATA7月!P25+BACKDATA6月!P25+BACKDATA5月!P25+BACKDATA4月!P25</f>
        <v/>
      </c>
      <c r="Q25" s="315">
        <f>'9月'!Q25+BACKDATA8月!Q25+BACKDATA7月!Q25+BACKDATA6月!Q25+BACKDATA5月!Q25+BACKDATA4月!Q25</f>
        <v/>
      </c>
      <c r="R25" s="316">
        <f>'9月'!R25+BACKDATA8月!R25+BACKDATA7月!R25+BACKDATA6月!R25+BACKDATA5月!R25+BACKDATA4月!R25</f>
        <v/>
      </c>
      <c r="S25" s="315">
        <f>'9月'!S25+BACKDATA8月!S25+BACKDATA7月!S25+BACKDATA6月!S25+BACKDATA5月!S25+BACKDATA4月!S25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'9月'!I26+BACKDATA8月!I26+BACKDATA7月!I26+BACKDATA6月!I26+BACKDATA5月!I26+BACKDATA4月!I26</f>
        <v/>
      </c>
      <c r="J26" s="355">
        <f>'9月'!J26+BACKDATA8月!J26+BACKDATA7月!J26+BACKDATA6月!J26+BACKDATA5月!J26+BACKDATA4月!J26</f>
        <v/>
      </c>
      <c r="K26" s="316">
        <f>'9月'!K26+BACKDATA8月!K26+BACKDATA7月!K26+BACKDATA6月!K26+BACKDATA5月!K26+BACKDATA4月!K26</f>
        <v/>
      </c>
      <c r="L26" s="355">
        <f>'9月'!L26+BACKDATA8月!L26+BACKDATA7月!L26+BACKDATA6月!L26+BACKDATA5月!L26+BACKDATA4月!L26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'9月'!P26+BACKDATA8月!P26+BACKDATA7月!P26+BACKDATA6月!P26+BACKDATA5月!P26+BACKDATA4月!P26</f>
        <v/>
      </c>
      <c r="Q26" s="355">
        <f>'9月'!Q26+BACKDATA8月!Q26+BACKDATA7月!Q26+BACKDATA6月!Q26+BACKDATA5月!Q26+BACKDATA4月!Q26</f>
        <v/>
      </c>
      <c r="R26" s="316">
        <f>'9月'!R26+BACKDATA8月!R26+BACKDATA7月!R26+BACKDATA6月!R26+BACKDATA5月!R26+BACKDATA4月!R26</f>
        <v/>
      </c>
      <c r="S26" s="355">
        <f>'9月'!S26+BACKDATA8月!S26+BACKDATA7月!S26+BACKDATA6月!S26+BACKDATA5月!S26+BACKDATA4月!S26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I28+I29</f>
        <v/>
      </c>
      <c r="J27" s="316">
        <f>J28+J29</f>
        <v/>
      </c>
      <c r="K27" s="316">
        <f>K28+K29</f>
        <v/>
      </c>
      <c r="L27" s="316">
        <f>L28+L29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P28+P29</f>
        <v/>
      </c>
      <c r="Q27" s="316">
        <f>Q28+Q29</f>
        <v/>
      </c>
      <c r="R27" s="316">
        <f>R28+R29</f>
        <v/>
      </c>
      <c r="S27" s="316">
        <f>S28+S29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I22-I25</f>
        <v/>
      </c>
      <c r="J28" s="316">
        <f>J22-J25</f>
        <v/>
      </c>
      <c r="K28" s="316">
        <f>K22-K25</f>
        <v/>
      </c>
      <c r="L28" s="316">
        <f>L22-L25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P22-P25</f>
        <v/>
      </c>
      <c r="Q28" s="316">
        <f>Q22-Q25</f>
        <v/>
      </c>
      <c r="R28" s="316">
        <f>R22-R25</f>
        <v/>
      </c>
      <c r="S28" s="316">
        <f>S22-S25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I31+I34+I35</f>
        <v/>
      </c>
      <c r="J30" s="306">
        <f>J31+J34+J35</f>
        <v/>
      </c>
      <c r="K30" s="307">
        <f>K31+K34+K35</f>
        <v/>
      </c>
      <c r="L30" s="306">
        <f>L31+L34+L35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P31+P34+P35</f>
        <v/>
      </c>
      <c r="Q30" s="306">
        <f>Q31+Q34+Q35</f>
        <v/>
      </c>
      <c r="R30" s="307">
        <f>R31+R34+R35</f>
        <v/>
      </c>
      <c r="S30" s="306">
        <f>S31+S34+S35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I32+I33</f>
        <v/>
      </c>
      <c r="J31" s="315">
        <f>J32+J33</f>
        <v/>
      </c>
      <c r="K31" s="316">
        <f>K32+K33</f>
        <v/>
      </c>
      <c r="L31" s="315">
        <f>L32+L33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P32+P33</f>
        <v/>
      </c>
      <c r="Q31" s="315">
        <f>Q32+Q33</f>
        <v/>
      </c>
      <c r="R31" s="316">
        <f>R32+R33</f>
        <v/>
      </c>
      <c r="S31" s="315">
        <f>S32+S33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'9月'!I32+BACKDATA8月!I32+BACKDATA7月!I32+BACKDATA6月!I32+BACKDATA5月!I32+BACKDATA4月!I32</f>
        <v/>
      </c>
      <c r="J32" s="315">
        <f>'9月'!J32+BACKDATA8月!J32+BACKDATA7月!J32+BACKDATA6月!J32+BACKDATA5月!J32+BACKDATA4月!J32</f>
        <v/>
      </c>
      <c r="K32" s="316">
        <f>'9月'!K32+BACKDATA8月!K32+BACKDATA7月!K32+BACKDATA6月!K32+BACKDATA5月!K32+BACKDATA4月!K32</f>
        <v/>
      </c>
      <c r="L32" s="315">
        <f>'9月'!L32+BACKDATA8月!L32+BACKDATA7月!L32+BACKDATA6月!L32+BACKDATA5月!L32+BACKDATA4月!L32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'9月'!P32+BACKDATA8月!P32+BACKDATA7月!P32+BACKDATA6月!P32+BACKDATA5月!P32+BACKDATA4月!P32</f>
        <v/>
      </c>
      <c r="Q32" s="315">
        <f>'9月'!Q32+BACKDATA8月!Q32+BACKDATA7月!Q32+BACKDATA6月!Q32+BACKDATA5月!Q32+BACKDATA4月!Q32</f>
        <v/>
      </c>
      <c r="R32" s="316">
        <f>'9月'!R32+BACKDATA8月!R32+BACKDATA7月!R32+BACKDATA6月!R32+BACKDATA5月!R32+BACKDATA4月!R32</f>
        <v/>
      </c>
      <c r="S32" s="315">
        <f>'9月'!S32+BACKDATA8月!S32+BACKDATA7月!S32+BACKDATA6月!S32+BACKDATA5月!S32+BACKDATA4月!S32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'9月'!I33+BACKDATA8月!I33+BACKDATA7月!I33+BACKDATA6月!I33+BACKDATA5月!I33+BACKDATA4月!I33</f>
        <v/>
      </c>
      <c r="J33" s="355">
        <f>'9月'!J33+BACKDATA8月!J33+BACKDATA7月!J33+BACKDATA6月!J33+BACKDATA5月!J33+BACKDATA4月!J33</f>
        <v/>
      </c>
      <c r="K33" s="316">
        <f>'9月'!K33+BACKDATA8月!K33+BACKDATA7月!K33+BACKDATA6月!K33+BACKDATA5月!K33+BACKDATA4月!K33</f>
        <v/>
      </c>
      <c r="L33" s="355">
        <f>'9月'!L33+BACKDATA8月!L33+BACKDATA7月!L33+BACKDATA6月!L33+BACKDATA5月!L33+BACKDATA4月!L33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'9月'!P33+BACKDATA8月!P33+BACKDATA7月!P33+BACKDATA6月!P33+BACKDATA5月!P33+BACKDATA4月!P33</f>
        <v/>
      </c>
      <c r="Q33" s="355">
        <f>'9月'!Q33+BACKDATA8月!Q33+BACKDATA7月!Q33+BACKDATA6月!Q33+BACKDATA5月!Q33+BACKDATA4月!Q33</f>
        <v/>
      </c>
      <c r="R33" s="316">
        <f>'9月'!R33+BACKDATA8月!R33+BACKDATA7月!R33+BACKDATA6月!R33+BACKDATA5月!R33+BACKDATA4月!R33</f>
        <v/>
      </c>
      <c r="S33" s="355">
        <f>'9月'!S33+BACKDATA8月!S33+BACKDATA7月!S33+BACKDATA6月!S33+BACKDATA5月!S33+BACKDATA4月!S33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'9月'!I34+BACKDATA8月!I34+BACKDATA7月!I34+BACKDATA6月!I34+BACKDATA5月!I34+BACKDATA4月!I34</f>
        <v/>
      </c>
      <c r="J34" s="323">
        <f>'9月'!J34+BACKDATA8月!J34+BACKDATA7月!J34+BACKDATA6月!J34+BACKDATA5月!J34+BACKDATA4月!J34</f>
        <v/>
      </c>
      <c r="K34" s="324">
        <f>'9月'!K34+BACKDATA8月!K34+BACKDATA7月!K34+BACKDATA6月!K34+BACKDATA5月!K34+BACKDATA4月!K34</f>
        <v/>
      </c>
      <c r="L34" s="323">
        <f>'9月'!L34+BACKDATA8月!L34+BACKDATA7月!L34+BACKDATA6月!L34+BACKDATA5月!L34+BACKDATA4月!L34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'9月'!P34+BACKDATA8月!P34+BACKDATA7月!P34+BACKDATA6月!P34+BACKDATA5月!P34+BACKDATA4月!P34</f>
        <v/>
      </c>
      <c r="Q34" s="323">
        <f>'9月'!Q34+BACKDATA8月!Q34+BACKDATA7月!Q34+BACKDATA6月!Q34+BACKDATA5月!Q34+BACKDATA4月!Q34</f>
        <v/>
      </c>
      <c r="R34" s="324">
        <f>'9月'!R34+BACKDATA8月!R34+BACKDATA7月!R34+BACKDATA6月!R34+BACKDATA5月!R34+BACKDATA4月!R34</f>
        <v/>
      </c>
      <c r="S34" s="323">
        <f>'9月'!S34+BACKDATA8月!S34+BACKDATA7月!S34+BACKDATA6月!S34+BACKDATA5月!S34+BACKDATA4月!S34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'9月'!I35+BACKDATA8月!I35+BACKDATA7月!I35+BACKDATA6月!I35+BACKDATA5月!I35+BACKDATA4月!I35</f>
        <v/>
      </c>
      <c r="J35" s="333">
        <f>'9月'!J35+BACKDATA8月!J35+BACKDATA7月!J35+BACKDATA6月!J35+BACKDATA5月!J35+BACKDATA4月!J35</f>
        <v/>
      </c>
      <c r="K35" s="334">
        <f>'9月'!K35+BACKDATA8月!K35+BACKDATA7月!K35+BACKDATA6月!K35+BACKDATA5月!K35+BACKDATA4月!K35</f>
        <v/>
      </c>
      <c r="L35" s="333">
        <f>'9月'!L35+BACKDATA8月!L35+BACKDATA7月!L35+BACKDATA6月!L35+BACKDATA5月!L35+BACKDATA4月!L35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'9月'!P35+BACKDATA8月!P35+BACKDATA7月!P35+BACKDATA6月!P35+BACKDATA5月!P35+BACKDATA4月!P35</f>
        <v/>
      </c>
      <c r="Q35" s="333">
        <f>'9月'!Q35+BACKDATA8月!Q35+BACKDATA7月!Q35+BACKDATA6月!Q35+BACKDATA5月!Q35+BACKDATA4月!Q35</f>
        <v/>
      </c>
      <c r="R35" s="334">
        <f>'9月'!R35+BACKDATA8月!R35+BACKDATA7月!R35+BACKDATA6月!R35+BACKDATA5月!R35+BACKDATA4月!R35</f>
        <v/>
      </c>
      <c r="S35" s="333">
        <f>'9月'!S35+BACKDATA8月!S35+BACKDATA7月!S35+BACKDATA6月!S35+BACKDATA5月!S35+BACKDATA4月!S35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I42+I43+I44</f>
        <v/>
      </c>
      <c r="J41" s="306">
        <f>J42+J43+J44</f>
        <v/>
      </c>
      <c r="K41" s="307">
        <f>K42+K43+K44</f>
        <v/>
      </c>
      <c r="L41" s="306">
        <f>L42+L43+L44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P42+P43+P44</f>
        <v/>
      </c>
      <c r="Q41" s="306">
        <f>Q42+Q43+Q44</f>
        <v/>
      </c>
      <c r="R41" s="307">
        <f>R42+R43+R44</f>
        <v/>
      </c>
      <c r="S41" s="306">
        <f>S42+S43+S44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'9月'!I42+BACKDATA8月!I42+BACKDATA7月!I42+BACKDATA6月!I42+BACKDATA5月!I42+BACKDATA4月!I42</f>
        <v/>
      </c>
      <c r="J42" s="344">
        <f>'9月'!J42+BACKDATA8月!J42+BACKDATA7月!J42+BACKDATA6月!J42+BACKDATA5月!J42+BACKDATA4月!J42</f>
        <v/>
      </c>
      <c r="K42" s="344">
        <f>'9月'!K42+BACKDATA8月!K42+BACKDATA7月!K42+BACKDATA6月!K42+BACKDATA5月!K42+BACKDATA4月!K42</f>
        <v/>
      </c>
      <c r="L42" s="344">
        <f>'9月'!L42+BACKDATA8月!L42+BACKDATA7月!L42+BACKDATA6月!L42+BACKDATA5月!L42+BACKDATA4月!L42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'9月'!P42+BACKDATA8月!P42+BACKDATA7月!P42+BACKDATA6月!P42+BACKDATA5月!P42+BACKDATA4月!P42</f>
        <v/>
      </c>
      <c r="Q42" s="344">
        <f>'9月'!Q42+BACKDATA8月!Q42+BACKDATA7月!Q42+BACKDATA6月!Q42+BACKDATA5月!Q42+BACKDATA4月!Q42</f>
        <v/>
      </c>
      <c r="R42" s="344">
        <f>'9月'!R42+BACKDATA8月!R42+BACKDATA7月!R42+BACKDATA6月!R42+BACKDATA5月!R42+BACKDATA4月!R42</f>
        <v/>
      </c>
      <c r="S42" s="344">
        <f>'9月'!S42+BACKDATA8月!S42+BACKDATA7月!S42+BACKDATA6月!S42+BACKDATA5月!S42+BACKDATA4月!S42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'9月'!I43+BACKDATA8月!I43+BACKDATA7月!I43+BACKDATA6月!I43+BACKDATA5月!I43+BACKDATA4月!I43</f>
        <v/>
      </c>
      <c r="J43" s="390">
        <f>'9月'!J43+BACKDATA8月!J43+BACKDATA7月!J43+BACKDATA6月!J43+BACKDATA5月!J43+BACKDATA4月!J43</f>
        <v/>
      </c>
      <c r="K43" s="390">
        <f>'9月'!K43+BACKDATA8月!K43+BACKDATA7月!K43+BACKDATA6月!K43+BACKDATA5月!K43+BACKDATA4月!K43</f>
        <v/>
      </c>
      <c r="L43" s="390">
        <f>'9月'!L43+BACKDATA8月!L43+BACKDATA7月!L43+BACKDATA6月!L43+BACKDATA5月!L43+BACKDATA4月!L43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'9月'!P43+BACKDATA8月!P43+BACKDATA7月!P43+BACKDATA6月!P43+BACKDATA5月!P43+BACKDATA4月!P43</f>
        <v/>
      </c>
      <c r="Q43" s="390">
        <f>'9月'!Q43+BACKDATA8月!Q43+BACKDATA7月!Q43+BACKDATA6月!Q43+BACKDATA5月!Q43+BACKDATA4月!Q43</f>
        <v/>
      </c>
      <c r="R43" s="390">
        <f>'9月'!R43+BACKDATA8月!R43+BACKDATA7月!R43+BACKDATA6月!R43+BACKDATA5月!R43+BACKDATA4月!R43</f>
        <v/>
      </c>
      <c r="S43" s="390">
        <f>'9月'!S43+BACKDATA8月!S43+BACKDATA7月!S43+BACKDATA6月!S43+BACKDATA5月!S43+BACKDATA4月!S43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'9月'!I44+BACKDATA8月!I44+BACKDATA7月!I44+BACKDATA6月!I44+BACKDATA5月!I44+BACKDATA4月!I44</f>
        <v/>
      </c>
      <c r="J44" s="390">
        <f>'9月'!J44+BACKDATA8月!J44+BACKDATA7月!J44+BACKDATA6月!J44+BACKDATA5月!J44+BACKDATA4月!J44</f>
        <v/>
      </c>
      <c r="K44" s="390">
        <f>'9月'!K44+BACKDATA8月!K44+BACKDATA7月!K44+BACKDATA6月!K44+BACKDATA5月!K44+BACKDATA4月!K44</f>
        <v/>
      </c>
      <c r="L44" s="390">
        <f>'9月'!L44+BACKDATA8月!L44+BACKDATA7月!L44+BACKDATA6月!L44+BACKDATA5月!L44+BACKDATA4月!L44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'9月'!P44+BACKDATA8月!P44+BACKDATA7月!P44+BACKDATA6月!P44+BACKDATA5月!P44+BACKDATA4月!P44</f>
        <v/>
      </c>
      <c r="Q44" s="390">
        <f>'9月'!Q44+BACKDATA8月!Q44+BACKDATA7月!Q44+BACKDATA6月!Q44+BACKDATA5月!Q44+BACKDATA4月!Q44</f>
        <v/>
      </c>
      <c r="R44" s="390">
        <f>'9月'!R44+BACKDATA8月!R44+BACKDATA7月!R44+BACKDATA6月!R44+BACKDATA5月!R44+BACKDATA4月!R44</f>
        <v/>
      </c>
      <c r="S44" s="390">
        <f>'9月'!S44+BACKDATA8月!S44+BACKDATA7月!S44+BACKDATA6月!S44+BACKDATA5月!S44+BACKDATA4月!S44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I45-I47-I48-I49</f>
        <v/>
      </c>
      <c r="J46" s="402">
        <f>J45-J47-J48-J49</f>
        <v/>
      </c>
      <c r="K46" s="403">
        <f>K45-K47-K48-K49</f>
        <v/>
      </c>
      <c r="L46" s="403">
        <f>L45-L47-L48-L49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P45-P47-P48-P49</f>
        <v/>
      </c>
      <c r="Q46" s="402">
        <f>Q45-Q47-Q48-Q49</f>
        <v/>
      </c>
      <c r="R46" s="403">
        <f>R45-R47-R48-R49</f>
        <v/>
      </c>
      <c r="S46" s="403">
        <f>S45-S47-S48-S49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'9月'!I50+BACKDATA8月!I50+BACKDATA7月!I50+BACKDATA6月!I50+BACKDATA5月!I50+BACKDATA4月!I50</f>
        <v/>
      </c>
      <c r="J50" s="431">
        <f>'9月'!J50+BACKDATA8月!J50+BACKDATA7月!J50+BACKDATA6月!J50+BACKDATA5月!J50+BACKDATA4月!J50</f>
        <v/>
      </c>
      <c r="K50" s="431">
        <f>'9月'!K50+BACKDATA8月!K50+BACKDATA7月!K50+BACKDATA6月!K50+BACKDATA5月!K50+BACKDATA4月!K50</f>
        <v/>
      </c>
      <c r="L50" s="431">
        <f>'9月'!L50+BACKDATA8月!L50+BACKDATA7月!L50+BACKDATA6月!L50+BACKDATA5月!L50+BACKDATA4月!L50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'9月'!P50+BACKDATA8月!P50+BACKDATA7月!P50+BACKDATA6月!P50+BACKDATA5月!P50+BACKDATA4月!P50</f>
        <v/>
      </c>
      <c r="Q50" s="431">
        <f>'9月'!Q50+BACKDATA8月!Q50+BACKDATA7月!Q50+BACKDATA6月!Q50+BACKDATA5月!Q50+BACKDATA4月!Q50</f>
        <v/>
      </c>
      <c r="R50" s="431">
        <f>'9月'!R50+BACKDATA8月!R50+BACKDATA7月!R50+BACKDATA6月!R50+BACKDATA5月!R50+BACKDATA4月!R50</f>
        <v/>
      </c>
      <c r="S50" s="431">
        <f>'9月'!S50+BACKDATA8月!S50+BACKDATA7月!S50+BACKDATA6月!S50+BACKDATA5月!S50+BACKDATA4月!S50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14" customWidth="1" style="302" min="9" max="9"/>
    <col width="14" bestFit="1" customWidth="1" style="302" min="10" max="12"/>
    <col width="14" customWidth="1" style="1" min="11" max="11"/>
    <col width="14" customWidth="1" style="1" min="12" max="12"/>
    <col width="8.625" bestFit="1" customWidth="1" style="302" min="13" max="14"/>
    <col width="14" customWidth="1" style="302" min="16" max="21"/>
    <col width="14" customWidth="1" style="1" min="17" max="17"/>
    <col width="14" customWidth="1" style="1" min="18" max="18"/>
    <col width="14" customWidth="1" style="1" min="19" max="19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I6+I9</f>
        <v/>
      </c>
      <c r="J5" s="441">
        <f>J6+J9</f>
        <v/>
      </c>
      <c r="K5" s="442">
        <f>K6+K9</f>
        <v/>
      </c>
      <c r="L5" s="441">
        <f>L6+L9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P6+P9</f>
        <v/>
      </c>
      <c r="Q5" s="441">
        <f>Q6+Q9</f>
        <v/>
      </c>
      <c r="R5" s="442">
        <f>R6+R9</f>
        <v/>
      </c>
      <c r="S5" s="441">
        <f>S6+S9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I7+I8</f>
        <v/>
      </c>
      <c r="J6" s="317">
        <f>J7+J8</f>
        <v/>
      </c>
      <c r="K6" s="444">
        <f>K7+K8</f>
        <v/>
      </c>
      <c r="L6" s="317">
        <f>L7+L8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P7+P8</f>
        <v/>
      </c>
      <c r="Q6" s="317">
        <f>Q7+Q8</f>
        <v/>
      </c>
      <c r="R6" s="444">
        <f>R7+R8</f>
        <v/>
      </c>
      <c r="S6" s="317">
        <f>S7+S8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BACKDATA上期!CO7+下期!I7</f>
        <v/>
      </c>
      <c r="J7" s="317">
        <f>BACKDATA上期!CP7+下期!J7</f>
        <v/>
      </c>
      <c r="K7" s="444">
        <f>BACKDATA上期!CQ7+下期!K7</f>
        <v/>
      </c>
      <c r="L7" s="317">
        <f>BACKDATA上期!CR7+下期!L7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BACKDATA上期!CV7+下期!P7</f>
        <v/>
      </c>
      <c r="Q7" s="317">
        <f>BACKDATA上期!CW7+下期!Q7</f>
        <v/>
      </c>
      <c r="R7" s="444">
        <f>BACKDATA上期!CX7+下期!R7</f>
        <v/>
      </c>
      <c r="S7" s="317">
        <f>BACKDATA上期!CY7+下期!S7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I11+I14+I15</f>
        <v/>
      </c>
      <c r="J10" s="452">
        <f>J11+J14+J15</f>
        <v/>
      </c>
      <c r="K10" s="453">
        <f>K11+K14+K15</f>
        <v/>
      </c>
      <c r="L10" s="452">
        <f>L11+L14+L15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P11+P14+P15</f>
        <v/>
      </c>
      <c r="Q10" s="452">
        <f>Q11+Q14+Q15</f>
        <v/>
      </c>
      <c r="R10" s="453">
        <f>R11+R14+R15</f>
        <v/>
      </c>
      <c r="S10" s="452">
        <f>S11+S14+S15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I12+I13</f>
        <v/>
      </c>
      <c r="J11" s="317">
        <f>J12+J13</f>
        <v/>
      </c>
      <c r="K11" s="444">
        <f>K12+K13</f>
        <v/>
      </c>
      <c r="L11" s="317">
        <f>L12+L13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P12+P13</f>
        <v/>
      </c>
      <c r="Q11" s="317">
        <f>Q12+Q13</f>
        <v/>
      </c>
      <c r="R11" s="444">
        <f>R12+R13</f>
        <v/>
      </c>
      <c r="S11" s="317">
        <f>S12+S13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BACKDATA上期!CO12+下期!I12</f>
        <v/>
      </c>
      <c r="J12" s="317">
        <f>BACKDATA上期!CP12+下期!J12</f>
        <v/>
      </c>
      <c r="K12" s="444">
        <f>BACKDATA上期!CQ12+下期!K12</f>
        <v/>
      </c>
      <c r="L12" s="317">
        <f>BACKDATA上期!CR12+下期!L12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BACKDATA上期!CV12+下期!P12</f>
        <v/>
      </c>
      <c r="Q12" s="317">
        <f>BACKDATA上期!CW12+下期!Q12</f>
        <v/>
      </c>
      <c r="R12" s="444">
        <f>BACKDATA上期!CX12+下期!R12</f>
        <v/>
      </c>
      <c r="S12" s="317">
        <f>BACKDATA上期!CY12+下期!S12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I17+I20</f>
        <v/>
      </c>
      <c r="J16" s="441">
        <f>J17+J20</f>
        <v/>
      </c>
      <c r="K16" s="442">
        <f>K17+K20</f>
        <v/>
      </c>
      <c r="L16" s="441">
        <f>L17+L20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P17+P20</f>
        <v/>
      </c>
      <c r="Q16" s="441">
        <f>Q17+Q20</f>
        <v/>
      </c>
      <c r="R16" s="442">
        <f>R17+R20</f>
        <v/>
      </c>
      <c r="S16" s="441">
        <f>S17+S20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I18+I19</f>
        <v/>
      </c>
      <c r="J17" s="317">
        <f>J18+J19</f>
        <v/>
      </c>
      <c r="K17" s="444">
        <f>K18+K19</f>
        <v/>
      </c>
      <c r="L17" s="317">
        <f>L18+L19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P18+P19</f>
        <v/>
      </c>
      <c r="Q17" s="317">
        <f>Q18+Q19</f>
        <v/>
      </c>
      <c r="R17" s="444">
        <f>R18+R19</f>
        <v/>
      </c>
      <c r="S17" s="317">
        <f>S18+S19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BACKDATA上期!CO18+下期!I18</f>
        <v/>
      </c>
      <c r="J18" s="317">
        <f>BACKDATA上期!CP18+下期!J18</f>
        <v/>
      </c>
      <c r="K18" s="444">
        <f>BACKDATA上期!CQ18+下期!K18</f>
        <v/>
      </c>
      <c r="L18" s="317">
        <f>BACKDATA上期!CR18+下期!L18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BACKDATA上期!CV18+下期!P18</f>
        <v/>
      </c>
      <c r="Q18" s="317">
        <f>BACKDATA上期!CW18+下期!Q18</f>
        <v/>
      </c>
      <c r="R18" s="444">
        <f>BACKDATA上期!CX18+下期!R18</f>
        <v/>
      </c>
      <c r="S18" s="317">
        <f>BACKDATA上期!CY18+下期!S18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I22+I23</f>
        <v/>
      </c>
      <c r="J21" s="464">
        <f>J22+J23</f>
        <v/>
      </c>
      <c r="K21" s="464">
        <f>K22+K23</f>
        <v/>
      </c>
      <c r="L21" s="464">
        <f>L22+L23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P22+P23</f>
        <v/>
      </c>
      <c r="Q21" s="464">
        <f>Q22+Q23</f>
        <v/>
      </c>
      <c r="R21" s="464">
        <f>R22+R23</f>
        <v/>
      </c>
      <c r="S21" s="464">
        <f>S22+S23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BACKDATA上期!CO22+下期!I22</f>
        <v/>
      </c>
      <c r="J22" s="444">
        <f>BACKDATA上期!CP22+下期!J22</f>
        <v/>
      </c>
      <c r="K22" s="444">
        <f>BACKDATA上期!CQ22+下期!K22</f>
        <v/>
      </c>
      <c r="L22" s="444">
        <f>BACKDATA上期!CR22+下期!L22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BACKDATA上期!CV22+下期!P22</f>
        <v/>
      </c>
      <c r="Q22" s="444">
        <f>BACKDATA上期!CW22+下期!Q22</f>
        <v/>
      </c>
      <c r="R22" s="444">
        <f>BACKDATA上期!CX22+下期!R22</f>
        <v/>
      </c>
      <c r="S22" s="444">
        <f>BACKDATA上期!CY22+下期!S22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I25+I26</f>
        <v/>
      </c>
      <c r="J24" s="461">
        <f>J25+J26</f>
        <v/>
      </c>
      <c r="K24" s="444">
        <f>K25+K26</f>
        <v/>
      </c>
      <c r="L24" s="461">
        <f>L25+L26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P25+P26</f>
        <v/>
      </c>
      <c r="Q24" s="461">
        <f>Q25+Q26</f>
        <v/>
      </c>
      <c r="R24" s="444">
        <f>R25+R26</f>
        <v/>
      </c>
      <c r="S24" s="461">
        <f>S25+S26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BACKDATA上期!CO25+下期!I25</f>
        <v/>
      </c>
      <c r="J25" s="317">
        <f>BACKDATA上期!CP25+下期!J25</f>
        <v/>
      </c>
      <c r="K25" s="444">
        <f>BACKDATA上期!CQ25+下期!K25</f>
        <v/>
      </c>
      <c r="L25" s="317">
        <f>BACKDATA上期!CR25+下期!L25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BACKDATA上期!CV25+下期!P25</f>
        <v/>
      </c>
      <c r="Q25" s="317">
        <f>BACKDATA上期!CW25+下期!Q25</f>
        <v/>
      </c>
      <c r="R25" s="444">
        <f>BACKDATA上期!CX25+下期!R25</f>
        <v/>
      </c>
      <c r="S25" s="317">
        <f>BACKDATA上期!CY25+下期!S25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I28+I29</f>
        <v/>
      </c>
      <c r="J27" s="444">
        <f>J28+J29</f>
        <v/>
      </c>
      <c r="K27" s="444">
        <f>K28+K29</f>
        <v/>
      </c>
      <c r="L27" s="444">
        <f>L28+L29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P28+P29</f>
        <v/>
      </c>
      <c r="Q27" s="444">
        <f>Q28+Q29</f>
        <v/>
      </c>
      <c r="R27" s="444">
        <f>R28+R29</f>
        <v/>
      </c>
      <c r="S27" s="444">
        <f>S28+S29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I22-I25</f>
        <v/>
      </c>
      <c r="J28" s="444">
        <f>J22-J25</f>
        <v/>
      </c>
      <c r="K28" s="444">
        <f>K22-K25</f>
        <v/>
      </c>
      <c r="L28" s="444">
        <f>L22-L25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P22-P25</f>
        <v/>
      </c>
      <c r="Q28" s="444">
        <f>Q22-Q25</f>
        <v/>
      </c>
      <c r="R28" s="444">
        <f>R22-R25</f>
        <v/>
      </c>
      <c r="S28" s="444">
        <f>S22-S25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I31+I34+I35</f>
        <v/>
      </c>
      <c r="J30" s="441">
        <f>J31+J34+J35</f>
        <v/>
      </c>
      <c r="K30" s="442">
        <f>K31+K34+K35</f>
        <v/>
      </c>
      <c r="L30" s="441">
        <f>L31+L34+L35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P31+P34+P35</f>
        <v/>
      </c>
      <c r="Q30" s="441">
        <f>Q31+Q34+Q35</f>
        <v/>
      </c>
      <c r="R30" s="442">
        <f>R31+R34+R35</f>
        <v/>
      </c>
      <c r="S30" s="441">
        <f>S31+S34+S35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I32+I33</f>
        <v/>
      </c>
      <c r="J31" s="317">
        <f>J32+J33</f>
        <v/>
      </c>
      <c r="K31" s="444">
        <f>K32+K33</f>
        <v/>
      </c>
      <c r="L31" s="317">
        <f>L32+L33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P32+P33</f>
        <v/>
      </c>
      <c r="Q31" s="317">
        <f>Q32+Q33</f>
        <v/>
      </c>
      <c r="R31" s="444">
        <f>R32+R33</f>
        <v/>
      </c>
      <c r="S31" s="317">
        <f>S32+S33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BACKDATA上期!CO32+下期!I32</f>
        <v/>
      </c>
      <c r="J32" s="317">
        <f>BACKDATA上期!CP32+下期!J32</f>
        <v/>
      </c>
      <c r="K32" s="444">
        <f>BACKDATA上期!CQ32+下期!K32</f>
        <v/>
      </c>
      <c r="L32" s="317">
        <f>BACKDATA上期!CR32+下期!L32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BACKDATA上期!CV32+下期!P32</f>
        <v/>
      </c>
      <c r="Q32" s="317">
        <f>BACKDATA上期!CW32+下期!Q32</f>
        <v/>
      </c>
      <c r="R32" s="444">
        <f>BACKDATA上期!CX32+下期!R32</f>
        <v/>
      </c>
      <c r="S32" s="317">
        <f>BACKDATA上期!CY32+下期!S32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I42+I43+I44</f>
        <v/>
      </c>
      <c r="J41" s="441">
        <f>J42+J43+J44</f>
        <v/>
      </c>
      <c r="K41" s="442">
        <f>K42+K43+K44</f>
        <v/>
      </c>
      <c r="L41" s="441">
        <f>L42+L43+L44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P42+P43+P44</f>
        <v/>
      </c>
      <c r="Q41" s="441">
        <f>Q42+Q43+Q44</f>
        <v/>
      </c>
      <c r="R41" s="442">
        <f>R42+R43+R44</f>
        <v/>
      </c>
      <c r="S41" s="441">
        <f>S42+S43+S44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BACKDATA上期!CO42+下期!I42</f>
        <v/>
      </c>
      <c r="J42" s="453">
        <f>BACKDATA上期!CP42+下期!J42</f>
        <v/>
      </c>
      <c r="K42" s="453">
        <f>BACKDATA上期!CQ42+下期!K42</f>
        <v/>
      </c>
      <c r="L42" s="453">
        <f>BACKDATA上期!CR42+下期!L42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BACKDATA上期!CV42+下期!P42</f>
        <v/>
      </c>
      <c r="Q42" s="453">
        <f>BACKDATA上期!CW42+下期!Q42</f>
        <v/>
      </c>
      <c r="R42" s="453">
        <f>BACKDATA上期!CX42+下期!R42</f>
        <v/>
      </c>
      <c r="S42" s="453">
        <f>BACKDATA上期!CY42+下期!S42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I45-I47-I48-I49</f>
        <v/>
      </c>
      <c r="J46" s="478">
        <f>J45-J47-J48-J49</f>
        <v/>
      </c>
      <c r="K46" s="479">
        <f>K45-K47-K48-K49</f>
        <v/>
      </c>
      <c r="L46" s="479">
        <f>L45-L47-L48-L49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P45-P47-P48-P49</f>
        <v/>
      </c>
      <c r="Q46" s="478">
        <f>Q45-Q47-Q48-Q49</f>
        <v/>
      </c>
      <c r="R46" s="479">
        <f>R45-R47-R48-R49</f>
        <v/>
      </c>
      <c r="S46" s="479">
        <f>S45-S47-S48-S49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I6+I9</f>
        <v/>
      </c>
      <c r="J5" s="306">
        <f>J6+J9</f>
        <v/>
      </c>
      <c r="K5" s="307">
        <f>K6+K9</f>
        <v/>
      </c>
      <c r="L5" s="306">
        <f>L6+L9</f>
        <v/>
      </c>
      <c r="M5" s="308">
        <f>L5-K5</f>
        <v/>
      </c>
      <c r="N5" s="308">
        <f>L5-J5</f>
        <v/>
      </c>
      <c r="O5" s="309">
        <f>IF(J5=0,"***",N5/J5)</f>
        <v/>
      </c>
      <c r="P5" s="310">
        <f>P6+P9</f>
        <v/>
      </c>
      <c r="Q5" s="310">
        <f>Q6+Q9</f>
        <v/>
      </c>
      <c r="R5" s="310">
        <f>R6+R9</f>
        <v/>
      </c>
      <c r="S5" s="310">
        <f>S6+S9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I7+I8</f>
        <v/>
      </c>
      <c r="J6" s="315">
        <f>J7+J8</f>
        <v/>
      </c>
      <c r="K6" s="316">
        <f>K7+K8</f>
        <v/>
      </c>
      <c r="L6" s="315">
        <f>L7+L8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P7+P8</f>
        <v/>
      </c>
      <c r="Q6" s="315">
        <f>Q7+Q8</f>
        <v/>
      </c>
      <c r="R6" s="316">
        <f>R7+R8</f>
        <v/>
      </c>
      <c r="S6" s="315">
        <f>S7+S8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 t="n">
        <v>60472.81</v>
      </c>
      <c r="J7" s="315" t="n">
        <v>65722.001</v>
      </c>
      <c r="K7" s="316" t="n">
        <v>67740</v>
      </c>
      <c r="L7" s="315" t="n">
        <v>62571.091</v>
      </c>
      <c r="M7" s="317">
        <f>L7-K7</f>
        <v/>
      </c>
      <c r="N7" s="317">
        <f>L7-J7</f>
        <v/>
      </c>
      <c r="O7" s="318">
        <f>IF(J7=0,"***",N7/J7)</f>
        <v/>
      </c>
      <c r="P7" s="314" t="n">
        <v>16679.5132</v>
      </c>
      <c r="Q7" s="315" t="n">
        <v>18423.24</v>
      </c>
      <c r="R7" s="316" t="n">
        <v>18510</v>
      </c>
      <c r="S7" s="315" t="n">
        <v>18725.194</v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I11+I14+I15</f>
        <v/>
      </c>
      <c r="J10" s="343">
        <f>J11+J14+J15</f>
        <v/>
      </c>
      <c r="K10" s="344">
        <f>K11+K14+K15</f>
        <v/>
      </c>
      <c r="L10" s="343">
        <f>L11+L14+L15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P11+P14+P15</f>
        <v/>
      </c>
      <c r="Q10" s="343">
        <f>Q11+Q14+Q15</f>
        <v/>
      </c>
      <c r="R10" s="344">
        <f>R11+R14+R15</f>
        <v/>
      </c>
      <c r="S10" s="343">
        <f>S11+S14+S15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I12+I13</f>
        <v/>
      </c>
      <c r="J11" s="315">
        <f>J12+J13</f>
        <v/>
      </c>
      <c r="K11" s="316">
        <f>K12+K13</f>
        <v/>
      </c>
      <c r="L11" s="315">
        <f>L12+L13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P12+P13</f>
        <v/>
      </c>
      <c r="Q11" s="315">
        <f>Q12+Q13</f>
        <v/>
      </c>
      <c r="R11" s="316">
        <f>R12+R13</f>
        <v/>
      </c>
      <c r="S11" s="315">
        <f>S12+S13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 t="n">
        <v>42078.729</v>
      </c>
      <c r="J12" s="315" t="n">
        <v>39101.588</v>
      </c>
      <c r="K12" s="316" t="n">
        <v>43400</v>
      </c>
      <c r="L12" s="315" t="n">
        <v>43603.609</v>
      </c>
      <c r="M12" s="317">
        <f>L12-K12</f>
        <v/>
      </c>
      <c r="N12" s="317">
        <f>L12-J12</f>
        <v/>
      </c>
      <c r="O12" s="318">
        <f>IF(J12=0,"***",N12/J12)</f>
        <v/>
      </c>
      <c r="P12" s="314" t="n">
        <v>8429.075999999999</v>
      </c>
      <c r="Q12" s="315" t="n">
        <v>8240.92</v>
      </c>
      <c r="R12" s="316" t="n">
        <v>9050</v>
      </c>
      <c r="S12" s="315" t="n">
        <v>9076.529</v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I17+I20</f>
        <v/>
      </c>
      <c r="J16" s="306">
        <f>J17+J20</f>
        <v/>
      </c>
      <c r="K16" s="307">
        <f>K17+K20</f>
        <v/>
      </c>
      <c r="L16" s="306">
        <f>L17+L20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P17+P20</f>
        <v/>
      </c>
      <c r="Q16" s="306">
        <f>Q17+Q20</f>
        <v/>
      </c>
      <c r="R16" s="307">
        <f>R17+R20</f>
        <v/>
      </c>
      <c r="S16" s="306">
        <f>S17+S20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I18+I19</f>
        <v/>
      </c>
      <c r="J17" s="315">
        <f>J18+J19</f>
        <v/>
      </c>
      <c r="K17" s="316">
        <f>K18+K19</f>
        <v/>
      </c>
      <c r="L17" s="315">
        <f>L18+L19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P18+P19</f>
        <v/>
      </c>
      <c r="Q17" s="315">
        <f>Q18+Q19</f>
        <v/>
      </c>
      <c r="R17" s="316">
        <f>R18+R19</f>
        <v/>
      </c>
      <c r="S17" s="315">
        <f>S18+S19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 t="n">
        <v>29578.207</v>
      </c>
      <c r="J18" s="315" t="n">
        <v>25730.984</v>
      </c>
      <c r="K18" s="316" t="n">
        <v>30470</v>
      </c>
      <c r="L18" s="315" t="n">
        <v>31661.95</v>
      </c>
      <c r="M18" s="317">
        <f>L18-K18</f>
        <v/>
      </c>
      <c r="N18" s="317">
        <f>L18-J18</f>
        <v/>
      </c>
      <c r="O18" s="318">
        <f>IF(J18=0,"***",N18/J18)</f>
        <v/>
      </c>
      <c r="P18" s="314" t="n">
        <v>7220.478</v>
      </c>
      <c r="Q18" s="315" t="n">
        <v>7109.915000000001</v>
      </c>
      <c r="R18" s="316" t="n">
        <v>7910</v>
      </c>
      <c r="S18" s="315" t="n">
        <v>9225.183000000001</v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297.615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I22+I23</f>
        <v/>
      </c>
      <c r="J21" s="357">
        <f>J22+J23</f>
        <v/>
      </c>
      <c r="K21" s="307">
        <f>K22+K23</f>
        <v/>
      </c>
      <c r="L21" s="357">
        <f>L22+L23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P22+P23</f>
        <v/>
      </c>
      <c r="Q21" s="357">
        <f>Q22+Q23</f>
        <v/>
      </c>
      <c r="R21" s="307">
        <f>R22+R23</f>
        <v/>
      </c>
      <c r="S21" s="357">
        <f>S22+S23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 t="n">
        <v>37891.848</v>
      </c>
      <c r="J22" s="315" t="n">
        <v>40273.715</v>
      </c>
      <c r="K22" s="316" t="n">
        <v>43990</v>
      </c>
      <c r="L22" s="315" t="n">
        <v>49360.019</v>
      </c>
      <c r="M22" s="359">
        <f>L22-K22</f>
        <v/>
      </c>
      <c r="N22" s="359">
        <f>L22-J22</f>
        <v/>
      </c>
      <c r="O22" s="318">
        <f>IF(J22=0,"***",N22/J22)</f>
        <v/>
      </c>
      <c r="P22" s="314" t="n">
        <v>5166.215</v>
      </c>
      <c r="Q22" s="315" t="n">
        <v>6084.348</v>
      </c>
      <c r="R22" s="316" t="n">
        <v>6700</v>
      </c>
      <c r="S22" s="315" t="n">
        <v>9109.959500000001</v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I25+I26</f>
        <v/>
      </c>
      <c r="J24" s="355">
        <f>J25+J26</f>
        <v/>
      </c>
      <c r="K24" s="316">
        <f>K25+K26</f>
        <v/>
      </c>
      <c r="L24" s="355">
        <f>L25+L26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0">
        <f>P25+P26</f>
        <v/>
      </c>
      <c r="Q24" s="351">
        <f>Q25+Q26</f>
        <v/>
      </c>
      <c r="R24" s="316">
        <f>R25+R26</f>
        <v/>
      </c>
      <c r="S24" s="351">
        <f>S25+S26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 t="n">
        <v>28884.532</v>
      </c>
      <c r="J25" s="315" t="n">
        <v>29476.674</v>
      </c>
      <c r="K25" s="316" t="n">
        <v>29328.6385</v>
      </c>
      <c r="L25" s="315" t="n">
        <v>36804.169</v>
      </c>
      <c r="M25" s="359">
        <f>L25-K25</f>
        <v/>
      </c>
      <c r="N25" s="359">
        <f>L25-J25</f>
        <v/>
      </c>
      <c r="O25" s="318">
        <f>IF(J25=0,"***",N25/J25)</f>
        <v/>
      </c>
      <c r="P25" s="314" t="n">
        <v>3789.54</v>
      </c>
      <c r="Q25" s="315" t="n">
        <v>4379.268</v>
      </c>
      <c r="R25" s="316" t="n">
        <v>4231.836</v>
      </c>
      <c r="S25" s="315" t="n">
        <v>7263.912</v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>
        <v>286.455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25.625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I28+I29</f>
        <v/>
      </c>
      <c r="J27" s="316">
        <f>J28+J29</f>
        <v/>
      </c>
      <c r="K27" s="316">
        <f>K28+K29</f>
        <v/>
      </c>
      <c r="L27" s="316">
        <f>L28+L29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P28+P29</f>
        <v/>
      </c>
      <c r="Q27" s="316">
        <f>Q28+Q29</f>
        <v/>
      </c>
      <c r="R27" s="316">
        <f>R28+R29</f>
        <v/>
      </c>
      <c r="S27" s="316">
        <f>S28+S29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I22-I25</f>
        <v/>
      </c>
      <c r="J28" s="316">
        <f>J22-J25</f>
        <v/>
      </c>
      <c r="K28" s="316">
        <f>K22-K25</f>
        <v/>
      </c>
      <c r="L28" s="316">
        <f>L22-L25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P22-P25</f>
        <v/>
      </c>
      <c r="Q28" s="316">
        <f>Q22-Q25</f>
        <v/>
      </c>
      <c r="R28" s="316">
        <f>R22-R25</f>
        <v/>
      </c>
      <c r="S28" s="316">
        <f>S22-S25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I31+I34+I35</f>
        <v/>
      </c>
      <c r="J30" s="306">
        <f>J31+J34+J35</f>
        <v/>
      </c>
      <c r="K30" s="307">
        <f>K31+K34+K35</f>
        <v/>
      </c>
      <c r="L30" s="306">
        <f>L31+L34+L35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10">
        <f>P31+P34+P35</f>
        <v/>
      </c>
      <c r="Q30" s="368">
        <f>Q31+Q34+Q35</f>
        <v/>
      </c>
      <c r="R30" s="307">
        <f>R31+R34+R35</f>
        <v/>
      </c>
      <c r="S30" s="368">
        <f>S31+S34+S35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I32+I33</f>
        <v/>
      </c>
      <c r="J31" s="315">
        <f>J32+J33</f>
        <v/>
      </c>
      <c r="K31" s="316">
        <f>K32+K33</f>
        <v/>
      </c>
      <c r="L31" s="315">
        <f>L32+L33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P32+P33</f>
        <v/>
      </c>
      <c r="Q31" s="315">
        <f>Q32+Q33</f>
        <v/>
      </c>
      <c r="R31" s="316">
        <f>R32+R33</f>
        <v/>
      </c>
      <c r="S31" s="315">
        <f>S32+S33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 t="n">
        <v>43602.023</v>
      </c>
      <c r="J32" s="315" t="n">
        <v>36348.395</v>
      </c>
      <c r="K32" s="316" t="n">
        <v>38780</v>
      </c>
      <c r="L32" s="315" t="n">
        <v>36765.871</v>
      </c>
      <c r="M32" s="317">
        <f>L32-K32</f>
        <v/>
      </c>
      <c r="N32" s="317">
        <f>L32-J32</f>
        <v/>
      </c>
      <c r="O32" s="318">
        <f>IF(J32=0,"***",N32/J32)</f>
        <v/>
      </c>
      <c r="P32" s="369" t="n">
        <v>9147.581</v>
      </c>
      <c r="Q32" s="315" t="n">
        <v>6628.157999999999</v>
      </c>
      <c r="R32" s="316" t="n">
        <v>7430</v>
      </c>
      <c r="S32" s="315" t="n">
        <v>7319.839</v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I42+I43+I44</f>
        <v/>
      </c>
      <c r="J41" s="306">
        <f>J42+J43+J44</f>
        <v/>
      </c>
      <c r="K41" s="307">
        <f>K42+K43+K44</f>
        <v/>
      </c>
      <c r="L41" s="306">
        <f>L42+L43+L44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P42+P43+P44</f>
        <v/>
      </c>
      <c r="Q41" s="306">
        <f>Q42+Q43+Q44</f>
        <v/>
      </c>
      <c r="R41" s="307">
        <f>R42+R43+R44</f>
        <v/>
      </c>
      <c r="S41" s="306">
        <f>S42+S43+S44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 t="n">
        <v>20178.058</v>
      </c>
      <c r="J42" s="344" t="n">
        <v>23103.852</v>
      </c>
      <c r="K42" s="344" t="n">
        <v>24740</v>
      </c>
      <c r="L42" s="344" t="n">
        <v>29251.15</v>
      </c>
      <c r="M42" s="345">
        <f>L42-K42</f>
        <v/>
      </c>
      <c r="N42" s="345">
        <f>L42-J42</f>
        <v/>
      </c>
      <c r="O42" s="346">
        <f>IF(J42=0,"***",N42/J42)</f>
        <v/>
      </c>
      <c r="P42" s="385" t="n">
        <v>3902.238</v>
      </c>
      <c r="Q42" s="344" t="n">
        <v>5680.192</v>
      </c>
      <c r="R42" s="344" t="n">
        <v>5770</v>
      </c>
      <c r="S42" s="344" t="n">
        <v>6525.431</v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I45-I47-I48-I49</f>
        <v/>
      </c>
      <c r="J46" s="402">
        <f>J45-J47-J48-J49</f>
        <v/>
      </c>
      <c r="K46" s="403">
        <f>K45-K47-K48-K49</f>
        <v/>
      </c>
      <c r="L46" s="403">
        <f>L45-L47-L48-L49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P45-P47-P48-P49</f>
        <v/>
      </c>
      <c r="Q46" s="403">
        <f>Q45-Q47-Q48-Q49</f>
        <v/>
      </c>
      <c r="R46" s="403">
        <f>R45-R47-R48-R49</f>
        <v/>
      </c>
      <c r="S46" s="403">
        <f>S45-S47-S48-S49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I6+I9</f>
        <v/>
      </c>
      <c r="J5" s="306">
        <f>J6+J9</f>
        <v/>
      </c>
      <c r="K5" s="307">
        <f>K6+K9</f>
        <v/>
      </c>
      <c r="L5" s="306">
        <f>L6+L9</f>
        <v/>
      </c>
      <c r="M5" s="308">
        <f>L5-K5</f>
        <v/>
      </c>
      <c r="N5" s="308">
        <f>L5-J5</f>
        <v/>
      </c>
      <c r="O5" s="309">
        <f>IF(J5=0,"***",N5/J5)</f>
        <v/>
      </c>
      <c r="P5" s="310">
        <f>P6+P9</f>
        <v/>
      </c>
      <c r="Q5" s="310">
        <f>Q6+Q9</f>
        <v/>
      </c>
      <c r="R5" s="310">
        <f>R6+R9</f>
        <v/>
      </c>
      <c r="S5" s="310">
        <f>S6+S9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I7+I8</f>
        <v/>
      </c>
      <c r="J6" s="315">
        <f>J7+J8</f>
        <v/>
      </c>
      <c r="K6" s="316">
        <f>K7+K8</f>
        <v/>
      </c>
      <c r="L6" s="315">
        <f>L7+L8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P7+P8</f>
        <v/>
      </c>
      <c r="Q6" s="315">
        <f>Q7+Q8</f>
        <v/>
      </c>
      <c r="R6" s="316">
        <f>R7+R8</f>
        <v/>
      </c>
      <c r="S6" s="315">
        <f>S7+S8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 t="n">
        <v>63373.25800000001</v>
      </c>
      <c r="J7" s="315" t="n">
        <v>69814.882</v>
      </c>
      <c r="K7" s="316" t="n">
        <v>69700</v>
      </c>
      <c r="L7" s="315" t="n">
        <v>74009.84000000001</v>
      </c>
      <c r="M7" s="317">
        <f>L7-K7</f>
        <v/>
      </c>
      <c r="N7" s="317">
        <f>L7-J7</f>
        <v/>
      </c>
      <c r="O7" s="318">
        <f>IF(J7=0,"***",N7/J7)</f>
        <v/>
      </c>
      <c r="P7" s="314" t="n">
        <v>16928.599</v>
      </c>
      <c r="Q7" s="315" t="n">
        <v>19398.34</v>
      </c>
      <c r="R7" s="316" t="n">
        <v>19030</v>
      </c>
      <c r="S7" s="315" t="n">
        <v>21903.3604</v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I11+I14+I15</f>
        <v/>
      </c>
      <c r="J10" s="343">
        <f>J11+J14+J15</f>
        <v/>
      </c>
      <c r="K10" s="344">
        <f>K11+K14+K15</f>
        <v/>
      </c>
      <c r="L10" s="343">
        <f>L11+L14+L15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P11+P14+P15</f>
        <v/>
      </c>
      <c r="Q10" s="343">
        <f>Q11+Q14+Q15</f>
        <v/>
      </c>
      <c r="R10" s="344">
        <f>R11+R14+R15</f>
        <v/>
      </c>
      <c r="S10" s="343">
        <f>S11+S14+S15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I12+I13</f>
        <v/>
      </c>
      <c r="J11" s="315">
        <f>J12+J13</f>
        <v/>
      </c>
      <c r="K11" s="316">
        <f>K12+K13</f>
        <v/>
      </c>
      <c r="L11" s="315">
        <f>L12+L13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P12+P13</f>
        <v/>
      </c>
      <c r="Q11" s="315">
        <f>Q12+Q13</f>
        <v/>
      </c>
      <c r="R11" s="316">
        <f>R12+R13</f>
        <v/>
      </c>
      <c r="S11" s="315">
        <f>S12+S13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 t="n">
        <v>44874.337</v>
      </c>
      <c r="J12" s="315" t="n">
        <v>46017.664</v>
      </c>
      <c r="K12" s="316" t="n">
        <v>46700</v>
      </c>
      <c r="L12" s="315" t="n">
        <v>49380.221</v>
      </c>
      <c r="M12" s="317">
        <f>L12-K12</f>
        <v/>
      </c>
      <c r="N12" s="317">
        <f>L12-J12</f>
        <v/>
      </c>
      <c r="O12" s="318">
        <f>IF(J12=0,"***",N12/J12)</f>
        <v/>
      </c>
      <c r="P12" s="314" t="n">
        <v>9065.833000000001</v>
      </c>
      <c r="Q12" s="315" t="n">
        <v>9534.474</v>
      </c>
      <c r="R12" s="316" t="n">
        <v>9700</v>
      </c>
      <c r="S12" s="315" t="n">
        <v>10452.269</v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I17+I20</f>
        <v/>
      </c>
      <c r="J16" s="306">
        <f>J17+J20</f>
        <v/>
      </c>
      <c r="K16" s="307">
        <f>K17+K20</f>
        <v/>
      </c>
      <c r="L16" s="306">
        <f>L17+L20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P17+P20</f>
        <v/>
      </c>
      <c r="Q16" s="306">
        <f>Q17+Q20</f>
        <v/>
      </c>
      <c r="R16" s="307">
        <f>R17+R20</f>
        <v/>
      </c>
      <c r="S16" s="306">
        <f>S17+S20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I18+I19</f>
        <v/>
      </c>
      <c r="J17" s="315">
        <f>J18+J19</f>
        <v/>
      </c>
      <c r="K17" s="316">
        <f>K18+K19</f>
        <v/>
      </c>
      <c r="L17" s="315">
        <f>L18+L19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P18+P19</f>
        <v/>
      </c>
      <c r="Q17" s="315">
        <f>Q18+Q19</f>
        <v/>
      </c>
      <c r="R17" s="316">
        <f>R18+R19</f>
        <v/>
      </c>
      <c r="S17" s="315">
        <f>S18+S19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 t="n">
        <v>27439.262</v>
      </c>
      <c r="J18" s="315" t="n">
        <v>28686.289</v>
      </c>
      <c r="K18" s="316" t="n">
        <v>30050</v>
      </c>
      <c r="L18" s="315" t="n">
        <v>38610.151</v>
      </c>
      <c r="M18" s="317">
        <f>L18-K18</f>
        <v/>
      </c>
      <c r="N18" s="317">
        <f>L18-J18</f>
        <v/>
      </c>
      <c r="O18" s="318">
        <f>IF(J18=0,"***",N18/J18)</f>
        <v/>
      </c>
      <c r="P18" s="314" t="n">
        <v>6479.135</v>
      </c>
      <c r="Q18" s="315" t="n">
        <v>7448.645</v>
      </c>
      <c r="R18" s="316" t="n">
        <v>7560</v>
      </c>
      <c r="S18" s="315" t="n">
        <v>9924.5371</v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I22+I23</f>
        <v/>
      </c>
      <c r="J21" s="357">
        <f>J22+J23</f>
        <v/>
      </c>
      <c r="K21" s="307">
        <f>K22+K23</f>
        <v/>
      </c>
      <c r="L21" s="357">
        <f>L22+L23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P22+P23</f>
        <v/>
      </c>
      <c r="Q21" s="357">
        <f>Q22+Q23</f>
        <v/>
      </c>
      <c r="R21" s="307">
        <f>R22+R23</f>
        <v/>
      </c>
      <c r="S21" s="357">
        <f>S22+S23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 t="n">
        <v>38232.3</v>
      </c>
      <c r="J22" s="315" t="n">
        <v>42209.502</v>
      </c>
      <c r="K22" s="316" t="n">
        <v>44930</v>
      </c>
      <c r="L22" s="315" t="n">
        <v>48830.96599999999</v>
      </c>
      <c r="M22" s="359">
        <f>L22-K22</f>
        <v/>
      </c>
      <c r="N22" s="359">
        <f>L22-J22</f>
        <v/>
      </c>
      <c r="O22" s="318">
        <f>IF(J22=0,"***",N22/J22)</f>
        <v/>
      </c>
      <c r="P22" s="314" t="n">
        <v>5328.523</v>
      </c>
      <c r="Q22" s="315" t="n">
        <v>6627.144</v>
      </c>
      <c r="R22" s="316" t="n">
        <v>6910</v>
      </c>
      <c r="S22" s="315" t="n">
        <v>9345.894</v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I25+I26</f>
        <v/>
      </c>
      <c r="J24" s="355">
        <f>J25+J26</f>
        <v/>
      </c>
      <c r="K24" s="316">
        <f>K25+K26</f>
        <v/>
      </c>
      <c r="L24" s="355">
        <f>L25+L26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0">
        <f>P25+P26</f>
        <v/>
      </c>
      <c r="Q24" s="351">
        <f>Q25+Q26</f>
        <v/>
      </c>
      <c r="R24" s="316">
        <f>R25+R26</f>
        <v/>
      </c>
      <c r="S24" s="351">
        <f>S25+S26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 t="n">
        <v>29700.479</v>
      </c>
      <c r="J25" s="315" t="n">
        <v>30084.422</v>
      </c>
      <c r="K25" s="316" t="n">
        <v>29988.436</v>
      </c>
      <c r="L25" s="315" t="n">
        <v>35188.24400000001</v>
      </c>
      <c r="M25" s="359">
        <f>L25-K25</f>
        <v/>
      </c>
      <c r="N25" s="359">
        <f>L25-J25</f>
        <v/>
      </c>
      <c r="O25" s="318">
        <f>IF(J25=0,"***",N25/J25)</f>
        <v/>
      </c>
      <c r="P25" s="314" t="n">
        <v>3935.045</v>
      </c>
      <c r="Q25" s="315" t="n">
        <v>4491.108</v>
      </c>
      <c r="R25" s="316" t="n">
        <v>4352.092</v>
      </c>
      <c r="S25" s="315" t="n">
        <v>7254.191</v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I28+I29</f>
        <v/>
      </c>
      <c r="J27" s="316">
        <f>J28+J29</f>
        <v/>
      </c>
      <c r="K27" s="316">
        <f>K28+K29</f>
        <v/>
      </c>
      <c r="L27" s="316">
        <f>L28+L29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P28+P29</f>
        <v/>
      </c>
      <c r="Q27" s="316">
        <f>Q28+Q29</f>
        <v/>
      </c>
      <c r="R27" s="316">
        <f>R28+R29</f>
        <v/>
      </c>
      <c r="S27" s="316">
        <f>S28+S29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I22-I25</f>
        <v/>
      </c>
      <c r="J28" s="316">
        <f>J22-J25</f>
        <v/>
      </c>
      <c r="K28" s="316">
        <f>K22-K25</f>
        <v/>
      </c>
      <c r="L28" s="316">
        <f>L22-L25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P22-P25</f>
        <v/>
      </c>
      <c r="Q28" s="316">
        <f>Q22-Q25</f>
        <v/>
      </c>
      <c r="R28" s="316">
        <f>R22-R25</f>
        <v/>
      </c>
      <c r="S28" s="316">
        <f>S22-S25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I31+I34+I35</f>
        <v/>
      </c>
      <c r="J30" s="306">
        <f>J31+J34+J35</f>
        <v/>
      </c>
      <c r="K30" s="307">
        <f>K31+K34+K35</f>
        <v/>
      </c>
      <c r="L30" s="306">
        <f>L31+L34+L35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10">
        <f>P31+P34+P35</f>
        <v/>
      </c>
      <c r="Q30" s="368">
        <f>Q31+Q34+Q35</f>
        <v/>
      </c>
      <c r="R30" s="307">
        <f>R31+R34+R35</f>
        <v/>
      </c>
      <c r="S30" s="368">
        <f>S31+S34+S35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I32+I33</f>
        <v/>
      </c>
      <c r="J31" s="315">
        <f>J32+J33</f>
        <v/>
      </c>
      <c r="K31" s="316">
        <f>K32+K33</f>
        <v/>
      </c>
      <c r="L31" s="315">
        <f>L32+L33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P32+P33</f>
        <v/>
      </c>
      <c r="Q31" s="315">
        <f>Q32+Q33</f>
        <v/>
      </c>
      <c r="R31" s="316">
        <f>R32+R33</f>
        <v/>
      </c>
      <c r="S31" s="315">
        <f>S32+S33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 t="n">
        <v>38973.016</v>
      </c>
      <c r="J32" s="315" t="n">
        <v>43438.271</v>
      </c>
      <c r="K32" s="316" t="n">
        <v>46510</v>
      </c>
      <c r="L32" s="315" t="n">
        <v>53163.17400000001</v>
      </c>
      <c r="M32" s="317">
        <f>L32-K32</f>
        <v/>
      </c>
      <c r="N32" s="317">
        <f>L32-J32</f>
        <v/>
      </c>
      <c r="O32" s="318">
        <f>IF(J32=0,"***",N32/J32)</f>
        <v/>
      </c>
      <c r="P32" s="369" t="n">
        <v>6888.239</v>
      </c>
      <c r="Q32" s="315" t="n">
        <v>8426.861000000001</v>
      </c>
      <c r="R32" s="316" t="n">
        <v>9360</v>
      </c>
      <c r="S32" s="315" t="n">
        <v>10321.262</v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3995.015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779.66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I42+I43+I44</f>
        <v/>
      </c>
      <c r="J41" s="306">
        <f>J42+J43+J44</f>
        <v/>
      </c>
      <c r="K41" s="307">
        <f>K42+K43+K44</f>
        <v/>
      </c>
      <c r="L41" s="306">
        <f>L42+L43+L44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P42+P43+P44</f>
        <v/>
      </c>
      <c r="Q41" s="306">
        <f>Q42+Q43+Q44</f>
        <v/>
      </c>
      <c r="R41" s="307">
        <f>R42+R43+R44</f>
        <v/>
      </c>
      <c r="S41" s="306">
        <f>S42+S43+S44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 t="n">
        <v>17600.158</v>
      </c>
      <c r="J42" s="344" t="n">
        <v>23790.502</v>
      </c>
      <c r="K42" s="344" t="n">
        <v>24730</v>
      </c>
      <c r="L42" s="344" t="n">
        <v>26778.579</v>
      </c>
      <c r="M42" s="345">
        <f>L42-K42</f>
        <v/>
      </c>
      <c r="N42" s="345">
        <f>L42-J42</f>
        <v/>
      </c>
      <c r="O42" s="346">
        <f>IF(J42=0,"***",N42/J42)</f>
        <v/>
      </c>
      <c r="P42" s="385" t="n">
        <v>2963.51</v>
      </c>
      <c r="Q42" s="344" t="n">
        <v>5575.654</v>
      </c>
      <c r="R42" s="344" t="n">
        <v>5190</v>
      </c>
      <c r="S42" s="344" t="n">
        <v>5460.987</v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I45-I47-I48-I49</f>
        <v/>
      </c>
      <c r="J46" s="402">
        <f>J45-J47-J48-J49</f>
        <v/>
      </c>
      <c r="K46" s="403">
        <f>K45-K47-K48-K49</f>
        <v/>
      </c>
      <c r="L46" s="403">
        <f>L45-L47-L48-L49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P45-P47-P48-P49</f>
        <v/>
      </c>
      <c r="Q46" s="403">
        <f>Q45-Q47-Q48-Q49</f>
        <v/>
      </c>
      <c r="R46" s="403">
        <f>R45-R47-R48-R49</f>
        <v/>
      </c>
      <c r="S46" s="403">
        <f>S45-S47-S48-S49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I6+I9</f>
        <v/>
      </c>
      <c r="J5" s="306">
        <f>J6+J9</f>
        <v/>
      </c>
      <c r="K5" s="307">
        <f>K6+K9</f>
        <v/>
      </c>
      <c r="L5" s="306">
        <f>L6+L9</f>
        <v/>
      </c>
      <c r="M5" s="308">
        <f>L5-K5</f>
        <v/>
      </c>
      <c r="N5" s="308">
        <f>L5-J5</f>
        <v/>
      </c>
      <c r="O5" s="309">
        <f>IF(J5=0,"***",N5/J5)</f>
        <v/>
      </c>
      <c r="P5" s="310">
        <f>P6+P9</f>
        <v/>
      </c>
      <c r="Q5" s="310">
        <f>Q6+Q9</f>
        <v/>
      </c>
      <c r="R5" s="310">
        <f>R6+R9</f>
        <v/>
      </c>
      <c r="S5" s="310">
        <f>S6+S9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I7+I8</f>
        <v/>
      </c>
      <c r="J6" s="315">
        <f>J7+J8</f>
        <v/>
      </c>
      <c r="K6" s="316">
        <f>K7+K8</f>
        <v/>
      </c>
      <c r="L6" s="315">
        <f>L7+L8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P7+P8</f>
        <v/>
      </c>
      <c r="Q6" s="315">
        <f>Q7+Q8</f>
        <v/>
      </c>
      <c r="R6" s="316">
        <f>R7+R8</f>
        <v/>
      </c>
      <c r="S6" s="315">
        <f>S7+S8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 t="n">
        <v>61427.851</v>
      </c>
      <c r="J7" s="315" t="n">
        <v>51414.049</v>
      </c>
      <c r="K7" s="316" t="n">
        <v>62860</v>
      </c>
      <c r="L7" s="315" t="n">
        <v>67789.327</v>
      </c>
      <c r="M7" s="317">
        <f>L7-K7</f>
        <v/>
      </c>
      <c r="N7" s="317">
        <f>L7-J7</f>
        <v/>
      </c>
      <c r="O7" s="318">
        <f>IF(J7=0,"***",N7/J7)</f>
        <v/>
      </c>
      <c r="P7" s="314" t="n">
        <v>16207.9425</v>
      </c>
      <c r="Q7" s="315" t="n">
        <v>14772.6235</v>
      </c>
      <c r="R7" s="316" t="n">
        <v>16880</v>
      </c>
      <c r="S7" s="315" t="n">
        <v>19941.822</v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I11+I14+I15</f>
        <v/>
      </c>
      <c r="J10" s="343">
        <f>J11+J14+J15</f>
        <v/>
      </c>
      <c r="K10" s="344">
        <f>K11+K14+K15</f>
        <v/>
      </c>
      <c r="L10" s="343">
        <f>L11+L14+L15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P11+P14+P15</f>
        <v/>
      </c>
      <c r="Q10" s="343">
        <f>Q11+Q14+Q15</f>
        <v/>
      </c>
      <c r="R10" s="344">
        <f>R11+R14+R15</f>
        <v/>
      </c>
      <c r="S10" s="343">
        <f>S11+S14+S15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I12+I13</f>
        <v/>
      </c>
      <c r="J11" s="315">
        <f>J12+J13</f>
        <v/>
      </c>
      <c r="K11" s="316">
        <f>K12+K13</f>
        <v/>
      </c>
      <c r="L11" s="315">
        <f>L12+L13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P12+P13</f>
        <v/>
      </c>
      <c r="Q11" s="315">
        <f>Q12+Q13</f>
        <v/>
      </c>
      <c r="R11" s="316">
        <f>R12+R13</f>
        <v/>
      </c>
      <c r="S11" s="315">
        <f>S12+S13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 t="n">
        <v>40156.899</v>
      </c>
      <c r="J12" s="315" t="n">
        <v>38116.356</v>
      </c>
      <c r="K12" s="316" t="n">
        <v>40000</v>
      </c>
      <c r="L12" s="315" t="n">
        <v>48589.283</v>
      </c>
      <c r="M12" s="317">
        <f>L12-K12</f>
        <v/>
      </c>
      <c r="N12" s="317">
        <f>L12-J12</f>
        <v/>
      </c>
      <c r="O12" s="318">
        <f>IF(J12=0,"***",N12/J12)</f>
        <v/>
      </c>
      <c r="P12" s="314" t="n">
        <v>7947.464</v>
      </c>
      <c r="Q12" s="315" t="n">
        <v>7873.423</v>
      </c>
      <c r="R12" s="316" t="n">
        <v>8250</v>
      </c>
      <c r="S12" s="315" t="n">
        <v>10199.555</v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I17+I20</f>
        <v/>
      </c>
      <c r="J16" s="306">
        <f>J17+J20</f>
        <v/>
      </c>
      <c r="K16" s="307">
        <f>K17+K20</f>
        <v/>
      </c>
      <c r="L16" s="306">
        <f>L17+L20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P17+P20</f>
        <v/>
      </c>
      <c r="Q16" s="306">
        <f>Q17+Q20</f>
        <v/>
      </c>
      <c r="R16" s="307">
        <f>R17+R20</f>
        <v/>
      </c>
      <c r="S16" s="306">
        <f>S17+S20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I18+I19</f>
        <v/>
      </c>
      <c r="J17" s="315">
        <f>J18+J19</f>
        <v/>
      </c>
      <c r="K17" s="316">
        <f>K18+K19</f>
        <v/>
      </c>
      <c r="L17" s="315">
        <f>L18+L19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P18+P19</f>
        <v/>
      </c>
      <c r="Q17" s="315">
        <f>Q18+Q19</f>
        <v/>
      </c>
      <c r="R17" s="316">
        <f>R18+R19</f>
        <v/>
      </c>
      <c r="S17" s="315">
        <f>S18+S19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 t="n">
        <v>24023.954</v>
      </c>
      <c r="J18" s="315" t="n">
        <v>24131.245</v>
      </c>
      <c r="K18" s="316" t="n">
        <v>26600</v>
      </c>
      <c r="L18" s="315" t="n">
        <v>28577.543</v>
      </c>
      <c r="M18" s="317">
        <f>L18-K18</f>
        <v/>
      </c>
      <c r="N18" s="317">
        <f>L18-J18</f>
        <v/>
      </c>
      <c r="O18" s="318">
        <f>IF(J18=0,"***",N18/J18)</f>
        <v/>
      </c>
      <c r="P18" s="314" t="n">
        <v>5623.071</v>
      </c>
      <c r="Q18" s="315" t="n">
        <v>6308.6448</v>
      </c>
      <c r="R18" s="316" t="n">
        <v>6590</v>
      </c>
      <c r="S18" s="315" t="n">
        <v>7412.092</v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I22+I23</f>
        <v/>
      </c>
      <c r="J21" s="357">
        <f>J22+J23</f>
        <v/>
      </c>
      <c r="K21" s="307">
        <f>K22+K23</f>
        <v/>
      </c>
      <c r="L21" s="357">
        <f>L22+L23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P22+P23</f>
        <v/>
      </c>
      <c r="Q21" s="357">
        <f>Q22+Q23</f>
        <v/>
      </c>
      <c r="R21" s="307">
        <f>R22+R23</f>
        <v/>
      </c>
      <c r="S21" s="357">
        <f>S22+S23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 t="n">
        <v>37181.214</v>
      </c>
      <c r="J22" s="315" t="n">
        <v>41351.181</v>
      </c>
      <c r="K22" s="316" t="n">
        <v>41200</v>
      </c>
      <c r="L22" s="315" t="n">
        <v>47763.162</v>
      </c>
      <c r="M22" s="359">
        <f>L22-K22</f>
        <v/>
      </c>
      <c r="N22" s="359">
        <f>L22-J22</f>
        <v/>
      </c>
      <c r="O22" s="318">
        <f>IF(J22=0,"***",N22/J22)</f>
        <v/>
      </c>
      <c r="P22" s="314" t="n">
        <v>5240.283</v>
      </c>
      <c r="Q22" s="315" t="n">
        <v>6329.87</v>
      </c>
      <c r="R22" s="316" t="n">
        <v>6160</v>
      </c>
      <c r="S22" s="315" t="n">
        <v>10315.962</v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I25+I26</f>
        <v/>
      </c>
      <c r="J24" s="355">
        <f>J25+J26</f>
        <v/>
      </c>
      <c r="K24" s="316">
        <f>K25+K26</f>
        <v/>
      </c>
      <c r="L24" s="355">
        <f>L25+L26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0">
        <f>P25+P26</f>
        <v/>
      </c>
      <c r="Q24" s="351">
        <f>Q25+Q26</f>
        <v/>
      </c>
      <c r="R24" s="316">
        <f>R25+R26</f>
        <v/>
      </c>
      <c r="S24" s="351">
        <f>S25+S26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 t="n">
        <v>26221.349</v>
      </c>
      <c r="J25" s="315" t="n">
        <v>27246.864</v>
      </c>
      <c r="K25" s="316" t="n">
        <v>26990.48525</v>
      </c>
      <c r="L25" s="315" t="n">
        <v>36327.384</v>
      </c>
      <c r="M25" s="359">
        <f>L25-K25</f>
        <v/>
      </c>
      <c r="N25" s="359">
        <f>L25-J25</f>
        <v/>
      </c>
      <c r="O25" s="318">
        <f>IF(J25=0,"***",N25/J25)</f>
        <v/>
      </c>
      <c r="P25" s="314" t="n">
        <v>3730.589</v>
      </c>
      <c r="Q25" s="315" t="n">
        <v>4290.655</v>
      </c>
      <c r="R25" s="316" t="n">
        <v>4150.6385</v>
      </c>
      <c r="S25" s="315" t="n">
        <v>8426.361999999999</v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I28+I29</f>
        <v/>
      </c>
      <c r="J27" s="316">
        <f>J28+J29</f>
        <v/>
      </c>
      <c r="K27" s="316">
        <f>K28+K29</f>
        <v/>
      </c>
      <c r="L27" s="316">
        <f>L28+L29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P28+P29</f>
        <v/>
      </c>
      <c r="Q27" s="316">
        <f>Q28+Q29</f>
        <v/>
      </c>
      <c r="R27" s="316">
        <f>R28+R29</f>
        <v/>
      </c>
      <c r="S27" s="316">
        <f>S28+S29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I22-I25</f>
        <v/>
      </c>
      <c r="J28" s="316">
        <f>J22-J25</f>
        <v/>
      </c>
      <c r="K28" s="316">
        <f>K22-K25</f>
        <v/>
      </c>
      <c r="L28" s="316">
        <f>L22-L25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P22-P25</f>
        <v/>
      </c>
      <c r="Q28" s="316">
        <f>Q22-Q25</f>
        <v/>
      </c>
      <c r="R28" s="316">
        <f>R22-R25</f>
        <v/>
      </c>
      <c r="S28" s="316">
        <f>S22-S25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I31+I34+I35</f>
        <v/>
      </c>
      <c r="J30" s="306">
        <f>J31+J34+J35</f>
        <v/>
      </c>
      <c r="K30" s="307">
        <f>K31+K34+K35</f>
        <v/>
      </c>
      <c r="L30" s="306">
        <f>L31+L34+L35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10">
        <f>P31+P34+P35</f>
        <v/>
      </c>
      <c r="Q30" s="368">
        <f>Q31+Q34+Q35</f>
        <v/>
      </c>
      <c r="R30" s="307">
        <f>R31+R34+R35</f>
        <v/>
      </c>
      <c r="S30" s="368">
        <f>S31+S34+S35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I32+I33</f>
        <v/>
      </c>
      <c r="J31" s="315">
        <f>J32+J33</f>
        <v/>
      </c>
      <c r="K31" s="316">
        <f>K32+K33</f>
        <v/>
      </c>
      <c r="L31" s="315">
        <f>L32+L33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P32+P33</f>
        <v/>
      </c>
      <c r="Q31" s="315">
        <f>Q32+Q33</f>
        <v/>
      </c>
      <c r="R31" s="316">
        <f>R32+R33</f>
        <v/>
      </c>
      <c r="S31" s="315">
        <f>S32+S33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 t="n">
        <v>34212.444</v>
      </c>
      <c r="J32" s="315" t="n">
        <v>30679.895</v>
      </c>
      <c r="K32" s="316" t="n">
        <v>35690</v>
      </c>
      <c r="L32" s="315" t="n">
        <v>41845.307</v>
      </c>
      <c r="M32" s="317">
        <f>L32-K32</f>
        <v/>
      </c>
      <c r="N32" s="317">
        <f>L32-J32</f>
        <v/>
      </c>
      <c r="O32" s="318">
        <f>IF(J32=0,"***",N32/J32)</f>
        <v/>
      </c>
      <c r="P32" s="369" t="n">
        <v>5913.895</v>
      </c>
      <c r="Q32" s="315" t="n">
        <v>5975.091</v>
      </c>
      <c r="R32" s="316" t="n">
        <v>6900</v>
      </c>
      <c r="S32" s="315" t="n">
        <v>7716.460000000001</v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24122.96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6541.401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I42+I43+I44</f>
        <v/>
      </c>
      <c r="J41" s="306">
        <f>J42+J43+J44</f>
        <v/>
      </c>
      <c r="K41" s="307">
        <f>K42+K43+K44</f>
        <v/>
      </c>
      <c r="L41" s="306">
        <f>L42+L43+L44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P42+P43+P44</f>
        <v/>
      </c>
      <c r="Q41" s="306">
        <f>Q42+Q43+Q44</f>
        <v/>
      </c>
      <c r="R41" s="307">
        <f>R42+R43+R44</f>
        <v/>
      </c>
      <c r="S41" s="306">
        <f>S42+S43+S44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 t="n">
        <v>26205.197</v>
      </c>
      <c r="J42" s="344" t="n">
        <v>31594.857</v>
      </c>
      <c r="K42" s="344" t="n">
        <v>33770</v>
      </c>
      <c r="L42" s="344" t="n">
        <v>47918.027</v>
      </c>
      <c r="M42" s="345">
        <f>L42-K42</f>
        <v/>
      </c>
      <c r="N42" s="345">
        <f>L42-J42</f>
        <v/>
      </c>
      <c r="O42" s="346">
        <f>IF(J42=0,"***",N42/J42)</f>
        <v/>
      </c>
      <c r="P42" s="385" t="n">
        <v>4294.879999999999</v>
      </c>
      <c r="Q42" s="344" t="n">
        <v>7178.373999999999</v>
      </c>
      <c r="R42" s="344" t="n">
        <v>7540</v>
      </c>
      <c r="S42" s="344" t="n">
        <v>11284.144</v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I45-I47-I48-I49</f>
        <v/>
      </c>
      <c r="J46" s="402">
        <f>J45-J47-J48-J49</f>
        <v/>
      </c>
      <c r="K46" s="403">
        <f>K45-K47-K48-K49</f>
        <v/>
      </c>
      <c r="L46" s="403">
        <f>L45-L47-L48-L49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P45-P47-P48-P49</f>
        <v/>
      </c>
      <c r="Q46" s="403">
        <f>Q45-Q47-Q48-Q49</f>
        <v/>
      </c>
      <c r="R46" s="403">
        <f>R45-R47-R48-R49</f>
        <v/>
      </c>
      <c r="S46" s="403">
        <f>S45-S47-S48-S49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I6+I9</f>
        <v/>
      </c>
      <c r="J5" s="306">
        <f>J6+J9</f>
        <v/>
      </c>
      <c r="K5" s="307">
        <f>K6+K9</f>
        <v/>
      </c>
      <c r="L5" s="306">
        <f>L6+L9</f>
        <v/>
      </c>
      <c r="M5" s="308">
        <f>L5-K5</f>
        <v/>
      </c>
      <c r="N5" s="308">
        <f>L5-J5</f>
        <v/>
      </c>
      <c r="O5" s="309">
        <f>IF(J5=0,"***",N5/J5)</f>
        <v/>
      </c>
      <c r="P5" s="310">
        <f>P6+P9</f>
        <v/>
      </c>
      <c r="Q5" s="310">
        <f>Q6+Q9</f>
        <v/>
      </c>
      <c r="R5" s="310">
        <f>R6+R9</f>
        <v/>
      </c>
      <c r="S5" s="310">
        <f>S6+S9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I7+I8</f>
        <v/>
      </c>
      <c r="J6" s="315">
        <f>J7+J8</f>
        <v/>
      </c>
      <c r="K6" s="316">
        <f>K7+K8</f>
        <v/>
      </c>
      <c r="L6" s="315">
        <f>L7+L8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P7+P8</f>
        <v/>
      </c>
      <c r="Q6" s="315">
        <f>Q7+Q8</f>
        <v/>
      </c>
      <c r="R6" s="316">
        <f>R7+R8</f>
        <v/>
      </c>
      <c r="S6" s="315">
        <f>S7+S8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 t="n">
        <v>58022.577</v>
      </c>
      <c r="J7" s="315" t="n">
        <v>57863.666</v>
      </c>
      <c r="K7" s="316" t="n">
        <v>63640</v>
      </c>
      <c r="L7" s="315" t="n">
        <v>66047.056</v>
      </c>
      <c r="M7" s="317">
        <f>L7-K7</f>
        <v/>
      </c>
      <c r="N7" s="317">
        <f>L7-J7</f>
        <v/>
      </c>
      <c r="O7" s="318">
        <f>IF(J7=0,"***",N7/J7)</f>
        <v/>
      </c>
      <c r="P7" s="314" t="n">
        <v>15865.804</v>
      </c>
      <c r="Q7" s="315" t="n">
        <v>16790.765</v>
      </c>
      <c r="R7" s="316" t="n">
        <v>17610</v>
      </c>
      <c r="S7" s="315" t="n">
        <v>20082.177</v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I11+I14+I15</f>
        <v/>
      </c>
      <c r="J10" s="343">
        <f>J11+J14+J15</f>
        <v/>
      </c>
      <c r="K10" s="344">
        <f>K11+K14+K15</f>
        <v/>
      </c>
      <c r="L10" s="343">
        <f>L11+L14+L15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P11+P14+P15</f>
        <v/>
      </c>
      <c r="Q10" s="343">
        <f>Q11+Q14+Q15</f>
        <v/>
      </c>
      <c r="R10" s="344">
        <f>R11+R14+R15</f>
        <v/>
      </c>
      <c r="S10" s="343">
        <f>S11+S14+S15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I12+I13</f>
        <v/>
      </c>
      <c r="J11" s="315">
        <f>J12+J13</f>
        <v/>
      </c>
      <c r="K11" s="316">
        <f>K12+K13</f>
        <v/>
      </c>
      <c r="L11" s="315">
        <f>L12+L13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P12+P13</f>
        <v/>
      </c>
      <c r="Q11" s="315">
        <f>Q12+Q13</f>
        <v/>
      </c>
      <c r="R11" s="316">
        <f>R12+R13</f>
        <v/>
      </c>
      <c r="S11" s="315">
        <f>S12+S13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 t="n">
        <v>39720.558</v>
      </c>
      <c r="J12" s="315" t="n">
        <v>40718.074</v>
      </c>
      <c r="K12" s="316" t="n">
        <v>42300</v>
      </c>
      <c r="L12" s="315" t="n">
        <v>46295.22100000001</v>
      </c>
      <c r="M12" s="317">
        <f>L12-K12</f>
        <v/>
      </c>
      <c r="N12" s="317">
        <f>L12-J12</f>
        <v/>
      </c>
      <c r="O12" s="318">
        <f>IF(J12=0,"***",N12/J12)</f>
        <v/>
      </c>
      <c r="P12" s="314" t="n">
        <v>8006.645</v>
      </c>
      <c r="Q12" s="315" t="n">
        <v>8468.389999999999</v>
      </c>
      <c r="R12" s="316" t="n">
        <v>8660</v>
      </c>
      <c r="S12" s="315" t="n">
        <v>9247.27</v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I17+I20</f>
        <v/>
      </c>
      <c r="J16" s="306">
        <f>J17+J20</f>
        <v/>
      </c>
      <c r="K16" s="307">
        <f>K17+K20</f>
        <v/>
      </c>
      <c r="L16" s="306">
        <f>L17+L20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P17+P20</f>
        <v/>
      </c>
      <c r="Q16" s="306">
        <f>Q17+Q20</f>
        <v/>
      </c>
      <c r="R16" s="307">
        <f>R17+R20</f>
        <v/>
      </c>
      <c r="S16" s="306">
        <f>S17+S20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I18+I19</f>
        <v/>
      </c>
      <c r="J17" s="315">
        <f>J18+J19</f>
        <v/>
      </c>
      <c r="K17" s="316">
        <f>K18+K19</f>
        <v/>
      </c>
      <c r="L17" s="315">
        <f>L18+L19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P18+P19</f>
        <v/>
      </c>
      <c r="Q17" s="315">
        <f>Q18+Q19</f>
        <v/>
      </c>
      <c r="R17" s="316">
        <f>R18+R19</f>
        <v/>
      </c>
      <c r="S17" s="315">
        <f>S18+S19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 t="n">
        <v>20921.959</v>
      </c>
      <c r="J18" s="315" t="n">
        <v>23831.458</v>
      </c>
      <c r="K18" s="316" t="n">
        <v>26170</v>
      </c>
      <c r="L18" s="315" t="n">
        <v>29179.444</v>
      </c>
      <c r="M18" s="317">
        <f>L18-K18</f>
        <v/>
      </c>
      <c r="N18" s="317">
        <f>L18-J18</f>
        <v/>
      </c>
      <c r="O18" s="318">
        <f>IF(J18=0,"***",N18/J18)</f>
        <v/>
      </c>
      <c r="P18" s="314" t="n">
        <v>5289.784</v>
      </c>
      <c r="Q18" s="315" t="n">
        <v>6706.736999999999</v>
      </c>
      <c r="R18" s="316" t="n">
        <v>6910</v>
      </c>
      <c r="S18" s="315" t="n">
        <v>8203.665999999999</v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I22+I23</f>
        <v/>
      </c>
      <c r="J21" s="357">
        <f>J22+J23</f>
        <v/>
      </c>
      <c r="K21" s="307">
        <f>K22+K23</f>
        <v/>
      </c>
      <c r="L21" s="357">
        <f>L22+L23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P22+P23</f>
        <v/>
      </c>
      <c r="Q21" s="357">
        <f>Q22+Q23</f>
        <v/>
      </c>
      <c r="R21" s="307">
        <f>R22+R23</f>
        <v/>
      </c>
      <c r="S21" s="357">
        <f>S22+S23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 t="n">
        <v>30256.722</v>
      </c>
      <c r="J22" s="315" t="n">
        <v>37990.247</v>
      </c>
      <c r="K22" s="316" t="n">
        <v>39000</v>
      </c>
      <c r="L22" s="315" t="n">
        <v>40567.249</v>
      </c>
      <c r="M22" s="359">
        <f>L22-K22</f>
        <v/>
      </c>
      <c r="N22" s="359">
        <f>L22-J22</f>
        <v/>
      </c>
      <c r="O22" s="318">
        <f>IF(J22=0,"***",N22/J22)</f>
        <v/>
      </c>
      <c r="P22" s="314" t="n">
        <v>4467.711</v>
      </c>
      <c r="Q22" s="315" t="n">
        <v>5249.267</v>
      </c>
      <c r="R22" s="316" t="n">
        <v>5715</v>
      </c>
      <c r="S22" s="315" t="n">
        <v>9193.745000000001</v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I25+I26</f>
        <v/>
      </c>
      <c r="J24" s="355">
        <f>J25+J26</f>
        <v/>
      </c>
      <c r="K24" s="316">
        <f>K25+K26</f>
        <v/>
      </c>
      <c r="L24" s="355">
        <f>L25+L26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0">
        <f>P25+P26</f>
        <v/>
      </c>
      <c r="Q24" s="351">
        <f>Q25+Q26</f>
        <v/>
      </c>
      <c r="R24" s="316">
        <f>R25+R26</f>
        <v/>
      </c>
      <c r="S24" s="351">
        <f>S25+S26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 t="n">
        <v>21723.365</v>
      </c>
      <c r="J25" s="315" t="n">
        <v>25827.141</v>
      </c>
      <c r="K25" s="316" t="n">
        <v>24801.197</v>
      </c>
      <c r="L25" s="315" t="n">
        <v>31673.622</v>
      </c>
      <c r="M25" s="359">
        <f>L25-K25</f>
        <v/>
      </c>
      <c r="N25" s="359">
        <f>L25-J25</f>
        <v/>
      </c>
      <c r="O25" s="318">
        <f>IF(J25=0,"***",N25/J25)</f>
        <v/>
      </c>
      <c r="P25" s="314" t="n">
        <v>3144.576</v>
      </c>
      <c r="Q25" s="315" t="n">
        <v>3584.179</v>
      </c>
      <c r="R25" s="316" t="n">
        <v>3474.278</v>
      </c>
      <c r="S25" s="315" t="n">
        <v>7747.610000000001</v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I28+I29</f>
        <v/>
      </c>
      <c r="J27" s="316">
        <f>J28+J29</f>
        <v/>
      </c>
      <c r="K27" s="316">
        <f>K28+K29</f>
        <v/>
      </c>
      <c r="L27" s="316">
        <f>L28+L29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P28+P29</f>
        <v/>
      </c>
      <c r="Q27" s="316">
        <f>Q28+Q29</f>
        <v/>
      </c>
      <c r="R27" s="316">
        <f>R28+R29</f>
        <v/>
      </c>
      <c r="S27" s="316">
        <f>S28+S29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I22-I25</f>
        <v/>
      </c>
      <c r="J28" s="316">
        <f>J22-J25</f>
        <v/>
      </c>
      <c r="K28" s="316">
        <f>K22-K25</f>
        <v/>
      </c>
      <c r="L28" s="316">
        <f>L22-L25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P22-P25</f>
        <v/>
      </c>
      <c r="Q28" s="316">
        <f>Q22-Q25</f>
        <v/>
      </c>
      <c r="R28" s="316">
        <f>R22-R25</f>
        <v/>
      </c>
      <c r="S28" s="316">
        <f>S22-S25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I31+I34+I35</f>
        <v/>
      </c>
      <c r="J30" s="306">
        <f>J31+J34+J35</f>
        <v/>
      </c>
      <c r="K30" s="307">
        <f>K31+K34+K35</f>
        <v/>
      </c>
      <c r="L30" s="306">
        <f>L31+L34+L35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10">
        <f>P31+P34+P35</f>
        <v/>
      </c>
      <c r="Q30" s="368">
        <f>Q31+Q34+Q35</f>
        <v/>
      </c>
      <c r="R30" s="307">
        <f>R31+R34+R35</f>
        <v/>
      </c>
      <c r="S30" s="368">
        <f>S31+S34+S35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I32+I33</f>
        <v/>
      </c>
      <c r="J31" s="315">
        <f>J32+J33</f>
        <v/>
      </c>
      <c r="K31" s="316">
        <f>K32+K33</f>
        <v/>
      </c>
      <c r="L31" s="315">
        <f>L32+L33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P32+P33</f>
        <v/>
      </c>
      <c r="Q31" s="315">
        <f>Q32+Q33</f>
        <v/>
      </c>
      <c r="R31" s="316">
        <f>R32+R33</f>
        <v/>
      </c>
      <c r="S31" s="315">
        <f>S32+S33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 t="n">
        <v>32566.39199999999</v>
      </c>
      <c r="J32" s="315" t="n">
        <v>37588.467</v>
      </c>
      <c r="K32" s="316" t="n">
        <v>42950</v>
      </c>
      <c r="L32" s="315" t="n">
        <v>38753.977</v>
      </c>
      <c r="M32" s="317">
        <f>L32-K32</f>
        <v/>
      </c>
      <c r="N32" s="317">
        <f>L32-J32</f>
        <v/>
      </c>
      <c r="O32" s="318">
        <f>IF(J32=0,"***",N32/J32)</f>
        <v/>
      </c>
      <c r="P32" s="369" t="n">
        <v>5665.954</v>
      </c>
      <c r="Q32" s="315" t="n">
        <v>7244.769999999999</v>
      </c>
      <c r="R32" s="316" t="n">
        <v>8370</v>
      </c>
      <c r="S32" s="315" t="n">
        <v>7871.062</v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10666.07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2678.446999999999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I42+I43+I44</f>
        <v/>
      </c>
      <c r="J41" s="306">
        <f>J42+J43+J44</f>
        <v/>
      </c>
      <c r="K41" s="307">
        <f>K42+K43+K44</f>
        <v/>
      </c>
      <c r="L41" s="306">
        <f>L42+L43+L44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P42+P43+P44</f>
        <v/>
      </c>
      <c r="Q41" s="306">
        <f>Q42+Q43+Q44</f>
        <v/>
      </c>
      <c r="R41" s="307">
        <f>R42+R43+R44</f>
        <v/>
      </c>
      <c r="S41" s="306">
        <f>S42+S43+S44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 t="n">
        <v>29770.326</v>
      </c>
      <c r="J42" s="344" t="n">
        <v>34693.782</v>
      </c>
      <c r="K42" s="344" t="n">
        <v>36510</v>
      </c>
      <c r="L42" s="344" t="n">
        <v>44294.006</v>
      </c>
      <c r="M42" s="345">
        <f>L42-K42</f>
        <v/>
      </c>
      <c r="N42" s="345">
        <f>L42-J42</f>
        <v/>
      </c>
      <c r="O42" s="346">
        <f>IF(J42=0,"***",N42/J42)</f>
        <v/>
      </c>
      <c r="P42" s="385" t="n">
        <v>5327.723000000001</v>
      </c>
      <c r="Q42" s="344" t="n">
        <v>8244.215</v>
      </c>
      <c r="R42" s="344" t="n">
        <v>9040</v>
      </c>
      <c r="S42" s="344" t="n">
        <v>11558.018</v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I45-I47-I48-I49</f>
        <v/>
      </c>
      <c r="J46" s="402">
        <f>J45-J47-J48-J49</f>
        <v/>
      </c>
      <c r="K46" s="403">
        <f>K45-K47-K48-K49</f>
        <v/>
      </c>
      <c r="L46" s="403">
        <f>L45-L47-L48-L49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P45-P47-P48-P49</f>
        <v/>
      </c>
      <c r="Q46" s="403">
        <f>Q45-Q47-Q48-Q49</f>
        <v/>
      </c>
      <c r="R46" s="403">
        <f>R45-R47-R48-R49</f>
        <v/>
      </c>
      <c r="S46" s="403">
        <f>S45-S47-S48-S49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I6+I9</f>
        <v/>
      </c>
      <c r="J5" s="306">
        <f>J6+J9</f>
        <v/>
      </c>
      <c r="K5" s="307">
        <f>K6+K9</f>
        <v/>
      </c>
      <c r="L5" s="306">
        <f>L6+L9</f>
        <v/>
      </c>
      <c r="M5" s="308">
        <f>L5-K5</f>
        <v/>
      </c>
      <c r="N5" s="308">
        <f>L5-J5</f>
        <v/>
      </c>
      <c r="O5" s="309">
        <f>IF(J5=0,"***",N5/J5)</f>
        <v/>
      </c>
      <c r="P5" s="310">
        <f>P6+P9</f>
        <v/>
      </c>
      <c r="Q5" s="310">
        <f>Q6+Q9</f>
        <v/>
      </c>
      <c r="R5" s="310">
        <f>R6+R9</f>
        <v/>
      </c>
      <c r="S5" s="310">
        <f>S6+S9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I7+I8</f>
        <v/>
      </c>
      <c r="J6" s="315">
        <f>J7+J8</f>
        <v/>
      </c>
      <c r="K6" s="316">
        <f>K7+K8</f>
        <v/>
      </c>
      <c r="L6" s="315">
        <f>L7+L8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P7+P8</f>
        <v/>
      </c>
      <c r="Q6" s="315">
        <f>Q7+Q8</f>
        <v/>
      </c>
      <c r="R6" s="316">
        <f>R7+R8</f>
        <v/>
      </c>
      <c r="S6" s="315">
        <f>S7+S8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 t="n">
        <v>60849.584</v>
      </c>
      <c r="J7" s="315" t="n">
        <v>64317.285</v>
      </c>
      <c r="K7" s="316" t="n">
        <v>68010</v>
      </c>
      <c r="L7" s="315" t="n">
        <v>84867.258</v>
      </c>
      <c r="M7" s="317">
        <f>L7-K7</f>
        <v/>
      </c>
      <c r="N7" s="317">
        <f>L7-J7</f>
        <v/>
      </c>
      <c r="O7" s="318">
        <f>IF(J7=0,"***",N7/J7)</f>
        <v/>
      </c>
      <c r="P7" s="314" t="n">
        <v>16429.952</v>
      </c>
      <c r="Q7" s="315" t="n">
        <v>18345.77</v>
      </c>
      <c r="R7" s="316" t="n">
        <v>18690</v>
      </c>
      <c r="S7" s="315" t="n">
        <v>24225.756</v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I11+I14+I15</f>
        <v/>
      </c>
      <c r="J10" s="343">
        <f>J11+J14+J15</f>
        <v/>
      </c>
      <c r="K10" s="344">
        <f>K11+K14+K15</f>
        <v/>
      </c>
      <c r="L10" s="343">
        <f>L11+L14+L15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P11+P14+P15</f>
        <v/>
      </c>
      <c r="Q10" s="343">
        <f>Q11+Q14+Q15</f>
        <v/>
      </c>
      <c r="R10" s="344">
        <f>R11+R14+R15</f>
        <v/>
      </c>
      <c r="S10" s="343">
        <f>S11+S14+S15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I12+I13</f>
        <v/>
      </c>
      <c r="J11" s="315">
        <f>J12+J13</f>
        <v/>
      </c>
      <c r="K11" s="316">
        <f>K12+K13</f>
        <v/>
      </c>
      <c r="L11" s="315">
        <f>L12+L13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P12+P13</f>
        <v/>
      </c>
      <c r="Q11" s="315">
        <f>Q12+Q13</f>
        <v/>
      </c>
      <c r="R11" s="316">
        <f>R12+R13</f>
        <v/>
      </c>
      <c r="S11" s="315">
        <f>S12+S13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 t="n">
        <v>47707.342</v>
      </c>
      <c r="J12" s="315" t="n">
        <v>47763.376</v>
      </c>
      <c r="K12" s="316" t="n">
        <v>49760</v>
      </c>
      <c r="L12" s="315" t="n">
        <v>51203.53000000001</v>
      </c>
      <c r="M12" s="317">
        <f>L12-K12</f>
        <v/>
      </c>
      <c r="N12" s="317">
        <f>L12-J12</f>
        <v/>
      </c>
      <c r="O12" s="318">
        <f>IF(J12=0,"***",N12/J12)</f>
        <v/>
      </c>
      <c r="P12" s="314" t="n">
        <v>9731.77</v>
      </c>
      <c r="Q12" s="315" t="n">
        <v>10009.452</v>
      </c>
      <c r="R12" s="316" t="n">
        <v>10280</v>
      </c>
      <c r="S12" s="315" t="n">
        <v>11084.659</v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I17+I20</f>
        <v/>
      </c>
      <c r="J16" s="306">
        <f>J17+J20</f>
        <v/>
      </c>
      <c r="K16" s="307">
        <f>K17+K20</f>
        <v/>
      </c>
      <c r="L16" s="306">
        <f>L17+L20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P17+P20</f>
        <v/>
      </c>
      <c r="Q16" s="306">
        <f>Q17+Q20</f>
        <v/>
      </c>
      <c r="R16" s="307">
        <f>R17+R20</f>
        <v/>
      </c>
      <c r="S16" s="306">
        <f>S17+S20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I18+I19</f>
        <v/>
      </c>
      <c r="J17" s="315">
        <f>J18+J19</f>
        <v/>
      </c>
      <c r="K17" s="316">
        <f>K18+K19</f>
        <v/>
      </c>
      <c r="L17" s="315">
        <f>L18+L19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P18+P19</f>
        <v/>
      </c>
      <c r="Q17" s="315">
        <f>Q18+Q19</f>
        <v/>
      </c>
      <c r="R17" s="316">
        <f>R18+R19</f>
        <v/>
      </c>
      <c r="S17" s="315">
        <f>S18+S19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 t="n">
        <v>26662.046</v>
      </c>
      <c r="J18" s="315" t="n">
        <v>30628.111</v>
      </c>
      <c r="K18" s="316" t="n">
        <v>32150</v>
      </c>
      <c r="L18" s="315" t="n">
        <v>39216.29</v>
      </c>
      <c r="M18" s="317">
        <f>L18-K18</f>
        <v/>
      </c>
      <c r="N18" s="317">
        <f>L18-J18</f>
        <v/>
      </c>
      <c r="O18" s="318">
        <f>IF(J18=0,"***",N18/J18)</f>
        <v/>
      </c>
      <c r="P18" s="314" t="n">
        <v>6751.251</v>
      </c>
      <c r="Q18" s="315" t="n">
        <v>8473.855</v>
      </c>
      <c r="R18" s="316" t="n">
        <v>8510</v>
      </c>
      <c r="S18" s="315" t="n">
        <v>10336.5939</v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I22+I23</f>
        <v/>
      </c>
      <c r="J21" s="357">
        <f>J22+J23</f>
        <v/>
      </c>
      <c r="K21" s="307">
        <f>K22+K23</f>
        <v/>
      </c>
      <c r="L21" s="357">
        <f>L22+L23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P22+P23</f>
        <v/>
      </c>
      <c r="Q21" s="357">
        <f>Q22+Q23</f>
        <v/>
      </c>
      <c r="R21" s="307">
        <f>R22+R23</f>
        <v/>
      </c>
      <c r="S21" s="357">
        <f>S22+S23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 t="n">
        <v>33767.751</v>
      </c>
      <c r="J22" s="315" t="n">
        <v>46620.858</v>
      </c>
      <c r="K22" s="316" t="n">
        <v>46900</v>
      </c>
      <c r="L22" s="315" t="n">
        <v>42850.601</v>
      </c>
      <c r="M22" s="359">
        <f>L22-K22</f>
        <v/>
      </c>
      <c r="N22" s="359">
        <f>L22-J22</f>
        <v/>
      </c>
      <c r="O22" s="318">
        <f>IF(J22=0,"***",N22/J22)</f>
        <v/>
      </c>
      <c r="P22" s="314" t="n">
        <v>5152.48</v>
      </c>
      <c r="Q22" s="315" t="n">
        <v>7412.164</v>
      </c>
      <c r="R22" s="316" t="n">
        <v>7015</v>
      </c>
      <c r="S22" s="315" t="n">
        <v>6708.319</v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I25+I26</f>
        <v/>
      </c>
      <c r="J24" s="355">
        <f>J25+J26</f>
        <v/>
      </c>
      <c r="K24" s="316">
        <f>K25+K26</f>
        <v/>
      </c>
      <c r="L24" s="355">
        <f>L25+L26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0">
        <f>P25+P26</f>
        <v/>
      </c>
      <c r="Q24" s="351">
        <f>Q25+Q26</f>
        <v/>
      </c>
      <c r="R24" s="316">
        <f>R25+R26</f>
        <v/>
      </c>
      <c r="S24" s="351">
        <f>S25+S26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 t="n">
        <v>24557.713</v>
      </c>
      <c r="J25" s="315" t="n">
        <v>29787.46</v>
      </c>
      <c r="K25" s="316" t="n">
        <v>28480.023</v>
      </c>
      <c r="L25" s="315" t="n">
        <v>29277.996</v>
      </c>
      <c r="M25" s="359">
        <f>L25-K25</f>
        <v/>
      </c>
      <c r="N25" s="359">
        <f>L25-J25</f>
        <v/>
      </c>
      <c r="O25" s="318">
        <f>IF(J25=0,"***",N25/J25)</f>
        <v/>
      </c>
      <c r="P25" s="314" t="n">
        <v>3728.805</v>
      </c>
      <c r="Q25" s="315" t="n">
        <v>4812.843</v>
      </c>
      <c r="R25" s="316" t="n">
        <v>4541.833</v>
      </c>
      <c r="S25" s="315" t="n">
        <v>4709.931</v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I28+I29</f>
        <v/>
      </c>
      <c r="J27" s="316">
        <f>J28+J29</f>
        <v/>
      </c>
      <c r="K27" s="316">
        <f>K28+K29</f>
        <v/>
      </c>
      <c r="L27" s="316">
        <f>L28+L29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P28+P29</f>
        <v/>
      </c>
      <c r="Q27" s="316">
        <f>Q28+Q29</f>
        <v/>
      </c>
      <c r="R27" s="316">
        <f>R28+R29</f>
        <v/>
      </c>
      <c r="S27" s="316">
        <f>S28+S29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I22-I25</f>
        <v/>
      </c>
      <c r="J28" s="316">
        <f>J22-J25</f>
        <v/>
      </c>
      <c r="K28" s="316">
        <f>K22-K25</f>
        <v/>
      </c>
      <c r="L28" s="316">
        <f>L22-L25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P22-P25</f>
        <v/>
      </c>
      <c r="Q28" s="316">
        <f>Q22-Q25</f>
        <v/>
      </c>
      <c r="R28" s="316">
        <f>R22-R25</f>
        <v/>
      </c>
      <c r="S28" s="316">
        <f>S22-S25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I31+I34+I35</f>
        <v/>
      </c>
      <c r="J30" s="306">
        <f>J31+J34+J35</f>
        <v/>
      </c>
      <c r="K30" s="307">
        <f>K31+K34+K35</f>
        <v/>
      </c>
      <c r="L30" s="306">
        <f>L31+L34+L35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10">
        <f>P31+P34+P35</f>
        <v/>
      </c>
      <c r="Q30" s="368">
        <f>Q31+Q34+Q35</f>
        <v/>
      </c>
      <c r="R30" s="307">
        <f>R31+R34+R35</f>
        <v/>
      </c>
      <c r="S30" s="368">
        <f>S31+S34+S35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I32+I33</f>
        <v/>
      </c>
      <c r="J31" s="315">
        <f>J32+J33</f>
        <v/>
      </c>
      <c r="K31" s="316">
        <f>K32+K33</f>
        <v/>
      </c>
      <c r="L31" s="315">
        <f>L32+L33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P32+P33</f>
        <v/>
      </c>
      <c r="Q31" s="315">
        <f>Q32+Q33</f>
        <v/>
      </c>
      <c r="R31" s="316">
        <f>R32+R33</f>
        <v/>
      </c>
      <c r="S31" s="315">
        <f>S32+S33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 t="n">
        <v>37889.206</v>
      </c>
      <c r="J32" s="315" t="n">
        <v>41996.644</v>
      </c>
      <c r="K32" s="316" t="n">
        <v>47130</v>
      </c>
      <c r="L32" s="315" t="n">
        <v>41462.478</v>
      </c>
      <c r="M32" s="317">
        <f>L32-K32</f>
        <v/>
      </c>
      <c r="N32" s="317">
        <f>L32-J32</f>
        <v/>
      </c>
      <c r="O32" s="318">
        <f>IF(J32=0,"***",N32/J32)</f>
        <v/>
      </c>
      <c r="P32" s="369" t="n">
        <v>6515.27</v>
      </c>
      <c r="Q32" s="315" t="n">
        <v>7731.62</v>
      </c>
      <c r="R32" s="316" t="n">
        <v>8810</v>
      </c>
      <c r="S32" s="315" t="n">
        <v>7398.664</v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23011.7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3269.552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I42+I43+I44</f>
        <v/>
      </c>
      <c r="J41" s="306">
        <f>J42+J43+J44</f>
        <v/>
      </c>
      <c r="K41" s="307">
        <f>K42+K43+K44</f>
        <v/>
      </c>
      <c r="L41" s="306">
        <f>L42+L43+L44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P42+P43+P44</f>
        <v/>
      </c>
      <c r="Q41" s="306">
        <f>Q42+Q43+Q44</f>
        <v/>
      </c>
      <c r="R41" s="307">
        <f>R42+R43+R44</f>
        <v/>
      </c>
      <c r="S41" s="306">
        <f>S42+S43+S44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 t="n">
        <v>35558.65700000001</v>
      </c>
      <c r="J42" s="344" t="n">
        <v>28868.963</v>
      </c>
      <c r="K42" s="344" t="n">
        <v>33920</v>
      </c>
      <c r="L42" s="344" t="n">
        <v>48230.36399999999</v>
      </c>
      <c r="M42" s="345">
        <f>L42-K42</f>
        <v/>
      </c>
      <c r="N42" s="345">
        <f>L42-J42</f>
        <v/>
      </c>
      <c r="O42" s="346">
        <f>IF(J42=0,"***",N42/J42)</f>
        <v/>
      </c>
      <c r="P42" s="385" t="n">
        <v>6660.105</v>
      </c>
      <c r="Q42" s="344" t="n">
        <v>6948.692000000001</v>
      </c>
      <c r="R42" s="344" t="n">
        <v>8770</v>
      </c>
      <c r="S42" s="344" t="n">
        <v>12254.897</v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7893.774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4502.391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100.17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21.51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I45-I47-I48-I49</f>
        <v/>
      </c>
      <c r="J46" s="402">
        <f>J45-J47-J48-J49</f>
        <v/>
      </c>
      <c r="K46" s="403">
        <f>K45-K47-K48-K49</f>
        <v/>
      </c>
      <c r="L46" s="403">
        <f>L45-L47-L48-L49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P45-P47-P48-P49</f>
        <v/>
      </c>
      <c r="Q46" s="403">
        <f>Q45-Q47-Q48-Q49</f>
        <v/>
      </c>
      <c r="R46" s="403">
        <f>R45-R47-R48-R49</f>
        <v/>
      </c>
      <c r="S46" s="403">
        <f>S45-S47-S48-S49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>
        <f>I6+I9</f>
        <v/>
      </c>
      <c r="J5" s="306">
        <f>J6+J9</f>
        <v/>
      </c>
      <c r="K5" s="307">
        <f>K6+K9</f>
        <v/>
      </c>
      <c r="L5" s="306">
        <f>L6+L9</f>
        <v/>
      </c>
      <c r="M5" s="357">
        <f>L5-K5</f>
        <v/>
      </c>
      <c r="N5" s="357">
        <f>L5-J5</f>
        <v/>
      </c>
      <c r="O5" s="309">
        <f>IF(J5=0,"***",N5/J5)</f>
        <v/>
      </c>
      <c r="P5" s="310">
        <f>P6+P9</f>
        <v/>
      </c>
      <c r="Q5" s="368">
        <f>Q6+Q9</f>
        <v/>
      </c>
      <c r="R5" s="307">
        <f>R6+R9</f>
        <v/>
      </c>
      <c r="S5" s="368">
        <f>S6+S9</f>
        <v/>
      </c>
      <c r="T5" s="357">
        <f>S5-R5</f>
        <v/>
      </c>
      <c r="U5" s="357">
        <f>S5-Q5</f>
        <v/>
      </c>
      <c r="V5" s="309">
        <f>IF(Q5=0,"***",U5/Q5)</f>
        <v/>
      </c>
      <c r="W5" s="305">
        <f>W6+W9</f>
        <v/>
      </c>
      <c r="X5" s="306">
        <f>X6+X9</f>
        <v/>
      </c>
      <c r="Y5" s="307">
        <f>Y6+Y9</f>
        <v/>
      </c>
      <c r="Z5" s="306">
        <f>Z6+Z9</f>
        <v/>
      </c>
      <c r="AA5" s="357">
        <f>Z5-Y5</f>
        <v/>
      </c>
      <c r="AB5" s="357">
        <f>Z5-X5</f>
        <v/>
      </c>
      <c r="AC5" s="309">
        <f>IF(X5=0,"***",AB5/X5)</f>
        <v/>
      </c>
      <c r="AD5" s="310">
        <f>AD6+AD9</f>
        <v/>
      </c>
      <c r="AE5" s="368">
        <f>AE6+AE9</f>
        <v/>
      </c>
      <c r="AF5" s="307">
        <f>AF6+AF9</f>
        <v/>
      </c>
      <c r="AG5" s="368">
        <f>AG6+AG9</f>
        <v/>
      </c>
      <c r="AH5" s="357">
        <f>AG5-AF5</f>
        <v/>
      </c>
      <c r="AI5" s="357">
        <f>AG5-AE5</f>
        <v/>
      </c>
      <c r="AJ5" s="309">
        <f>IF(AE5=0,"***",AI5/AE5)</f>
        <v/>
      </c>
      <c r="AK5" s="305">
        <f>AK6+AK9</f>
        <v/>
      </c>
      <c r="AL5" s="306">
        <f>AL6+AL9</f>
        <v/>
      </c>
      <c r="AM5" s="307">
        <f>AM6+AM9</f>
        <v/>
      </c>
      <c r="AN5" s="306">
        <f>AN6+AN9</f>
        <v/>
      </c>
      <c r="AO5" s="357">
        <f>AN5-AM5</f>
        <v/>
      </c>
      <c r="AP5" s="357">
        <f>AN5-AL5</f>
        <v/>
      </c>
      <c r="AQ5" s="309">
        <f>IF(AL5=0,"***",AP5/AL5)</f>
        <v/>
      </c>
      <c r="AR5" s="310">
        <f>AR6+AR9</f>
        <v/>
      </c>
      <c r="AS5" s="368">
        <f>AS6+AS9</f>
        <v/>
      </c>
      <c r="AT5" s="307">
        <f>AT6+AT9</f>
        <v/>
      </c>
      <c r="AU5" s="368">
        <f>AU6+AU9</f>
        <v/>
      </c>
      <c r="AV5" s="357">
        <f>AU5-AT5</f>
        <v/>
      </c>
      <c r="AW5" s="357">
        <f>AU5-AS5</f>
        <v/>
      </c>
      <c r="AX5" s="309">
        <f>IF(AS5=0,"***",AW5/AS5)</f>
        <v/>
      </c>
      <c r="AY5" s="305">
        <f>AY6+AY9</f>
        <v/>
      </c>
      <c r="AZ5" s="306">
        <f>AZ6+AZ9</f>
        <v/>
      </c>
      <c r="BA5" s="307">
        <f>BA6+BA9</f>
        <v/>
      </c>
      <c r="BB5" s="306">
        <f>BB6+BB9</f>
        <v/>
      </c>
      <c r="BC5" s="357">
        <f>BB5-BA5</f>
        <v/>
      </c>
      <c r="BD5" s="357">
        <f>BB5-AZ5</f>
        <v/>
      </c>
      <c r="BE5" s="309">
        <f>IF(AZ5=0,"***",BD5/AZ5)</f>
        <v/>
      </c>
      <c r="BF5" s="310">
        <f>BF6+BF9</f>
        <v/>
      </c>
      <c r="BG5" s="368">
        <f>BG6+BG9</f>
        <v/>
      </c>
      <c r="BH5" s="307">
        <f>BH6+BH9</f>
        <v/>
      </c>
      <c r="BI5" s="368">
        <f>BI6+BI9</f>
        <v/>
      </c>
      <c r="BJ5" s="357">
        <f>BI5-BH5</f>
        <v/>
      </c>
      <c r="BK5" s="357">
        <f>BI5-BG5</f>
        <v/>
      </c>
      <c r="BL5" s="309">
        <f>IF(BG5=0,"***",BK5/BG5)</f>
        <v/>
      </c>
      <c r="BM5" s="305">
        <f>BM6+BM9</f>
        <v/>
      </c>
      <c r="BN5" s="306">
        <f>BN6+BN9</f>
        <v/>
      </c>
      <c r="BO5" s="307">
        <f>BO6+BO9</f>
        <v/>
      </c>
      <c r="BP5" s="306">
        <f>BP6+BP9</f>
        <v/>
      </c>
      <c r="BQ5" s="357">
        <f>BP5-BO5</f>
        <v/>
      </c>
      <c r="BR5" s="357">
        <f>BP5-BN5</f>
        <v/>
      </c>
      <c r="BS5" s="309">
        <f>IF(BN5=0,"***",BR5/BN5)</f>
        <v/>
      </c>
      <c r="BT5" s="310">
        <f>BT6+BT9</f>
        <v/>
      </c>
      <c r="BU5" s="368">
        <f>BU6+BU9</f>
        <v/>
      </c>
      <c r="BV5" s="307">
        <f>BV6+BV9</f>
        <v/>
      </c>
      <c r="BW5" s="368">
        <f>BW6+BW9</f>
        <v/>
      </c>
      <c r="BX5" s="357">
        <f>BW5-BV5</f>
        <v/>
      </c>
      <c r="BY5" s="357">
        <f>BW5-BU5</f>
        <v/>
      </c>
      <c r="BZ5" s="309">
        <f>IF(BU5=0,"***",BY5/BU5)</f>
        <v/>
      </c>
      <c r="CA5" s="305">
        <f>CA6+CA9</f>
        <v/>
      </c>
      <c r="CB5" s="306">
        <f>CB6+CB9</f>
        <v/>
      </c>
      <c r="CC5" s="307">
        <f>CC6+CC9</f>
        <v/>
      </c>
      <c r="CD5" s="306">
        <f>CD6+CD9</f>
        <v/>
      </c>
      <c r="CE5" s="357">
        <f>CD5-CC5</f>
        <v/>
      </c>
      <c r="CF5" s="357">
        <f>CD5-CB5</f>
        <v/>
      </c>
      <c r="CG5" s="309">
        <f>IF(CB5=0,"***",CF5/CB5)</f>
        <v/>
      </c>
      <c r="CH5" s="310">
        <f>CH6+CH9</f>
        <v/>
      </c>
      <c r="CI5" s="368">
        <f>CI6+CI9</f>
        <v/>
      </c>
      <c r="CJ5" s="307">
        <f>CJ6+CJ9</f>
        <v/>
      </c>
      <c r="CK5" s="368">
        <f>CK6+CK9</f>
        <v/>
      </c>
      <c r="CL5" s="357">
        <f>CK5-CJ5</f>
        <v/>
      </c>
      <c r="CM5" s="357">
        <f>CK5-CI5</f>
        <v/>
      </c>
      <c r="CN5" s="309">
        <f>IF(CI5=0,"***",CM5/CI5)</f>
        <v/>
      </c>
      <c r="CO5" s="305">
        <f>CO6+CO9</f>
        <v/>
      </c>
      <c r="CP5" s="306">
        <f>CP6+CP9</f>
        <v/>
      </c>
      <c r="CQ5" s="307">
        <f>CQ6+CQ9</f>
        <v/>
      </c>
      <c r="CR5" s="306">
        <f>CR6+CR9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>
        <f>CV6+CV9</f>
        <v/>
      </c>
      <c r="CW5" s="310">
        <f>CW6+CW9</f>
        <v/>
      </c>
      <c r="CX5" s="310">
        <f>CX6+CX9</f>
        <v/>
      </c>
      <c r="CY5" s="310">
        <f>CY6+CY9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I7+I8</f>
        <v/>
      </c>
      <c r="J6" s="315">
        <f>J7+J8</f>
        <v/>
      </c>
      <c r="K6" s="316">
        <f>K7+K8</f>
        <v/>
      </c>
      <c r="L6" s="315">
        <f>L7+L8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P7+P8</f>
        <v/>
      </c>
      <c r="Q6" s="315">
        <f>Q7+Q8</f>
        <v/>
      </c>
      <c r="R6" s="316">
        <f>R7+R8</f>
        <v/>
      </c>
      <c r="S6" s="315">
        <f>S7+S8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W7+W8</f>
        <v/>
      </c>
      <c r="X6" s="315">
        <f>X7+X8</f>
        <v/>
      </c>
      <c r="Y6" s="316">
        <f>Y7+Y8</f>
        <v/>
      </c>
      <c r="Z6" s="315">
        <f>Z7+Z8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AD7+AD8</f>
        <v/>
      </c>
      <c r="AE6" s="315">
        <f>AE7+AE8</f>
        <v/>
      </c>
      <c r="AF6" s="316">
        <f>AF7+AF8</f>
        <v/>
      </c>
      <c r="AG6" s="315">
        <f>AG7+AG8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AK7+AK8</f>
        <v/>
      </c>
      <c r="AL6" s="315">
        <f>AL7+AL8</f>
        <v/>
      </c>
      <c r="AM6" s="316">
        <f>AM7+AM8</f>
        <v/>
      </c>
      <c r="AN6" s="315">
        <f>AN7+AN8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AR7+AR8</f>
        <v/>
      </c>
      <c r="AS6" s="315">
        <f>AS7+AS8</f>
        <v/>
      </c>
      <c r="AT6" s="316">
        <f>AT7+AT8</f>
        <v/>
      </c>
      <c r="AU6" s="315">
        <f>AU7+AU8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AY7+AY8</f>
        <v/>
      </c>
      <c r="AZ6" s="315">
        <f>AZ7+AZ8</f>
        <v/>
      </c>
      <c r="BA6" s="316">
        <f>BA7+BA8</f>
        <v/>
      </c>
      <c r="BB6" s="315">
        <f>BB7+BB8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BF7+BF8</f>
        <v/>
      </c>
      <c r="BG6" s="315">
        <f>BG7+BG8</f>
        <v/>
      </c>
      <c r="BH6" s="316">
        <f>BH7+BH8</f>
        <v/>
      </c>
      <c r="BI6" s="315">
        <f>BI7+BI8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BM7+BM8</f>
        <v/>
      </c>
      <c r="BN6" s="315">
        <f>BN7+BN8</f>
        <v/>
      </c>
      <c r="BO6" s="316">
        <f>BO7+BO8</f>
        <v/>
      </c>
      <c r="BP6" s="315">
        <f>BP7+BP8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BT7+BT8</f>
        <v/>
      </c>
      <c r="BU6" s="315">
        <f>BU7+BU8</f>
        <v/>
      </c>
      <c r="BV6" s="316">
        <f>BV7+BV8</f>
        <v/>
      </c>
      <c r="BW6" s="315">
        <f>BW7+BW8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CA7+CA8</f>
        <v/>
      </c>
      <c r="CB6" s="315">
        <f>CB7+CB8</f>
        <v/>
      </c>
      <c r="CC6" s="316">
        <f>CC7+CC8</f>
        <v/>
      </c>
      <c r="CD6" s="315">
        <f>CD7+CD8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CH7+CH8</f>
        <v/>
      </c>
      <c r="CI6" s="315">
        <f>CI7+CI8</f>
        <v/>
      </c>
      <c r="CJ6" s="316">
        <f>CJ7+CJ8</f>
        <v/>
      </c>
      <c r="CK6" s="315">
        <f>CK7+CK8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CO7+CO8</f>
        <v/>
      </c>
      <c r="CP6" s="315">
        <f>CP7+CP8</f>
        <v/>
      </c>
      <c r="CQ6" s="316">
        <f>CQ7+CQ8</f>
        <v/>
      </c>
      <c r="CR6" s="315">
        <f>CR7+CR8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CV7+CV8</f>
        <v/>
      </c>
      <c r="CW6" s="315">
        <f>CW7+CW8</f>
        <v/>
      </c>
      <c r="CX6" s="316">
        <f>CX7+CX8</f>
        <v/>
      </c>
      <c r="CY6" s="315">
        <f>CY7+CY8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 t="n">
        <v>63217</v>
      </c>
      <c r="J7" s="315" t="n">
        <v>65768</v>
      </c>
      <c r="K7" s="316" t="n">
        <v>70160</v>
      </c>
      <c r="L7" s="315" t="n">
        <v>72455</v>
      </c>
      <c r="M7" s="315">
        <f>L7-K7</f>
        <v/>
      </c>
      <c r="N7" s="315">
        <f>L7-J7</f>
        <v/>
      </c>
      <c r="O7" s="318">
        <f>IF(J7=0,"***",N7/J7)</f>
        <v/>
      </c>
      <c r="P7" s="314" t="n">
        <v>16885</v>
      </c>
      <c r="Q7" s="315" t="n">
        <v>19075</v>
      </c>
      <c r="R7" s="316" t="n">
        <v>19430</v>
      </c>
      <c r="S7" s="315" t="n">
        <v>19594</v>
      </c>
      <c r="T7" s="315">
        <f>S7-R7</f>
        <v/>
      </c>
      <c r="U7" s="315">
        <f>S7-Q7</f>
        <v/>
      </c>
      <c r="V7" s="318">
        <f>IF(Q7=0,"***",U7/Q7)</f>
        <v/>
      </c>
      <c r="W7" s="314" t="n">
        <v>68056</v>
      </c>
      <c r="X7" s="315" t="n">
        <v>68434</v>
      </c>
      <c r="Y7" s="316" t="n">
        <v>73960</v>
      </c>
      <c r="Z7" s="315" t="n">
        <v>68777</v>
      </c>
      <c r="AA7" s="315">
        <f>Z7-Y7</f>
        <v/>
      </c>
      <c r="AB7" s="315">
        <f>Z7-X7</f>
        <v/>
      </c>
      <c r="AC7" s="318">
        <f>IF(X7=0,"***",AB7/X7)</f>
        <v/>
      </c>
      <c r="AD7" s="314" t="n">
        <v>18098</v>
      </c>
      <c r="AE7" s="315" t="n">
        <v>19513</v>
      </c>
      <c r="AF7" s="316" t="n">
        <v>20330</v>
      </c>
      <c r="AG7" s="315" t="n">
        <v>19401</v>
      </c>
      <c r="AH7" s="315">
        <f>AG7-AF7</f>
        <v/>
      </c>
      <c r="AI7" s="315">
        <f>AG7-AE7</f>
        <v/>
      </c>
      <c r="AJ7" s="318">
        <f>IF(AE7=0,"***",AI7/AE7)</f>
        <v/>
      </c>
      <c r="AK7" s="314" t="n">
        <v>76439</v>
      </c>
      <c r="AL7" s="315" t="n">
        <v>80614</v>
      </c>
      <c r="AM7" s="316" t="n">
        <v>84260</v>
      </c>
      <c r="AN7" s="315" t="n">
        <v>89037</v>
      </c>
      <c r="AO7" s="315">
        <f>AN7-AM7</f>
        <v/>
      </c>
      <c r="AP7" s="315">
        <f>AN7-AL7</f>
        <v/>
      </c>
      <c r="AQ7" s="318">
        <f>IF(AL7=0,"***",AP7/AL7)</f>
        <v/>
      </c>
      <c r="AR7" s="314" t="n">
        <v>20746</v>
      </c>
      <c r="AS7" s="315" t="n">
        <v>24095</v>
      </c>
      <c r="AT7" s="316" t="n">
        <v>23730</v>
      </c>
      <c r="AU7" s="315" t="n">
        <v>25067</v>
      </c>
      <c r="AV7" s="315">
        <f>AU7-AT7</f>
        <v/>
      </c>
      <c r="AW7" s="315">
        <f>AU7-AS7</f>
        <v/>
      </c>
      <c r="AX7" s="318">
        <f>IF(AS7=0,"***",AW7/AS7)</f>
        <v/>
      </c>
      <c r="AY7" s="314" t="n">
        <v>44892</v>
      </c>
      <c r="AZ7" s="315" t="n">
        <v>50406</v>
      </c>
      <c r="BA7" s="316" t="n">
        <v>53360</v>
      </c>
      <c r="BB7" s="315" t="n">
        <v>52871</v>
      </c>
      <c r="BC7" s="315">
        <f>BB7-BA7</f>
        <v/>
      </c>
      <c r="BD7" s="315">
        <f>BB7-AZ7</f>
        <v/>
      </c>
      <c r="BE7" s="318">
        <f>IF(AZ7=0,"***",BD7/AZ7)</f>
        <v/>
      </c>
      <c r="BF7" s="314" t="n">
        <v>12160</v>
      </c>
      <c r="BG7" s="315" t="n">
        <v>14125</v>
      </c>
      <c r="BH7" s="316" t="n">
        <v>14430</v>
      </c>
      <c r="BI7" s="315" t="n">
        <v>14045</v>
      </c>
      <c r="BJ7" s="315">
        <f>BI7-BH7</f>
        <v/>
      </c>
      <c r="BK7" s="315">
        <f>BI7-BG7</f>
        <v/>
      </c>
      <c r="BL7" s="318">
        <f>IF(BG7=0,"***",BK7/BG7)</f>
        <v/>
      </c>
      <c r="BM7" s="314" t="n">
        <v>54747</v>
      </c>
      <c r="BN7" s="315" t="n">
        <v>50756</v>
      </c>
      <c r="BO7" s="316" t="n">
        <v>58360</v>
      </c>
      <c r="BP7" s="315" t="n">
        <v>59375</v>
      </c>
      <c r="BQ7" s="315">
        <f>BP7-BO7</f>
        <v/>
      </c>
      <c r="BR7" s="315">
        <f>BP7-BN7</f>
        <v/>
      </c>
      <c r="BS7" s="318">
        <f>IF(BN7=0,"***",BR7/BN7)</f>
        <v/>
      </c>
      <c r="BT7" s="314" t="n">
        <v>15648</v>
      </c>
      <c r="BU7" s="315" t="n">
        <v>14238</v>
      </c>
      <c r="BV7" s="316" t="n">
        <v>16430</v>
      </c>
      <c r="BW7" s="315" t="n">
        <v>15909</v>
      </c>
      <c r="BX7" s="315">
        <f>BW7-BV7</f>
        <v/>
      </c>
      <c r="BY7" s="315">
        <f>BW7-BU7</f>
        <v/>
      </c>
      <c r="BZ7" s="318">
        <f>IF(BU7=0,"***",BY7/BU7)</f>
        <v/>
      </c>
      <c r="CA7" s="314" t="n">
        <v>55645</v>
      </c>
      <c r="CB7" s="315" t="n">
        <v>57282</v>
      </c>
      <c r="CC7" s="316" t="n">
        <v>61960</v>
      </c>
      <c r="CD7" s="315" t="n">
        <v>63813</v>
      </c>
      <c r="CE7" s="315">
        <f>CD7-CC7</f>
        <v/>
      </c>
      <c r="CF7" s="315">
        <f>CD7-CB7</f>
        <v/>
      </c>
      <c r="CG7" s="318">
        <f>IF(CB7=0,"***",CF7/CB7)</f>
        <v/>
      </c>
      <c r="CH7" s="314" t="n">
        <v>14606</v>
      </c>
      <c r="CI7" s="315" t="n">
        <v>16007</v>
      </c>
      <c r="CJ7" s="316" t="n">
        <v>16630</v>
      </c>
      <c r="CK7" s="315" t="n">
        <v>17869</v>
      </c>
      <c r="CL7" s="315">
        <f>CK7-CJ7</f>
        <v/>
      </c>
      <c r="CM7" s="315">
        <f>CK7-CI7</f>
        <v/>
      </c>
      <c r="CN7" s="318">
        <f>IF(CI7=0,"***",CM7/CI7)</f>
        <v/>
      </c>
      <c r="CO7" s="314" t="n">
        <v>365897</v>
      </c>
      <c r="CP7" s="315" t="n">
        <v>373261</v>
      </c>
      <c r="CQ7" s="316" t="n">
        <v>402060</v>
      </c>
      <c r="CR7" s="315" t="n">
        <v>406328</v>
      </c>
      <c r="CS7" s="315">
        <f>CR7-CQ7</f>
        <v/>
      </c>
      <c r="CT7" s="315">
        <f>CR7-CP7</f>
        <v/>
      </c>
      <c r="CU7" s="318">
        <f>IF(CP7=0,"***",CT7/CP7)</f>
        <v/>
      </c>
      <c r="CV7" s="314" t="n">
        <v>103353</v>
      </c>
      <c r="CW7" s="315" t="n">
        <v>104446</v>
      </c>
      <c r="CX7" s="316" t="n">
        <v>110980</v>
      </c>
      <c r="CY7" s="315" t="n">
        <v>111885</v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>
        <f>I11+I14+I15</f>
        <v/>
      </c>
      <c r="J10" s="343">
        <f>J11+J14+J15</f>
        <v/>
      </c>
      <c r="K10" s="344">
        <f>K11+K14+K15</f>
        <v/>
      </c>
      <c r="L10" s="343">
        <f>L11+L14+L15</f>
        <v/>
      </c>
      <c r="M10" s="488">
        <f>L10-K10</f>
        <v/>
      </c>
      <c r="N10" s="488">
        <f>L10-J10</f>
        <v/>
      </c>
      <c r="O10" s="346">
        <f>IF(J10=0,"***",N10/J10)</f>
        <v/>
      </c>
      <c r="P10" s="342">
        <f>P11+P14+P15</f>
        <v/>
      </c>
      <c r="Q10" s="343">
        <f>Q11+Q14+Q15</f>
        <v/>
      </c>
      <c r="R10" s="344">
        <f>R11+R14+R15</f>
        <v/>
      </c>
      <c r="S10" s="343">
        <f>S11+S14+S15</f>
        <v/>
      </c>
      <c r="T10" s="488">
        <f>S10-R10</f>
        <v/>
      </c>
      <c r="U10" s="488">
        <f>S10-Q10</f>
        <v/>
      </c>
      <c r="V10" s="346">
        <f>IF(Q10=0,"***",U10/Q10)</f>
        <v/>
      </c>
      <c r="W10" s="342">
        <f>W11+W14+W15</f>
        <v/>
      </c>
      <c r="X10" s="343">
        <f>X11+X14+X15</f>
        <v/>
      </c>
      <c r="Y10" s="344">
        <f>Y11+Y14+Y15</f>
        <v/>
      </c>
      <c r="Z10" s="343">
        <f>Z11+Z14+Z15</f>
        <v/>
      </c>
      <c r="AA10" s="488">
        <f>Z10-Y10</f>
        <v/>
      </c>
      <c r="AB10" s="488">
        <f>Z10-X10</f>
        <v/>
      </c>
      <c r="AC10" s="346">
        <f>IF(X10=0,"***",AB10/X10)</f>
        <v/>
      </c>
      <c r="AD10" s="342">
        <f>AD11+AD14+AD15</f>
        <v/>
      </c>
      <c r="AE10" s="343">
        <f>AE11+AE14+AE15</f>
        <v/>
      </c>
      <c r="AF10" s="344">
        <f>AF11+AF14+AF15</f>
        <v/>
      </c>
      <c r="AG10" s="343">
        <f>AG11+AG14+AG15</f>
        <v/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>
        <f>AK11+AK14+AK15</f>
        <v/>
      </c>
      <c r="AL10" s="343">
        <f>AL11+AL14+AL15</f>
        <v/>
      </c>
      <c r="AM10" s="344">
        <f>AM11+AM14+AM15</f>
        <v/>
      </c>
      <c r="AN10" s="343">
        <f>AN11+AN14+AN15</f>
        <v/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>
        <f>AR11+AR14+AR15</f>
        <v/>
      </c>
      <c r="AS10" s="343">
        <f>AS11+AS14+AS15</f>
        <v/>
      </c>
      <c r="AT10" s="344">
        <f>AT11+AT14+AT15</f>
        <v/>
      </c>
      <c r="AU10" s="343">
        <f>AU11+AU14+AU15</f>
        <v/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>
        <f>AY11+AY14+AY15</f>
        <v/>
      </c>
      <c r="AZ10" s="343">
        <f>AZ11+AZ14+AZ15</f>
        <v/>
      </c>
      <c r="BA10" s="344">
        <f>BA11+BA14+BA15</f>
        <v/>
      </c>
      <c r="BB10" s="343">
        <f>BB11+BB14+BB15</f>
        <v/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>
        <f>BF11+BF14+BF15</f>
        <v/>
      </c>
      <c r="BG10" s="343">
        <f>BG11+BG14+BG15</f>
        <v/>
      </c>
      <c r="BH10" s="344">
        <f>BH11+BH14+BH15</f>
        <v/>
      </c>
      <c r="BI10" s="343">
        <f>BI11+BI14+BI15</f>
        <v/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>
        <f>BM11+BM14+BM15</f>
        <v/>
      </c>
      <c r="BN10" s="343">
        <f>BN11+BN14+BN15</f>
        <v/>
      </c>
      <c r="BO10" s="344">
        <f>BO11+BO14+BO15</f>
        <v/>
      </c>
      <c r="BP10" s="343">
        <f>BP11+BP14+BP15</f>
        <v/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>
        <f>BT11+BT14+BT15</f>
        <v/>
      </c>
      <c r="BU10" s="343">
        <f>BU11+BU14+BU15</f>
        <v/>
      </c>
      <c r="BV10" s="344">
        <f>BV11+BV14+BV15</f>
        <v/>
      </c>
      <c r="BW10" s="343">
        <f>BW11+BW14+BW15</f>
        <v/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>
        <f>CA11+CA14+CA15</f>
        <v/>
      </c>
      <c r="CB10" s="343">
        <f>CB11+CB14+CB15</f>
        <v/>
      </c>
      <c r="CC10" s="344">
        <f>CC11+CC14+CC15</f>
        <v/>
      </c>
      <c r="CD10" s="343">
        <f>CD11+CD14+CD15</f>
        <v/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>
        <f>CH11+CH14+CH15</f>
        <v/>
      </c>
      <c r="CI10" s="343">
        <f>CI11+CI14+CI15</f>
        <v/>
      </c>
      <c r="CJ10" s="344">
        <f>CJ11+CJ14+CJ15</f>
        <v/>
      </c>
      <c r="CK10" s="343">
        <f>CK11+CK14+CK15</f>
        <v/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CO11+CO14+CO15</f>
        <v/>
      </c>
      <c r="CP10" s="343">
        <f>CP11+CP14+CP15</f>
        <v/>
      </c>
      <c r="CQ10" s="344">
        <f>CQ11+CQ14+CQ15</f>
        <v/>
      </c>
      <c r="CR10" s="343">
        <f>CR11+CR14+CR15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CV11+CV14+CV15</f>
        <v/>
      </c>
      <c r="CW10" s="343">
        <f>CW11+CW14+CW15</f>
        <v/>
      </c>
      <c r="CX10" s="344">
        <f>CX11+CX14+CX15</f>
        <v/>
      </c>
      <c r="CY10" s="343">
        <f>CY11+CY14+CY15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I12+I13</f>
        <v/>
      </c>
      <c r="J11" s="315">
        <f>J12+J13</f>
        <v/>
      </c>
      <c r="K11" s="316">
        <f>K12+K13</f>
        <v/>
      </c>
      <c r="L11" s="315">
        <f>L12+L13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P12+P13</f>
        <v/>
      </c>
      <c r="Q11" s="315">
        <f>Q12+Q13</f>
        <v/>
      </c>
      <c r="R11" s="316">
        <f>R12+R13</f>
        <v/>
      </c>
      <c r="S11" s="315">
        <f>S12+S13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W12+W13</f>
        <v/>
      </c>
      <c r="X11" s="315">
        <f>X12+X13</f>
        <v/>
      </c>
      <c r="Y11" s="316">
        <f>Y12+Y13</f>
        <v/>
      </c>
      <c r="Z11" s="315">
        <f>Z12+Z13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AD12+AD13</f>
        <v/>
      </c>
      <c r="AE11" s="315">
        <f>AE12+AE13</f>
        <v/>
      </c>
      <c r="AF11" s="316">
        <f>AF12+AF13</f>
        <v/>
      </c>
      <c r="AG11" s="315">
        <f>AG12+AG13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AK12+AK13</f>
        <v/>
      </c>
      <c r="AL11" s="315">
        <f>AL12+AL13</f>
        <v/>
      </c>
      <c r="AM11" s="316">
        <f>AM12+AM13</f>
        <v/>
      </c>
      <c r="AN11" s="315">
        <f>AN12+AN13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AR12+AR13</f>
        <v/>
      </c>
      <c r="AS11" s="315">
        <f>AS12+AS13</f>
        <v/>
      </c>
      <c r="AT11" s="316">
        <f>AT12+AT13</f>
        <v/>
      </c>
      <c r="AU11" s="315">
        <f>AU12+AU13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AY12+AY13</f>
        <v/>
      </c>
      <c r="AZ11" s="315">
        <f>AZ12+AZ13</f>
        <v/>
      </c>
      <c r="BA11" s="316">
        <f>BA12+BA13</f>
        <v/>
      </c>
      <c r="BB11" s="315">
        <f>BB12+BB13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BF12+BF13</f>
        <v/>
      </c>
      <c r="BG11" s="315">
        <f>BG12+BG13</f>
        <v/>
      </c>
      <c r="BH11" s="316">
        <f>BH12+BH13</f>
        <v/>
      </c>
      <c r="BI11" s="315">
        <f>BI12+BI13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BM12+BM13</f>
        <v/>
      </c>
      <c r="BN11" s="315">
        <f>BN12+BN13</f>
        <v/>
      </c>
      <c r="BO11" s="316">
        <f>BO12+BO13</f>
        <v/>
      </c>
      <c r="BP11" s="315">
        <f>BP12+BP13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BT12+BT13</f>
        <v/>
      </c>
      <c r="BU11" s="315">
        <f>BU12+BU13</f>
        <v/>
      </c>
      <c r="BV11" s="316">
        <f>BV12+BV13</f>
        <v/>
      </c>
      <c r="BW11" s="315">
        <f>BW12+BW13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CA12+CA13</f>
        <v/>
      </c>
      <c r="CB11" s="315">
        <f>CB12+CB13</f>
        <v/>
      </c>
      <c r="CC11" s="316">
        <f>CC12+CC13</f>
        <v/>
      </c>
      <c r="CD11" s="315">
        <f>CD12+CD13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CH12+CH13</f>
        <v/>
      </c>
      <c r="CI11" s="315">
        <f>CI12+CI13</f>
        <v/>
      </c>
      <c r="CJ11" s="316">
        <f>CJ12+CJ13</f>
        <v/>
      </c>
      <c r="CK11" s="315">
        <f>CK12+CK13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CO12+CO13</f>
        <v/>
      </c>
      <c r="CP11" s="315">
        <f>CP12+CP13</f>
        <v/>
      </c>
      <c r="CQ11" s="316">
        <f>CQ12+CQ13</f>
        <v/>
      </c>
      <c r="CR11" s="315">
        <f>CR12+CR13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CV12+CV13</f>
        <v/>
      </c>
      <c r="CW11" s="315">
        <f>CW12+CW13</f>
        <v/>
      </c>
      <c r="CX11" s="316">
        <f>CX12+CX13</f>
        <v/>
      </c>
      <c r="CY11" s="315">
        <f>CY12+CY13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 t="n">
        <v>46624</v>
      </c>
      <c r="J12" s="315" t="n">
        <v>45956</v>
      </c>
      <c r="K12" s="316" t="n">
        <v>48800</v>
      </c>
      <c r="L12" s="315" t="n">
        <v>49114</v>
      </c>
      <c r="M12" s="315">
        <f>L12-K12</f>
        <v/>
      </c>
      <c r="N12" s="315">
        <f>L12-J12</f>
        <v/>
      </c>
      <c r="O12" s="318">
        <f>IF(J12=0,"***",N12/J12)</f>
        <v/>
      </c>
      <c r="P12" s="314" t="n">
        <v>9731</v>
      </c>
      <c r="Q12" s="315" t="n">
        <v>9329</v>
      </c>
      <c r="R12" s="316" t="n">
        <v>10195</v>
      </c>
      <c r="S12" s="315" t="n">
        <v>10375</v>
      </c>
      <c r="T12" s="315">
        <f>S12-R12</f>
        <v/>
      </c>
      <c r="U12" s="315">
        <f>S12-Q12</f>
        <v/>
      </c>
      <c r="V12" s="318">
        <f>IF(Q12=0,"***",U12/Q12)</f>
        <v/>
      </c>
      <c r="W12" s="314" t="n">
        <v>45570</v>
      </c>
      <c r="X12" s="315" t="n">
        <v>51200</v>
      </c>
      <c r="Y12" s="316" t="n">
        <v>54200</v>
      </c>
      <c r="Z12" s="315" t="n">
        <v>50108</v>
      </c>
      <c r="AA12" s="315">
        <f>Z12-Y12</f>
        <v/>
      </c>
      <c r="AB12" s="315">
        <f>Z12-X12</f>
        <v/>
      </c>
      <c r="AC12" s="318">
        <f>IF(X12=0,"***",AB12/X12)</f>
        <v/>
      </c>
      <c r="AD12" s="314" t="n">
        <v>9236</v>
      </c>
      <c r="AE12" s="315" t="n">
        <v>10645</v>
      </c>
      <c r="AF12" s="316" t="n">
        <v>11345</v>
      </c>
      <c r="AG12" s="315" t="n">
        <v>10643</v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 t="n">
        <v>53943</v>
      </c>
      <c r="AL12" s="315" t="n">
        <v>58480</v>
      </c>
      <c r="AM12" s="316" t="n">
        <v>61700</v>
      </c>
      <c r="AN12" s="315" t="n">
        <v>59411</v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 t="n">
        <v>11522</v>
      </c>
      <c r="AS12" s="315" t="n">
        <v>12497</v>
      </c>
      <c r="AT12" s="316" t="n">
        <v>13195</v>
      </c>
      <c r="AU12" s="315" t="n">
        <v>12549</v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 t="n">
        <v>32484</v>
      </c>
      <c r="AZ12" s="315" t="n">
        <v>35909</v>
      </c>
      <c r="BA12" s="316" t="n">
        <v>41700</v>
      </c>
      <c r="BB12" s="315" t="n">
        <v>38826</v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 t="n">
        <v>6719</v>
      </c>
      <c r="BG12" s="315" t="n">
        <v>7673</v>
      </c>
      <c r="BH12" s="316" t="n">
        <v>8595</v>
      </c>
      <c r="BI12" s="315" t="n">
        <v>8001</v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 t="n">
        <v>35651</v>
      </c>
      <c r="BN12" s="315" t="n">
        <v>37751</v>
      </c>
      <c r="BO12" s="316" t="n">
        <v>45400</v>
      </c>
      <c r="BP12" s="315" t="n">
        <v>35848</v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 t="n">
        <v>7253</v>
      </c>
      <c r="BU12" s="315" t="n">
        <v>7788</v>
      </c>
      <c r="BV12" s="316" t="n">
        <v>9155</v>
      </c>
      <c r="BW12" s="315" t="n">
        <v>7249</v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 t="n">
        <v>39972</v>
      </c>
      <c r="CB12" s="315" t="n">
        <v>42819</v>
      </c>
      <c r="CC12" s="316" t="n">
        <v>49160</v>
      </c>
      <c r="CD12" s="315" t="n">
        <v>39082</v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 t="n">
        <v>8116</v>
      </c>
      <c r="CI12" s="315" t="n">
        <v>9065</v>
      </c>
      <c r="CJ12" s="316" t="n">
        <v>10405</v>
      </c>
      <c r="CK12" s="315" t="n">
        <v>8046</v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 t="n">
        <v>254244</v>
      </c>
      <c r="CP12" s="315" t="n">
        <v>272115</v>
      </c>
      <c r="CQ12" s="316" t="n">
        <v>300960</v>
      </c>
      <c r="CR12" s="315" t="n">
        <v>272167</v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 t="n">
        <v>52577</v>
      </c>
      <c r="CW12" s="315" t="n">
        <v>56997</v>
      </c>
      <c r="CX12" s="316" t="n">
        <v>62890</v>
      </c>
      <c r="CY12" s="315" t="n">
        <v>56855</v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>
        <f>I17+I20</f>
        <v/>
      </c>
      <c r="J16" s="306">
        <f>J17+J20</f>
        <v/>
      </c>
      <c r="K16" s="307">
        <f>K17+K20</f>
        <v/>
      </c>
      <c r="L16" s="306">
        <f>L17+L20</f>
        <v/>
      </c>
      <c r="M16" s="357">
        <f>L16-K16</f>
        <v/>
      </c>
      <c r="N16" s="357">
        <f>L16-J16</f>
        <v/>
      </c>
      <c r="O16" s="309">
        <f>IF(J16=0,"***",N16/J16)</f>
        <v/>
      </c>
      <c r="P16" s="305">
        <f>P17+P20</f>
        <v/>
      </c>
      <c r="Q16" s="306">
        <f>Q17+Q20</f>
        <v/>
      </c>
      <c r="R16" s="307">
        <f>R17+R20</f>
        <v/>
      </c>
      <c r="S16" s="306">
        <f>S17+S20</f>
        <v/>
      </c>
      <c r="T16" s="357">
        <f>S16-R16</f>
        <v/>
      </c>
      <c r="U16" s="357">
        <f>S16-Q16</f>
        <v/>
      </c>
      <c r="V16" s="309">
        <f>IF(Q16=0,"***",U16/Q16)</f>
        <v/>
      </c>
      <c r="W16" s="305">
        <f>W17+W20</f>
        <v/>
      </c>
      <c r="X16" s="306">
        <f>X17+X20</f>
        <v/>
      </c>
      <c r="Y16" s="307">
        <f>Y17+Y20</f>
        <v/>
      </c>
      <c r="Z16" s="306">
        <f>Z17+Z20</f>
        <v/>
      </c>
      <c r="AA16" s="357">
        <f>Z16-Y16</f>
        <v/>
      </c>
      <c r="AB16" s="357">
        <f>Z16-X16</f>
        <v/>
      </c>
      <c r="AC16" s="309">
        <f>IF(X16=0,"***",AB16/X16)</f>
        <v/>
      </c>
      <c r="AD16" s="305">
        <f>AD17+AD20</f>
        <v/>
      </c>
      <c r="AE16" s="306">
        <f>AE17+AE20</f>
        <v/>
      </c>
      <c r="AF16" s="307">
        <f>AF17+AF20</f>
        <v/>
      </c>
      <c r="AG16" s="306">
        <f>AG17+AG20</f>
        <v/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>
        <f>AK17+AK20</f>
        <v/>
      </c>
      <c r="AL16" s="306">
        <f>AL17+AL20</f>
        <v/>
      </c>
      <c r="AM16" s="307">
        <f>AM17+AM20</f>
        <v/>
      </c>
      <c r="AN16" s="306">
        <f>AN17+AN20</f>
        <v/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>
        <f>AR17+AR20</f>
        <v/>
      </c>
      <c r="AS16" s="306">
        <f>AS17+AS20</f>
        <v/>
      </c>
      <c r="AT16" s="307">
        <f>AT17+AT20</f>
        <v/>
      </c>
      <c r="AU16" s="306">
        <f>AU17+AU20</f>
        <v/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>
        <f>AY17+AY20</f>
        <v/>
      </c>
      <c r="AZ16" s="306">
        <f>AZ17+AZ20</f>
        <v/>
      </c>
      <c r="BA16" s="307">
        <f>BA17+BA20</f>
        <v/>
      </c>
      <c r="BB16" s="306">
        <f>BB17+BB20</f>
        <v/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>
        <f>BF17+BF20</f>
        <v/>
      </c>
      <c r="BG16" s="306">
        <f>BG17+BG20</f>
        <v/>
      </c>
      <c r="BH16" s="307">
        <f>BH17+BH20</f>
        <v/>
      </c>
      <c r="BI16" s="306">
        <f>BI17+BI20</f>
        <v/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>
        <f>BM17+BM20</f>
        <v/>
      </c>
      <c r="BN16" s="306">
        <f>BN17+BN20</f>
        <v/>
      </c>
      <c r="BO16" s="307">
        <f>BO17+BO20</f>
        <v/>
      </c>
      <c r="BP16" s="306">
        <f>BP17+BP20</f>
        <v/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>
        <f>BT17+BT20</f>
        <v/>
      </c>
      <c r="BU16" s="306">
        <f>BU17+BU20</f>
        <v/>
      </c>
      <c r="BV16" s="307">
        <f>BV17+BV20</f>
        <v/>
      </c>
      <c r="BW16" s="306">
        <f>BW17+BW20</f>
        <v/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>
        <f>CA17+CA20</f>
        <v/>
      </c>
      <c r="CB16" s="306">
        <f>CB17+CB20</f>
        <v/>
      </c>
      <c r="CC16" s="307">
        <f>CC17+CC20</f>
        <v/>
      </c>
      <c r="CD16" s="306">
        <f>CD17+CD20</f>
        <v/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>
        <f>CH17+CH20</f>
        <v/>
      </c>
      <c r="CI16" s="306">
        <f>CI17+CI20</f>
        <v/>
      </c>
      <c r="CJ16" s="307">
        <f>CJ17+CJ20</f>
        <v/>
      </c>
      <c r="CK16" s="306">
        <f>CK17+CK20</f>
        <v/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CO17+CO20</f>
        <v/>
      </c>
      <c r="CP16" s="306">
        <f>CP17+CP20</f>
        <v/>
      </c>
      <c r="CQ16" s="307">
        <f>CQ17+CQ20</f>
        <v/>
      </c>
      <c r="CR16" s="306">
        <f>CR17+CR20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CV17+CV20</f>
        <v/>
      </c>
      <c r="CW16" s="306">
        <f>CW17+CW20</f>
        <v/>
      </c>
      <c r="CX16" s="307">
        <f>CX17+CX20</f>
        <v/>
      </c>
      <c r="CY16" s="306">
        <f>CY17+CY20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I18+I19</f>
        <v/>
      </c>
      <c r="J17" s="315">
        <f>J18+J19</f>
        <v/>
      </c>
      <c r="K17" s="316">
        <f>K18+K19</f>
        <v/>
      </c>
      <c r="L17" s="315">
        <f>L18+L19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P18+P19</f>
        <v/>
      </c>
      <c r="Q17" s="315">
        <f>Q18+Q19</f>
        <v/>
      </c>
      <c r="R17" s="316">
        <f>R18+R19</f>
        <v/>
      </c>
      <c r="S17" s="315">
        <f>S18+S19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W18+W19</f>
        <v/>
      </c>
      <c r="X17" s="315">
        <f>X18+X19</f>
        <v/>
      </c>
      <c r="Y17" s="316">
        <f>Y18+Y19</f>
        <v/>
      </c>
      <c r="Z17" s="315">
        <f>Z18+Z19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AD18+AD19</f>
        <v/>
      </c>
      <c r="AE17" s="315">
        <f>AE18+AE19</f>
        <v/>
      </c>
      <c r="AF17" s="316">
        <f>AF18+AF19</f>
        <v/>
      </c>
      <c r="AG17" s="315">
        <f>AG18+AG19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AK18+AK19</f>
        <v/>
      </c>
      <c r="AL17" s="315">
        <f>AL18+AL19</f>
        <v/>
      </c>
      <c r="AM17" s="316">
        <f>AM18+AM19</f>
        <v/>
      </c>
      <c r="AN17" s="315">
        <f>AN18+AN19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AR18+AR19</f>
        <v/>
      </c>
      <c r="AS17" s="315">
        <f>AS18+AS19</f>
        <v/>
      </c>
      <c r="AT17" s="316">
        <f>AT18+AT19</f>
        <v/>
      </c>
      <c r="AU17" s="315">
        <f>AU18+AU19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AY18+AY19</f>
        <v/>
      </c>
      <c r="AZ17" s="315">
        <f>AZ18+AZ19</f>
        <v/>
      </c>
      <c r="BA17" s="316">
        <f>BA18+BA19</f>
        <v/>
      </c>
      <c r="BB17" s="315">
        <f>BB18+BB19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BF18+BF19</f>
        <v/>
      </c>
      <c r="BG17" s="315">
        <f>BG18+BG19</f>
        <v/>
      </c>
      <c r="BH17" s="316">
        <f>BH18+BH19</f>
        <v/>
      </c>
      <c r="BI17" s="315">
        <f>BI18+BI19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BM18+BM19</f>
        <v/>
      </c>
      <c r="BN17" s="315">
        <f>BN18+BN19</f>
        <v/>
      </c>
      <c r="BO17" s="316">
        <f>BO18+BO19</f>
        <v/>
      </c>
      <c r="BP17" s="315">
        <f>BP18+BP19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BT18+BT19</f>
        <v/>
      </c>
      <c r="BU17" s="315">
        <f>BU18+BU19</f>
        <v/>
      </c>
      <c r="BV17" s="316">
        <f>BV18+BV19</f>
        <v/>
      </c>
      <c r="BW17" s="315">
        <f>BW18+BW19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CA18+CA19</f>
        <v/>
      </c>
      <c r="CB17" s="315">
        <f>CB18+CB19</f>
        <v/>
      </c>
      <c r="CC17" s="316">
        <f>CC18+CC19</f>
        <v/>
      </c>
      <c r="CD17" s="315">
        <f>CD18+CD19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CH18+CH19</f>
        <v/>
      </c>
      <c r="CI17" s="315">
        <f>CI18+CI19</f>
        <v/>
      </c>
      <c r="CJ17" s="316">
        <f>CJ18+CJ19</f>
        <v/>
      </c>
      <c r="CK17" s="315">
        <f>CK18+CK19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CO18+CO19</f>
        <v/>
      </c>
      <c r="CP17" s="315">
        <f>CP18+CP19</f>
        <v/>
      </c>
      <c r="CQ17" s="316">
        <f>CQ18+CQ19</f>
        <v/>
      </c>
      <c r="CR17" s="315">
        <f>CR18+CR19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CV18+CV19</f>
        <v/>
      </c>
      <c r="CW17" s="315">
        <f>CW18+CW19</f>
        <v/>
      </c>
      <c r="CX17" s="316">
        <f>CX18+CX19</f>
        <v/>
      </c>
      <c r="CY17" s="315">
        <f>CY18+CY19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 t="n">
        <v>29080</v>
      </c>
      <c r="J18" s="315" t="n">
        <v>34721</v>
      </c>
      <c r="K18" s="316" t="n">
        <v>36590</v>
      </c>
      <c r="L18" s="315" t="n">
        <v>33524</v>
      </c>
      <c r="M18" s="315">
        <f>L18-K18</f>
        <v/>
      </c>
      <c r="N18" s="315">
        <f>L18-J18</f>
        <v/>
      </c>
      <c r="O18" s="318">
        <f>IF(J18=0,"***",N18/J18)</f>
        <v/>
      </c>
      <c r="P18" s="314" t="n">
        <v>6930</v>
      </c>
      <c r="Q18" s="315" t="n">
        <v>8961</v>
      </c>
      <c r="R18" s="316" t="n">
        <v>9510</v>
      </c>
      <c r="S18" s="315" t="n">
        <v>8779</v>
      </c>
      <c r="T18" s="315">
        <f>S18-R18</f>
        <v/>
      </c>
      <c r="U18" s="315">
        <f>S18-Q18</f>
        <v/>
      </c>
      <c r="V18" s="318">
        <f>IF(Q18=0,"***",U18/Q18)</f>
        <v/>
      </c>
      <c r="W18" s="314" t="n">
        <v>28438</v>
      </c>
      <c r="X18" s="315" t="n">
        <v>33476</v>
      </c>
      <c r="Y18" s="316" t="n">
        <v>35190</v>
      </c>
      <c r="Z18" s="315" t="n">
        <v>31300</v>
      </c>
      <c r="AA18" s="315">
        <f>Z18-Y18</f>
        <v/>
      </c>
      <c r="AB18" s="315">
        <f>Z18-X18</f>
        <v/>
      </c>
      <c r="AC18" s="318">
        <f>IF(X18=0,"***",AB18/X18)</f>
        <v/>
      </c>
      <c r="AD18" s="314" t="n">
        <v>7080</v>
      </c>
      <c r="AE18" s="315" t="n">
        <v>8946</v>
      </c>
      <c r="AF18" s="316" t="n">
        <v>9500</v>
      </c>
      <c r="AG18" s="315" t="n">
        <v>8034</v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 t="n">
        <v>35449</v>
      </c>
      <c r="AL18" s="315" t="n">
        <v>38611</v>
      </c>
      <c r="AM18" s="316" t="n">
        <v>40530</v>
      </c>
      <c r="AN18" s="315" t="n">
        <v>39825</v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 t="n">
        <v>8630</v>
      </c>
      <c r="AS18" s="315" t="n">
        <v>10404</v>
      </c>
      <c r="AT18" s="316" t="n">
        <v>11030</v>
      </c>
      <c r="AU18" s="315" t="n">
        <v>10651</v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 t="n">
        <v>14722</v>
      </c>
      <c r="AZ18" s="315" t="n">
        <v>18673</v>
      </c>
      <c r="BA18" s="316" t="n">
        <v>19880</v>
      </c>
      <c r="BB18" s="315" t="n">
        <v>20601</v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 t="n">
        <v>3628</v>
      </c>
      <c r="BG18" s="315" t="n">
        <v>4935</v>
      </c>
      <c r="BH18" s="316" t="n">
        <v>5290</v>
      </c>
      <c r="BI18" s="315" t="n">
        <v>5325</v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 t="n">
        <v>20043</v>
      </c>
      <c r="BN18" s="315" t="n">
        <v>19254</v>
      </c>
      <c r="BO18" s="316" t="n">
        <v>20480</v>
      </c>
      <c r="BP18" s="315" t="n">
        <v>22488</v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 t="n">
        <v>4825</v>
      </c>
      <c r="BU18" s="315" t="n">
        <v>5068</v>
      </c>
      <c r="BV18" s="316" t="n">
        <v>5430</v>
      </c>
      <c r="BW18" s="315" t="n">
        <v>5499</v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 t="n">
        <v>20806</v>
      </c>
      <c r="CB18" s="315" t="n">
        <v>24624</v>
      </c>
      <c r="CC18" s="316" t="n">
        <v>25510</v>
      </c>
      <c r="CD18" s="315" t="n">
        <v>27152</v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 t="n">
        <v>5144</v>
      </c>
      <c r="CI18" s="315" t="n">
        <v>5998</v>
      </c>
      <c r="CJ18" s="316" t="n">
        <v>6300</v>
      </c>
      <c r="CK18" s="315" t="n">
        <v>7211</v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 t="n">
        <v>148538</v>
      </c>
      <c r="CP18" s="315" t="n">
        <v>169359</v>
      </c>
      <c r="CQ18" s="316" t="n">
        <v>178180</v>
      </c>
      <c r="CR18" s="315" t="n">
        <v>174890</v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 t="n">
        <v>36237</v>
      </c>
      <c r="CW18" s="315" t="n">
        <v>44312</v>
      </c>
      <c r="CX18" s="316" t="n">
        <v>47060</v>
      </c>
      <c r="CY18" s="315" t="n">
        <v>45499</v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>
        <f>CO22+CO23</f>
        <v/>
      </c>
      <c r="CP21" s="357">
        <f>CP22+CP23</f>
        <v/>
      </c>
      <c r="CQ21" s="307">
        <f>CQ22+CQ23</f>
        <v/>
      </c>
      <c r="CR21" s="357">
        <f>CR22+CR23</f>
        <v/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>
        <f>CV22+CV23</f>
        <v/>
      </c>
      <c r="CW21" s="357">
        <f>CW22+CW23</f>
        <v/>
      </c>
      <c r="CX21" s="307">
        <f>CX22+CX23</f>
        <v/>
      </c>
      <c r="CY21" s="357">
        <f>CY22+CY23</f>
        <v/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 t="n">
        <v>228116</v>
      </c>
      <c r="CP22" s="315" t="n">
        <v>253010</v>
      </c>
      <c r="CQ22" s="316" t="n">
        <v>281170</v>
      </c>
      <c r="CR22" s="315" t="n">
        <v>248495</v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 t="n">
        <v>36782</v>
      </c>
      <c r="CW22" s="315" t="n">
        <v>38201</v>
      </c>
      <c r="CX22" s="316" t="n">
        <v>43530</v>
      </c>
      <c r="CY22" s="315" t="n">
        <v>36008</v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>
        <f>CO25+CO26</f>
        <v/>
      </c>
      <c r="CP24" s="355">
        <f>CP25+CP26</f>
        <v/>
      </c>
      <c r="CQ24" s="316">
        <f>CQ25+CQ26</f>
        <v/>
      </c>
      <c r="CR24" s="355">
        <f>CR25+CR26</f>
        <v/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>
        <f>CV25+CV26</f>
        <v/>
      </c>
      <c r="CW24" s="351">
        <f>CW25+CW26</f>
        <v/>
      </c>
      <c r="CX24" s="316">
        <f>CX25+CX26</f>
        <v/>
      </c>
      <c r="CY24" s="351">
        <f>CY25+CY26</f>
        <v/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 t="n">
        <v>168155</v>
      </c>
      <c r="CP25" s="315" t="n">
        <v>175819</v>
      </c>
      <c r="CQ25" s="316" t="n">
        <v>205000</v>
      </c>
      <c r="CR25" s="315" t="n">
        <v>183317</v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 t="n">
        <v>27072</v>
      </c>
      <c r="CW25" s="315" t="n">
        <v>28057</v>
      </c>
      <c r="CX25" s="316" t="n">
        <v>31600</v>
      </c>
      <c r="CY25" s="315" t="n">
        <v>26466</v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CO28+CO29</f>
        <v/>
      </c>
      <c r="CP27" s="355">
        <f>CP28+CP29</f>
        <v/>
      </c>
      <c r="CQ27" s="316">
        <f>CQ28+CQ29</f>
        <v/>
      </c>
      <c r="CR27" s="355">
        <f>CR28+CR29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CV28+CV29</f>
        <v/>
      </c>
      <c r="CW27" s="351">
        <f>CW28+CW29</f>
        <v/>
      </c>
      <c r="CX27" s="316">
        <f>CX28+CX29</f>
        <v/>
      </c>
      <c r="CY27" s="351">
        <f>CY28+CY29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CO22-CO25</f>
        <v/>
      </c>
      <c r="CP28" s="315">
        <f>CP22-CP25</f>
        <v/>
      </c>
      <c r="CQ28" s="316">
        <f>CQ22-CQ25</f>
        <v/>
      </c>
      <c r="CR28" s="315">
        <f>CR22-CR25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CV22-CV25</f>
        <v/>
      </c>
      <c r="CW28" s="315">
        <f>CW22-CW25</f>
        <v/>
      </c>
      <c r="CX28" s="316">
        <f>CX22-CX25</f>
        <v/>
      </c>
      <c r="CY28" s="315">
        <f>CY22-CY25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>
        <f>I31+I34+I35</f>
        <v/>
      </c>
      <c r="J30" s="306">
        <f>J31+J34+J35</f>
        <v/>
      </c>
      <c r="K30" s="307">
        <f>K31+K34+K35</f>
        <v/>
      </c>
      <c r="L30" s="306">
        <f>L31+L34+L35</f>
        <v/>
      </c>
      <c r="M30" s="357">
        <f>L30-K30</f>
        <v/>
      </c>
      <c r="N30" s="357">
        <f>L30-J30</f>
        <v/>
      </c>
      <c r="O30" s="309">
        <f>IF(J30=0,"***",N30/J30)</f>
        <v/>
      </c>
      <c r="P30" s="310">
        <f>P31+P34+P35</f>
        <v/>
      </c>
      <c r="Q30" s="368">
        <f>Q31+Q34+Q35</f>
        <v/>
      </c>
      <c r="R30" s="307">
        <f>R31+R34+R35</f>
        <v/>
      </c>
      <c r="S30" s="368">
        <f>S31+S34+S35</f>
        <v/>
      </c>
      <c r="T30" s="357">
        <f>S30-R30</f>
        <v/>
      </c>
      <c r="U30" s="357">
        <f>S30-Q30</f>
        <v/>
      </c>
      <c r="V30" s="309">
        <f>IF(Q30=0,"***",U30/Q30)</f>
        <v/>
      </c>
      <c r="W30" s="367">
        <f>W31+W34+W35</f>
        <v/>
      </c>
      <c r="X30" s="306">
        <f>X31+X34+X35</f>
        <v/>
      </c>
      <c r="Y30" s="307">
        <f>Y31+Y34+Y35</f>
        <v/>
      </c>
      <c r="Z30" s="306">
        <f>Z31+Z34+Z35</f>
        <v/>
      </c>
      <c r="AA30" s="357">
        <f>Z30-Y30</f>
        <v/>
      </c>
      <c r="AB30" s="357">
        <f>Z30-X30</f>
        <v/>
      </c>
      <c r="AC30" s="309">
        <f>IF(X30=0,"***",AB30/X30)</f>
        <v/>
      </c>
      <c r="AD30" s="310">
        <f>AD31+AD34+AD35</f>
        <v/>
      </c>
      <c r="AE30" s="368">
        <f>AE31+AE34+AE35</f>
        <v/>
      </c>
      <c r="AF30" s="307">
        <f>AF31+AF34+AF35</f>
        <v/>
      </c>
      <c r="AG30" s="368">
        <f>AG31+AG34+AG35</f>
        <v/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>
        <f>AK31+AK34+AK35</f>
        <v/>
      </c>
      <c r="AL30" s="306">
        <f>AL31+AL34+AL35</f>
        <v/>
      </c>
      <c r="AM30" s="307">
        <f>AM31+AM34+AM35</f>
        <v/>
      </c>
      <c r="AN30" s="306">
        <f>AN31+AN34+AN35</f>
        <v/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>
        <f>AR31+AR34+AR35</f>
        <v/>
      </c>
      <c r="AS30" s="368">
        <f>AS31+AS34+AS35</f>
        <v/>
      </c>
      <c r="AT30" s="307">
        <f>AT31+AT34+AT35</f>
        <v/>
      </c>
      <c r="AU30" s="368">
        <f>AU31+AU34+AU35</f>
        <v/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>
        <f>AY31+AY34+AY35</f>
        <v/>
      </c>
      <c r="AZ30" s="306">
        <f>AZ31+AZ34+AZ35</f>
        <v/>
      </c>
      <c r="BA30" s="307">
        <f>BA31+BA34+BA35</f>
        <v/>
      </c>
      <c r="BB30" s="306">
        <f>BB31+BB34+BB35</f>
        <v/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>
        <f>BF31+BF34+BF35</f>
        <v/>
      </c>
      <c r="BG30" s="368">
        <f>BG31+BG34+BG35</f>
        <v/>
      </c>
      <c r="BH30" s="307">
        <f>BH31+BH34+BH35</f>
        <v/>
      </c>
      <c r="BI30" s="368">
        <f>BI31+BI34+BI35</f>
        <v/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>
        <f>BM31+BM34+BM35</f>
        <v/>
      </c>
      <c r="BN30" s="306">
        <f>BN31+BN34+BN35</f>
        <v/>
      </c>
      <c r="BO30" s="307">
        <f>BO31+BO34+BO35</f>
        <v/>
      </c>
      <c r="BP30" s="306">
        <f>BP31+BP34+BP35</f>
        <v/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>
        <f>BT31+BT34+BT35</f>
        <v/>
      </c>
      <c r="BU30" s="368">
        <f>BU31+BU34+BU35</f>
        <v/>
      </c>
      <c r="BV30" s="307">
        <f>BV31+BV34+BV35</f>
        <v/>
      </c>
      <c r="BW30" s="368">
        <f>BW31+BW34+BW35</f>
        <v/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>
        <f>CA31+CA34+CA35</f>
        <v/>
      </c>
      <c r="CB30" s="306">
        <f>CB31+CB34+CB35</f>
        <v/>
      </c>
      <c r="CC30" s="307">
        <f>CC31+CC34+CC35</f>
        <v/>
      </c>
      <c r="CD30" s="306">
        <f>CD31+CD34+CD35</f>
        <v/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>
        <f>CH31+CH34+CH35</f>
        <v/>
      </c>
      <c r="CI30" s="368">
        <f>CI31+CI34+CI35</f>
        <v/>
      </c>
      <c r="CJ30" s="307">
        <f>CJ31+CJ34+CJ35</f>
        <v/>
      </c>
      <c r="CK30" s="368">
        <f>CK31+CK34+CK35</f>
        <v/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>
        <f>CO31+CO34+CO35</f>
        <v/>
      </c>
      <c r="CP30" s="306">
        <f>CP31+CP34+CP35</f>
        <v/>
      </c>
      <c r="CQ30" s="307">
        <f>CQ31+CQ34+CQ35</f>
        <v/>
      </c>
      <c r="CR30" s="306">
        <f>CR31+CR34+CR35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>
        <f>CV31+CV34+CV35</f>
        <v/>
      </c>
      <c r="CW30" s="368">
        <f>CW31+CW34+CW35</f>
        <v/>
      </c>
      <c r="CX30" s="307">
        <f>CX31+CX34+CX35</f>
        <v/>
      </c>
      <c r="CY30" s="368">
        <f>CY31+CY34+CY35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I32+I33</f>
        <v/>
      </c>
      <c r="J31" s="315">
        <f>J32+J33</f>
        <v/>
      </c>
      <c r="K31" s="316">
        <f>K32+K33</f>
        <v/>
      </c>
      <c r="L31" s="315">
        <f>L32+L33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P32+P33</f>
        <v/>
      </c>
      <c r="Q31" s="315">
        <f>Q32+Q33</f>
        <v/>
      </c>
      <c r="R31" s="316">
        <f>R32+R33</f>
        <v/>
      </c>
      <c r="S31" s="315">
        <f>S32+S33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W32+W33</f>
        <v/>
      </c>
      <c r="X31" s="315">
        <f>X32+X33</f>
        <v/>
      </c>
      <c r="Y31" s="316">
        <f>Y32+Y33</f>
        <v/>
      </c>
      <c r="Z31" s="315">
        <f>Z32+Z33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AD32+AD33</f>
        <v/>
      </c>
      <c r="AE31" s="315">
        <f>AE32+AE33</f>
        <v/>
      </c>
      <c r="AF31" s="316">
        <f>AF32+AF33</f>
        <v/>
      </c>
      <c r="AG31" s="315">
        <f>AG32+AG33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AK32+AK33</f>
        <v/>
      </c>
      <c r="AL31" s="315">
        <f>AL32+AL33</f>
        <v/>
      </c>
      <c r="AM31" s="316">
        <f>AM32+AM33</f>
        <v/>
      </c>
      <c r="AN31" s="315">
        <f>AN32+AN33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AR32+AR33</f>
        <v/>
      </c>
      <c r="AS31" s="315">
        <f>AS32+AS33</f>
        <v/>
      </c>
      <c r="AT31" s="316">
        <f>AT32+AT33</f>
        <v/>
      </c>
      <c r="AU31" s="315">
        <f>AU32+AU33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AY32+AY33</f>
        <v/>
      </c>
      <c r="AZ31" s="315">
        <f>AZ32+AZ33</f>
        <v/>
      </c>
      <c r="BA31" s="316">
        <f>BA32+BA33</f>
        <v/>
      </c>
      <c r="BB31" s="315">
        <f>BB32+BB33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BF32+BF33</f>
        <v/>
      </c>
      <c r="BG31" s="315">
        <f>BG32+BG33</f>
        <v/>
      </c>
      <c r="BH31" s="316">
        <f>BH32+BH33</f>
        <v/>
      </c>
      <c r="BI31" s="315">
        <f>BI32+BI33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BM32+BM33</f>
        <v/>
      </c>
      <c r="BN31" s="315">
        <f>BN32+BN33</f>
        <v/>
      </c>
      <c r="BO31" s="316">
        <f>BO32+BO33</f>
        <v/>
      </c>
      <c r="BP31" s="315">
        <f>BP32+BP33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BT32+BT33</f>
        <v/>
      </c>
      <c r="BU31" s="315">
        <f>BU32+BU33</f>
        <v/>
      </c>
      <c r="BV31" s="316">
        <f>BV32+BV33</f>
        <v/>
      </c>
      <c r="BW31" s="315">
        <f>BW32+BW33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CA32+CA33</f>
        <v/>
      </c>
      <c r="CB31" s="315">
        <f>CB32+CB33</f>
        <v/>
      </c>
      <c r="CC31" s="316">
        <f>CC32+CC33</f>
        <v/>
      </c>
      <c r="CD31" s="315">
        <f>CD32+CD33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CH32+CH33</f>
        <v/>
      </c>
      <c r="CI31" s="315">
        <f>CI32+CI33</f>
        <v/>
      </c>
      <c r="CJ31" s="316">
        <f>CJ32+CJ33</f>
        <v/>
      </c>
      <c r="CK31" s="315">
        <f>CK32+CK33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CO32+CO33</f>
        <v/>
      </c>
      <c r="CP31" s="315">
        <f>CP32+CP33</f>
        <v/>
      </c>
      <c r="CQ31" s="316">
        <f>CQ32+CQ33</f>
        <v/>
      </c>
      <c r="CR31" s="315">
        <f>CR32+CR33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CV32+CV33</f>
        <v/>
      </c>
      <c r="CW31" s="315">
        <f>CW32+CW33</f>
        <v/>
      </c>
      <c r="CX31" s="316">
        <f>CX32+CX33</f>
        <v/>
      </c>
      <c r="CY31" s="315">
        <f>CY32+CY33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 t="n">
        <v>60656</v>
      </c>
      <c r="J32" s="315" t="n">
        <v>52588</v>
      </c>
      <c r="K32" s="316" t="n">
        <v>58710</v>
      </c>
      <c r="L32" s="315" t="n">
        <v>63946</v>
      </c>
      <c r="M32" s="315">
        <f>L32-K32</f>
        <v/>
      </c>
      <c r="N32" s="315">
        <f>L32-J32</f>
        <v/>
      </c>
      <c r="O32" s="318">
        <f>IF(J32=0,"***",N32/J32)</f>
        <v/>
      </c>
      <c r="P32" s="369" t="n">
        <v>10569</v>
      </c>
      <c r="Q32" s="315" t="n">
        <v>10366</v>
      </c>
      <c r="R32" s="316" t="n">
        <v>11960</v>
      </c>
      <c r="S32" s="315" t="n">
        <v>12617</v>
      </c>
      <c r="T32" s="315">
        <f>S32-R32</f>
        <v/>
      </c>
      <c r="U32" s="315">
        <f>S32-Q32</f>
        <v/>
      </c>
      <c r="V32" s="318">
        <f>IF(Q32=0,"***",U32/Q32)</f>
        <v/>
      </c>
      <c r="W32" s="314" t="n">
        <v>59305</v>
      </c>
      <c r="X32" s="315" t="n">
        <v>65369</v>
      </c>
      <c r="Y32" s="316" t="n">
        <v>72690</v>
      </c>
      <c r="Z32" s="315" t="n">
        <v>55443</v>
      </c>
      <c r="AA32" s="315">
        <f>Z32-Y32</f>
        <v/>
      </c>
      <c r="AB32" s="315">
        <f>Z32-X32</f>
        <v/>
      </c>
      <c r="AC32" s="318">
        <f>IF(X32=0,"***",AB32/X32)</f>
        <v/>
      </c>
      <c r="AD32" s="369" t="n">
        <v>10141</v>
      </c>
      <c r="AE32" s="315" t="n">
        <v>13343</v>
      </c>
      <c r="AF32" s="316" t="n">
        <v>15330</v>
      </c>
      <c r="AG32" s="315" t="n">
        <v>11601</v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 t="n">
        <v>68457</v>
      </c>
      <c r="AL32" s="315" t="n">
        <v>57268</v>
      </c>
      <c r="AM32" s="316" t="n">
        <v>63910</v>
      </c>
      <c r="AN32" s="315" t="n">
        <v>59322</v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 t="n">
        <v>12539</v>
      </c>
      <c r="AS32" s="315" t="n">
        <v>11471</v>
      </c>
      <c r="AT32" s="316" t="n">
        <v>13600</v>
      </c>
      <c r="AU32" s="315" t="n">
        <v>11766</v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 t="n">
        <v>32165</v>
      </c>
      <c r="AZ32" s="315" t="n">
        <v>33935</v>
      </c>
      <c r="BA32" s="316" t="n">
        <v>37890</v>
      </c>
      <c r="BB32" s="315" t="n">
        <v>34860</v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 t="n">
        <v>5533</v>
      </c>
      <c r="BG32" s="315" t="n">
        <v>6231</v>
      </c>
      <c r="BH32" s="316" t="n">
        <v>7270</v>
      </c>
      <c r="BI32" s="315" t="n">
        <v>6782</v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 t="n">
        <v>33086</v>
      </c>
      <c r="BN32" s="315" t="n">
        <v>33127</v>
      </c>
      <c r="BO32" s="316" t="n">
        <v>37000</v>
      </c>
      <c r="BP32" s="315" t="n">
        <v>32548</v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 t="n">
        <v>5744</v>
      </c>
      <c r="BU32" s="315" t="n">
        <v>6538</v>
      </c>
      <c r="BV32" s="316" t="n">
        <v>7780</v>
      </c>
      <c r="BW32" s="315" t="n">
        <v>5771</v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 t="n">
        <v>41441</v>
      </c>
      <c r="CB32" s="315" t="n">
        <v>33426</v>
      </c>
      <c r="CC32" s="316" t="n">
        <v>37370</v>
      </c>
      <c r="CD32" s="315" t="n">
        <v>37539</v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 t="n">
        <v>7187</v>
      </c>
      <c r="CI32" s="315" t="n">
        <v>6350</v>
      </c>
      <c r="CJ32" s="316" t="n">
        <v>7870</v>
      </c>
      <c r="CK32" s="315" t="n">
        <v>6869</v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 t="n">
        <v>295108</v>
      </c>
      <c r="CP32" s="315" t="n">
        <v>275714</v>
      </c>
      <c r="CQ32" s="316" t="n">
        <v>307570</v>
      </c>
      <c r="CR32" s="315" t="n">
        <v>282564</v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 t="n">
        <v>51711</v>
      </c>
      <c r="CW32" s="315" t="n">
        <v>54297</v>
      </c>
      <c r="CX32" s="316" t="n">
        <v>63810</v>
      </c>
      <c r="CY32" s="315" t="n">
        <v>55355</v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>
        <f>CO42+CO43+CO44</f>
        <v/>
      </c>
      <c r="CP41" s="306">
        <f>CP42+CP43+CP44</f>
        <v/>
      </c>
      <c r="CQ41" s="307">
        <f>CQ42+CQ43+CQ44</f>
        <v/>
      </c>
      <c r="CR41" s="306">
        <f>CR42+CR43+CR44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>
        <f>CV42+CV43+CV44</f>
        <v/>
      </c>
      <c r="CW41" s="306">
        <f>CW42+CW43+CW44</f>
        <v/>
      </c>
      <c r="CX41" s="307">
        <f>CX42+CX43+CX44</f>
        <v/>
      </c>
      <c r="CY41" s="306">
        <f>CY42+CY43+CY44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 t="n">
        <v>150463</v>
      </c>
      <c r="CP42" s="344" t="n">
        <v>152907</v>
      </c>
      <c r="CQ42" s="344" t="n">
        <v>190620</v>
      </c>
      <c r="CR42" s="344" t="n">
        <v>192835</v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 t="n">
        <v>30690</v>
      </c>
      <c r="CW42" s="344" t="n">
        <v>31428</v>
      </c>
      <c r="CX42" s="344" t="n">
        <v>48060</v>
      </c>
      <c r="CY42" s="344" t="n">
        <v>49720</v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I45-I47-I48-I49</f>
        <v/>
      </c>
      <c r="J46" s="403">
        <f>J45-J47-J48-J49</f>
        <v/>
      </c>
      <c r="K46" s="403">
        <f>K45-K47-K48-K49</f>
        <v/>
      </c>
      <c r="L46" s="403">
        <f>L45-L47-L48-L49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P45-P47-P48-P49</f>
        <v/>
      </c>
      <c r="Q46" s="403">
        <f>Q45-Q47-Q48-Q49</f>
        <v/>
      </c>
      <c r="R46" s="403">
        <f>R45-R47-R48-R49</f>
        <v/>
      </c>
      <c r="S46" s="403">
        <f>S45-S47-S48-S49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W45-W47-W48-W49</f>
        <v/>
      </c>
      <c r="X46" s="403">
        <f>X45-X47-X48-X49</f>
        <v/>
      </c>
      <c r="Y46" s="403">
        <f>Y45-Y47-Y48-Y49</f>
        <v/>
      </c>
      <c r="Z46" s="403">
        <f>Z45-Z47-Z48-Z49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AD45-AD47-AD48-AD49</f>
        <v/>
      </c>
      <c r="AE46" s="403">
        <f>AE45-AE47-AE48-AE49</f>
        <v/>
      </c>
      <c r="AF46" s="403">
        <f>AF45-AF47-AF48-AF49</f>
        <v/>
      </c>
      <c r="AG46" s="403">
        <f>AG45-AG47-AG48-AG49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AK45-AK47-AK48-AK49</f>
        <v/>
      </c>
      <c r="AL46" s="403">
        <f>AL45-AL47-AL48-AL49</f>
        <v/>
      </c>
      <c r="AM46" s="403">
        <f>AM45-AM47-AM48-AM49</f>
        <v/>
      </c>
      <c r="AN46" s="403">
        <f>AN45-AN47-AN48-AN49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AR45-AR47-AR48-AR49</f>
        <v/>
      </c>
      <c r="AS46" s="403">
        <f>AS45-AS47-AS48-AS49</f>
        <v/>
      </c>
      <c r="AT46" s="403">
        <f>AT45-AT47-AT48-AT49</f>
        <v/>
      </c>
      <c r="AU46" s="403">
        <f>AU45-AU47-AU48-AU49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AY45-AY47-AY48-AY49</f>
        <v/>
      </c>
      <c r="AZ46" s="403">
        <f>AZ45-AZ47-AZ48-AZ49</f>
        <v/>
      </c>
      <c r="BA46" s="403">
        <f>BA45-BA47-BA48-BA49</f>
        <v/>
      </c>
      <c r="BB46" s="403">
        <f>BB45-BB47-BB48-BB49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BF45-BF47-BF48-BF49</f>
        <v/>
      </c>
      <c r="BG46" s="403">
        <f>BG45-BG47-BG48-BG49</f>
        <v/>
      </c>
      <c r="BH46" s="403">
        <f>BH45-BH47-BH48-BH49</f>
        <v/>
      </c>
      <c r="BI46" s="403">
        <f>BI45-BI47-BI48-BI49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BM45-BM47-BM48-BM49</f>
        <v/>
      </c>
      <c r="BN46" s="403">
        <f>BN45-BN47-BN48-BN49</f>
        <v/>
      </c>
      <c r="BO46" s="403">
        <f>BO45-BO47-BO48-BO49</f>
        <v/>
      </c>
      <c r="BP46" s="403">
        <f>BP45-BP47-BP48-BP49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BT45-BT47-BT48-BT49</f>
        <v/>
      </c>
      <c r="BU46" s="403">
        <f>BU45-BU47-BU48-BU49</f>
        <v/>
      </c>
      <c r="BV46" s="403">
        <f>BV45-BV47-BV48-BV49</f>
        <v/>
      </c>
      <c r="BW46" s="403">
        <f>BW45-BW47-BW48-BW49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CA45-CA47-CA48-CA49</f>
        <v/>
      </c>
      <c r="CB46" s="403">
        <f>CB45-CB47-CB48-CB49</f>
        <v/>
      </c>
      <c r="CC46" s="403">
        <f>CC45-CC47-CC48-CC49</f>
        <v/>
      </c>
      <c r="CD46" s="403">
        <f>CD45-CD47-CD48-CD49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CH45-CH47-CH48-CH49</f>
        <v/>
      </c>
      <c r="CI46" s="403">
        <f>CI45-CI47-CI48-CI49</f>
        <v/>
      </c>
      <c r="CJ46" s="403">
        <f>CJ45-CJ47-CJ48-CJ49</f>
        <v/>
      </c>
      <c r="CK46" s="403">
        <f>CK45-CK47-CK48-CK49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CO45-CO47-CO48-CO49</f>
        <v/>
      </c>
      <c r="CP46" s="402">
        <f>CP45-CP47-CP48-CP49</f>
        <v/>
      </c>
      <c r="CQ46" s="403">
        <f>CQ45-CQ47-CQ48-CQ49</f>
        <v/>
      </c>
      <c r="CR46" s="403">
        <f>CR45-CR47-CR48-CR49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CV45-CV47-CV48-CV49</f>
        <v/>
      </c>
      <c r="CW46" s="403">
        <f>CW45-CW47-CW48-CW49</f>
        <v/>
      </c>
      <c r="CX46" s="403">
        <f>CX45-CX47-CX48-CX49</f>
        <v/>
      </c>
      <c r="CY46" s="403">
        <f>CY45-CY47-CY48-CY49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BI3:BI4"/>
    <mergeCell ref="BT3:BT4"/>
    <mergeCell ref="CQ3:CQ4"/>
    <mergeCell ref="BP3:BP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2026-10-07T04:58:47Z</dcterms:modified>
  <cp:lastModifiedBy>ma-takahashi</cp:lastModifiedBy>
  <cp:revision>0</cp:revision>
</cp:coreProperties>
</file>