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G:\マイドライブ\第52期経営計画策定\実績資料作成\"/>
    </mc:Choice>
  </mc:AlternateContent>
  <xr:revisionPtr revIDLastSave="0" documentId="13_ncr:1_{2DCF0B16-64FF-4D05-B0D4-BFF132A4C0B8}" xr6:coauthVersionLast="47" xr6:coauthVersionMax="47" xr10:uidLastSave="{00000000-0000-0000-0000-000000000000}"/>
  <bookViews>
    <workbookView xWindow="28680" yWindow="-120" windowWidth="29040" windowHeight="15720" activeTab="1" xr2:uid="{00000000-000D-0000-FFFF-FFFF00000000}"/>
  </bookViews>
  <sheets>
    <sheet name="機械" sheetId="1" r:id="rId1"/>
    <sheet name="包装資材" sheetId="2" r:id="rId2"/>
    <sheet name="全体" sheetId="3" r:id="rId3"/>
    <sheet name="総括" sheetId="4" r:id="rId4"/>
    <sheet name="Sheet1" sheetId="5" r:id="rId5"/>
  </sheets>
  <definedNames>
    <definedName name="_xlnm.Print_Area" localSheetId="0">機械!$C$1:$Y$60</definedName>
    <definedName name="_xlnm.Print_Area" localSheetId="2">全体!$C$1:$Y$60</definedName>
    <definedName name="_xlnm.Print_Area" localSheetId="3">総括!$D$1:$U$13</definedName>
    <definedName name="_xlnm.Print_Area" localSheetId="1">包装資材!$C$1:$Y$60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67" i="2" l="1"/>
  <c r="K67" i="2"/>
  <c r="J9" i="5"/>
  <c r="G5" i="5"/>
  <c r="J5" i="5" s="1"/>
  <c r="K5" i="5" s="1"/>
  <c r="F5" i="5"/>
  <c r="I5" i="5" s="1"/>
  <c r="D5" i="5"/>
  <c r="C5" i="5"/>
  <c r="J4" i="5"/>
  <c r="K4" i="5" s="1"/>
  <c r="I4" i="5"/>
  <c r="H4" i="5"/>
  <c r="E4" i="5"/>
  <c r="J3" i="5"/>
  <c r="K3" i="5" s="1"/>
  <c r="I3" i="5"/>
  <c r="H3" i="5"/>
  <c r="E3" i="5"/>
  <c r="E5" i="5" s="1"/>
  <c r="E10" i="5" s="1"/>
  <c r="T13" i="4"/>
  <c r="S13" i="4"/>
  <c r="R13" i="4"/>
  <c r="N13" i="4"/>
  <c r="O13" i="4" s="1"/>
  <c r="M13" i="4"/>
  <c r="L13" i="4"/>
  <c r="I13" i="4"/>
  <c r="T12" i="4"/>
  <c r="S12" i="4"/>
  <c r="R12" i="4"/>
  <c r="N12" i="4"/>
  <c r="M12" i="4"/>
  <c r="O12" i="4" s="1"/>
  <c r="L12" i="4"/>
  <c r="I12" i="4"/>
  <c r="R11" i="4"/>
  <c r="J11" i="4"/>
  <c r="S11" i="4" s="1"/>
  <c r="H11" i="4"/>
  <c r="Q10" i="4"/>
  <c r="T10" i="4" s="1"/>
  <c r="P10" i="4"/>
  <c r="S10" i="4" s="1"/>
  <c r="K10" i="4"/>
  <c r="K11" i="4" s="1"/>
  <c r="J10" i="4"/>
  <c r="H10" i="4"/>
  <c r="I10" i="4" s="1"/>
  <c r="G10" i="4"/>
  <c r="G11" i="4" s="1"/>
  <c r="I11" i="4" s="1"/>
  <c r="Q9" i="4"/>
  <c r="T9" i="4" s="1"/>
  <c r="O9" i="4"/>
  <c r="N9" i="4"/>
  <c r="N10" i="4" s="1"/>
  <c r="M9" i="4"/>
  <c r="M10" i="4" s="1"/>
  <c r="M11" i="4" s="1"/>
  <c r="L9" i="4"/>
  <c r="I9" i="4"/>
  <c r="M78" i="2"/>
  <c r="F78" i="2"/>
  <c r="Q69" i="2"/>
  <c r="Q79" i="2" s="1"/>
  <c r="P69" i="2"/>
  <c r="P79" i="2" s="1"/>
  <c r="O69" i="2"/>
  <c r="O79" i="2" s="1"/>
  <c r="N69" i="2"/>
  <c r="N79" i="2" s="1"/>
  <c r="M69" i="2"/>
  <c r="M79" i="2" s="1"/>
  <c r="L69" i="2"/>
  <c r="J69" i="2"/>
  <c r="X69" i="2" s="1"/>
  <c r="I69" i="2"/>
  <c r="W69" i="2" s="1"/>
  <c r="H69" i="2"/>
  <c r="V69" i="2" s="1"/>
  <c r="G69" i="2"/>
  <c r="U69" i="2" s="1"/>
  <c r="F69" i="2"/>
  <c r="F79" i="2" s="1"/>
  <c r="E69" i="2"/>
  <c r="E79" i="2" s="1"/>
  <c r="T68" i="2"/>
  <c r="Q68" i="2"/>
  <c r="Q88" i="2" s="1"/>
  <c r="P68" i="2"/>
  <c r="P88" i="2" s="1"/>
  <c r="O68" i="2"/>
  <c r="O78" i="2" s="1"/>
  <c r="N68" i="2"/>
  <c r="N78" i="2" s="1"/>
  <c r="L68" i="2"/>
  <c r="L78" i="2" s="1"/>
  <c r="J68" i="2"/>
  <c r="J78" i="2" s="1"/>
  <c r="I68" i="2"/>
  <c r="H68" i="2"/>
  <c r="G68" i="2"/>
  <c r="E68" i="2"/>
  <c r="S68" i="2" s="1"/>
  <c r="X67" i="2"/>
  <c r="X77" i="2" s="1"/>
  <c r="W67" i="2"/>
  <c r="W77" i="2" s="1"/>
  <c r="T67" i="2"/>
  <c r="Q67" i="2"/>
  <c r="Q87" i="2" s="1"/>
  <c r="P67" i="2"/>
  <c r="P87" i="2" s="1"/>
  <c r="O67" i="2"/>
  <c r="N67" i="2"/>
  <c r="M67" i="2"/>
  <c r="L67" i="2"/>
  <c r="L77" i="2" s="1"/>
  <c r="J67" i="2"/>
  <c r="J77" i="2" s="1"/>
  <c r="I67" i="2"/>
  <c r="I77" i="2" s="1"/>
  <c r="H67" i="2"/>
  <c r="H77" i="2" s="1"/>
  <c r="G67" i="2"/>
  <c r="G77" i="2" s="1"/>
  <c r="F67" i="2"/>
  <c r="F87" i="2" s="1"/>
  <c r="E67" i="2"/>
  <c r="E87" i="2" s="1"/>
  <c r="X66" i="2"/>
  <c r="U66" i="2"/>
  <c r="U76" i="2" s="1"/>
  <c r="T66" i="2"/>
  <c r="T76" i="2" s="1"/>
  <c r="Q66" i="2"/>
  <c r="Q76" i="2" s="1"/>
  <c r="P66" i="2"/>
  <c r="P76" i="2" s="1"/>
  <c r="O66" i="2"/>
  <c r="O86" i="2" s="1"/>
  <c r="N66" i="2"/>
  <c r="N86" i="2" s="1"/>
  <c r="M66" i="2"/>
  <c r="L66" i="2"/>
  <c r="J66" i="2"/>
  <c r="I66" i="2"/>
  <c r="I76" i="2" s="1"/>
  <c r="H66" i="2"/>
  <c r="H76" i="2" s="1"/>
  <c r="G66" i="2"/>
  <c r="G76" i="2" s="1"/>
  <c r="F66" i="2"/>
  <c r="F76" i="2" s="1"/>
  <c r="E66" i="2"/>
  <c r="K66" i="2" s="1"/>
  <c r="U65" i="2"/>
  <c r="Q65" i="2"/>
  <c r="Q75" i="2" s="1"/>
  <c r="P65" i="2"/>
  <c r="P75" i="2" s="1"/>
  <c r="O65" i="2"/>
  <c r="O70" i="2" s="1"/>
  <c r="N65" i="2"/>
  <c r="N70" i="2" s="1"/>
  <c r="M65" i="2"/>
  <c r="M70" i="2" s="1"/>
  <c r="L65" i="2"/>
  <c r="L85" i="2" s="1"/>
  <c r="J65" i="2"/>
  <c r="J85" i="2" s="1"/>
  <c r="I65" i="2"/>
  <c r="H65" i="2"/>
  <c r="V65" i="2" s="1"/>
  <c r="G65" i="2"/>
  <c r="F65" i="2"/>
  <c r="F75" i="2" s="1"/>
  <c r="E65" i="2"/>
  <c r="E75" i="2" s="1"/>
  <c r="Q49" i="2"/>
  <c r="I49" i="2"/>
  <c r="F49" i="2"/>
  <c r="E49" i="2"/>
  <c r="O48" i="2"/>
  <c r="N48" i="2"/>
  <c r="F48" i="2"/>
  <c r="L47" i="2"/>
  <c r="I46" i="2"/>
  <c r="H46" i="2"/>
  <c r="Q45" i="2"/>
  <c r="F45" i="2"/>
  <c r="E45" i="2"/>
  <c r="W40" i="2"/>
  <c r="R40" i="2"/>
  <c r="Q40" i="2"/>
  <c r="P40" i="2"/>
  <c r="O40" i="2"/>
  <c r="N40" i="2"/>
  <c r="M40" i="2"/>
  <c r="L40" i="2"/>
  <c r="J40" i="2"/>
  <c r="X40" i="2" s="1"/>
  <c r="I40" i="2"/>
  <c r="H40" i="2"/>
  <c r="V40" i="2" s="1"/>
  <c r="G40" i="2"/>
  <c r="U40" i="2" s="1"/>
  <c r="F40" i="2"/>
  <c r="E40" i="2"/>
  <c r="S40" i="2" s="1"/>
  <c r="X39" i="2"/>
  <c r="W39" i="2"/>
  <c r="V39" i="2"/>
  <c r="U39" i="2"/>
  <c r="T39" i="2"/>
  <c r="T49" i="2" s="1"/>
  <c r="S39" i="2"/>
  <c r="R39" i="2"/>
  <c r="K39" i="2"/>
  <c r="Y39" i="2" s="1"/>
  <c r="X38" i="2"/>
  <c r="W38" i="2"/>
  <c r="V38" i="2"/>
  <c r="U38" i="2"/>
  <c r="T38" i="2"/>
  <c r="S38" i="2"/>
  <c r="R38" i="2"/>
  <c r="K38" i="2"/>
  <c r="Y38" i="2" s="1"/>
  <c r="Y37" i="2"/>
  <c r="X37" i="2"/>
  <c r="W37" i="2"/>
  <c r="V37" i="2"/>
  <c r="U37" i="2"/>
  <c r="T37" i="2"/>
  <c r="S37" i="2"/>
  <c r="S47" i="2" s="1"/>
  <c r="R37" i="2"/>
  <c r="K37" i="2"/>
  <c r="X36" i="2"/>
  <c r="W36" i="2"/>
  <c r="V36" i="2"/>
  <c r="U36" i="2"/>
  <c r="T36" i="2"/>
  <c r="S36" i="2"/>
  <c r="R36" i="2"/>
  <c r="K36" i="2"/>
  <c r="Y36" i="2" s="1"/>
  <c r="Y35" i="2"/>
  <c r="X35" i="2"/>
  <c r="W35" i="2"/>
  <c r="V35" i="2"/>
  <c r="U35" i="2"/>
  <c r="T35" i="2"/>
  <c r="T45" i="2" s="1"/>
  <c r="S35" i="2"/>
  <c r="S45" i="2" s="1"/>
  <c r="R35" i="2"/>
  <c r="K35" i="2"/>
  <c r="I29" i="2"/>
  <c r="X28" i="2"/>
  <c r="Q28" i="2"/>
  <c r="Q58" i="2" s="1"/>
  <c r="P28" i="2"/>
  <c r="P58" i="2" s="1"/>
  <c r="O28" i="2"/>
  <c r="O58" i="2" s="1"/>
  <c r="J28" i="2"/>
  <c r="J58" i="2" s="1"/>
  <c r="X58" i="2" s="1"/>
  <c r="F28" i="2"/>
  <c r="E28" i="2"/>
  <c r="L27" i="2"/>
  <c r="J27" i="2"/>
  <c r="J57" i="2" s="1"/>
  <c r="H27" i="2"/>
  <c r="H57" i="2" s="1"/>
  <c r="G27" i="2"/>
  <c r="G57" i="2" s="1"/>
  <c r="I26" i="2"/>
  <c r="G26" i="2"/>
  <c r="G56" i="2" s="1"/>
  <c r="Q25" i="2"/>
  <c r="P25" i="2"/>
  <c r="P55" i="2" s="1"/>
  <c r="O25" i="2"/>
  <c r="M25" i="2"/>
  <c r="G25" i="2"/>
  <c r="G55" i="2" s="1"/>
  <c r="F25" i="2"/>
  <c r="L20" i="2"/>
  <c r="E20" i="2"/>
  <c r="X19" i="2"/>
  <c r="T19" i="2"/>
  <c r="S19" i="2"/>
  <c r="Q19" i="2"/>
  <c r="P19" i="2"/>
  <c r="P49" i="2" s="1"/>
  <c r="O19" i="2"/>
  <c r="O49" i="2" s="1"/>
  <c r="N19" i="2"/>
  <c r="N49" i="2" s="1"/>
  <c r="M19" i="2"/>
  <c r="M49" i="2" s="1"/>
  <c r="L19" i="2"/>
  <c r="K19" i="2"/>
  <c r="J19" i="2"/>
  <c r="I19" i="2"/>
  <c r="W19" i="2" s="1"/>
  <c r="H19" i="2"/>
  <c r="H49" i="2" s="1"/>
  <c r="G19" i="2"/>
  <c r="G49" i="2" s="1"/>
  <c r="F19" i="2"/>
  <c r="E19" i="2"/>
  <c r="T18" i="2"/>
  <c r="S18" i="2"/>
  <c r="Q18" i="2"/>
  <c r="Q48" i="2" s="1"/>
  <c r="P18" i="2"/>
  <c r="P48" i="2" s="1"/>
  <c r="O18" i="2"/>
  <c r="N18" i="2"/>
  <c r="M18" i="2"/>
  <c r="M48" i="2" s="1"/>
  <c r="L18" i="2"/>
  <c r="L48" i="2" s="1"/>
  <c r="J18" i="2"/>
  <c r="J48" i="2" s="1"/>
  <c r="I18" i="2"/>
  <c r="H18" i="2"/>
  <c r="G18" i="2"/>
  <c r="F18" i="2"/>
  <c r="F88" i="2" s="1"/>
  <c r="E18" i="2"/>
  <c r="E48" i="2" s="1"/>
  <c r="S17" i="2"/>
  <c r="Q17" i="2"/>
  <c r="P17" i="2"/>
  <c r="O17" i="2"/>
  <c r="N17" i="2"/>
  <c r="M17" i="2"/>
  <c r="L17" i="2"/>
  <c r="J17" i="2"/>
  <c r="J47" i="2" s="1"/>
  <c r="I17" i="2"/>
  <c r="H17" i="2"/>
  <c r="G17" i="2"/>
  <c r="F17" i="2"/>
  <c r="E17" i="2"/>
  <c r="W16" i="2"/>
  <c r="V16" i="2"/>
  <c r="R16" i="2"/>
  <c r="Q16" i="2"/>
  <c r="Q46" i="2" s="1"/>
  <c r="P16" i="2"/>
  <c r="P46" i="2" s="1"/>
  <c r="O16" i="2"/>
  <c r="N16" i="2"/>
  <c r="M16" i="2"/>
  <c r="L16" i="2"/>
  <c r="J16" i="2"/>
  <c r="J46" i="2" s="1"/>
  <c r="I16" i="2"/>
  <c r="H16" i="2"/>
  <c r="G16" i="2"/>
  <c r="G46" i="2" s="1"/>
  <c r="F16" i="2"/>
  <c r="E16" i="2"/>
  <c r="E26" i="2" s="1"/>
  <c r="E56" i="2" s="1"/>
  <c r="U15" i="2"/>
  <c r="U45" i="2" s="1"/>
  <c r="T15" i="2"/>
  <c r="S15" i="2"/>
  <c r="Q15" i="2"/>
  <c r="P15" i="2"/>
  <c r="P45" i="2" s="1"/>
  <c r="O15" i="2"/>
  <c r="N15" i="2"/>
  <c r="M15" i="2"/>
  <c r="M45" i="2" s="1"/>
  <c r="L15" i="2"/>
  <c r="J15" i="2"/>
  <c r="I15" i="2"/>
  <c r="H15" i="2"/>
  <c r="G15" i="2"/>
  <c r="F15" i="2"/>
  <c r="E15" i="2"/>
  <c r="H10" i="2"/>
  <c r="S9" i="2"/>
  <c r="Q9" i="2"/>
  <c r="Q29" i="2" s="1"/>
  <c r="Q59" i="2" s="1"/>
  <c r="P9" i="2"/>
  <c r="P29" i="2" s="1"/>
  <c r="P59" i="2" s="1"/>
  <c r="O9" i="2"/>
  <c r="N9" i="2"/>
  <c r="N29" i="2" s="1"/>
  <c r="N59" i="2" s="1"/>
  <c r="M9" i="2"/>
  <c r="L9" i="2"/>
  <c r="J9" i="2"/>
  <c r="I9" i="2"/>
  <c r="H9" i="2"/>
  <c r="G9" i="2"/>
  <c r="F9" i="2"/>
  <c r="F29" i="2" s="1"/>
  <c r="E9" i="2"/>
  <c r="W8" i="2"/>
  <c r="V8" i="2"/>
  <c r="R8" i="2"/>
  <c r="Q8" i="2"/>
  <c r="P8" i="2"/>
  <c r="O8" i="2"/>
  <c r="N8" i="2"/>
  <c r="N28" i="2" s="1"/>
  <c r="N58" i="2" s="1"/>
  <c r="M8" i="2"/>
  <c r="M28" i="2" s="1"/>
  <c r="M58" i="2" s="1"/>
  <c r="L8" i="2"/>
  <c r="J8" i="2"/>
  <c r="X8" i="2" s="1"/>
  <c r="I8" i="2"/>
  <c r="H8" i="2"/>
  <c r="G8" i="2"/>
  <c r="U8" i="2" s="1"/>
  <c r="F8" i="2"/>
  <c r="E8" i="2"/>
  <c r="T7" i="2"/>
  <c r="S7" i="2"/>
  <c r="Q7" i="2"/>
  <c r="P7" i="2"/>
  <c r="O7" i="2"/>
  <c r="N7" i="2"/>
  <c r="U7" i="2" s="1"/>
  <c r="M7" i="2"/>
  <c r="L7" i="2"/>
  <c r="J7" i="2"/>
  <c r="X7" i="2" s="1"/>
  <c r="I7" i="2"/>
  <c r="H7" i="2"/>
  <c r="V7" i="2" s="1"/>
  <c r="G7" i="2"/>
  <c r="F7" i="2"/>
  <c r="E7" i="2"/>
  <c r="V6" i="2"/>
  <c r="U6" i="2"/>
  <c r="T6" i="2"/>
  <c r="Q6" i="2"/>
  <c r="Q26" i="2" s="1"/>
  <c r="Q56" i="2" s="1"/>
  <c r="P6" i="2"/>
  <c r="P26" i="2" s="1"/>
  <c r="P56" i="2" s="1"/>
  <c r="O6" i="2"/>
  <c r="N6" i="2"/>
  <c r="M6" i="2"/>
  <c r="L6" i="2"/>
  <c r="J6" i="2"/>
  <c r="J10" i="2" s="1"/>
  <c r="I6" i="2"/>
  <c r="H6" i="2"/>
  <c r="H26" i="2" s="1"/>
  <c r="G6" i="2"/>
  <c r="F6" i="2"/>
  <c r="E6" i="2"/>
  <c r="S6" i="2" s="1"/>
  <c r="T5" i="2"/>
  <c r="Q5" i="2"/>
  <c r="Q10" i="2" s="1"/>
  <c r="X10" i="2" s="1"/>
  <c r="P5" i="2"/>
  <c r="R5" i="2" s="1"/>
  <c r="O5" i="2"/>
  <c r="N5" i="2"/>
  <c r="M5" i="2"/>
  <c r="L5" i="2"/>
  <c r="J5" i="2"/>
  <c r="X5" i="2" s="1"/>
  <c r="I5" i="2"/>
  <c r="W5" i="2" s="1"/>
  <c r="H5" i="2"/>
  <c r="V5" i="2" s="1"/>
  <c r="G5" i="2"/>
  <c r="U5" i="2" s="1"/>
  <c r="F5" i="2"/>
  <c r="F10" i="2" s="1"/>
  <c r="E5" i="2"/>
  <c r="J90" i="1"/>
  <c r="F90" i="1"/>
  <c r="T89" i="1"/>
  <c r="S89" i="1"/>
  <c r="Q89" i="1"/>
  <c r="P89" i="1"/>
  <c r="O89" i="1"/>
  <c r="N89" i="1"/>
  <c r="M89" i="1"/>
  <c r="L89" i="1"/>
  <c r="J89" i="1"/>
  <c r="I89" i="1"/>
  <c r="H89" i="1"/>
  <c r="G89" i="1"/>
  <c r="F89" i="1"/>
  <c r="E89" i="1"/>
  <c r="Q88" i="1"/>
  <c r="P88" i="1"/>
  <c r="O88" i="1"/>
  <c r="N88" i="1"/>
  <c r="M88" i="1"/>
  <c r="L88" i="1"/>
  <c r="R88" i="1" s="1"/>
  <c r="J88" i="1"/>
  <c r="K88" i="1" s="1"/>
  <c r="I88" i="1"/>
  <c r="H88" i="1"/>
  <c r="G88" i="1"/>
  <c r="F88" i="1"/>
  <c r="E88" i="1"/>
  <c r="R87" i="1"/>
  <c r="Q87" i="1"/>
  <c r="P87" i="1"/>
  <c r="O87" i="1"/>
  <c r="N87" i="1"/>
  <c r="M87" i="1"/>
  <c r="L87" i="1"/>
  <c r="J87" i="1"/>
  <c r="I87" i="1"/>
  <c r="H87" i="1"/>
  <c r="G87" i="1"/>
  <c r="F87" i="1"/>
  <c r="E87" i="1"/>
  <c r="K87" i="1" s="1"/>
  <c r="Q86" i="1"/>
  <c r="P86" i="1"/>
  <c r="P90" i="1" s="1"/>
  <c r="O86" i="1"/>
  <c r="O90" i="1" s="1"/>
  <c r="N86" i="1"/>
  <c r="N90" i="1" s="1"/>
  <c r="M86" i="1"/>
  <c r="M90" i="1" s="1"/>
  <c r="L86" i="1"/>
  <c r="J86" i="1"/>
  <c r="K86" i="1" s="1"/>
  <c r="I86" i="1"/>
  <c r="H86" i="1"/>
  <c r="G86" i="1"/>
  <c r="F86" i="1"/>
  <c r="E86" i="1"/>
  <c r="X85" i="1"/>
  <c r="T85" i="1"/>
  <c r="S85" i="1"/>
  <c r="Q85" i="1"/>
  <c r="P85" i="1"/>
  <c r="O85" i="1"/>
  <c r="N85" i="1"/>
  <c r="M85" i="1"/>
  <c r="L85" i="1"/>
  <c r="J85" i="1"/>
  <c r="K85" i="1" s="1"/>
  <c r="I85" i="1"/>
  <c r="I90" i="1" s="1"/>
  <c r="H85" i="1"/>
  <c r="G85" i="1"/>
  <c r="F85" i="1"/>
  <c r="E85" i="1"/>
  <c r="T79" i="1"/>
  <c r="S79" i="1"/>
  <c r="Q79" i="1"/>
  <c r="P79" i="1"/>
  <c r="R79" i="1" s="1"/>
  <c r="O79" i="1"/>
  <c r="N79" i="1"/>
  <c r="M79" i="1"/>
  <c r="L79" i="1"/>
  <c r="J79" i="1"/>
  <c r="I79" i="1"/>
  <c r="H79" i="1"/>
  <c r="G79" i="1"/>
  <c r="F79" i="1"/>
  <c r="E79" i="1"/>
  <c r="X78" i="1"/>
  <c r="Q78" i="1"/>
  <c r="P78" i="1"/>
  <c r="O78" i="1"/>
  <c r="N78" i="1"/>
  <c r="M78" i="1"/>
  <c r="L78" i="1"/>
  <c r="J78" i="1"/>
  <c r="K78" i="1" s="1"/>
  <c r="I78" i="1"/>
  <c r="H78" i="1"/>
  <c r="G78" i="1"/>
  <c r="F78" i="1"/>
  <c r="E78" i="1"/>
  <c r="X77" i="1"/>
  <c r="W77" i="1"/>
  <c r="V77" i="1"/>
  <c r="Q77" i="1"/>
  <c r="P77" i="1"/>
  <c r="O77" i="1"/>
  <c r="N77" i="1"/>
  <c r="M77" i="1"/>
  <c r="L77" i="1"/>
  <c r="R77" i="1" s="1"/>
  <c r="J77" i="1"/>
  <c r="J80" i="1" s="1"/>
  <c r="I77" i="1"/>
  <c r="K77" i="1" s="1"/>
  <c r="H77" i="1"/>
  <c r="G77" i="1"/>
  <c r="F77" i="1"/>
  <c r="E77" i="1"/>
  <c r="T76" i="1"/>
  <c r="R76" i="1"/>
  <c r="Q76" i="1"/>
  <c r="Q80" i="1" s="1"/>
  <c r="P76" i="1"/>
  <c r="O76" i="1"/>
  <c r="N76" i="1"/>
  <c r="M76" i="1"/>
  <c r="L76" i="1"/>
  <c r="J76" i="1"/>
  <c r="I76" i="1"/>
  <c r="H76" i="1"/>
  <c r="G76" i="1"/>
  <c r="F76" i="1"/>
  <c r="E76" i="1"/>
  <c r="K76" i="1" s="1"/>
  <c r="Y75" i="1"/>
  <c r="T75" i="1"/>
  <c r="S75" i="1"/>
  <c r="Q75" i="1"/>
  <c r="P75" i="1"/>
  <c r="O75" i="1"/>
  <c r="N75" i="1"/>
  <c r="M75" i="1"/>
  <c r="L75" i="1"/>
  <c r="J75" i="1"/>
  <c r="I75" i="1"/>
  <c r="I80" i="1" s="1"/>
  <c r="H75" i="1"/>
  <c r="H80" i="1" s="1"/>
  <c r="G75" i="1"/>
  <c r="G80" i="1" s="1"/>
  <c r="F75" i="1"/>
  <c r="F80" i="1" s="1"/>
  <c r="E75" i="1"/>
  <c r="V70" i="1"/>
  <c r="Q70" i="1"/>
  <c r="P70" i="1"/>
  <c r="W70" i="1" s="1"/>
  <c r="O70" i="1"/>
  <c r="N70" i="1"/>
  <c r="M70" i="1"/>
  <c r="L70" i="1"/>
  <c r="R70" i="1" s="1"/>
  <c r="J70" i="1"/>
  <c r="X70" i="1" s="1"/>
  <c r="I70" i="1"/>
  <c r="H70" i="1"/>
  <c r="G70" i="1"/>
  <c r="U70" i="1" s="1"/>
  <c r="F70" i="1"/>
  <c r="T70" i="1" s="1"/>
  <c r="E70" i="1"/>
  <c r="Y69" i="1"/>
  <c r="X69" i="1"/>
  <c r="W69" i="1"/>
  <c r="V69" i="1"/>
  <c r="U69" i="1"/>
  <c r="U79" i="1" s="1"/>
  <c r="T69" i="1"/>
  <c r="S69" i="1"/>
  <c r="R69" i="1"/>
  <c r="K69" i="1"/>
  <c r="Y68" i="1"/>
  <c r="Y88" i="1" s="1"/>
  <c r="X68" i="1"/>
  <c r="X88" i="1" s="1"/>
  <c r="W68" i="1"/>
  <c r="W88" i="1" s="1"/>
  <c r="V68" i="1"/>
  <c r="V88" i="1" s="1"/>
  <c r="U68" i="1"/>
  <c r="T68" i="1"/>
  <c r="S68" i="1"/>
  <c r="R68" i="1"/>
  <c r="K68" i="1"/>
  <c r="X67" i="1"/>
  <c r="W67" i="1"/>
  <c r="V67" i="1"/>
  <c r="U67" i="1"/>
  <c r="U77" i="1" s="1"/>
  <c r="T67" i="1"/>
  <c r="T87" i="1" s="1"/>
  <c r="S67" i="1"/>
  <c r="R67" i="1"/>
  <c r="K67" i="1"/>
  <c r="Y67" i="1" s="1"/>
  <c r="Y87" i="1" s="1"/>
  <c r="X66" i="1"/>
  <c r="W66" i="1"/>
  <c r="W86" i="1" s="1"/>
  <c r="V66" i="1"/>
  <c r="V86" i="1" s="1"/>
  <c r="U66" i="1"/>
  <c r="T66" i="1"/>
  <c r="S66" i="1"/>
  <c r="R66" i="1"/>
  <c r="K66" i="1"/>
  <c r="Y66" i="1" s="1"/>
  <c r="Y65" i="1"/>
  <c r="X65" i="1"/>
  <c r="W65" i="1"/>
  <c r="V65" i="1"/>
  <c r="U65" i="1"/>
  <c r="T65" i="1"/>
  <c r="S65" i="1"/>
  <c r="R65" i="1"/>
  <c r="K65" i="1"/>
  <c r="N59" i="1"/>
  <c r="M59" i="1"/>
  <c r="J59" i="1"/>
  <c r="X58" i="1"/>
  <c r="L58" i="1"/>
  <c r="R58" i="1" s="1"/>
  <c r="J58" i="1"/>
  <c r="I58" i="1"/>
  <c r="H58" i="1"/>
  <c r="G58" i="1"/>
  <c r="Q57" i="1"/>
  <c r="O57" i="1"/>
  <c r="J57" i="1"/>
  <c r="H57" i="1"/>
  <c r="G57" i="1"/>
  <c r="F57" i="1"/>
  <c r="E57" i="1"/>
  <c r="Q56" i="1"/>
  <c r="P56" i="1"/>
  <c r="O56" i="1"/>
  <c r="N56" i="1"/>
  <c r="E56" i="1"/>
  <c r="W55" i="1"/>
  <c r="O55" i="1"/>
  <c r="N55" i="1"/>
  <c r="N60" i="1" s="1"/>
  <c r="M55" i="1"/>
  <c r="L55" i="1"/>
  <c r="H50" i="1"/>
  <c r="T49" i="1"/>
  <c r="S49" i="1"/>
  <c r="Q49" i="1"/>
  <c r="P49" i="1"/>
  <c r="O49" i="1"/>
  <c r="R49" i="1" s="1"/>
  <c r="N49" i="1"/>
  <c r="M49" i="1"/>
  <c r="L49" i="1"/>
  <c r="J49" i="1"/>
  <c r="I49" i="1"/>
  <c r="H49" i="1"/>
  <c r="G49" i="1"/>
  <c r="F49" i="1"/>
  <c r="E49" i="1"/>
  <c r="Q48" i="1"/>
  <c r="P48" i="1"/>
  <c r="O48" i="1"/>
  <c r="N48" i="1"/>
  <c r="M48" i="1"/>
  <c r="L48" i="1"/>
  <c r="L50" i="1" s="1"/>
  <c r="J48" i="1"/>
  <c r="I48" i="1"/>
  <c r="H48" i="1"/>
  <c r="G48" i="1"/>
  <c r="F48" i="1"/>
  <c r="E48" i="1"/>
  <c r="X47" i="1"/>
  <c r="W47" i="1"/>
  <c r="V47" i="1"/>
  <c r="U47" i="1"/>
  <c r="Q47" i="1"/>
  <c r="P47" i="1"/>
  <c r="O47" i="1"/>
  <c r="N47" i="1"/>
  <c r="M47" i="1"/>
  <c r="L47" i="1"/>
  <c r="J47" i="1"/>
  <c r="I47" i="1"/>
  <c r="K47" i="1" s="1"/>
  <c r="H47" i="1"/>
  <c r="G47" i="1"/>
  <c r="F47" i="1"/>
  <c r="E47" i="1"/>
  <c r="W46" i="1"/>
  <c r="V46" i="1"/>
  <c r="U46" i="1"/>
  <c r="T46" i="1"/>
  <c r="S46" i="1"/>
  <c r="R46" i="1"/>
  <c r="Q46" i="1"/>
  <c r="P46" i="1"/>
  <c r="O46" i="1"/>
  <c r="N46" i="1"/>
  <c r="M46" i="1"/>
  <c r="M50" i="1" s="1"/>
  <c r="L46" i="1"/>
  <c r="J46" i="1"/>
  <c r="I46" i="1"/>
  <c r="H46" i="1"/>
  <c r="G46" i="1"/>
  <c r="F46" i="1"/>
  <c r="K46" i="1" s="1"/>
  <c r="E46" i="1"/>
  <c r="U45" i="1"/>
  <c r="T45" i="1"/>
  <c r="S45" i="1"/>
  <c r="Q45" i="1"/>
  <c r="P45" i="1"/>
  <c r="O45" i="1"/>
  <c r="N45" i="1"/>
  <c r="M45" i="1"/>
  <c r="L45" i="1"/>
  <c r="J45" i="1"/>
  <c r="J50" i="1" s="1"/>
  <c r="I45" i="1"/>
  <c r="I50" i="1" s="1"/>
  <c r="H45" i="1"/>
  <c r="G45" i="1"/>
  <c r="G50" i="1" s="1"/>
  <c r="F45" i="1"/>
  <c r="E45" i="1"/>
  <c r="Q40" i="1"/>
  <c r="X40" i="1" s="1"/>
  <c r="P40" i="1"/>
  <c r="O40" i="1"/>
  <c r="V40" i="1" s="1"/>
  <c r="N40" i="1"/>
  <c r="M40" i="1"/>
  <c r="L40" i="1"/>
  <c r="R40" i="1" s="1"/>
  <c r="Y40" i="1" s="1"/>
  <c r="J40" i="1"/>
  <c r="I40" i="1"/>
  <c r="H40" i="1"/>
  <c r="G40" i="1"/>
  <c r="F40" i="1"/>
  <c r="E40" i="1"/>
  <c r="K40" i="1" s="1"/>
  <c r="Y39" i="1"/>
  <c r="Y49" i="1" s="1"/>
  <c r="X39" i="1"/>
  <c r="W39" i="1"/>
  <c r="V39" i="1"/>
  <c r="U39" i="1"/>
  <c r="U59" i="1" s="1"/>
  <c r="T39" i="1"/>
  <c r="T59" i="1" s="1"/>
  <c r="S39" i="1"/>
  <c r="R39" i="1"/>
  <c r="K39" i="1"/>
  <c r="Y38" i="1"/>
  <c r="X38" i="1"/>
  <c r="X48" i="1" s="1"/>
  <c r="W38" i="1"/>
  <c r="V38" i="1"/>
  <c r="V48" i="1" s="1"/>
  <c r="U38" i="1"/>
  <c r="T38" i="1"/>
  <c r="S38" i="1"/>
  <c r="S58" i="1" s="1"/>
  <c r="R38" i="1"/>
  <c r="K38" i="1"/>
  <c r="X37" i="1"/>
  <c r="W37" i="1"/>
  <c r="V37" i="1"/>
  <c r="V57" i="1" s="1"/>
  <c r="U37" i="1"/>
  <c r="U57" i="1" s="1"/>
  <c r="T37" i="1"/>
  <c r="S37" i="1"/>
  <c r="R37" i="1"/>
  <c r="K37" i="1"/>
  <c r="Y36" i="1"/>
  <c r="Y46" i="1" s="1"/>
  <c r="X36" i="1"/>
  <c r="X46" i="1" s="1"/>
  <c r="W36" i="1"/>
  <c r="V36" i="1"/>
  <c r="V56" i="1" s="1"/>
  <c r="U36" i="1"/>
  <c r="T36" i="1"/>
  <c r="S36" i="1"/>
  <c r="S56" i="1" s="1"/>
  <c r="R36" i="1"/>
  <c r="K36" i="1"/>
  <c r="Y35" i="1"/>
  <c r="X35" i="1"/>
  <c r="X45" i="1" s="1"/>
  <c r="W35" i="1"/>
  <c r="V35" i="1"/>
  <c r="V55" i="1" s="1"/>
  <c r="U35" i="1"/>
  <c r="U75" i="1" s="1"/>
  <c r="T35" i="1"/>
  <c r="S35" i="1"/>
  <c r="R35" i="1"/>
  <c r="K35" i="1"/>
  <c r="L30" i="1"/>
  <c r="V29" i="1"/>
  <c r="U29" i="1"/>
  <c r="T29" i="1"/>
  <c r="Q29" i="1"/>
  <c r="Q59" i="1" s="1"/>
  <c r="P29" i="1"/>
  <c r="P59" i="1" s="1"/>
  <c r="O29" i="1"/>
  <c r="O59" i="1" s="1"/>
  <c r="N29" i="1"/>
  <c r="M29" i="1"/>
  <c r="L29" i="1"/>
  <c r="L59" i="1" s="1"/>
  <c r="J29" i="1"/>
  <c r="X29" i="1" s="1"/>
  <c r="I29" i="1"/>
  <c r="W29" i="1" s="1"/>
  <c r="H29" i="1"/>
  <c r="H59" i="1" s="1"/>
  <c r="G29" i="1"/>
  <c r="G59" i="1" s="1"/>
  <c r="F29" i="1"/>
  <c r="F59" i="1" s="1"/>
  <c r="E29" i="1"/>
  <c r="X28" i="1"/>
  <c r="V28" i="1"/>
  <c r="S28" i="1"/>
  <c r="Q28" i="1"/>
  <c r="Q58" i="1" s="1"/>
  <c r="P28" i="1"/>
  <c r="P58" i="1" s="1"/>
  <c r="O28" i="1"/>
  <c r="O58" i="1" s="1"/>
  <c r="N28" i="1"/>
  <c r="N58" i="1" s="1"/>
  <c r="M28" i="1"/>
  <c r="M58" i="1" s="1"/>
  <c r="L28" i="1"/>
  <c r="R28" i="1" s="1"/>
  <c r="J28" i="1"/>
  <c r="I28" i="1"/>
  <c r="W28" i="1" s="1"/>
  <c r="W58" i="1" s="1"/>
  <c r="H28" i="1"/>
  <c r="G28" i="1"/>
  <c r="U28" i="1" s="1"/>
  <c r="F28" i="1"/>
  <c r="T28" i="1" s="1"/>
  <c r="E28" i="1"/>
  <c r="V27" i="1"/>
  <c r="U27" i="1"/>
  <c r="S27" i="1"/>
  <c r="Q27" i="1"/>
  <c r="P27" i="1"/>
  <c r="P57" i="1" s="1"/>
  <c r="O27" i="1"/>
  <c r="N27" i="1"/>
  <c r="N57" i="1" s="1"/>
  <c r="M27" i="1"/>
  <c r="M57" i="1" s="1"/>
  <c r="L27" i="1"/>
  <c r="J27" i="1"/>
  <c r="X27" i="1" s="1"/>
  <c r="I27" i="1"/>
  <c r="W27" i="1" s="1"/>
  <c r="H27" i="1"/>
  <c r="G27" i="1"/>
  <c r="F27" i="1"/>
  <c r="T27" i="1" s="1"/>
  <c r="E27" i="1"/>
  <c r="V26" i="1"/>
  <c r="S26" i="1"/>
  <c r="R26" i="1"/>
  <c r="Q26" i="1"/>
  <c r="P26" i="1"/>
  <c r="O26" i="1"/>
  <c r="N26" i="1"/>
  <c r="M26" i="1"/>
  <c r="M30" i="1" s="1"/>
  <c r="L26" i="1"/>
  <c r="L56" i="1" s="1"/>
  <c r="J26" i="1"/>
  <c r="J56" i="1" s="1"/>
  <c r="I26" i="1"/>
  <c r="I56" i="1" s="1"/>
  <c r="H26" i="1"/>
  <c r="H56" i="1" s="1"/>
  <c r="G26" i="1"/>
  <c r="G56" i="1" s="1"/>
  <c r="F26" i="1"/>
  <c r="K26" i="1" s="1"/>
  <c r="Y26" i="1" s="1"/>
  <c r="E26" i="1"/>
  <c r="V25" i="1"/>
  <c r="S25" i="1"/>
  <c r="Q25" i="1"/>
  <c r="P25" i="1"/>
  <c r="P55" i="1" s="1"/>
  <c r="P60" i="1" s="1"/>
  <c r="O25" i="1"/>
  <c r="N25" i="1"/>
  <c r="M25" i="1"/>
  <c r="L25" i="1"/>
  <c r="J25" i="1"/>
  <c r="X25" i="1" s="1"/>
  <c r="I25" i="1"/>
  <c r="W25" i="1" s="1"/>
  <c r="H25" i="1"/>
  <c r="H55" i="1" s="1"/>
  <c r="H60" i="1" s="1"/>
  <c r="G25" i="1"/>
  <c r="G55" i="1" s="1"/>
  <c r="G60" i="1" s="1"/>
  <c r="F25" i="1"/>
  <c r="F55" i="1" s="1"/>
  <c r="E25" i="1"/>
  <c r="X20" i="1"/>
  <c r="Q20" i="1"/>
  <c r="P20" i="1"/>
  <c r="O20" i="1"/>
  <c r="V20" i="1" s="1"/>
  <c r="N20" i="1"/>
  <c r="M20" i="1"/>
  <c r="L20" i="1"/>
  <c r="R20" i="1" s="1"/>
  <c r="J20" i="1"/>
  <c r="I20" i="1"/>
  <c r="H20" i="1"/>
  <c r="G20" i="1"/>
  <c r="F20" i="1"/>
  <c r="E20" i="1"/>
  <c r="Y19" i="1"/>
  <c r="X19" i="1"/>
  <c r="W19" i="1"/>
  <c r="V19" i="1"/>
  <c r="V89" i="1" s="1"/>
  <c r="U19" i="1"/>
  <c r="U89" i="1" s="1"/>
  <c r="T19" i="1"/>
  <c r="S19" i="1"/>
  <c r="R19" i="1"/>
  <c r="K19" i="1"/>
  <c r="Y18" i="1"/>
  <c r="Y48" i="1" s="1"/>
  <c r="X18" i="1"/>
  <c r="W18" i="1"/>
  <c r="V18" i="1"/>
  <c r="U18" i="1"/>
  <c r="T18" i="1"/>
  <c r="S18" i="1"/>
  <c r="R18" i="1"/>
  <c r="K18" i="1"/>
  <c r="X17" i="1"/>
  <c r="W17" i="1"/>
  <c r="V17" i="1"/>
  <c r="U17" i="1"/>
  <c r="T17" i="1"/>
  <c r="S17" i="1"/>
  <c r="R17" i="1"/>
  <c r="K17" i="1"/>
  <c r="Y17" i="1" s="1"/>
  <c r="Y16" i="1"/>
  <c r="X16" i="1"/>
  <c r="X86" i="1" s="1"/>
  <c r="W16" i="1"/>
  <c r="V16" i="1"/>
  <c r="U16" i="1"/>
  <c r="T16" i="1"/>
  <c r="S16" i="1"/>
  <c r="R16" i="1"/>
  <c r="K16" i="1"/>
  <c r="Y15" i="1"/>
  <c r="Y85" i="1" s="1"/>
  <c r="X15" i="1"/>
  <c r="W15" i="1"/>
  <c r="V15" i="1"/>
  <c r="U15" i="1"/>
  <c r="T15" i="1"/>
  <c r="S15" i="1"/>
  <c r="R15" i="1"/>
  <c r="K15" i="1"/>
  <c r="X10" i="1"/>
  <c r="T10" i="1"/>
  <c r="S10" i="1"/>
  <c r="R10" i="1"/>
  <c r="Q10" i="1"/>
  <c r="P10" i="1"/>
  <c r="O10" i="1"/>
  <c r="N10" i="1"/>
  <c r="M10" i="1"/>
  <c r="L10" i="1"/>
  <c r="J10" i="1"/>
  <c r="I10" i="1"/>
  <c r="W10" i="1" s="1"/>
  <c r="H10" i="1"/>
  <c r="V10" i="1" s="1"/>
  <c r="G10" i="1"/>
  <c r="U10" i="1" s="1"/>
  <c r="F10" i="1"/>
  <c r="K10" i="1" s="1"/>
  <c r="Y10" i="1" s="1"/>
  <c r="E10" i="1"/>
  <c r="X9" i="1"/>
  <c r="W9" i="1"/>
  <c r="V9" i="1"/>
  <c r="U9" i="1"/>
  <c r="T9" i="1"/>
  <c r="S9" i="1"/>
  <c r="R9" i="1"/>
  <c r="K9" i="1"/>
  <c r="Y9" i="1" s="1"/>
  <c r="Y8" i="1"/>
  <c r="X8" i="1"/>
  <c r="W8" i="1"/>
  <c r="V8" i="1"/>
  <c r="U8" i="1"/>
  <c r="T8" i="1"/>
  <c r="S8" i="1"/>
  <c r="R8" i="1"/>
  <c r="K8" i="1"/>
  <c r="Y7" i="1"/>
  <c r="X7" i="1"/>
  <c r="W7" i="1"/>
  <c r="V7" i="1"/>
  <c r="U7" i="1"/>
  <c r="T7" i="1"/>
  <c r="S7" i="1"/>
  <c r="R7" i="1"/>
  <c r="K7" i="1"/>
  <c r="X6" i="1"/>
  <c r="W6" i="1"/>
  <c r="V6" i="1"/>
  <c r="U6" i="1"/>
  <c r="T6" i="1"/>
  <c r="S6" i="1"/>
  <c r="R6" i="1"/>
  <c r="Y6" i="1" s="1"/>
  <c r="K6" i="1"/>
  <c r="X5" i="1"/>
  <c r="W5" i="1"/>
  <c r="V5" i="1"/>
  <c r="U5" i="1"/>
  <c r="T5" i="1"/>
  <c r="S5" i="1"/>
  <c r="R5" i="1"/>
  <c r="K5" i="1"/>
  <c r="P90" i="3"/>
  <c r="O90" i="3"/>
  <c r="Q89" i="3"/>
  <c r="P89" i="3"/>
  <c r="O89" i="3"/>
  <c r="N89" i="3"/>
  <c r="M89" i="3"/>
  <c r="L89" i="3"/>
  <c r="J89" i="3"/>
  <c r="I89" i="3"/>
  <c r="K89" i="3" s="1"/>
  <c r="H89" i="3"/>
  <c r="G89" i="3"/>
  <c r="F89" i="3"/>
  <c r="E89" i="3"/>
  <c r="R88" i="3"/>
  <c r="Q88" i="3"/>
  <c r="P88" i="3"/>
  <c r="O88" i="3"/>
  <c r="N88" i="3"/>
  <c r="M88" i="3"/>
  <c r="L88" i="3"/>
  <c r="J88" i="3"/>
  <c r="I88" i="3"/>
  <c r="H88" i="3"/>
  <c r="G88" i="3"/>
  <c r="F88" i="3"/>
  <c r="K88" i="3" s="1"/>
  <c r="E88" i="3"/>
  <c r="Q87" i="3"/>
  <c r="P87" i="3"/>
  <c r="O87" i="3"/>
  <c r="R87" i="3" s="1"/>
  <c r="N87" i="3"/>
  <c r="M87" i="3"/>
  <c r="L87" i="3"/>
  <c r="J87" i="3"/>
  <c r="I87" i="3"/>
  <c r="H87" i="3"/>
  <c r="G87" i="3"/>
  <c r="F87" i="3"/>
  <c r="E87" i="3"/>
  <c r="Q86" i="3"/>
  <c r="Q90" i="3" s="1"/>
  <c r="P86" i="3"/>
  <c r="O86" i="3"/>
  <c r="N86" i="3"/>
  <c r="M86" i="3"/>
  <c r="L86" i="3"/>
  <c r="R86" i="3" s="1"/>
  <c r="J86" i="3"/>
  <c r="I86" i="3"/>
  <c r="H86" i="3"/>
  <c r="G86" i="3"/>
  <c r="G90" i="3" s="1"/>
  <c r="F86" i="3"/>
  <c r="F90" i="3" s="1"/>
  <c r="E86" i="3"/>
  <c r="K86" i="3" s="1"/>
  <c r="Q85" i="3"/>
  <c r="P85" i="3"/>
  <c r="O85" i="3"/>
  <c r="N85" i="3"/>
  <c r="N90" i="3" s="1"/>
  <c r="M85" i="3"/>
  <c r="M90" i="3" s="1"/>
  <c r="L85" i="3"/>
  <c r="R85" i="3" s="1"/>
  <c r="J85" i="3"/>
  <c r="J90" i="3" s="1"/>
  <c r="I85" i="3"/>
  <c r="I90" i="3" s="1"/>
  <c r="H85" i="3"/>
  <c r="G85" i="3"/>
  <c r="F85" i="3"/>
  <c r="E85" i="3"/>
  <c r="J80" i="3"/>
  <c r="T79" i="3"/>
  <c r="Q79" i="3"/>
  <c r="P79" i="3"/>
  <c r="O79" i="3"/>
  <c r="R79" i="3" s="1"/>
  <c r="N79" i="3"/>
  <c r="M79" i="3"/>
  <c r="L79" i="3"/>
  <c r="J79" i="3"/>
  <c r="I79" i="3"/>
  <c r="H79" i="3"/>
  <c r="G79" i="3"/>
  <c r="F79" i="3"/>
  <c r="E79" i="3"/>
  <c r="Q78" i="3"/>
  <c r="P78" i="3"/>
  <c r="O78" i="3"/>
  <c r="N78" i="3"/>
  <c r="M78" i="3"/>
  <c r="L78" i="3"/>
  <c r="R78" i="3" s="1"/>
  <c r="J78" i="3"/>
  <c r="I78" i="3"/>
  <c r="H78" i="3"/>
  <c r="G78" i="3"/>
  <c r="F78" i="3"/>
  <c r="E78" i="3"/>
  <c r="Q77" i="3"/>
  <c r="P77" i="3"/>
  <c r="O77" i="3"/>
  <c r="N77" i="3"/>
  <c r="M77" i="3"/>
  <c r="L77" i="3"/>
  <c r="R77" i="3" s="1"/>
  <c r="J77" i="3"/>
  <c r="I77" i="3"/>
  <c r="K77" i="3" s="1"/>
  <c r="H77" i="3"/>
  <c r="G77" i="3"/>
  <c r="F77" i="3"/>
  <c r="E77" i="3"/>
  <c r="V76" i="3"/>
  <c r="U76" i="3"/>
  <c r="Q76" i="3"/>
  <c r="P76" i="3"/>
  <c r="O76" i="3"/>
  <c r="N76" i="3"/>
  <c r="M76" i="3"/>
  <c r="M80" i="3" s="1"/>
  <c r="L76" i="3"/>
  <c r="R76" i="3" s="1"/>
  <c r="J76" i="3"/>
  <c r="I76" i="3"/>
  <c r="K76" i="3" s="1"/>
  <c r="H76" i="3"/>
  <c r="G76" i="3"/>
  <c r="F76" i="3"/>
  <c r="E76" i="3"/>
  <c r="T75" i="3"/>
  <c r="Q75" i="3"/>
  <c r="Q80" i="3" s="1"/>
  <c r="P75" i="3"/>
  <c r="P80" i="3" s="1"/>
  <c r="O75" i="3"/>
  <c r="O80" i="3" s="1"/>
  <c r="N75" i="3"/>
  <c r="N80" i="3" s="1"/>
  <c r="M75" i="3"/>
  <c r="L75" i="3"/>
  <c r="J75" i="3"/>
  <c r="I75" i="3"/>
  <c r="I80" i="3" s="1"/>
  <c r="H75" i="3"/>
  <c r="H80" i="3" s="1"/>
  <c r="G75" i="3"/>
  <c r="G80" i="3" s="1"/>
  <c r="F75" i="3"/>
  <c r="F80" i="3" s="1"/>
  <c r="E75" i="3"/>
  <c r="X70" i="3"/>
  <c r="Q70" i="3"/>
  <c r="P70" i="3"/>
  <c r="O70" i="3"/>
  <c r="N70" i="3"/>
  <c r="M70" i="3"/>
  <c r="L70" i="3"/>
  <c r="R70" i="3" s="1"/>
  <c r="J70" i="3"/>
  <c r="I70" i="3"/>
  <c r="W70" i="3" s="1"/>
  <c r="H70" i="3"/>
  <c r="V70" i="3" s="1"/>
  <c r="G70" i="3"/>
  <c r="U70" i="3" s="1"/>
  <c r="U80" i="3" s="1"/>
  <c r="F70" i="3"/>
  <c r="T70" i="3" s="1"/>
  <c r="E70" i="3"/>
  <c r="Y69" i="3"/>
  <c r="X69" i="3"/>
  <c r="W69" i="3"/>
  <c r="V69" i="3"/>
  <c r="V79" i="3" s="1"/>
  <c r="U69" i="3"/>
  <c r="U79" i="3" s="1"/>
  <c r="T69" i="3"/>
  <c r="T89" i="3" s="1"/>
  <c r="S69" i="3"/>
  <c r="R69" i="3"/>
  <c r="K69" i="3"/>
  <c r="Y68" i="3"/>
  <c r="X68" i="3"/>
  <c r="X88" i="3" s="1"/>
  <c r="W68" i="3"/>
  <c r="W88" i="3" s="1"/>
  <c r="V68" i="3"/>
  <c r="V88" i="3" s="1"/>
  <c r="U68" i="3"/>
  <c r="U88" i="3" s="1"/>
  <c r="T68" i="3"/>
  <c r="T88" i="3" s="1"/>
  <c r="S68" i="3"/>
  <c r="R68" i="3"/>
  <c r="K68" i="3"/>
  <c r="X67" i="3"/>
  <c r="W67" i="3"/>
  <c r="V67" i="3"/>
  <c r="V77" i="3" s="1"/>
  <c r="U67" i="3"/>
  <c r="U77" i="3" s="1"/>
  <c r="T67" i="3"/>
  <c r="T77" i="3" s="1"/>
  <c r="S67" i="3"/>
  <c r="R67" i="3"/>
  <c r="K67" i="3"/>
  <c r="X66" i="3"/>
  <c r="X86" i="3" s="1"/>
  <c r="W66" i="3"/>
  <c r="V66" i="3"/>
  <c r="V86" i="3" s="1"/>
  <c r="U66" i="3"/>
  <c r="T66" i="3"/>
  <c r="S66" i="3"/>
  <c r="S76" i="3" s="1"/>
  <c r="R66" i="3"/>
  <c r="K66" i="3"/>
  <c r="Y66" i="3" s="1"/>
  <c r="Y65" i="3"/>
  <c r="X65" i="3"/>
  <c r="W65" i="3"/>
  <c r="V65" i="3"/>
  <c r="V75" i="3" s="1"/>
  <c r="U65" i="3"/>
  <c r="U75" i="3" s="1"/>
  <c r="T65" i="3"/>
  <c r="S65" i="3"/>
  <c r="S85" i="3" s="1"/>
  <c r="R65" i="3"/>
  <c r="K65" i="3"/>
  <c r="Q59" i="3"/>
  <c r="I59" i="3"/>
  <c r="H59" i="3"/>
  <c r="N58" i="3"/>
  <c r="O57" i="3"/>
  <c r="N57" i="3"/>
  <c r="H56" i="3"/>
  <c r="M55" i="3"/>
  <c r="G55" i="3"/>
  <c r="F55" i="3"/>
  <c r="W49" i="3"/>
  <c r="Q49" i="3"/>
  <c r="P49" i="3"/>
  <c r="O49" i="3"/>
  <c r="N49" i="3"/>
  <c r="M49" i="3"/>
  <c r="L49" i="3"/>
  <c r="R49" i="3" s="1"/>
  <c r="K49" i="3"/>
  <c r="J49" i="3"/>
  <c r="I49" i="3"/>
  <c r="H49" i="3"/>
  <c r="G49" i="3"/>
  <c r="F49" i="3"/>
  <c r="E49" i="3"/>
  <c r="T48" i="3"/>
  <c r="Q48" i="3"/>
  <c r="P48" i="3"/>
  <c r="O48" i="3"/>
  <c r="N48" i="3"/>
  <c r="M48" i="3"/>
  <c r="L48" i="3"/>
  <c r="R48" i="3" s="1"/>
  <c r="J48" i="3"/>
  <c r="I48" i="3"/>
  <c r="H48" i="3"/>
  <c r="K48" i="3" s="1"/>
  <c r="G48" i="3"/>
  <c r="F48" i="3"/>
  <c r="E48" i="3"/>
  <c r="V47" i="3"/>
  <c r="Q47" i="3"/>
  <c r="R47" i="3" s="1"/>
  <c r="P47" i="3"/>
  <c r="O47" i="3"/>
  <c r="N47" i="3"/>
  <c r="M47" i="3"/>
  <c r="L47" i="3"/>
  <c r="J47" i="3"/>
  <c r="I47" i="3"/>
  <c r="H47" i="3"/>
  <c r="G47" i="3"/>
  <c r="F47" i="3"/>
  <c r="E47" i="3"/>
  <c r="K47" i="3" s="1"/>
  <c r="S46" i="3"/>
  <c r="Q46" i="3"/>
  <c r="Q50" i="3" s="1"/>
  <c r="P46" i="3"/>
  <c r="O46" i="3"/>
  <c r="O50" i="3" s="1"/>
  <c r="N46" i="3"/>
  <c r="R46" i="3" s="1"/>
  <c r="M46" i="3"/>
  <c r="L46" i="3"/>
  <c r="J46" i="3"/>
  <c r="I46" i="3"/>
  <c r="H46" i="3"/>
  <c r="G46" i="3"/>
  <c r="G50" i="3" s="1"/>
  <c r="F46" i="3"/>
  <c r="F50" i="3" s="1"/>
  <c r="E46" i="3"/>
  <c r="K46" i="3" s="1"/>
  <c r="X45" i="3"/>
  <c r="W45" i="3"/>
  <c r="Q45" i="3"/>
  <c r="P45" i="3"/>
  <c r="P50" i="3" s="1"/>
  <c r="O45" i="3"/>
  <c r="N45" i="3"/>
  <c r="M45" i="3"/>
  <c r="M50" i="3" s="1"/>
  <c r="L45" i="3"/>
  <c r="L50" i="3" s="1"/>
  <c r="K45" i="3"/>
  <c r="J45" i="3"/>
  <c r="J50" i="3" s="1"/>
  <c r="I45" i="3"/>
  <c r="I50" i="3" s="1"/>
  <c r="H45" i="3"/>
  <c r="H50" i="3" s="1"/>
  <c r="G45" i="3"/>
  <c r="F45" i="3"/>
  <c r="E45" i="3"/>
  <c r="X40" i="3"/>
  <c r="X50" i="3" s="1"/>
  <c r="U40" i="3"/>
  <c r="Q40" i="3"/>
  <c r="P40" i="3"/>
  <c r="O40" i="3"/>
  <c r="N40" i="3"/>
  <c r="M40" i="3"/>
  <c r="T40" i="3" s="1"/>
  <c r="L40" i="3"/>
  <c r="R40" i="3" s="1"/>
  <c r="J40" i="3"/>
  <c r="I40" i="3"/>
  <c r="W40" i="3" s="1"/>
  <c r="H40" i="3"/>
  <c r="K40" i="3" s="1"/>
  <c r="Y40" i="3" s="1"/>
  <c r="G40" i="3"/>
  <c r="F40" i="3"/>
  <c r="E40" i="3"/>
  <c r="S40" i="3" s="1"/>
  <c r="X39" i="3"/>
  <c r="W39" i="3"/>
  <c r="V39" i="3"/>
  <c r="V49" i="3" s="1"/>
  <c r="U39" i="3"/>
  <c r="U49" i="3" s="1"/>
  <c r="T39" i="3"/>
  <c r="T49" i="3" s="1"/>
  <c r="S39" i="3"/>
  <c r="S49" i="3" s="1"/>
  <c r="R39" i="3"/>
  <c r="K39" i="3"/>
  <c r="Y39" i="3" s="1"/>
  <c r="X38" i="3"/>
  <c r="X58" i="3" s="1"/>
  <c r="W38" i="3"/>
  <c r="V38" i="3"/>
  <c r="V48" i="3" s="1"/>
  <c r="U38" i="3"/>
  <c r="T38" i="3"/>
  <c r="S38" i="3"/>
  <c r="S48" i="3" s="1"/>
  <c r="R38" i="3"/>
  <c r="K38" i="3"/>
  <c r="Y38" i="3" s="1"/>
  <c r="X37" i="3"/>
  <c r="X77" i="3" s="1"/>
  <c r="W37" i="3"/>
  <c r="W77" i="3" s="1"/>
  <c r="V37" i="3"/>
  <c r="U37" i="3"/>
  <c r="U57" i="3" s="1"/>
  <c r="T37" i="3"/>
  <c r="S37" i="3"/>
  <c r="S47" i="3" s="1"/>
  <c r="R37" i="3"/>
  <c r="K37" i="3"/>
  <c r="Y37" i="3" s="1"/>
  <c r="Y36" i="3"/>
  <c r="Y46" i="3" s="1"/>
  <c r="X36" i="3"/>
  <c r="X46" i="3" s="1"/>
  <c r="W36" i="3"/>
  <c r="W46" i="3" s="1"/>
  <c r="V36" i="3"/>
  <c r="V46" i="3" s="1"/>
  <c r="U36" i="3"/>
  <c r="U46" i="3" s="1"/>
  <c r="T36" i="3"/>
  <c r="T76" i="3" s="1"/>
  <c r="S36" i="3"/>
  <c r="R36" i="3"/>
  <c r="K36" i="3"/>
  <c r="X35" i="3"/>
  <c r="W35" i="3"/>
  <c r="V35" i="3"/>
  <c r="V45" i="3" s="1"/>
  <c r="U35" i="3"/>
  <c r="U45" i="3" s="1"/>
  <c r="T35" i="3"/>
  <c r="S35" i="3"/>
  <c r="R35" i="3"/>
  <c r="K35" i="3"/>
  <c r="Y35" i="3" s="1"/>
  <c r="X29" i="3"/>
  <c r="Q29" i="3"/>
  <c r="P29" i="3"/>
  <c r="P59" i="3" s="1"/>
  <c r="O29" i="3"/>
  <c r="O59" i="3" s="1"/>
  <c r="N29" i="3"/>
  <c r="N59" i="3" s="1"/>
  <c r="M29" i="3"/>
  <c r="M59" i="3" s="1"/>
  <c r="L29" i="3"/>
  <c r="L59" i="3" s="1"/>
  <c r="K29" i="3"/>
  <c r="J29" i="3"/>
  <c r="J59" i="3" s="1"/>
  <c r="I29" i="3"/>
  <c r="H29" i="3"/>
  <c r="V29" i="3" s="1"/>
  <c r="G29" i="3"/>
  <c r="G59" i="3" s="1"/>
  <c r="F29" i="3"/>
  <c r="F59" i="3" s="1"/>
  <c r="E29" i="3"/>
  <c r="E59" i="3" s="1"/>
  <c r="K59" i="3" s="1"/>
  <c r="X28" i="3"/>
  <c r="U28" i="3"/>
  <c r="Q28" i="3"/>
  <c r="Q58" i="3" s="1"/>
  <c r="P28" i="3"/>
  <c r="P58" i="3" s="1"/>
  <c r="O28" i="3"/>
  <c r="O58" i="3" s="1"/>
  <c r="N28" i="3"/>
  <c r="M28" i="3"/>
  <c r="T28" i="3" s="1"/>
  <c r="L28" i="3"/>
  <c r="L58" i="3" s="1"/>
  <c r="J28" i="3"/>
  <c r="J58" i="3" s="1"/>
  <c r="I28" i="3"/>
  <c r="I58" i="3" s="1"/>
  <c r="H28" i="3"/>
  <c r="H58" i="3" s="1"/>
  <c r="G28" i="3"/>
  <c r="G58" i="3" s="1"/>
  <c r="F28" i="3"/>
  <c r="F58" i="3" s="1"/>
  <c r="E28" i="3"/>
  <c r="S28" i="3" s="1"/>
  <c r="V27" i="3"/>
  <c r="V57" i="3" s="1"/>
  <c r="U27" i="3"/>
  <c r="Q27" i="3"/>
  <c r="Q57" i="3" s="1"/>
  <c r="P27" i="3"/>
  <c r="P57" i="3" s="1"/>
  <c r="O27" i="3"/>
  <c r="N27" i="3"/>
  <c r="M27" i="3"/>
  <c r="M57" i="3" s="1"/>
  <c r="L27" i="3"/>
  <c r="L57" i="3" s="1"/>
  <c r="R57" i="3" s="1"/>
  <c r="J27" i="3"/>
  <c r="J57" i="3" s="1"/>
  <c r="I27" i="3"/>
  <c r="I57" i="3" s="1"/>
  <c r="H27" i="3"/>
  <c r="H57" i="3" s="1"/>
  <c r="G27" i="3"/>
  <c r="G57" i="3" s="1"/>
  <c r="F27" i="3"/>
  <c r="F57" i="3" s="1"/>
  <c r="E27" i="3"/>
  <c r="E57" i="3" s="1"/>
  <c r="K57" i="3" s="1"/>
  <c r="S26" i="3"/>
  <c r="S56" i="3" s="1"/>
  <c r="Q26" i="3"/>
  <c r="Q56" i="3" s="1"/>
  <c r="P26" i="3"/>
  <c r="P56" i="3" s="1"/>
  <c r="O26" i="3"/>
  <c r="O56" i="3" s="1"/>
  <c r="N26" i="3"/>
  <c r="N56" i="3" s="1"/>
  <c r="M26" i="3"/>
  <c r="M56" i="3" s="1"/>
  <c r="L26" i="3"/>
  <c r="L56" i="3" s="1"/>
  <c r="J26" i="3"/>
  <c r="X26" i="3" s="1"/>
  <c r="X56" i="3" s="1"/>
  <c r="I26" i="3"/>
  <c r="W26" i="3" s="1"/>
  <c r="H26" i="3"/>
  <c r="V26" i="3" s="1"/>
  <c r="G26" i="3"/>
  <c r="U26" i="3" s="1"/>
  <c r="F26" i="3"/>
  <c r="T26" i="3" s="1"/>
  <c r="E26" i="3"/>
  <c r="E56" i="3" s="1"/>
  <c r="X25" i="3"/>
  <c r="Q25" i="3"/>
  <c r="Q55" i="3" s="1"/>
  <c r="P25" i="3"/>
  <c r="P55" i="3" s="1"/>
  <c r="O25" i="3"/>
  <c r="O55" i="3" s="1"/>
  <c r="N25" i="3"/>
  <c r="N55" i="3" s="1"/>
  <c r="M25" i="3"/>
  <c r="M30" i="3" s="1"/>
  <c r="L25" i="3"/>
  <c r="L55" i="3" s="1"/>
  <c r="R55" i="3" s="1"/>
  <c r="K25" i="3"/>
  <c r="J25" i="3"/>
  <c r="J30" i="3" s="1"/>
  <c r="I25" i="3"/>
  <c r="I30" i="3" s="1"/>
  <c r="H25" i="3"/>
  <c r="V25" i="3" s="1"/>
  <c r="G25" i="3"/>
  <c r="U25" i="3" s="1"/>
  <c r="U55" i="3" s="1"/>
  <c r="F25" i="3"/>
  <c r="T25" i="3" s="1"/>
  <c r="E25" i="3"/>
  <c r="E55" i="3" s="1"/>
  <c r="X20" i="3"/>
  <c r="U20" i="3"/>
  <c r="Q20" i="3"/>
  <c r="P20" i="3"/>
  <c r="O20" i="3"/>
  <c r="N20" i="3"/>
  <c r="M20" i="3"/>
  <c r="T20" i="3" s="1"/>
  <c r="L20" i="3"/>
  <c r="R20" i="3" s="1"/>
  <c r="J20" i="3"/>
  <c r="I20" i="3"/>
  <c r="W20" i="3" s="1"/>
  <c r="H20" i="3"/>
  <c r="K20" i="3" s="1"/>
  <c r="G20" i="3"/>
  <c r="F20" i="3"/>
  <c r="E20" i="3"/>
  <c r="S20" i="3" s="1"/>
  <c r="X19" i="3"/>
  <c r="X89" i="3" s="1"/>
  <c r="W19" i="3"/>
  <c r="W89" i="3" s="1"/>
  <c r="V19" i="3"/>
  <c r="U19" i="3"/>
  <c r="U89" i="3" s="1"/>
  <c r="T19" i="3"/>
  <c r="S19" i="3"/>
  <c r="R19" i="3"/>
  <c r="K19" i="3"/>
  <c r="Y19" i="3" s="1"/>
  <c r="Y89" i="3" s="1"/>
  <c r="X18" i="3"/>
  <c r="X48" i="3" s="1"/>
  <c r="W18" i="3"/>
  <c r="W48" i="3" s="1"/>
  <c r="V18" i="3"/>
  <c r="U18" i="3"/>
  <c r="U48" i="3" s="1"/>
  <c r="T18" i="3"/>
  <c r="S18" i="3"/>
  <c r="S88" i="3" s="1"/>
  <c r="R18" i="3"/>
  <c r="K18" i="3"/>
  <c r="Y18" i="3" s="1"/>
  <c r="X17" i="3"/>
  <c r="W17" i="3"/>
  <c r="V17" i="3"/>
  <c r="U17" i="3"/>
  <c r="U47" i="3" s="1"/>
  <c r="T17" i="3"/>
  <c r="T47" i="3" s="1"/>
  <c r="S17" i="3"/>
  <c r="R17" i="3"/>
  <c r="Y17" i="3" s="1"/>
  <c r="K17" i="3"/>
  <c r="Y16" i="3"/>
  <c r="X16" i="3"/>
  <c r="W16" i="3"/>
  <c r="V16" i="3"/>
  <c r="U16" i="3"/>
  <c r="T16" i="3"/>
  <c r="S16" i="3"/>
  <c r="R16" i="3"/>
  <c r="K16" i="3"/>
  <c r="X15" i="3"/>
  <c r="X85" i="3" s="1"/>
  <c r="W15" i="3"/>
  <c r="W85" i="3" s="1"/>
  <c r="V15" i="3"/>
  <c r="U15" i="3"/>
  <c r="U85" i="3" s="1"/>
  <c r="T15" i="3"/>
  <c r="S15" i="3"/>
  <c r="R15" i="3"/>
  <c r="K15" i="3"/>
  <c r="Y15" i="3" s="1"/>
  <c r="Y85" i="3" s="1"/>
  <c r="S10" i="3"/>
  <c r="Q10" i="3"/>
  <c r="P10" i="3"/>
  <c r="O10" i="3"/>
  <c r="N10" i="3"/>
  <c r="R10" i="3" s="1"/>
  <c r="M10" i="3"/>
  <c r="L10" i="3"/>
  <c r="J10" i="3"/>
  <c r="X10" i="3" s="1"/>
  <c r="I10" i="3"/>
  <c r="W10" i="3" s="1"/>
  <c r="H10" i="3"/>
  <c r="V10" i="3" s="1"/>
  <c r="G10" i="3"/>
  <c r="U10" i="3" s="1"/>
  <c r="F10" i="3"/>
  <c r="T10" i="3" s="1"/>
  <c r="E10" i="3"/>
  <c r="K10" i="3" s="1"/>
  <c r="Y10" i="3" s="1"/>
  <c r="X9" i="3"/>
  <c r="W9" i="3"/>
  <c r="V9" i="3"/>
  <c r="U9" i="3"/>
  <c r="T9" i="3"/>
  <c r="S9" i="3"/>
  <c r="R9" i="3"/>
  <c r="K9" i="3"/>
  <c r="Y9" i="3" s="1"/>
  <c r="Y8" i="3"/>
  <c r="X8" i="3"/>
  <c r="W8" i="3"/>
  <c r="V8" i="3"/>
  <c r="U8" i="3"/>
  <c r="T8" i="3"/>
  <c r="S8" i="3"/>
  <c r="R8" i="3"/>
  <c r="K8" i="3"/>
  <c r="X7" i="3"/>
  <c r="W7" i="3"/>
  <c r="V7" i="3"/>
  <c r="U7" i="3"/>
  <c r="T7" i="3"/>
  <c r="S7" i="3"/>
  <c r="R7" i="3"/>
  <c r="K7" i="3"/>
  <c r="Y7" i="3" s="1"/>
  <c r="X6" i="3"/>
  <c r="W6" i="3"/>
  <c r="V6" i="3"/>
  <c r="U6" i="3"/>
  <c r="T6" i="3"/>
  <c r="S6" i="3"/>
  <c r="R6" i="3"/>
  <c r="K6" i="3"/>
  <c r="Y6" i="3" s="1"/>
  <c r="X5" i="3"/>
  <c r="W5" i="3"/>
  <c r="V5" i="3"/>
  <c r="U5" i="3"/>
  <c r="T5" i="3"/>
  <c r="S5" i="3"/>
  <c r="R5" i="3"/>
  <c r="K5" i="3"/>
  <c r="Y5" i="3" s="1"/>
  <c r="Y49" i="3" l="1"/>
  <c r="W50" i="3"/>
  <c r="R20" i="2"/>
  <c r="R56" i="1"/>
  <c r="T50" i="3"/>
  <c r="W80" i="3"/>
  <c r="Y88" i="3"/>
  <c r="R56" i="3"/>
  <c r="L60" i="3"/>
  <c r="Y45" i="3"/>
  <c r="O60" i="3"/>
  <c r="P60" i="3"/>
  <c r="Y76" i="1"/>
  <c r="Y86" i="1"/>
  <c r="Y86" i="3"/>
  <c r="Y76" i="3"/>
  <c r="E60" i="3"/>
  <c r="Q60" i="3"/>
  <c r="T55" i="3"/>
  <c r="R59" i="1"/>
  <c r="Y20" i="3"/>
  <c r="Y50" i="3" s="1"/>
  <c r="X50" i="1"/>
  <c r="Y48" i="3"/>
  <c r="R59" i="3"/>
  <c r="Y47" i="3"/>
  <c r="S50" i="3"/>
  <c r="Y50" i="1"/>
  <c r="X48" i="2"/>
  <c r="M58" i="3"/>
  <c r="M60" i="3" s="1"/>
  <c r="T90" i="3"/>
  <c r="S70" i="3"/>
  <c r="S78" i="3"/>
  <c r="T87" i="3"/>
  <c r="S55" i="1"/>
  <c r="M56" i="1"/>
  <c r="V90" i="1"/>
  <c r="V80" i="1"/>
  <c r="E80" i="1"/>
  <c r="K80" i="1" s="1"/>
  <c r="T10" i="2"/>
  <c r="W7" i="2"/>
  <c r="I27" i="2"/>
  <c r="M46" i="2"/>
  <c r="M26" i="2"/>
  <c r="M56" i="2" s="1"/>
  <c r="G48" i="2"/>
  <c r="G28" i="2"/>
  <c r="K18" i="2"/>
  <c r="U18" i="2"/>
  <c r="F55" i="2"/>
  <c r="T25" i="2"/>
  <c r="F58" i="2"/>
  <c r="T58" i="2" s="1"/>
  <c r="T28" i="2"/>
  <c r="V75" i="2"/>
  <c r="X76" i="2"/>
  <c r="G30" i="3"/>
  <c r="W25" i="3"/>
  <c r="N50" i="3"/>
  <c r="R50" i="3" s="1"/>
  <c r="R27" i="3"/>
  <c r="O30" i="3"/>
  <c r="X49" i="3"/>
  <c r="V55" i="3"/>
  <c r="T56" i="3"/>
  <c r="X78" i="3"/>
  <c r="U87" i="3"/>
  <c r="T25" i="1"/>
  <c r="E59" i="1"/>
  <c r="K29" i="1"/>
  <c r="R29" i="1"/>
  <c r="T55" i="1"/>
  <c r="W56" i="1"/>
  <c r="U49" i="1"/>
  <c r="O60" i="1"/>
  <c r="I57" i="1"/>
  <c r="T8" i="2"/>
  <c r="K8" i="2"/>
  <c r="Y8" i="2" s="1"/>
  <c r="H48" i="2"/>
  <c r="H28" i="2"/>
  <c r="V18" i="2"/>
  <c r="G30" i="2"/>
  <c r="I85" i="2"/>
  <c r="I70" i="2"/>
  <c r="I75" i="2"/>
  <c r="W65" i="2"/>
  <c r="V20" i="3"/>
  <c r="S27" i="3"/>
  <c r="V28" i="3"/>
  <c r="P30" i="3"/>
  <c r="W30" i="3" s="1"/>
  <c r="W60" i="3" s="1"/>
  <c r="V40" i="3"/>
  <c r="V80" i="3" s="1"/>
  <c r="H55" i="3"/>
  <c r="H60" i="3" s="1"/>
  <c r="U56" i="3"/>
  <c r="W76" i="3"/>
  <c r="Y78" i="3"/>
  <c r="L80" i="3"/>
  <c r="R80" i="3" s="1"/>
  <c r="V85" i="3"/>
  <c r="V87" i="3"/>
  <c r="V89" i="3"/>
  <c r="U25" i="1"/>
  <c r="S29" i="1"/>
  <c r="S59" i="1" s="1"/>
  <c r="V59" i="1"/>
  <c r="V45" i="1"/>
  <c r="V49" i="1"/>
  <c r="S86" i="1"/>
  <c r="V87" i="1"/>
  <c r="E90" i="1"/>
  <c r="Q90" i="1"/>
  <c r="K89" i="1"/>
  <c r="I48" i="2"/>
  <c r="I28" i="2"/>
  <c r="W18" i="2"/>
  <c r="T77" i="2"/>
  <c r="U47" i="2"/>
  <c r="W29" i="3"/>
  <c r="W59" i="3" s="1"/>
  <c r="N60" i="3"/>
  <c r="T27" i="3"/>
  <c r="K28" i="3"/>
  <c r="W28" i="3"/>
  <c r="E30" i="3"/>
  <c r="Q30" i="3"/>
  <c r="X30" i="3" s="1"/>
  <c r="X60" i="3" s="1"/>
  <c r="X80" i="3" s="1"/>
  <c r="X90" i="3" s="1"/>
  <c r="E50" i="3"/>
  <c r="K50" i="3" s="1"/>
  <c r="I55" i="3"/>
  <c r="F56" i="3"/>
  <c r="F60" i="3" s="1"/>
  <c r="V56" i="3"/>
  <c r="T86" i="3"/>
  <c r="W87" i="3"/>
  <c r="E80" i="3"/>
  <c r="K80" i="3" s="1"/>
  <c r="K75" i="3"/>
  <c r="R75" i="3"/>
  <c r="X76" i="3"/>
  <c r="K79" i="3"/>
  <c r="H90" i="3"/>
  <c r="T48" i="1"/>
  <c r="W59" i="1"/>
  <c r="W49" i="1"/>
  <c r="F50" i="1"/>
  <c r="V50" i="1"/>
  <c r="U55" i="1"/>
  <c r="I59" i="1"/>
  <c r="P80" i="1"/>
  <c r="L80" i="1"/>
  <c r="R85" i="1"/>
  <c r="L90" i="1"/>
  <c r="M47" i="2"/>
  <c r="R17" i="2"/>
  <c r="O55" i="2"/>
  <c r="O60" i="2" s="1"/>
  <c r="V48" i="2"/>
  <c r="K40" i="2"/>
  <c r="Y40" i="2" s="1"/>
  <c r="T40" i="2"/>
  <c r="N30" i="3"/>
  <c r="R26" i="3"/>
  <c r="F30" i="3"/>
  <c r="T30" i="3" s="1"/>
  <c r="T60" i="3" s="1"/>
  <c r="J55" i="3"/>
  <c r="G56" i="3"/>
  <c r="G60" i="3" s="1"/>
  <c r="W56" i="3"/>
  <c r="U86" i="3"/>
  <c r="X87" i="3"/>
  <c r="S89" i="3"/>
  <c r="S75" i="3"/>
  <c r="S79" i="3"/>
  <c r="W45" i="1"/>
  <c r="Y37" i="1"/>
  <c r="U48" i="1"/>
  <c r="X59" i="1"/>
  <c r="X49" i="1"/>
  <c r="X80" i="1"/>
  <c r="F59" i="2"/>
  <c r="T9" i="2"/>
  <c r="H45" i="2"/>
  <c r="H20" i="2"/>
  <c r="H25" i="2"/>
  <c r="V15" i="2"/>
  <c r="V85" i="2" s="1"/>
  <c r="N47" i="2"/>
  <c r="N27" i="2"/>
  <c r="N57" i="2" s="1"/>
  <c r="U57" i="2" s="1"/>
  <c r="R48" i="2"/>
  <c r="P30" i="2"/>
  <c r="T47" i="2"/>
  <c r="W48" i="2"/>
  <c r="K27" i="3"/>
  <c r="W27" i="3"/>
  <c r="W57" i="3" s="1"/>
  <c r="H30" i="3"/>
  <c r="W55" i="3"/>
  <c r="T58" i="3"/>
  <c r="T46" i="3"/>
  <c r="W47" i="3"/>
  <c r="U50" i="3"/>
  <c r="U90" i="3" s="1"/>
  <c r="I56" i="3"/>
  <c r="S58" i="3"/>
  <c r="T85" i="3"/>
  <c r="W86" i="3"/>
  <c r="T80" i="3"/>
  <c r="K85" i="3"/>
  <c r="E90" i="3"/>
  <c r="K90" i="3" s="1"/>
  <c r="F30" i="1"/>
  <c r="T30" i="1" s="1"/>
  <c r="Y45" i="1"/>
  <c r="S47" i="1"/>
  <c r="W48" i="1"/>
  <c r="N50" i="1"/>
  <c r="R50" i="1" s="1"/>
  <c r="K48" i="1"/>
  <c r="R48" i="1"/>
  <c r="X55" i="1"/>
  <c r="S76" i="1"/>
  <c r="Y78" i="1"/>
  <c r="U87" i="1"/>
  <c r="W6" i="2"/>
  <c r="F46" i="2"/>
  <c r="F50" i="2" s="1"/>
  <c r="T16" i="2"/>
  <c r="T46" i="2" s="1"/>
  <c r="F26" i="2"/>
  <c r="F30" i="2" s="1"/>
  <c r="K16" i="2"/>
  <c r="Y16" i="2" s="1"/>
  <c r="Y46" i="2" s="1"/>
  <c r="F20" i="2"/>
  <c r="S20" i="2"/>
  <c r="L57" i="2"/>
  <c r="G29" i="2"/>
  <c r="U9" i="2"/>
  <c r="R25" i="3"/>
  <c r="Y25" i="3" s="1"/>
  <c r="Y55" i="3" s="1"/>
  <c r="X27" i="3"/>
  <c r="X57" i="3" s="1"/>
  <c r="R29" i="3"/>
  <c r="Y29" i="3" s="1"/>
  <c r="Y59" i="3" s="1"/>
  <c r="X55" i="3"/>
  <c r="U58" i="3"/>
  <c r="X59" i="3"/>
  <c r="R45" i="3"/>
  <c r="X47" i="3"/>
  <c r="J56" i="3"/>
  <c r="S86" i="3"/>
  <c r="R89" i="3"/>
  <c r="Y5" i="1"/>
  <c r="K20" i="1"/>
  <c r="Y20" i="1" s="1"/>
  <c r="N30" i="1"/>
  <c r="R30" i="1" s="1"/>
  <c r="T26" i="1"/>
  <c r="T56" i="1" s="1"/>
  <c r="K27" i="1"/>
  <c r="Y27" i="1" s="1"/>
  <c r="G30" i="1"/>
  <c r="T47" i="1"/>
  <c r="T40" i="1"/>
  <c r="S40" i="1"/>
  <c r="O50" i="1"/>
  <c r="R47" i="1"/>
  <c r="S48" i="1"/>
  <c r="I55" i="1"/>
  <c r="I60" i="1" s="1"/>
  <c r="X56" i="1"/>
  <c r="S57" i="1"/>
  <c r="U85" i="1"/>
  <c r="X76" i="1"/>
  <c r="S78" i="1"/>
  <c r="S88" i="1"/>
  <c r="V79" i="1"/>
  <c r="K79" i="1"/>
  <c r="T80" i="1"/>
  <c r="X6" i="2"/>
  <c r="I10" i="2"/>
  <c r="W10" i="2" s="1"/>
  <c r="M27" i="2"/>
  <c r="M57" i="2" s="1"/>
  <c r="I59" i="2"/>
  <c r="W59" i="2" s="1"/>
  <c r="W29" i="2"/>
  <c r="H88" i="2"/>
  <c r="V79" i="2"/>
  <c r="S25" i="3"/>
  <c r="S55" i="3" s="1"/>
  <c r="S29" i="3"/>
  <c r="S59" i="3" s="1"/>
  <c r="S57" i="3"/>
  <c r="V58" i="3"/>
  <c r="S45" i="3"/>
  <c r="E58" i="3"/>
  <c r="K58" i="3" s="1"/>
  <c r="T78" i="3"/>
  <c r="W79" i="3"/>
  <c r="T20" i="1"/>
  <c r="T90" i="1" s="1"/>
  <c r="S20" i="1"/>
  <c r="O30" i="1"/>
  <c r="U26" i="1"/>
  <c r="L57" i="1"/>
  <c r="R57" i="1" s="1"/>
  <c r="R27" i="1"/>
  <c r="E58" i="1"/>
  <c r="K58" i="1" s="1"/>
  <c r="K28" i="1"/>
  <c r="Y28" i="1" s="1"/>
  <c r="Y58" i="1" s="1"/>
  <c r="H30" i="1"/>
  <c r="V30" i="1" s="1"/>
  <c r="V60" i="1" s="1"/>
  <c r="U40" i="1"/>
  <c r="U80" i="1" s="1"/>
  <c r="P50" i="1"/>
  <c r="J55" i="1"/>
  <c r="J60" i="1" s="1"/>
  <c r="K56" i="1"/>
  <c r="Y56" i="1"/>
  <c r="T57" i="1"/>
  <c r="V75" i="1"/>
  <c r="V85" i="1"/>
  <c r="T78" i="1"/>
  <c r="T88" i="1"/>
  <c r="W79" i="1"/>
  <c r="W89" i="1"/>
  <c r="M80" i="1"/>
  <c r="R75" i="1"/>
  <c r="K6" i="2"/>
  <c r="P10" i="2"/>
  <c r="L49" i="2"/>
  <c r="R49" i="2" s="1"/>
  <c r="L29" i="2"/>
  <c r="R19" i="2"/>
  <c r="Y19" i="2" s="1"/>
  <c r="M20" i="2"/>
  <c r="U27" i="2"/>
  <c r="M29" i="2"/>
  <c r="M59" i="2" s="1"/>
  <c r="Q55" i="2"/>
  <c r="K26" i="3"/>
  <c r="Y26" i="3" s="1"/>
  <c r="Y56" i="3" s="1"/>
  <c r="T29" i="3"/>
  <c r="T59" i="3" s="1"/>
  <c r="T57" i="3"/>
  <c r="W58" i="3"/>
  <c r="T45" i="3"/>
  <c r="U59" i="3"/>
  <c r="W75" i="3"/>
  <c r="Y67" i="3"/>
  <c r="U78" i="3"/>
  <c r="X79" i="3"/>
  <c r="L90" i="3"/>
  <c r="R90" i="3" s="1"/>
  <c r="U20" i="1"/>
  <c r="U90" i="1" s="1"/>
  <c r="P30" i="1"/>
  <c r="I30" i="1"/>
  <c r="W30" i="1" s="1"/>
  <c r="Q50" i="1"/>
  <c r="F56" i="1"/>
  <c r="F60" i="1" s="1"/>
  <c r="K57" i="1"/>
  <c r="T58" i="1"/>
  <c r="W75" i="1"/>
  <c r="U78" i="1"/>
  <c r="U88" i="1"/>
  <c r="X79" i="1"/>
  <c r="X89" i="1"/>
  <c r="N80" i="1"/>
  <c r="S77" i="1"/>
  <c r="R86" i="1"/>
  <c r="X90" i="1"/>
  <c r="R6" i="2"/>
  <c r="L10" i="2"/>
  <c r="N45" i="2"/>
  <c r="N50" i="2" s="1"/>
  <c r="N25" i="2"/>
  <c r="N20" i="2"/>
  <c r="F47" i="2"/>
  <c r="F27" i="2"/>
  <c r="T17" i="2"/>
  <c r="I56" i="2"/>
  <c r="W56" i="2" s="1"/>
  <c r="W26" i="2"/>
  <c r="H56" i="2"/>
  <c r="V56" i="2" s="1"/>
  <c r="V26" i="2"/>
  <c r="G10" i="2"/>
  <c r="U10" i="2" s="1"/>
  <c r="O47" i="2"/>
  <c r="O27" i="2"/>
  <c r="O57" i="2" s="1"/>
  <c r="V57" i="2" s="1"/>
  <c r="R28" i="3"/>
  <c r="U29" i="3"/>
  <c r="L30" i="3"/>
  <c r="V59" i="3"/>
  <c r="X75" i="3"/>
  <c r="V78" i="3"/>
  <c r="Y79" i="3"/>
  <c r="K87" i="3"/>
  <c r="Q30" i="1"/>
  <c r="Q55" i="1"/>
  <c r="Q60" i="1" s="1"/>
  <c r="W26" i="1"/>
  <c r="J30" i="1"/>
  <c r="X30" i="1" s="1"/>
  <c r="X60" i="1" s="1"/>
  <c r="W57" i="1"/>
  <c r="W40" i="1"/>
  <c r="E50" i="1"/>
  <c r="K50" i="1" s="1"/>
  <c r="K45" i="1"/>
  <c r="R45" i="1"/>
  <c r="K49" i="1"/>
  <c r="U58" i="1"/>
  <c r="X75" i="1"/>
  <c r="V78" i="1"/>
  <c r="Y89" i="1"/>
  <c r="T77" i="1"/>
  <c r="G90" i="1"/>
  <c r="K7" i="2"/>
  <c r="R9" i="2"/>
  <c r="O45" i="2"/>
  <c r="O20" i="2"/>
  <c r="G47" i="2"/>
  <c r="U17" i="2"/>
  <c r="J26" i="2"/>
  <c r="V46" i="2"/>
  <c r="I20" i="2"/>
  <c r="I25" i="2"/>
  <c r="W15" i="2"/>
  <c r="I45" i="2"/>
  <c r="I50" i="2" s="1"/>
  <c r="Y75" i="3"/>
  <c r="S77" i="3"/>
  <c r="W78" i="3"/>
  <c r="K70" i="3"/>
  <c r="Y70" i="3" s="1"/>
  <c r="K78" i="3"/>
  <c r="S87" i="3"/>
  <c r="W20" i="1"/>
  <c r="W90" i="1" s="1"/>
  <c r="E30" i="1"/>
  <c r="E55" i="1"/>
  <c r="K25" i="1"/>
  <c r="R25" i="1"/>
  <c r="X26" i="1"/>
  <c r="U56" i="1"/>
  <c r="X57" i="1"/>
  <c r="M60" i="1"/>
  <c r="F58" i="1"/>
  <c r="V58" i="1"/>
  <c r="S87" i="1"/>
  <c r="W78" i="1"/>
  <c r="S70" i="1"/>
  <c r="K70" i="1"/>
  <c r="Y70" i="1" s="1"/>
  <c r="R78" i="1"/>
  <c r="Y79" i="1"/>
  <c r="W85" i="1"/>
  <c r="K5" i="2"/>
  <c r="Y5" i="2" s="1"/>
  <c r="E10" i="2"/>
  <c r="E25" i="2"/>
  <c r="S5" i="2"/>
  <c r="P50" i="2"/>
  <c r="L46" i="2"/>
  <c r="L26" i="2"/>
  <c r="S26" i="2" s="1"/>
  <c r="W46" i="2"/>
  <c r="H90" i="1"/>
  <c r="X16" i="2"/>
  <c r="X86" i="2" s="1"/>
  <c r="P47" i="2"/>
  <c r="P27" i="2"/>
  <c r="P57" i="2" s="1"/>
  <c r="P60" i="2" s="1"/>
  <c r="X27" i="2"/>
  <c r="O29" i="2"/>
  <c r="O59" i="2" s="1"/>
  <c r="Y49" i="2"/>
  <c r="J86" i="2"/>
  <c r="T88" i="2"/>
  <c r="T11" i="4"/>
  <c r="L11" i="4"/>
  <c r="Q47" i="2"/>
  <c r="Q27" i="2"/>
  <c r="Q57" i="2" s="1"/>
  <c r="J20" i="2"/>
  <c r="X57" i="2"/>
  <c r="Q50" i="2"/>
  <c r="K49" i="2"/>
  <c r="L86" i="2"/>
  <c r="R66" i="2"/>
  <c r="Y66" i="2" s="1"/>
  <c r="L76" i="2"/>
  <c r="K9" i="2"/>
  <c r="Y9" i="2" s="1"/>
  <c r="G20" i="2"/>
  <c r="U20" i="2" s="1"/>
  <c r="U50" i="2" s="1"/>
  <c r="G45" i="2"/>
  <c r="E47" i="2"/>
  <c r="E27" i="2"/>
  <c r="K17" i="2"/>
  <c r="Y17" i="2" s="1"/>
  <c r="Y47" i="2" s="1"/>
  <c r="X18" i="2"/>
  <c r="S28" i="2"/>
  <c r="E58" i="2"/>
  <c r="S49" i="2"/>
  <c r="M86" i="2"/>
  <c r="S88" i="2"/>
  <c r="S78" i="2"/>
  <c r="U68" i="2"/>
  <c r="G88" i="2"/>
  <c r="G78" i="2"/>
  <c r="K68" i="2"/>
  <c r="U89" i="2"/>
  <c r="U79" i="2"/>
  <c r="T86" i="1"/>
  <c r="W87" i="1"/>
  <c r="O80" i="1"/>
  <c r="U76" i="1"/>
  <c r="V9" i="2"/>
  <c r="J45" i="2"/>
  <c r="J50" i="2" s="1"/>
  <c r="J25" i="2"/>
  <c r="N46" i="2"/>
  <c r="N26" i="2"/>
  <c r="N56" i="2" s="1"/>
  <c r="V17" i="2"/>
  <c r="V47" i="2" s="1"/>
  <c r="H47" i="2"/>
  <c r="K28" i="2"/>
  <c r="E29" i="2"/>
  <c r="I88" i="2"/>
  <c r="W89" i="2"/>
  <c r="W79" i="2"/>
  <c r="U86" i="1"/>
  <c r="X87" i="1"/>
  <c r="V76" i="1"/>
  <c r="M10" i="2"/>
  <c r="W9" i="2"/>
  <c r="K15" i="2"/>
  <c r="Y15" i="2" s="1"/>
  <c r="Y45" i="2" s="1"/>
  <c r="X15" i="2"/>
  <c r="X45" i="2" s="1"/>
  <c r="O46" i="2"/>
  <c r="O26" i="2"/>
  <c r="O56" i="2" s="1"/>
  <c r="I47" i="2"/>
  <c r="W17" i="2"/>
  <c r="W47" i="2" s="1"/>
  <c r="U19" i="2"/>
  <c r="U49" i="2" s="1"/>
  <c r="L28" i="2"/>
  <c r="V45" i="2"/>
  <c r="S48" i="2"/>
  <c r="W49" i="2"/>
  <c r="U85" i="2"/>
  <c r="U75" i="2"/>
  <c r="M87" i="2"/>
  <c r="X89" i="2"/>
  <c r="X79" i="2"/>
  <c r="N11" i="4"/>
  <c r="O11" i="4" s="1"/>
  <c r="O10" i="4"/>
  <c r="W76" i="1"/>
  <c r="R89" i="1"/>
  <c r="N10" i="2"/>
  <c r="R7" i="2"/>
  <c r="X9" i="2"/>
  <c r="L45" i="2"/>
  <c r="L25" i="2"/>
  <c r="R15" i="2"/>
  <c r="K48" i="2"/>
  <c r="V19" i="2"/>
  <c r="V89" i="2" s="1"/>
  <c r="P20" i="2"/>
  <c r="M55" i="2"/>
  <c r="U56" i="2"/>
  <c r="W45" i="2"/>
  <c r="T48" i="2"/>
  <c r="X49" i="2"/>
  <c r="R47" i="2"/>
  <c r="N87" i="2"/>
  <c r="R78" i="2"/>
  <c r="L89" i="2"/>
  <c r="K75" i="1"/>
  <c r="O10" i="2"/>
  <c r="V10" i="2" s="1"/>
  <c r="S8" i="2"/>
  <c r="M50" i="2"/>
  <c r="S16" i="2"/>
  <c r="S46" i="2" s="1"/>
  <c r="E46" i="2"/>
  <c r="R18" i="2"/>
  <c r="J49" i="2"/>
  <c r="J29" i="2"/>
  <c r="Q20" i="2"/>
  <c r="H29" i="2"/>
  <c r="U48" i="2"/>
  <c r="S50" i="2"/>
  <c r="G85" i="2"/>
  <c r="O87" i="2"/>
  <c r="O77" i="2"/>
  <c r="K45" i="2"/>
  <c r="K65" i="2"/>
  <c r="Y65" i="2" s="1"/>
  <c r="V68" i="2"/>
  <c r="P70" i="2"/>
  <c r="G75" i="2"/>
  <c r="K75" i="2" s="1"/>
  <c r="J76" i="2"/>
  <c r="M77" i="2"/>
  <c r="R77" i="2" s="1"/>
  <c r="P78" i="2"/>
  <c r="G79" i="2"/>
  <c r="K79" i="2" s="1"/>
  <c r="M85" i="2"/>
  <c r="M90" i="2" s="1"/>
  <c r="P86" i="2"/>
  <c r="G87" i="2"/>
  <c r="K87" i="2" s="1"/>
  <c r="J88" i="2"/>
  <c r="M89" i="2"/>
  <c r="U16" i="2"/>
  <c r="U46" i="2" s="1"/>
  <c r="X17" i="2"/>
  <c r="X47" i="2" s="1"/>
  <c r="X65" i="2"/>
  <c r="Y67" i="2"/>
  <c r="W68" i="2"/>
  <c r="E70" i="2"/>
  <c r="Q70" i="2"/>
  <c r="H75" i="2"/>
  <c r="H80" i="2" s="1"/>
  <c r="N77" i="2"/>
  <c r="E78" i="2"/>
  <c r="K78" i="2" s="1"/>
  <c r="Q78" i="2"/>
  <c r="H79" i="2"/>
  <c r="N85" i="2"/>
  <c r="E86" i="2"/>
  <c r="Q86" i="2"/>
  <c r="H87" i="2"/>
  <c r="T87" i="2"/>
  <c r="N89" i="2"/>
  <c r="L10" i="4"/>
  <c r="S67" i="2"/>
  <c r="X68" i="2"/>
  <c r="F70" i="2"/>
  <c r="T70" i="2" s="1"/>
  <c r="I79" i="2"/>
  <c r="O85" i="2"/>
  <c r="F86" i="2"/>
  <c r="I87" i="2"/>
  <c r="L88" i="2"/>
  <c r="O89" i="2"/>
  <c r="G70" i="2"/>
  <c r="U70" i="2" s="1"/>
  <c r="U80" i="2" s="1"/>
  <c r="J75" i="2"/>
  <c r="M76" i="2"/>
  <c r="P77" i="2"/>
  <c r="P80" i="2" s="1"/>
  <c r="J79" i="2"/>
  <c r="P85" i="2"/>
  <c r="P90" i="2" s="1"/>
  <c r="G86" i="2"/>
  <c r="J87" i="2"/>
  <c r="J90" i="2" s="1"/>
  <c r="M88" i="2"/>
  <c r="P89" i="2"/>
  <c r="P9" i="4"/>
  <c r="S9" i="4" s="1"/>
  <c r="U67" i="2"/>
  <c r="H70" i="2"/>
  <c r="V70" i="2" s="1"/>
  <c r="V80" i="2" s="1"/>
  <c r="N76" i="2"/>
  <c r="E77" i="2"/>
  <c r="Q77" i="2"/>
  <c r="Q80" i="2" s="1"/>
  <c r="H78" i="2"/>
  <c r="T78" i="2"/>
  <c r="E85" i="2"/>
  <c r="Q85" i="2"/>
  <c r="Q90" i="2" s="1"/>
  <c r="H86" i="2"/>
  <c r="T86" i="2"/>
  <c r="W87" i="2"/>
  <c r="N88" i="2"/>
  <c r="E89" i="2"/>
  <c r="Q89" i="2"/>
  <c r="S66" i="2"/>
  <c r="V67" i="2"/>
  <c r="R69" i="2"/>
  <c r="L75" i="2"/>
  <c r="O76" i="2"/>
  <c r="F77" i="2"/>
  <c r="F80" i="2" s="1"/>
  <c r="I78" i="2"/>
  <c r="L79" i="2"/>
  <c r="R79" i="2" s="1"/>
  <c r="F85" i="2"/>
  <c r="I86" i="2"/>
  <c r="U86" i="2"/>
  <c r="L87" i="2"/>
  <c r="X87" i="2"/>
  <c r="O88" i="2"/>
  <c r="F89" i="2"/>
  <c r="R9" i="4"/>
  <c r="H5" i="5"/>
  <c r="H10" i="5" s="1"/>
  <c r="S69" i="2"/>
  <c r="J70" i="2"/>
  <c r="M75" i="2"/>
  <c r="G89" i="2"/>
  <c r="R65" i="2"/>
  <c r="T69" i="2"/>
  <c r="N75" i="2"/>
  <c r="E76" i="2"/>
  <c r="H85" i="2"/>
  <c r="E88" i="2"/>
  <c r="K88" i="2" s="1"/>
  <c r="H89" i="2"/>
  <c r="R10" i="4"/>
  <c r="S65" i="2"/>
  <c r="V66" i="2"/>
  <c r="R68" i="2"/>
  <c r="L70" i="2"/>
  <c r="R70" i="2" s="1"/>
  <c r="O75" i="2"/>
  <c r="I89" i="2"/>
  <c r="T65" i="2"/>
  <c r="W66" i="2"/>
  <c r="J89" i="2"/>
  <c r="K69" i="2"/>
  <c r="Y69" i="2" s="1"/>
  <c r="Y87" i="2" l="1"/>
  <c r="Y77" i="2"/>
  <c r="Y86" i="2"/>
  <c r="Y76" i="2"/>
  <c r="G90" i="2"/>
  <c r="Y75" i="2"/>
  <c r="Y85" i="2"/>
  <c r="R45" i="2"/>
  <c r="L50" i="2"/>
  <c r="R50" i="2" s="1"/>
  <c r="R85" i="2"/>
  <c r="R46" i="2"/>
  <c r="K30" i="1"/>
  <c r="Y30" i="1" s="1"/>
  <c r="Y60" i="1" s="1"/>
  <c r="S30" i="1"/>
  <c r="T20" i="2"/>
  <c r="T90" i="2" s="1"/>
  <c r="V20" i="2"/>
  <c r="V50" i="2" s="1"/>
  <c r="V90" i="2" s="1"/>
  <c r="T50" i="2"/>
  <c r="U30" i="2"/>
  <c r="X46" i="2"/>
  <c r="W27" i="2"/>
  <c r="I57" i="2"/>
  <c r="W57" i="2" s="1"/>
  <c r="K56" i="3"/>
  <c r="R58" i="3"/>
  <c r="S85" i="2"/>
  <c r="S75" i="2"/>
  <c r="S89" i="2"/>
  <c r="S79" i="2"/>
  <c r="O90" i="2"/>
  <c r="K85" i="2"/>
  <c r="E90" i="2"/>
  <c r="K46" i="2"/>
  <c r="V49" i="2"/>
  <c r="K58" i="2"/>
  <c r="R86" i="2"/>
  <c r="L90" i="2"/>
  <c r="N55" i="2"/>
  <c r="N30" i="2"/>
  <c r="H50" i="2"/>
  <c r="K55" i="3"/>
  <c r="Y79" i="2"/>
  <c r="Y89" i="2"/>
  <c r="X78" i="2"/>
  <c r="X88" i="2"/>
  <c r="E55" i="2"/>
  <c r="K25" i="2"/>
  <c r="E30" i="2"/>
  <c r="S25" i="2"/>
  <c r="L60" i="1"/>
  <c r="R60" i="1" s="1"/>
  <c r="R10" i="2"/>
  <c r="T29" i="2"/>
  <c r="R75" i="2"/>
  <c r="L80" i="2"/>
  <c r="R80" i="2" s="1"/>
  <c r="E80" i="2"/>
  <c r="Y68" i="2"/>
  <c r="E57" i="2"/>
  <c r="S27" i="2"/>
  <c r="K27" i="2"/>
  <c r="X20" i="2"/>
  <c r="X50" i="2" s="1"/>
  <c r="O30" i="2"/>
  <c r="I60" i="3"/>
  <c r="H58" i="2"/>
  <c r="V58" i="2" s="1"/>
  <c r="V28" i="2"/>
  <c r="Y29" i="1"/>
  <c r="Y59" i="1" s="1"/>
  <c r="T55" i="2"/>
  <c r="R60" i="3"/>
  <c r="H90" i="2"/>
  <c r="W86" i="2"/>
  <c r="W76" i="2"/>
  <c r="M60" i="2"/>
  <c r="T85" i="2"/>
  <c r="T75" i="2"/>
  <c r="N80" i="2"/>
  <c r="J80" i="2"/>
  <c r="K70" i="2"/>
  <c r="Y70" i="2" s="1"/>
  <c r="S70" i="2"/>
  <c r="M30" i="2"/>
  <c r="T30" i="2" s="1"/>
  <c r="L58" i="2"/>
  <c r="R58" i="2" s="1"/>
  <c r="R28" i="2"/>
  <c r="Y28" i="2" s="1"/>
  <c r="K47" i="2"/>
  <c r="O50" i="2"/>
  <c r="V27" i="2"/>
  <c r="L59" i="2"/>
  <c r="R59" i="2" s="1"/>
  <c r="R29" i="2"/>
  <c r="G59" i="2"/>
  <c r="U59" i="2" s="1"/>
  <c r="U29" i="2"/>
  <c r="J60" i="3"/>
  <c r="K60" i="3" s="1"/>
  <c r="I58" i="2"/>
  <c r="W58" i="2" s="1"/>
  <c r="W28" i="2"/>
  <c r="K59" i="1"/>
  <c r="T80" i="2"/>
  <c r="J56" i="2"/>
  <c r="X56" i="2" s="1"/>
  <c r="X26" i="2"/>
  <c r="T26" i="2"/>
  <c r="F56" i="2"/>
  <c r="K76" i="2"/>
  <c r="S76" i="2"/>
  <c r="S86" i="2"/>
  <c r="K77" i="2"/>
  <c r="R87" i="2"/>
  <c r="T89" i="2"/>
  <c r="T79" i="2"/>
  <c r="K89" i="2"/>
  <c r="U90" i="2"/>
  <c r="W78" i="2"/>
  <c r="W88" i="2"/>
  <c r="R89" i="2"/>
  <c r="U26" i="2"/>
  <c r="G50" i="2"/>
  <c r="R27" i="2"/>
  <c r="U30" i="3"/>
  <c r="U60" i="3" s="1"/>
  <c r="Y18" i="2"/>
  <c r="Y48" i="2" s="1"/>
  <c r="V60" i="3"/>
  <c r="V50" i="3"/>
  <c r="V90" i="3" s="1"/>
  <c r="O80" i="2"/>
  <c r="V29" i="2"/>
  <c r="H59" i="2"/>
  <c r="V59" i="2" s="1"/>
  <c r="J55" i="2"/>
  <c r="X25" i="2"/>
  <c r="J30" i="2"/>
  <c r="X30" i="2" s="1"/>
  <c r="Y7" i="2"/>
  <c r="S60" i="1"/>
  <c r="S50" i="1"/>
  <c r="R57" i="2"/>
  <c r="V30" i="3"/>
  <c r="R90" i="1"/>
  <c r="S30" i="3"/>
  <c r="S60" i="3" s="1"/>
  <c r="K30" i="3"/>
  <c r="W85" i="2"/>
  <c r="W75" i="2"/>
  <c r="G58" i="2"/>
  <c r="U28" i="2"/>
  <c r="Y80" i="3"/>
  <c r="Y90" i="3"/>
  <c r="F90" i="2"/>
  <c r="Y80" i="1"/>
  <c r="Y90" i="1"/>
  <c r="W50" i="1"/>
  <c r="W60" i="1"/>
  <c r="R30" i="3"/>
  <c r="W80" i="1"/>
  <c r="Y6" i="2"/>
  <c r="T60" i="1"/>
  <c r="T50" i="1"/>
  <c r="U25" i="2"/>
  <c r="Y57" i="1"/>
  <c r="Y47" i="1"/>
  <c r="Y77" i="1"/>
  <c r="I80" i="2"/>
  <c r="Y87" i="3"/>
  <c r="Y77" i="3"/>
  <c r="V77" i="2"/>
  <c r="V87" i="2"/>
  <c r="S10" i="2"/>
  <c r="K10" i="2"/>
  <c r="Y10" i="2" s="1"/>
  <c r="R55" i="1"/>
  <c r="U77" i="2"/>
  <c r="U87" i="2"/>
  <c r="U88" i="2"/>
  <c r="U78" i="2"/>
  <c r="X85" i="2"/>
  <c r="X75" i="2"/>
  <c r="M80" i="2"/>
  <c r="K86" i="2"/>
  <c r="K26" i="2"/>
  <c r="S90" i="1"/>
  <c r="S80" i="1"/>
  <c r="Y25" i="1"/>
  <c r="Y55" i="1" s="1"/>
  <c r="I55" i="2"/>
  <c r="W25" i="2"/>
  <c r="I30" i="2"/>
  <c r="W30" i="2" s="1"/>
  <c r="F57" i="2"/>
  <c r="T57" i="2" s="1"/>
  <c r="T27" i="2"/>
  <c r="Q30" i="2"/>
  <c r="K20" i="2"/>
  <c r="Y20" i="2" s="1"/>
  <c r="Y50" i="2" s="1"/>
  <c r="Y27" i="3"/>
  <c r="Y57" i="3" s="1"/>
  <c r="R80" i="1"/>
  <c r="Y28" i="3"/>
  <c r="Y58" i="3" s="1"/>
  <c r="K90" i="1"/>
  <c r="W70" i="2"/>
  <c r="W80" i="2" s="1"/>
  <c r="W90" i="3"/>
  <c r="E59" i="2"/>
  <c r="K29" i="2"/>
  <c r="Y29" i="2" s="1"/>
  <c r="S29" i="2"/>
  <c r="S77" i="2"/>
  <c r="S87" i="2"/>
  <c r="T59" i="2"/>
  <c r="R88" i="2"/>
  <c r="G80" i="2"/>
  <c r="J59" i="2"/>
  <c r="X59" i="2" s="1"/>
  <c r="X29" i="2"/>
  <c r="V86" i="2"/>
  <c r="V76" i="2"/>
  <c r="X70" i="2"/>
  <c r="X80" i="2" s="1"/>
  <c r="X90" i="2" s="1"/>
  <c r="N90" i="2"/>
  <c r="V78" i="2"/>
  <c r="V88" i="2"/>
  <c r="L55" i="2"/>
  <c r="R25" i="2"/>
  <c r="L30" i="2"/>
  <c r="R76" i="2"/>
  <c r="L56" i="2"/>
  <c r="R26" i="2"/>
  <c r="K55" i="1"/>
  <c r="E60" i="1"/>
  <c r="K60" i="1" s="1"/>
  <c r="W20" i="2"/>
  <c r="W50" i="2" s="1"/>
  <c r="Q60" i="2"/>
  <c r="U60" i="1"/>
  <c r="U50" i="1"/>
  <c r="U30" i="1"/>
  <c r="E50" i="2"/>
  <c r="V25" i="2"/>
  <c r="H55" i="2"/>
  <c r="H30" i="2"/>
  <c r="V30" i="2" s="1"/>
  <c r="I90" i="2"/>
  <c r="S80" i="3"/>
  <c r="S90" i="3"/>
  <c r="Y78" i="2" l="1"/>
  <c r="Y88" i="2"/>
  <c r="S58" i="2"/>
  <c r="S80" i="2"/>
  <c r="S90" i="2"/>
  <c r="K90" i="2"/>
  <c r="F60" i="2"/>
  <c r="T60" i="2" s="1"/>
  <c r="W55" i="2"/>
  <c r="I60" i="2"/>
  <c r="W60" i="2" s="1"/>
  <c r="Y90" i="2"/>
  <c r="Y80" i="2"/>
  <c r="S57" i="2"/>
  <c r="K57" i="2"/>
  <c r="Y57" i="2" s="1"/>
  <c r="X55" i="2"/>
  <c r="J60" i="2"/>
  <c r="X60" i="2" s="1"/>
  <c r="T56" i="2"/>
  <c r="K56" i="2"/>
  <c r="Y26" i="2"/>
  <c r="R30" i="2"/>
  <c r="Y30" i="3"/>
  <c r="Y60" i="3" s="1"/>
  <c r="S30" i="2"/>
  <c r="K30" i="2"/>
  <c r="Y30" i="2" s="1"/>
  <c r="K80" i="2"/>
  <c r="V55" i="2"/>
  <c r="H60" i="2"/>
  <c r="V60" i="2" s="1"/>
  <c r="Y27" i="2"/>
  <c r="Y25" i="2"/>
  <c r="N60" i="2"/>
  <c r="U55" i="2"/>
  <c r="Y58" i="2"/>
  <c r="K59" i="2"/>
  <c r="Y59" i="2" s="1"/>
  <c r="S59" i="2"/>
  <c r="W90" i="2"/>
  <c r="U58" i="2"/>
  <c r="G60" i="2"/>
  <c r="U60" i="2" s="1"/>
  <c r="R56" i="2"/>
  <c r="S56" i="2"/>
  <c r="K50" i="2"/>
  <c r="L60" i="2"/>
  <c r="R55" i="2"/>
  <c r="E60" i="2"/>
  <c r="K55" i="2"/>
  <c r="Y55" i="2" s="1"/>
  <c r="S55" i="2"/>
  <c r="R90" i="2"/>
  <c r="Y56" i="2" l="1"/>
  <c r="S60" i="2"/>
  <c r="K60" i="2"/>
  <c r="R60" i="2"/>
  <c r="Y60" i="2" l="1"/>
</calcChain>
</file>

<file path=xl/sharedStrings.xml><?xml version="1.0" encoding="utf-8"?>
<sst xmlns="http://schemas.openxmlformats.org/spreadsheetml/2006/main" count="563" uniqueCount="61">
  <si>
    <t>松江営業所全体</t>
  </si>
  <si>
    <t>1．2024年</t>
  </si>
  <si>
    <t>売上</t>
  </si>
  <si>
    <t>粗利益</t>
  </si>
  <si>
    <t>粗利益率</t>
  </si>
  <si>
    <t>合計</t>
  </si>
  <si>
    <t>0032 集計</t>
  </si>
  <si>
    <t>飯塚主任</t>
  </si>
  <si>
    <t>0033 集計</t>
  </si>
  <si>
    <t>前田課長代</t>
  </si>
  <si>
    <t>0034 集計</t>
  </si>
  <si>
    <t>原田</t>
  </si>
  <si>
    <t>0035 集計</t>
  </si>
  <si>
    <t>自治体</t>
  </si>
  <si>
    <t>0039 集計</t>
  </si>
  <si>
    <t>その他</t>
  </si>
  <si>
    <t>2．2025年</t>
  </si>
  <si>
    <t>3．過年度平均</t>
  </si>
  <si>
    <t>4．計画</t>
  </si>
  <si>
    <t>５．前期比</t>
  </si>
  <si>
    <t>6．過年度平均比</t>
  </si>
  <si>
    <t>7．実績</t>
  </si>
  <si>
    <t>8．計画比</t>
  </si>
  <si>
    <t>9．前期比</t>
  </si>
  <si>
    <t>松江営業所機械</t>
  </si>
  <si>
    <t>松江営業所包装資材</t>
  </si>
  <si>
    <t>松江営業所第51期下期予算について</t>
  </si>
  <si>
    <t>管理職の業務は数字責任と人材育成です。なので営業所全体の目標達成に取り組みます。</t>
  </si>
  <si>
    <t>部長は予算の過年度平均増加分の人員からは外した上で、営業所全体で計画を作成ます。その営業所全体の予算から所長含めて営業担当に配分するようにお願いします。</t>
  </si>
  <si>
    <t>(自治体分は別途相談）</t>
  </si>
  <si>
    <t>2024年4～9月</t>
  </si>
  <si>
    <t>2025年4～9月</t>
  </si>
  <si>
    <t>過年度平均</t>
  </si>
  <si>
    <t>計画</t>
  </si>
  <si>
    <t>根拠</t>
  </si>
  <si>
    <t>売上年率</t>
  </si>
  <si>
    <t>粗利益年率</t>
  </si>
  <si>
    <t>松江営業所</t>
  </si>
  <si>
    <t>営業</t>
  </si>
  <si>
    <t>包装資材</t>
  </si>
  <si>
    <t>売上過年度平均10％UPで作成。粗利益率過年度平均スライド。</t>
  </si>
  <si>
    <t>機械</t>
  </si>
  <si>
    <t>売上過年度平均25％UPで作成。粗利益率過年度平均スライド。</t>
  </si>
  <si>
    <t>松江市ごみ袋失注の為。</t>
  </si>
  <si>
    <t>粗利</t>
  </si>
  <si>
    <t>粗利率</t>
  </si>
  <si>
    <t>期</t>
  </si>
  <si>
    <t>期間</t>
  </si>
  <si>
    <t>見込み</t>
  </si>
  <si>
    <t>計画比</t>
  </si>
  <si>
    <t>見込</t>
  </si>
  <si>
    <t>備考</t>
  </si>
  <si>
    <t>49期</t>
  </si>
  <si>
    <t>7月～9月</t>
  </si>
  <si>
    <t>ごみ袋込</t>
  </si>
  <si>
    <t>50期</t>
  </si>
  <si>
    <t>10月～3月</t>
  </si>
  <si>
    <t>7月～3月</t>
  </si>
  <si>
    <t>ごみ袋</t>
  </si>
  <si>
    <t>ー</t>
  </si>
  <si>
    <t>資材増加額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</si>
</sst>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0"/>
      <color theme="1"/>
      <name val="游ゴシック"/>
      <family val="3"/>
      <charset val="128"/>
      <scheme val="minor"/>
    </font>
    <font>
      <sz val="16"/>
      <color theme="1"/>
      <name val="HGP創英角ｺﾞｼｯｸUB"/>
      <family val="3"/>
      <charset val="128"/>
    </font>
    <font>
      <sz val="11"/>
      <color theme="8" tint="-0.249977111117893"/>
      <name val="游ゴシック"/>
      <family val="2"/>
      <charset val="128"/>
      <scheme val="minor"/>
    </font>
    <font>
      <sz val="11"/>
      <name val="游ゴシック"/>
      <family val="2"/>
      <charset val="128"/>
      <scheme val="minor"/>
    </font>
    <font>
      <sz val="9"/>
      <color theme="1"/>
      <name val="游ゴシック"/>
      <family val="2"/>
      <charset val="128"/>
      <scheme val="minor"/>
    </font>
    <font>
      <sz val="9"/>
      <color theme="1"/>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solid">
        <fgColor theme="4" tint="0.79998168889431442"/>
        <bgColor indexed="64"/>
      </patternFill>
    </fill>
  </fills>
  <borders count="50">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auto="1"/>
      </left>
      <right/>
      <top style="thin">
        <color auto="1"/>
      </top>
      <bottom style="hair">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38" fontId="1" fillId="0" borderId="0">
      <alignment vertical="center"/>
    </xf>
    <xf numFmtId="9" fontId="1" fillId="0" borderId="0">
      <alignment vertical="center"/>
    </xf>
  </cellStyleXfs>
  <cellXfs count="117">
    <xf numFmtId="0" fontId="0" fillId="0" borderId="0" xfId="0">
      <alignment vertical="center"/>
    </xf>
    <xf numFmtId="38" fontId="0" fillId="0" borderId="4" xfId="1" applyFont="1" applyBorder="1">
      <alignment vertical="center"/>
    </xf>
    <xf numFmtId="38" fontId="0" fillId="0" borderId="5" xfId="1" applyFont="1" applyBorder="1">
      <alignment vertical="center"/>
    </xf>
    <xf numFmtId="38" fontId="0" fillId="0" borderId="7" xfId="1" applyFont="1" applyBorder="1">
      <alignment vertical="center"/>
    </xf>
    <xf numFmtId="38" fontId="0" fillId="0" borderId="8" xfId="1" applyFont="1" applyBorder="1">
      <alignment vertical="center"/>
    </xf>
    <xf numFmtId="38" fontId="0" fillId="0" borderId="0" xfId="0" applyNumberFormat="1">
      <alignment vertical="center"/>
    </xf>
    <xf numFmtId="38" fontId="0" fillId="0" borderId="0" xfId="1" applyFont="1">
      <alignment vertical="center"/>
    </xf>
    <xf numFmtId="176" fontId="0" fillId="0" borderId="0" xfId="2" applyNumberFormat="1" applyFont="1" applyAlignment="1">
      <alignment horizontal="right" vertical="center"/>
    </xf>
    <xf numFmtId="0" fontId="4" fillId="0" borderId="0" xfId="0" applyFont="1">
      <alignment vertical="center"/>
    </xf>
    <xf numFmtId="176" fontId="0" fillId="0" borderId="6" xfId="2" applyNumberFormat="1" applyFont="1" applyBorder="1">
      <alignment vertical="center"/>
    </xf>
    <xf numFmtId="176" fontId="0" fillId="0" borderId="9" xfId="2" applyNumberFormat="1" applyFont="1" applyBorder="1">
      <alignment vertical="center"/>
    </xf>
    <xf numFmtId="0" fontId="0" fillId="0" borderId="22" xfId="0" applyBorder="1">
      <alignment vertical="center"/>
    </xf>
    <xf numFmtId="0" fontId="0" fillId="0" borderId="23" xfId="0" applyBorder="1">
      <alignment vertical="center"/>
    </xf>
    <xf numFmtId="176" fontId="0" fillId="0" borderId="27" xfId="2" applyNumberFormat="1" applyFont="1" applyBorder="1">
      <alignment vertical="center"/>
    </xf>
    <xf numFmtId="176" fontId="0" fillId="0" borderId="28" xfId="2" applyNumberFormat="1" applyFont="1" applyBorder="1">
      <alignment vertical="center"/>
    </xf>
    <xf numFmtId="0" fontId="0" fillId="0" borderId="6" xfId="0" applyBorder="1">
      <alignment vertical="center"/>
    </xf>
    <xf numFmtId="0" fontId="0" fillId="0" borderId="29" xfId="0" applyBorder="1">
      <alignment vertical="center"/>
    </xf>
    <xf numFmtId="0" fontId="0" fillId="0" borderId="30" xfId="0" applyBorder="1">
      <alignment vertical="center"/>
    </xf>
    <xf numFmtId="0" fontId="0" fillId="0" borderId="31" xfId="0" applyBorder="1">
      <alignment vertical="center"/>
    </xf>
    <xf numFmtId="0" fontId="0" fillId="0" borderId="10"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20" xfId="0" applyBorder="1">
      <alignment vertical="center"/>
    </xf>
    <xf numFmtId="0" fontId="0" fillId="0" borderId="15" xfId="0" applyBorder="1">
      <alignment vertical="center"/>
    </xf>
    <xf numFmtId="0" fontId="0" fillId="0" borderId="28" xfId="0" applyBorder="1">
      <alignment vertical="center"/>
    </xf>
    <xf numFmtId="0" fontId="0" fillId="0" borderId="25" xfId="0" applyBorder="1">
      <alignment vertical="center"/>
    </xf>
    <xf numFmtId="38" fontId="0" fillId="0" borderId="35" xfId="1" applyFont="1" applyBorder="1">
      <alignment vertical="center"/>
    </xf>
    <xf numFmtId="38" fontId="0" fillId="0" borderId="36" xfId="1" applyFont="1" applyBorder="1">
      <alignment vertical="center"/>
    </xf>
    <xf numFmtId="176" fontId="0" fillId="0" borderId="37" xfId="2" applyNumberFormat="1" applyFont="1" applyBorder="1">
      <alignment vertical="center"/>
    </xf>
    <xf numFmtId="176" fontId="0" fillId="0" borderId="38" xfId="2" applyNumberFormat="1" applyFont="1" applyBorder="1">
      <alignment vertical="center"/>
    </xf>
    <xf numFmtId="0" fontId="0" fillId="0" borderId="39" xfId="0" applyBorder="1">
      <alignment vertical="center"/>
    </xf>
    <xf numFmtId="38" fontId="0" fillId="0" borderId="7" xfId="1" applyFont="1" applyBorder="1" applyAlignment="1">
      <alignment horizontal="center" vertical="center"/>
    </xf>
    <xf numFmtId="38" fontId="0" fillId="0" borderId="8" xfId="1" applyFont="1" applyBorder="1" applyAlignment="1">
      <alignment horizontal="center" vertical="center"/>
    </xf>
    <xf numFmtId="0" fontId="0" fillId="0" borderId="9" xfId="0" applyBorder="1" applyAlignment="1">
      <alignment horizontal="center" vertical="center"/>
    </xf>
    <xf numFmtId="0" fontId="0" fillId="0" borderId="28" xfId="0" applyBorder="1" applyAlignment="1">
      <alignment horizontal="center" vertical="center"/>
    </xf>
    <xf numFmtId="0" fontId="0" fillId="0" borderId="11" xfId="0" applyBorder="1">
      <alignment vertical="center"/>
    </xf>
    <xf numFmtId="0" fontId="0" fillId="0" borderId="16" xfId="0" applyBorder="1">
      <alignment vertical="center"/>
    </xf>
    <xf numFmtId="0" fontId="0" fillId="0" borderId="40" xfId="0" applyBorder="1">
      <alignment vertical="center"/>
    </xf>
    <xf numFmtId="38" fontId="5" fillId="0" borderId="5" xfId="1" applyFont="1" applyBorder="1">
      <alignment vertical="center"/>
    </xf>
    <xf numFmtId="0" fontId="0" fillId="0" borderId="41" xfId="0" applyBorder="1">
      <alignment vertical="center"/>
    </xf>
    <xf numFmtId="38" fontId="0" fillId="0" borderId="41" xfId="1" applyFont="1" applyBorder="1">
      <alignment vertical="center"/>
    </xf>
    <xf numFmtId="38" fontId="0" fillId="0" borderId="41" xfId="0" applyNumberFormat="1" applyBorder="1">
      <alignment vertical="center"/>
    </xf>
    <xf numFmtId="38" fontId="0" fillId="0" borderId="41" xfId="1" applyFont="1" applyBorder="1" applyAlignment="1">
      <alignment horizontal="center" vertical="center"/>
    </xf>
    <xf numFmtId="0" fontId="0" fillId="5" borderId="41" xfId="0" applyFill="1" applyBorder="1">
      <alignment vertical="center"/>
    </xf>
    <xf numFmtId="38" fontId="0" fillId="5" borderId="41" xfId="1" applyFont="1" applyFill="1" applyBorder="1">
      <alignment vertical="center"/>
    </xf>
    <xf numFmtId="38" fontId="0" fillId="5" borderId="41" xfId="0" applyNumberFormat="1" applyFill="1" applyBorder="1">
      <alignment vertical="center"/>
    </xf>
    <xf numFmtId="176" fontId="0" fillId="0" borderId="41" xfId="2" applyNumberFormat="1" applyFont="1" applyBorder="1">
      <alignment vertical="center"/>
    </xf>
    <xf numFmtId="176" fontId="0" fillId="0" borderId="41" xfId="0" applyNumberFormat="1" applyBorder="1">
      <alignment vertical="center"/>
    </xf>
    <xf numFmtId="9" fontId="0" fillId="0" borderId="41" xfId="2" applyFont="1" applyBorder="1">
      <alignment vertical="center"/>
    </xf>
    <xf numFmtId="176" fontId="0" fillId="5" borderId="41" xfId="2" applyNumberFormat="1" applyFont="1" applyFill="1" applyBorder="1">
      <alignment vertical="center"/>
    </xf>
    <xf numFmtId="176" fontId="0" fillId="5" borderId="41" xfId="0" applyNumberFormat="1" applyFill="1" applyBorder="1">
      <alignment vertical="center"/>
    </xf>
    <xf numFmtId="0" fontId="0" fillId="0" borderId="13" xfId="0" applyBorder="1">
      <alignment vertical="center"/>
    </xf>
    <xf numFmtId="38" fontId="0" fillId="0" borderId="13" xfId="1" applyFont="1" applyBorder="1">
      <alignment vertical="center"/>
    </xf>
    <xf numFmtId="38" fontId="0" fillId="0" borderId="13" xfId="0" applyNumberFormat="1" applyBorder="1">
      <alignment vertical="center"/>
    </xf>
    <xf numFmtId="176" fontId="0" fillId="0" borderId="13" xfId="2" applyNumberFormat="1" applyFont="1" applyBorder="1">
      <alignment vertical="center"/>
    </xf>
    <xf numFmtId="176" fontId="0" fillId="0" borderId="13" xfId="0" applyNumberFormat="1" applyBorder="1">
      <alignment vertical="center"/>
    </xf>
    <xf numFmtId="0" fontId="0" fillId="0" borderId="42" xfId="0" applyBorder="1">
      <alignment vertical="center"/>
    </xf>
    <xf numFmtId="38" fontId="5" fillId="0" borderId="4" xfId="1" applyFont="1" applyBorder="1">
      <alignment vertical="center"/>
    </xf>
    <xf numFmtId="38" fontId="7" fillId="0" borderId="6" xfId="1" applyFont="1" applyBorder="1">
      <alignment vertical="center"/>
    </xf>
    <xf numFmtId="38" fontId="8" fillId="0" borderId="6" xfId="1" applyFont="1" applyBorder="1">
      <alignment vertical="center"/>
    </xf>
    <xf numFmtId="0" fontId="0" fillId="0" borderId="1" xfId="0" applyBorder="1">
      <alignment vertical="center"/>
    </xf>
    <xf numFmtId="55" fontId="3" fillId="0" borderId="2" xfId="0" applyNumberFormat="1" applyFont="1" applyBorder="1" applyAlignment="1">
      <alignment horizontal="center" vertical="center"/>
    </xf>
    <xf numFmtId="38" fontId="0" fillId="3" borderId="8" xfId="0" applyNumberFormat="1" applyFill="1" applyBorder="1">
      <alignment vertical="center"/>
    </xf>
    <xf numFmtId="0" fontId="0" fillId="2" borderId="3" xfId="0" applyFill="1" applyBorder="1" applyAlignment="1">
      <alignment horizontal="center" vertical="center"/>
    </xf>
    <xf numFmtId="176" fontId="0" fillId="0" borderId="5" xfId="2" applyNumberFormat="1" applyFont="1" applyBorder="1" applyAlignment="1">
      <alignment horizontal="right" vertical="center"/>
    </xf>
    <xf numFmtId="176" fontId="0" fillId="2" borderId="6" xfId="2" applyNumberFormat="1" applyFont="1" applyFill="1" applyBorder="1" applyAlignment="1">
      <alignment horizontal="right" vertical="center"/>
    </xf>
    <xf numFmtId="176" fontId="0" fillId="3" borderId="8" xfId="2" applyNumberFormat="1" applyFont="1" applyFill="1" applyBorder="1" applyAlignment="1">
      <alignment horizontal="right" vertical="center"/>
    </xf>
    <xf numFmtId="176" fontId="0" fillId="4" borderId="9" xfId="2" applyNumberFormat="1" applyFont="1" applyFill="1" applyBorder="1" applyAlignment="1">
      <alignment horizontal="right" vertical="center"/>
    </xf>
    <xf numFmtId="38" fontId="0" fillId="0" borderId="18" xfId="1" applyFont="1" applyBorder="1">
      <alignment vertical="center"/>
    </xf>
    <xf numFmtId="0" fontId="0" fillId="0" borderId="3" xfId="0" applyBorder="1">
      <alignment vertical="center"/>
    </xf>
    <xf numFmtId="38" fontId="0" fillId="0" borderId="6" xfId="1" applyFont="1" applyBorder="1">
      <alignment vertical="center"/>
    </xf>
    <xf numFmtId="0" fontId="0" fillId="0" borderId="9" xfId="0" applyBorder="1">
      <alignment vertical="center"/>
    </xf>
    <xf numFmtId="0" fontId="0" fillId="0" borderId="4" xfId="0" applyBorder="1">
      <alignment vertical="center"/>
    </xf>
    <xf numFmtId="55" fontId="3" fillId="0" borderId="1" xfId="0" applyNumberFormat="1" applyFont="1" applyBorder="1" applyAlignment="1">
      <alignment horizontal="center" vertical="center"/>
    </xf>
    <xf numFmtId="38" fontId="0" fillId="2" borderId="6" xfId="1" applyFont="1" applyFill="1" applyBorder="1">
      <alignment vertical="center"/>
    </xf>
    <xf numFmtId="38" fontId="0" fillId="3" borderId="7" xfId="0" applyNumberFormat="1" applyFill="1" applyBorder="1">
      <alignment vertical="center"/>
    </xf>
    <xf numFmtId="38" fontId="0" fillId="4" borderId="9" xfId="1" applyFont="1" applyFill="1" applyBorder="1">
      <alignment vertical="center"/>
    </xf>
    <xf numFmtId="0" fontId="0" fillId="2" borderId="43" xfId="0" applyFill="1" applyBorder="1" applyAlignment="1">
      <alignment horizontal="center" vertical="center"/>
    </xf>
    <xf numFmtId="38" fontId="0" fillId="2" borderId="27" xfId="1" applyFont="1" applyFill="1" applyBorder="1">
      <alignment vertical="center"/>
    </xf>
    <xf numFmtId="38" fontId="0" fillId="4" borderId="28" xfId="1" applyFont="1" applyFill="1" applyBorder="1">
      <alignment vertical="center"/>
    </xf>
    <xf numFmtId="38" fontId="6" fillId="0" borderId="5" xfId="1" applyFont="1" applyBorder="1">
      <alignment vertical="center"/>
    </xf>
    <xf numFmtId="176" fontId="0" fillId="3" borderId="19" xfId="2" applyNumberFormat="1" applyFont="1" applyFill="1" applyBorder="1" applyAlignment="1">
      <alignment horizontal="right" vertical="center"/>
    </xf>
    <xf numFmtId="55" fontId="3" fillId="0" borderId="17" xfId="0" applyNumberFormat="1" applyFont="1" applyBorder="1" applyAlignment="1">
      <alignment horizontal="center" vertical="center"/>
    </xf>
    <xf numFmtId="176" fontId="0" fillId="0" borderId="18" xfId="2" applyNumberFormat="1" applyFont="1" applyBorder="1" applyAlignment="1">
      <alignment horizontal="right" vertical="center"/>
    </xf>
    <xf numFmtId="0" fontId="0" fillId="0" borderId="0" xfId="0" applyAlignment="1"/>
    <xf numFmtId="38" fontId="1" fillId="0" borderId="5" xfId="1" applyBorder="1">
      <alignment vertical="center"/>
    </xf>
    <xf numFmtId="0" fontId="0" fillId="0" borderId="44" xfId="0" applyBorder="1" applyAlignment="1">
      <alignment horizontal="center" vertical="center"/>
    </xf>
    <xf numFmtId="0" fontId="0" fillId="0" borderId="14" xfId="0" applyBorder="1" applyAlignment="1"/>
    <xf numFmtId="38" fontId="0" fillId="0" borderId="14" xfId="1" applyFont="1" applyBorder="1" applyAlignment="1">
      <alignment horizontal="center" vertical="center"/>
    </xf>
    <xf numFmtId="0" fontId="0" fillId="0" borderId="13" xfId="0" applyBorder="1" applyAlignment="1"/>
    <xf numFmtId="0" fontId="0" fillId="0" borderId="12" xfId="0" applyBorder="1" applyAlignment="1">
      <alignment horizontal="center" vertical="center"/>
    </xf>
    <xf numFmtId="38" fontId="0" fillId="0" borderId="44" xfId="1" applyFont="1" applyBorder="1" applyAlignment="1">
      <alignment horizontal="center" vertical="center"/>
    </xf>
    <xf numFmtId="0" fontId="0" fillId="0" borderId="1" xfId="0" applyBorder="1" applyAlignment="1">
      <alignment horizontal="center" vertical="center"/>
    </xf>
    <xf numFmtId="0" fontId="0" fillId="0" borderId="26" xfId="0" applyBorder="1" applyAlignment="1"/>
    <xf numFmtId="0" fontId="0" fillId="0" borderId="17" xfId="0" applyBorder="1" applyAlignment="1"/>
    <xf numFmtId="0" fontId="4" fillId="0" borderId="0" xfId="0" applyFont="1" applyAlignment="1">
      <alignment horizontal="center" vertical="center"/>
    </xf>
    <xf numFmtId="0" fontId="0" fillId="0" borderId="0" xfId="0" applyAlignment="1"/>
    <xf numFmtId="0" fontId="0" fillId="0" borderId="0" xfId="0">
      <alignment vertical="center"/>
    </xf>
    <xf numFmtId="0" fontId="0" fillId="0" borderId="21" xfId="0" applyBorder="1" applyAlignment="1">
      <alignment horizontal="center" vertical="center"/>
    </xf>
    <xf numFmtId="0" fontId="0" fillId="0" borderId="24" xfId="0" applyBorder="1" applyAlignment="1"/>
    <xf numFmtId="0" fontId="0" fillId="0" borderId="33" xfId="0" applyBorder="1" applyAlignment="1"/>
    <xf numFmtId="0" fontId="0" fillId="0" borderId="34" xfId="0" applyBorder="1" applyAlignment="1"/>
    <xf numFmtId="0" fontId="0" fillId="0" borderId="15" xfId="0" applyBorder="1" applyAlignment="1"/>
    <xf numFmtId="0" fontId="0" fillId="0" borderId="11" xfId="0" applyBorder="1" applyAlignment="1"/>
    <xf numFmtId="0" fontId="0" fillId="0" borderId="16" xfId="0" applyBorder="1" applyAlignment="1"/>
    <xf numFmtId="0" fontId="0" fillId="0" borderId="39" xfId="0" applyBorder="1" applyAlignment="1"/>
    <xf numFmtId="0" fontId="0" fillId="0" borderId="41" xfId="0" applyBorder="1" applyAlignment="1">
      <alignment horizontal="center" vertical="center"/>
    </xf>
    <xf numFmtId="0" fontId="0" fillId="0" borderId="45" xfId="0" applyBorder="1" applyAlignment="1"/>
    <xf numFmtId="0" fontId="0" fillId="0" borderId="46" xfId="0" applyBorder="1" applyAlignment="1"/>
    <xf numFmtId="0" fontId="0" fillId="0" borderId="15" xfId="0" applyBorder="1" applyAlignment="1">
      <alignment horizontal="center" vertical="center"/>
    </xf>
    <xf numFmtId="0" fontId="0" fillId="0" borderId="42" xfId="0" applyBorder="1" applyAlignment="1">
      <alignment horizontal="center" vertical="center"/>
    </xf>
    <xf numFmtId="0" fontId="0" fillId="0" borderId="48" xfId="0" applyBorder="1" applyAlignment="1"/>
    <xf numFmtId="0" fontId="0" fillId="0" borderId="49" xfId="0" applyBorder="1" applyAlignment="1"/>
    <xf numFmtId="0" fontId="0" fillId="0" borderId="47" xfId="0" applyBorder="1" applyAlignment="1">
      <alignment horizontal="center" vertical="center"/>
    </xf>
    <xf numFmtId="38" fontId="6" fillId="0" borderId="18" xfId="1" applyFont="1" applyBorder="1">
      <alignment vertical="center"/>
    </xf>
    <xf numFmtId="38" fontId="0" fillId="3" borderId="19" xfId="0" applyNumberFormat="1" applyFill="1" applyBorder="1">
      <alignment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C1:Y90"/>
  <sheetViews>
    <sheetView workbookViewId="0">
      <pane xSplit="4" ySplit="1" topLeftCell="E61" activePane="bottomRight" state="frozen"/>
      <selection activeCell="M85" sqref="M85:Q89"/>
      <selection pane="topRight" activeCell="M85" sqref="M85:Q89"/>
      <selection pane="bottomLeft" activeCell="M85" sqref="M85:Q89"/>
      <selection pane="bottomRight" activeCell="R67" sqref="R67"/>
    </sheetView>
  </sheetViews>
  <sheetFormatPr defaultRowHeight="18.75" x14ac:dyDescent="0.4"/>
  <cols>
    <col min="3" max="3" width="9.75" style="85" bestFit="1" customWidth="1"/>
    <col min="5" max="25" width="10.125" style="85" customWidth="1"/>
  </cols>
  <sheetData>
    <row r="1" spans="3:25" ht="24" customHeight="1" x14ac:dyDescent="0.4">
      <c r="C1" s="8" t="s">
        <v>24</v>
      </c>
    </row>
    <row r="2" spans="3:25" x14ac:dyDescent="0.4">
      <c r="C2" t="s">
        <v>1</v>
      </c>
    </row>
    <row r="3" spans="3:25" x14ac:dyDescent="0.4">
      <c r="C3" s="87"/>
      <c r="D3" s="88"/>
      <c r="E3" s="91" t="s">
        <v>2</v>
      </c>
      <c r="F3" s="90"/>
      <c r="G3" s="90"/>
      <c r="H3" s="90"/>
      <c r="I3" s="90"/>
      <c r="J3" s="90"/>
      <c r="K3" s="90"/>
      <c r="L3" s="92" t="s">
        <v>3</v>
      </c>
      <c r="M3" s="90"/>
      <c r="N3" s="90"/>
      <c r="O3" s="90"/>
      <c r="P3" s="90"/>
      <c r="Q3" s="90"/>
      <c r="R3" s="88"/>
      <c r="S3" s="89" t="s">
        <v>4</v>
      </c>
      <c r="T3" s="90"/>
      <c r="U3" s="90"/>
      <c r="V3" s="90"/>
      <c r="W3" s="90"/>
      <c r="X3" s="90"/>
      <c r="Y3" s="88"/>
    </row>
    <row r="4" spans="3:25" x14ac:dyDescent="0.4">
      <c r="C4" s="61"/>
      <c r="D4" s="70"/>
      <c r="E4" s="62">
        <v>45383</v>
      </c>
      <c r="F4" s="62">
        <v>45413</v>
      </c>
      <c r="G4" s="62">
        <v>45444</v>
      </c>
      <c r="H4" s="62">
        <v>45474</v>
      </c>
      <c r="I4" s="62">
        <v>45505</v>
      </c>
      <c r="J4" s="62">
        <v>45536</v>
      </c>
      <c r="K4" s="78" t="s">
        <v>5</v>
      </c>
      <c r="L4" s="74">
        <v>45383</v>
      </c>
      <c r="M4" s="62">
        <v>45413</v>
      </c>
      <c r="N4" s="62">
        <v>45444</v>
      </c>
      <c r="O4" s="62">
        <v>45474</v>
      </c>
      <c r="P4" s="62">
        <v>45505</v>
      </c>
      <c r="Q4" s="62">
        <v>45536</v>
      </c>
      <c r="R4" s="64" t="s">
        <v>5</v>
      </c>
      <c r="S4" s="83">
        <v>45383</v>
      </c>
      <c r="T4" s="62">
        <v>45413</v>
      </c>
      <c r="U4" s="62">
        <v>45444</v>
      </c>
      <c r="V4" s="62">
        <v>45474</v>
      </c>
      <c r="W4" s="62">
        <v>45505</v>
      </c>
      <c r="X4" s="62">
        <v>45536</v>
      </c>
      <c r="Y4" s="64" t="s">
        <v>5</v>
      </c>
    </row>
    <row r="5" spans="3:25" x14ac:dyDescent="0.4">
      <c r="C5" s="73" t="s">
        <v>6</v>
      </c>
      <c r="D5" s="71" t="s">
        <v>7</v>
      </c>
      <c r="E5" s="2">
        <v>205</v>
      </c>
      <c r="F5" s="2">
        <v>2895</v>
      </c>
      <c r="G5" s="2">
        <v>20</v>
      </c>
      <c r="H5" s="2">
        <v>39</v>
      </c>
      <c r="I5" s="2">
        <v>210</v>
      </c>
      <c r="J5" s="2">
        <v>-2216</v>
      </c>
      <c r="K5" s="79">
        <f t="shared" ref="K5:K10" si="0">SUM(E5:J5)</f>
        <v>1153</v>
      </c>
      <c r="L5" s="1">
        <v>45</v>
      </c>
      <c r="M5" s="2">
        <v>601</v>
      </c>
      <c r="N5" s="2">
        <v>6</v>
      </c>
      <c r="O5" s="2">
        <v>9</v>
      </c>
      <c r="P5" s="2">
        <v>49</v>
      </c>
      <c r="Q5" s="2">
        <v>-441</v>
      </c>
      <c r="R5" s="75">
        <f t="shared" ref="R5:R10" si="1">SUM(L5:Q5)</f>
        <v>269</v>
      </c>
      <c r="S5" s="84">
        <f t="shared" ref="S5:Y10" si="2">IF(E5=0,"***",L5/E5)</f>
        <v>0.21951219512195122</v>
      </c>
      <c r="T5" s="65">
        <f t="shared" si="2"/>
        <v>0.2075993091537133</v>
      </c>
      <c r="U5" s="65">
        <f t="shared" si="2"/>
        <v>0.3</v>
      </c>
      <c r="V5" s="65">
        <f t="shared" si="2"/>
        <v>0.23076923076923078</v>
      </c>
      <c r="W5" s="65">
        <f t="shared" si="2"/>
        <v>0.23333333333333334</v>
      </c>
      <c r="X5" s="65">
        <f t="shared" si="2"/>
        <v>0.1990072202166065</v>
      </c>
      <c r="Y5" s="66">
        <f t="shared" si="2"/>
        <v>0.23330442324371206</v>
      </c>
    </row>
    <row r="6" spans="3:25" x14ac:dyDescent="0.4">
      <c r="C6" s="73" t="s">
        <v>8</v>
      </c>
      <c r="D6" s="60" t="s">
        <v>9</v>
      </c>
      <c r="E6" s="2">
        <v>558</v>
      </c>
      <c r="F6" s="2">
        <v>155</v>
      </c>
      <c r="G6" s="2">
        <v>295</v>
      </c>
      <c r="H6" s="2">
        <v>126</v>
      </c>
      <c r="I6" s="2">
        <v>90</v>
      </c>
      <c r="J6" s="2">
        <v>116</v>
      </c>
      <c r="K6" s="79">
        <f t="shared" si="0"/>
        <v>1340</v>
      </c>
      <c r="L6" s="1">
        <v>130</v>
      </c>
      <c r="M6" s="2">
        <v>37</v>
      </c>
      <c r="N6" s="2">
        <v>38</v>
      </c>
      <c r="O6" s="2">
        <v>18</v>
      </c>
      <c r="P6" s="2">
        <v>11</v>
      </c>
      <c r="Q6" s="2">
        <v>35</v>
      </c>
      <c r="R6" s="75">
        <f t="shared" si="1"/>
        <v>269</v>
      </c>
      <c r="S6" s="84">
        <f t="shared" si="2"/>
        <v>0.23297491039426524</v>
      </c>
      <c r="T6" s="65">
        <f t="shared" si="2"/>
        <v>0.23870967741935484</v>
      </c>
      <c r="U6" s="65">
        <f t="shared" si="2"/>
        <v>0.12881355932203389</v>
      </c>
      <c r="V6" s="65">
        <f t="shared" si="2"/>
        <v>0.14285714285714285</v>
      </c>
      <c r="W6" s="65">
        <f t="shared" si="2"/>
        <v>0.12222222222222222</v>
      </c>
      <c r="X6" s="65">
        <f t="shared" si="2"/>
        <v>0.30172413793103448</v>
      </c>
      <c r="Y6" s="66">
        <f t="shared" si="2"/>
        <v>0.20074626865671641</v>
      </c>
    </row>
    <row r="7" spans="3:25" x14ac:dyDescent="0.4">
      <c r="C7" s="73" t="s">
        <v>10</v>
      </c>
      <c r="D7" s="71" t="s">
        <v>11</v>
      </c>
      <c r="E7" s="2"/>
      <c r="F7" s="2"/>
      <c r="G7" s="2">
        <v>97</v>
      </c>
      <c r="H7" s="2"/>
      <c r="I7" s="2"/>
      <c r="J7" s="2"/>
      <c r="K7" s="79">
        <f t="shared" si="0"/>
        <v>97</v>
      </c>
      <c r="L7" s="1"/>
      <c r="M7" s="2"/>
      <c r="N7" s="2">
        <v>19</v>
      </c>
      <c r="O7" s="2"/>
      <c r="P7" s="2"/>
      <c r="Q7" s="2"/>
      <c r="R7" s="75">
        <f t="shared" si="1"/>
        <v>19</v>
      </c>
      <c r="S7" s="84" t="str">
        <f t="shared" si="2"/>
        <v>***</v>
      </c>
      <c r="T7" s="65" t="str">
        <f t="shared" si="2"/>
        <v>***</v>
      </c>
      <c r="U7" s="65">
        <f t="shared" si="2"/>
        <v>0.19587628865979381</v>
      </c>
      <c r="V7" s="65" t="str">
        <f t="shared" si="2"/>
        <v>***</v>
      </c>
      <c r="W7" s="65" t="str">
        <f t="shared" si="2"/>
        <v>***</v>
      </c>
      <c r="X7" s="65" t="str">
        <f t="shared" si="2"/>
        <v>***</v>
      </c>
      <c r="Y7" s="66">
        <f t="shared" si="2"/>
        <v>0.19587628865979381</v>
      </c>
    </row>
    <row r="8" spans="3:25" x14ac:dyDescent="0.4">
      <c r="C8" s="73" t="s">
        <v>12</v>
      </c>
      <c r="D8" s="71" t="s">
        <v>13</v>
      </c>
      <c r="E8" s="2"/>
      <c r="F8" s="2"/>
      <c r="G8" s="2"/>
      <c r="H8" s="2"/>
      <c r="I8" s="2"/>
      <c r="J8" s="2"/>
      <c r="K8" s="79">
        <f t="shared" si="0"/>
        <v>0</v>
      </c>
      <c r="L8" s="1"/>
      <c r="M8" s="2"/>
      <c r="N8" s="2"/>
      <c r="O8" s="2"/>
      <c r="P8" s="2"/>
      <c r="Q8" s="2"/>
      <c r="R8" s="75">
        <f t="shared" si="1"/>
        <v>0</v>
      </c>
      <c r="S8" s="84" t="str">
        <f t="shared" si="2"/>
        <v>***</v>
      </c>
      <c r="T8" s="65" t="str">
        <f t="shared" si="2"/>
        <v>***</v>
      </c>
      <c r="U8" s="65" t="str">
        <f t="shared" si="2"/>
        <v>***</v>
      </c>
      <c r="V8" s="65" t="str">
        <f t="shared" si="2"/>
        <v>***</v>
      </c>
      <c r="W8" s="65" t="str">
        <f t="shared" si="2"/>
        <v>***</v>
      </c>
      <c r="X8" s="65" t="str">
        <f t="shared" si="2"/>
        <v>***</v>
      </c>
      <c r="Y8" s="66" t="str">
        <f t="shared" si="2"/>
        <v>***</v>
      </c>
    </row>
    <row r="9" spans="3:25" x14ac:dyDescent="0.4">
      <c r="C9" s="73" t="s">
        <v>14</v>
      </c>
      <c r="D9" s="71" t="s">
        <v>15</v>
      </c>
      <c r="E9" s="2"/>
      <c r="F9" s="2"/>
      <c r="G9" s="2"/>
      <c r="H9" s="2"/>
      <c r="I9" s="2"/>
      <c r="J9" s="2"/>
      <c r="K9" s="79">
        <f t="shared" si="0"/>
        <v>0</v>
      </c>
      <c r="L9" s="1"/>
      <c r="M9" s="2"/>
      <c r="N9" s="2"/>
      <c r="O9" s="2"/>
      <c r="P9" s="2"/>
      <c r="Q9" s="2"/>
      <c r="R9" s="75">
        <f t="shared" si="1"/>
        <v>0</v>
      </c>
      <c r="S9" s="84" t="str">
        <f t="shared" si="2"/>
        <v>***</v>
      </c>
      <c r="T9" s="65" t="str">
        <f t="shared" si="2"/>
        <v>***</v>
      </c>
      <c r="U9" s="65" t="str">
        <f t="shared" si="2"/>
        <v>***</v>
      </c>
      <c r="V9" s="65" t="str">
        <f t="shared" si="2"/>
        <v>***</v>
      </c>
      <c r="W9" s="65" t="str">
        <f t="shared" si="2"/>
        <v>***</v>
      </c>
      <c r="X9" s="65" t="str">
        <f t="shared" si="2"/>
        <v>***</v>
      </c>
      <c r="Y9" s="66" t="str">
        <f t="shared" si="2"/>
        <v>***</v>
      </c>
    </row>
    <row r="10" spans="3:25" x14ac:dyDescent="0.4">
      <c r="C10" s="3" t="s">
        <v>5</v>
      </c>
      <c r="D10" s="72"/>
      <c r="E10" s="63">
        <f t="shared" ref="E10:J10" si="3">SUM(E5:E9)</f>
        <v>763</v>
      </c>
      <c r="F10" s="63">
        <f t="shared" si="3"/>
        <v>3050</v>
      </c>
      <c r="G10" s="63">
        <f t="shared" si="3"/>
        <v>412</v>
      </c>
      <c r="H10" s="63">
        <f t="shared" si="3"/>
        <v>165</v>
      </c>
      <c r="I10" s="63">
        <f t="shared" si="3"/>
        <v>300</v>
      </c>
      <c r="J10" s="63">
        <f t="shared" si="3"/>
        <v>-2100</v>
      </c>
      <c r="K10" s="80">
        <f t="shared" si="0"/>
        <v>2590</v>
      </c>
      <c r="L10" s="76">
        <f t="shared" ref="L10:Q10" si="4">SUM(L5:L9)</f>
        <v>175</v>
      </c>
      <c r="M10" s="63">
        <f t="shared" si="4"/>
        <v>638</v>
      </c>
      <c r="N10" s="63">
        <f t="shared" si="4"/>
        <v>63</v>
      </c>
      <c r="O10" s="63">
        <f t="shared" si="4"/>
        <v>27</v>
      </c>
      <c r="P10" s="63">
        <f t="shared" si="4"/>
        <v>60</v>
      </c>
      <c r="Q10" s="63">
        <f t="shared" si="4"/>
        <v>-406</v>
      </c>
      <c r="R10" s="77">
        <f t="shared" si="1"/>
        <v>557</v>
      </c>
      <c r="S10" s="82">
        <f t="shared" si="2"/>
        <v>0.22935779816513763</v>
      </c>
      <c r="T10" s="67">
        <f t="shared" si="2"/>
        <v>0.20918032786885246</v>
      </c>
      <c r="U10" s="67">
        <f t="shared" si="2"/>
        <v>0.15291262135922329</v>
      </c>
      <c r="V10" s="67">
        <f t="shared" si="2"/>
        <v>0.16363636363636364</v>
      </c>
      <c r="W10" s="67">
        <f t="shared" si="2"/>
        <v>0.2</v>
      </c>
      <c r="X10" s="67">
        <f t="shared" si="2"/>
        <v>0.19333333333333333</v>
      </c>
      <c r="Y10" s="68">
        <f t="shared" si="2"/>
        <v>0.21505791505791505</v>
      </c>
    </row>
    <row r="11" spans="3:25" x14ac:dyDescent="0.4">
      <c r="C11" s="6"/>
      <c r="E11" s="5"/>
      <c r="F11" s="5"/>
      <c r="G11" s="5"/>
      <c r="H11" s="5"/>
      <c r="I11" s="5"/>
      <c r="J11" s="5"/>
      <c r="K11" s="6"/>
      <c r="L11" s="5"/>
      <c r="M11" s="5"/>
      <c r="N11" s="5"/>
      <c r="O11" s="5"/>
      <c r="P11" s="5"/>
      <c r="Q11" s="5"/>
      <c r="R11" s="6"/>
      <c r="S11" s="7"/>
      <c r="T11" s="7"/>
      <c r="U11" s="7"/>
      <c r="V11" s="7"/>
      <c r="W11" s="7"/>
      <c r="X11" s="7"/>
      <c r="Y11" s="7"/>
    </row>
    <row r="12" spans="3:25" x14ac:dyDescent="0.4">
      <c r="C12" s="6" t="s">
        <v>16</v>
      </c>
    </row>
    <row r="13" spans="3:25" x14ac:dyDescent="0.4">
      <c r="C13" s="87"/>
      <c r="D13" s="88"/>
      <c r="E13" s="91" t="s">
        <v>2</v>
      </c>
      <c r="F13" s="90"/>
      <c r="G13" s="90"/>
      <c r="H13" s="90"/>
      <c r="I13" s="90"/>
      <c r="J13" s="90"/>
      <c r="K13" s="90"/>
      <c r="L13" s="92" t="s">
        <v>3</v>
      </c>
      <c r="M13" s="90"/>
      <c r="N13" s="90"/>
      <c r="O13" s="90"/>
      <c r="P13" s="90"/>
      <c r="Q13" s="90"/>
      <c r="R13" s="88"/>
      <c r="S13" s="92" t="s">
        <v>4</v>
      </c>
      <c r="T13" s="90"/>
      <c r="U13" s="90"/>
      <c r="V13" s="90"/>
      <c r="W13" s="90"/>
      <c r="X13" s="90"/>
      <c r="Y13" s="88"/>
    </row>
    <row r="14" spans="3:25" x14ac:dyDescent="0.4">
      <c r="C14" s="61"/>
      <c r="D14" s="70"/>
      <c r="E14" s="74">
        <v>45748</v>
      </c>
      <c r="F14" s="62">
        <v>45778</v>
      </c>
      <c r="G14" s="62">
        <v>45809</v>
      </c>
      <c r="H14" s="62">
        <v>45839</v>
      </c>
      <c r="I14" s="62">
        <v>45870</v>
      </c>
      <c r="J14" s="62">
        <v>45901</v>
      </c>
      <c r="K14" s="64" t="s">
        <v>5</v>
      </c>
      <c r="L14" s="74">
        <v>45748</v>
      </c>
      <c r="M14" s="62">
        <v>45778</v>
      </c>
      <c r="N14" s="62">
        <v>45809</v>
      </c>
      <c r="O14" s="62">
        <v>45839</v>
      </c>
      <c r="P14" s="62">
        <v>45870</v>
      </c>
      <c r="Q14" s="62">
        <v>45901</v>
      </c>
      <c r="R14" s="64" t="s">
        <v>5</v>
      </c>
      <c r="S14" s="74">
        <v>45748</v>
      </c>
      <c r="T14" s="62">
        <v>45778</v>
      </c>
      <c r="U14" s="62">
        <v>45809</v>
      </c>
      <c r="V14" s="62">
        <v>45839</v>
      </c>
      <c r="W14" s="62">
        <v>45870</v>
      </c>
      <c r="X14" s="62">
        <v>45901</v>
      </c>
      <c r="Y14" s="64" t="s">
        <v>5</v>
      </c>
    </row>
    <row r="15" spans="3:25" x14ac:dyDescent="0.4">
      <c r="C15" s="73" t="s">
        <v>6</v>
      </c>
      <c r="D15" s="71" t="s">
        <v>7</v>
      </c>
      <c r="E15" s="2">
        <v>142</v>
      </c>
      <c r="F15" s="2">
        <v>131</v>
      </c>
      <c r="G15" s="2">
        <v>126</v>
      </c>
      <c r="H15" s="2">
        <v>48</v>
      </c>
      <c r="I15" s="2">
        <v>18</v>
      </c>
      <c r="J15" s="2">
        <v>1405</v>
      </c>
      <c r="K15" s="79">
        <f t="shared" ref="K15:K20" si="5">SUM(E15:J15)</f>
        <v>1870</v>
      </c>
      <c r="L15" s="1">
        <v>26</v>
      </c>
      <c r="M15" s="2">
        <v>26</v>
      </c>
      <c r="N15" s="2">
        <v>37</v>
      </c>
      <c r="O15" s="2">
        <v>11</v>
      </c>
      <c r="P15" s="2">
        <v>7</v>
      </c>
      <c r="Q15" s="2">
        <v>283</v>
      </c>
      <c r="R15" s="75">
        <f t="shared" ref="R15:R20" si="6">SUM(L15:Q15)</f>
        <v>390</v>
      </c>
      <c r="S15" s="84">
        <f t="shared" ref="S15:Y20" si="7">IF(E15=0,"***",L15/E15)</f>
        <v>0.18309859154929578</v>
      </c>
      <c r="T15" s="65">
        <f t="shared" si="7"/>
        <v>0.19847328244274809</v>
      </c>
      <c r="U15" s="65">
        <f t="shared" si="7"/>
        <v>0.29365079365079366</v>
      </c>
      <c r="V15" s="65">
        <f t="shared" si="7"/>
        <v>0.22916666666666666</v>
      </c>
      <c r="W15" s="65">
        <f t="shared" si="7"/>
        <v>0.3888888888888889</v>
      </c>
      <c r="X15" s="65">
        <f t="shared" si="7"/>
        <v>0.201423487544484</v>
      </c>
      <c r="Y15" s="66">
        <f t="shared" si="7"/>
        <v>0.20855614973262032</v>
      </c>
    </row>
    <row r="16" spans="3:25" x14ac:dyDescent="0.4">
      <c r="C16" s="73" t="s">
        <v>8</v>
      </c>
      <c r="D16" s="60" t="s">
        <v>9</v>
      </c>
      <c r="E16" s="2">
        <v>718</v>
      </c>
      <c r="F16" s="2">
        <v>123</v>
      </c>
      <c r="G16" s="2">
        <v>164</v>
      </c>
      <c r="H16" s="2">
        <v>428</v>
      </c>
      <c r="I16" s="2">
        <v>201</v>
      </c>
      <c r="J16" s="2">
        <v>95</v>
      </c>
      <c r="K16" s="79">
        <f t="shared" si="5"/>
        <v>1729</v>
      </c>
      <c r="L16" s="1">
        <v>142</v>
      </c>
      <c r="M16" s="2">
        <v>16</v>
      </c>
      <c r="N16" s="2">
        <v>47</v>
      </c>
      <c r="O16" s="2">
        <v>49</v>
      </c>
      <c r="P16" s="2">
        <v>70</v>
      </c>
      <c r="Q16" s="2">
        <v>19</v>
      </c>
      <c r="R16" s="75">
        <f t="shared" si="6"/>
        <v>343</v>
      </c>
      <c r="S16" s="84">
        <f t="shared" si="7"/>
        <v>0.1977715877437326</v>
      </c>
      <c r="T16" s="65">
        <f t="shared" si="7"/>
        <v>0.13008130081300814</v>
      </c>
      <c r="U16" s="65">
        <f t="shared" si="7"/>
        <v>0.28658536585365851</v>
      </c>
      <c r="V16" s="65">
        <f t="shared" si="7"/>
        <v>0.11448598130841121</v>
      </c>
      <c r="W16" s="65">
        <f t="shared" si="7"/>
        <v>0.34825870646766172</v>
      </c>
      <c r="X16" s="65">
        <f t="shared" si="7"/>
        <v>0.2</v>
      </c>
      <c r="Y16" s="66">
        <f t="shared" si="7"/>
        <v>0.19838056680161945</v>
      </c>
    </row>
    <row r="17" spans="3:25" x14ac:dyDescent="0.4">
      <c r="C17" s="73" t="s">
        <v>10</v>
      </c>
      <c r="D17" s="71" t="s">
        <v>11</v>
      </c>
      <c r="E17" s="2"/>
      <c r="F17" s="2"/>
      <c r="G17" s="2"/>
      <c r="H17" s="2"/>
      <c r="I17" s="2"/>
      <c r="J17" s="2"/>
      <c r="K17" s="79">
        <f t="shared" si="5"/>
        <v>0</v>
      </c>
      <c r="L17" s="1"/>
      <c r="M17" s="2"/>
      <c r="N17" s="2"/>
      <c r="O17" s="2"/>
      <c r="P17" s="2"/>
      <c r="Q17" s="2"/>
      <c r="R17" s="75">
        <f t="shared" si="6"/>
        <v>0</v>
      </c>
      <c r="S17" s="84" t="str">
        <f t="shared" si="7"/>
        <v>***</v>
      </c>
      <c r="T17" s="65" t="str">
        <f t="shared" si="7"/>
        <v>***</v>
      </c>
      <c r="U17" s="65" t="str">
        <f t="shared" si="7"/>
        <v>***</v>
      </c>
      <c r="V17" s="65" t="str">
        <f t="shared" si="7"/>
        <v>***</v>
      </c>
      <c r="W17" s="65" t="str">
        <f t="shared" si="7"/>
        <v>***</v>
      </c>
      <c r="X17" s="65" t="str">
        <f t="shared" si="7"/>
        <v>***</v>
      </c>
      <c r="Y17" s="66" t="str">
        <f t="shared" si="7"/>
        <v>***</v>
      </c>
    </row>
    <row r="18" spans="3:25" x14ac:dyDescent="0.4">
      <c r="C18" s="73" t="s">
        <v>12</v>
      </c>
      <c r="D18" s="71" t="s">
        <v>13</v>
      </c>
      <c r="E18" s="2">
        <v>0</v>
      </c>
      <c r="F18" s="2">
        <v>0</v>
      </c>
      <c r="G18" s="2">
        <v>0</v>
      </c>
      <c r="H18" s="2">
        <v>0</v>
      </c>
      <c r="I18" s="2">
        <v>0</v>
      </c>
      <c r="J18" s="2">
        <v>0</v>
      </c>
      <c r="K18" s="79">
        <f t="shared" si="5"/>
        <v>0</v>
      </c>
      <c r="L18" s="1">
        <v>0</v>
      </c>
      <c r="M18" s="2">
        <v>0</v>
      </c>
      <c r="N18" s="2">
        <v>0</v>
      </c>
      <c r="O18" s="2">
        <v>0</v>
      </c>
      <c r="P18" s="2">
        <v>0</v>
      </c>
      <c r="Q18" s="2">
        <v>0</v>
      </c>
      <c r="R18" s="75">
        <f t="shared" si="6"/>
        <v>0</v>
      </c>
      <c r="S18" s="84" t="str">
        <f t="shared" si="7"/>
        <v>***</v>
      </c>
      <c r="T18" s="65" t="str">
        <f t="shared" si="7"/>
        <v>***</v>
      </c>
      <c r="U18" s="65" t="str">
        <f t="shared" si="7"/>
        <v>***</v>
      </c>
      <c r="V18" s="65" t="str">
        <f t="shared" si="7"/>
        <v>***</v>
      </c>
      <c r="W18" s="65" t="str">
        <f t="shared" si="7"/>
        <v>***</v>
      </c>
      <c r="X18" s="65" t="str">
        <f t="shared" si="7"/>
        <v>***</v>
      </c>
      <c r="Y18" s="66" t="str">
        <f t="shared" si="7"/>
        <v>***</v>
      </c>
    </row>
    <row r="19" spans="3:25" x14ac:dyDescent="0.4">
      <c r="C19" s="73" t="s">
        <v>14</v>
      </c>
      <c r="D19" s="71" t="s">
        <v>15</v>
      </c>
      <c r="E19" s="2">
        <v>21</v>
      </c>
      <c r="F19" s="2">
        <v>0</v>
      </c>
      <c r="G19" s="2">
        <v>0</v>
      </c>
      <c r="H19" s="2">
        <v>0</v>
      </c>
      <c r="I19" s="2">
        <v>0</v>
      </c>
      <c r="J19" s="2">
        <v>0</v>
      </c>
      <c r="K19" s="79">
        <f t="shared" si="5"/>
        <v>21</v>
      </c>
      <c r="L19" s="1">
        <v>5</v>
      </c>
      <c r="M19" s="2">
        <v>0</v>
      </c>
      <c r="N19" s="2">
        <v>0</v>
      </c>
      <c r="O19" s="2">
        <v>0</v>
      </c>
      <c r="P19" s="2">
        <v>0</v>
      </c>
      <c r="Q19" s="2">
        <v>0</v>
      </c>
      <c r="R19" s="75">
        <f t="shared" si="6"/>
        <v>5</v>
      </c>
      <c r="S19" s="84">
        <f t="shared" si="7"/>
        <v>0.23809523809523808</v>
      </c>
      <c r="T19" s="65" t="str">
        <f t="shared" si="7"/>
        <v>***</v>
      </c>
      <c r="U19" s="65" t="str">
        <f t="shared" si="7"/>
        <v>***</v>
      </c>
      <c r="V19" s="65" t="str">
        <f t="shared" si="7"/>
        <v>***</v>
      </c>
      <c r="W19" s="65" t="str">
        <f t="shared" si="7"/>
        <v>***</v>
      </c>
      <c r="X19" s="65" t="str">
        <f t="shared" si="7"/>
        <v>***</v>
      </c>
      <c r="Y19" s="66">
        <f t="shared" si="7"/>
        <v>0.23809523809523808</v>
      </c>
    </row>
    <row r="20" spans="3:25" x14ac:dyDescent="0.4">
      <c r="C20" s="3" t="s">
        <v>5</v>
      </c>
      <c r="D20" s="72"/>
      <c r="E20" s="63">
        <f t="shared" ref="E20:J20" si="8">SUM(E15:E19)</f>
        <v>881</v>
      </c>
      <c r="F20" s="63">
        <f t="shared" si="8"/>
        <v>254</v>
      </c>
      <c r="G20" s="63">
        <f t="shared" si="8"/>
        <v>290</v>
      </c>
      <c r="H20" s="63">
        <f t="shared" si="8"/>
        <v>476</v>
      </c>
      <c r="I20" s="63">
        <f t="shared" si="8"/>
        <v>219</v>
      </c>
      <c r="J20" s="63">
        <f t="shared" si="8"/>
        <v>1500</v>
      </c>
      <c r="K20" s="80">
        <f t="shared" si="5"/>
        <v>3620</v>
      </c>
      <c r="L20" s="76">
        <f t="shared" ref="L20:Q20" si="9">SUM(L15:L19)</f>
        <v>173</v>
      </c>
      <c r="M20" s="63">
        <f t="shared" si="9"/>
        <v>42</v>
      </c>
      <c r="N20" s="63">
        <f t="shared" si="9"/>
        <v>84</v>
      </c>
      <c r="O20" s="63">
        <f t="shared" si="9"/>
        <v>60</v>
      </c>
      <c r="P20" s="63">
        <f t="shared" si="9"/>
        <v>77</v>
      </c>
      <c r="Q20" s="63">
        <f t="shared" si="9"/>
        <v>302</v>
      </c>
      <c r="R20" s="77">
        <f t="shared" si="6"/>
        <v>738</v>
      </c>
      <c r="S20" s="82">
        <f t="shared" si="7"/>
        <v>0.1963677639046538</v>
      </c>
      <c r="T20" s="67">
        <f t="shared" si="7"/>
        <v>0.16535433070866143</v>
      </c>
      <c r="U20" s="67">
        <f t="shared" si="7"/>
        <v>0.28965517241379313</v>
      </c>
      <c r="V20" s="67">
        <f t="shared" si="7"/>
        <v>0.12605042016806722</v>
      </c>
      <c r="W20" s="67">
        <f t="shared" si="7"/>
        <v>0.35159817351598172</v>
      </c>
      <c r="X20" s="67">
        <f t="shared" si="7"/>
        <v>0.20133333333333334</v>
      </c>
      <c r="Y20" s="68">
        <f t="shared" si="7"/>
        <v>0.20386740331491712</v>
      </c>
    </row>
    <row r="21" spans="3:25" x14ac:dyDescent="0.4">
      <c r="C21" s="6"/>
      <c r="E21" s="5"/>
      <c r="F21" s="5"/>
      <c r="G21" s="5"/>
      <c r="H21" s="5"/>
      <c r="I21" s="5"/>
      <c r="J21" s="5"/>
      <c r="K21" s="6"/>
      <c r="L21" s="5"/>
      <c r="M21" s="5"/>
      <c r="N21" s="5"/>
      <c r="O21" s="5"/>
      <c r="P21" s="5"/>
      <c r="Q21" s="5"/>
      <c r="R21" s="6"/>
      <c r="S21" s="7"/>
      <c r="T21" s="7"/>
      <c r="U21" s="7"/>
      <c r="V21" s="7"/>
      <c r="W21" s="7"/>
      <c r="X21" s="7"/>
      <c r="Y21" s="7"/>
    </row>
    <row r="22" spans="3:25" x14ac:dyDescent="0.4">
      <c r="C22" s="6" t="s">
        <v>17</v>
      </c>
    </row>
    <row r="23" spans="3:25" x14ac:dyDescent="0.4">
      <c r="C23" s="87"/>
      <c r="D23" s="88"/>
      <c r="E23" s="91" t="s">
        <v>2</v>
      </c>
      <c r="F23" s="90"/>
      <c r="G23" s="90"/>
      <c r="H23" s="90"/>
      <c r="I23" s="90"/>
      <c r="J23" s="90"/>
      <c r="K23" s="90"/>
      <c r="L23" s="92" t="s">
        <v>3</v>
      </c>
      <c r="M23" s="90"/>
      <c r="N23" s="90"/>
      <c r="O23" s="90"/>
      <c r="P23" s="90"/>
      <c r="Q23" s="90"/>
      <c r="R23" s="88"/>
      <c r="S23" s="92" t="s">
        <v>4</v>
      </c>
      <c r="T23" s="90"/>
      <c r="U23" s="90"/>
      <c r="V23" s="90"/>
      <c r="W23" s="90"/>
      <c r="X23" s="90"/>
      <c r="Y23" s="88"/>
    </row>
    <row r="24" spans="3:25" x14ac:dyDescent="0.4">
      <c r="C24" s="61"/>
      <c r="D24" s="70"/>
      <c r="E24" s="74">
        <v>45748</v>
      </c>
      <c r="F24" s="62">
        <v>45778</v>
      </c>
      <c r="G24" s="62">
        <v>45809</v>
      </c>
      <c r="H24" s="62">
        <v>45839</v>
      </c>
      <c r="I24" s="62">
        <v>45870</v>
      </c>
      <c r="J24" s="62">
        <v>45901</v>
      </c>
      <c r="K24" s="64" t="s">
        <v>5</v>
      </c>
      <c r="L24" s="74">
        <v>45748</v>
      </c>
      <c r="M24" s="62">
        <v>45778</v>
      </c>
      <c r="N24" s="62">
        <v>45809</v>
      </c>
      <c r="O24" s="62">
        <v>45839</v>
      </c>
      <c r="P24" s="62">
        <v>45870</v>
      </c>
      <c r="Q24" s="62">
        <v>45901</v>
      </c>
      <c r="R24" s="64" t="s">
        <v>5</v>
      </c>
      <c r="S24" s="74">
        <v>45748</v>
      </c>
      <c r="T24" s="62">
        <v>45778</v>
      </c>
      <c r="U24" s="62">
        <v>45809</v>
      </c>
      <c r="V24" s="62">
        <v>45839</v>
      </c>
      <c r="W24" s="62">
        <v>45870</v>
      </c>
      <c r="X24" s="62">
        <v>45901</v>
      </c>
      <c r="Y24" s="64" t="s">
        <v>5</v>
      </c>
    </row>
    <row r="25" spans="3:25" x14ac:dyDescent="0.4">
      <c r="C25" s="73" t="s">
        <v>6</v>
      </c>
      <c r="D25" s="71" t="s">
        <v>7</v>
      </c>
      <c r="E25" s="2">
        <f t="shared" ref="E25:J29" si="10">(E15+E5)/2</f>
        <v>173.5</v>
      </c>
      <c r="F25" s="2">
        <f t="shared" si="10"/>
        <v>1513</v>
      </c>
      <c r="G25" s="2">
        <f t="shared" si="10"/>
        <v>73</v>
      </c>
      <c r="H25" s="2">
        <f t="shared" si="10"/>
        <v>43.5</v>
      </c>
      <c r="I25" s="2">
        <f t="shared" si="10"/>
        <v>114</v>
      </c>
      <c r="J25" s="2">
        <f t="shared" si="10"/>
        <v>-405.5</v>
      </c>
      <c r="K25" s="79">
        <f t="shared" ref="K25:K30" si="11">SUM(E25:J25)</f>
        <v>1511.5</v>
      </c>
      <c r="L25" s="1">
        <f t="shared" ref="L25:Q29" si="12">(L15+L5)/2</f>
        <v>35.5</v>
      </c>
      <c r="M25" s="2">
        <f t="shared" si="12"/>
        <v>313.5</v>
      </c>
      <c r="N25" s="2">
        <f t="shared" si="12"/>
        <v>21.5</v>
      </c>
      <c r="O25" s="2">
        <f t="shared" si="12"/>
        <v>10</v>
      </c>
      <c r="P25" s="2">
        <f t="shared" si="12"/>
        <v>28</v>
      </c>
      <c r="Q25" s="2">
        <f t="shared" si="12"/>
        <v>-79</v>
      </c>
      <c r="R25" s="75">
        <f t="shared" ref="R25:R30" si="13">SUM(L25:Q25)</f>
        <v>329.5</v>
      </c>
      <c r="S25" s="84">
        <f t="shared" ref="S25:Y30" si="14">IF(E25=0,"***",L25/E25)</f>
        <v>0.20461095100864554</v>
      </c>
      <c r="T25" s="65">
        <f t="shared" si="14"/>
        <v>0.2072042300066094</v>
      </c>
      <c r="U25" s="65">
        <f t="shared" si="14"/>
        <v>0.29452054794520549</v>
      </c>
      <c r="V25" s="65">
        <f t="shared" si="14"/>
        <v>0.22988505747126436</v>
      </c>
      <c r="W25" s="65">
        <f t="shared" si="14"/>
        <v>0.24561403508771928</v>
      </c>
      <c r="X25" s="65">
        <f t="shared" si="14"/>
        <v>0.19482120838471023</v>
      </c>
      <c r="Y25" s="66">
        <f t="shared" si="14"/>
        <v>0.21799536883890175</v>
      </c>
    </row>
    <row r="26" spans="3:25" x14ac:dyDescent="0.4">
      <c r="C26" s="73" t="s">
        <v>8</v>
      </c>
      <c r="D26" s="60" t="s">
        <v>9</v>
      </c>
      <c r="E26" s="2">
        <f t="shared" si="10"/>
        <v>638</v>
      </c>
      <c r="F26" s="2">
        <f t="shared" si="10"/>
        <v>139</v>
      </c>
      <c r="G26" s="2">
        <f t="shared" si="10"/>
        <v>229.5</v>
      </c>
      <c r="H26" s="2">
        <f t="shared" si="10"/>
        <v>277</v>
      </c>
      <c r="I26" s="2">
        <f t="shared" si="10"/>
        <v>145.5</v>
      </c>
      <c r="J26" s="2">
        <f t="shared" si="10"/>
        <v>105.5</v>
      </c>
      <c r="K26" s="79">
        <f t="shared" si="11"/>
        <v>1534.5</v>
      </c>
      <c r="L26" s="1">
        <f t="shared" si="12"/>
        <v>136</v>
      </c>
      <c r="M26" s="2">
        <f t="shared" si="12"/>
        <v>26.5</v>
      </c>
      <c r="N26" s="2">
        <f t="shared" si="12"/>
        <v>42.5</v>
      </c>
      <c r="O26" s="2">
        <f t="shared" si="12"/>
        <v>33.5</v>
      </c>
      <c r="P26" s="2">
        <f t="shared" si="12"/>
        <v>40.5</v>
      </c>
      <c r="Q26" s="2">
        <f t="shared" si="12"/>
        <v>27</v>
      </c>
      <c r="R26" s="75">
        <f t="shared" si="13"/>
        <v>306</v>
      </c>
      <c r="S26" s="84">
        <f t="shared" si="14"/>
        <v>0.21316614420062696</v>
      </c>
      <c r="T26" s="65">
        <f t="shared" si="14"/>
        <v>0.1906474820143885</v>
      </c>
      <c r="U26" s="65">
        <f t="shared" si="14"/>
        <v>0.18518518518518517</v>
      </c>
      <c r="V26" s="65">
        <f t="shared" si="14"/>
        <v>0.12093862815884476</v>
      </c>
      <c r="W26" s="65">
        <f t="shared" si="14"/>
        <v>0.27835051546391754</v>
      </c>
      <c r="X26" s="65">
        <f t="shared" si="14"/>
        <v>0.25592417061611372</v>
      </c>
      <c r="Y26" s="66">
        <f t="shared" si="14"/>
        <v>0.19941348973607037</v>
      </c>
    </row>
    <row r="27" spans="3:25" x14ac:dyDescent="0.4">
      <c r="C27" s="73" t="s">
        <v>10</v>
      </c>
      <c r="D27" s="71" t="s">
        <v>11</v>
      </c>
      <c r="E27" s="2">
        <f t="shared" si="10"/>
        <v>0</v>
      </c>
      <c r="F27" s="2">
        <f t="shared" si="10"/>
        <v>0</v>
      </c>
      <c r="G27" s="2">
        <f t="shared" si="10"/>
        <v>48.5</v>
      </c>
      <c r="H27" s="2">
        <f t="shared" si="10"/>
        <v>0</v>
      </c>
      <c r="I27" s="2">
        <f t="shared" si="10"/>
        <v>0</v>
      </c>
      <c r="J27" s="2">
        <f t="shared" si="10"/>
        <v>0</v>
      </c>
      <c r="K27" s="79">
        <f t="shared" si="11"/>
        <v>48.5</v>
      </c>
      <c r="L27" s="1">
        <f t="shared" si="12"/>
        <v>0</v>
      </c>
      <c r="M27" s="2">
        <f t="shared" si="12"/>
        <v>0</v>
      </c>
      <c r="N27" s="2">
        <f t="shared" si="12"/>
        <v>9.5</v>
      </c>
      <c r="O27" s="2">
        <f t="shared" si="12"/>
        <v>0</v>
      </c>
      <c r="P27" s="2">
        <f t="shared" si="12"/>
        <v>0</v>
      </c>
      <c r="Q27" s="2">
        <f t="shared" si="12"/>
        <v>0</v>
      </c>
      <c r="R27" s="75">
        <f t="shared" si="13"/>
        <v>9.5</v>
      </c>
      <c r="S27" s="84" t="str">
        <f t="shared" si="14"/>
        <v>***</v>
      </c>
      <c r="T27" s="65" t="str">
        <f t="shared" si="14"/>
        <v>***</v>
      </c>
      <c r="U27" s="65">
        <f t="shared" si="14"/>
        <v>0.19587628865979381</v>
      </c>
      <c r="V27" s="65" t="str">
        <f t="shared" si="14"/>
        <v>***</v>
      </c>
      <c r="W27" s="65" t="str">
        <f t="shared" si="14"/>
        <v>***</v>
      </c>
      <c r="X27" s="65" t="str">
        <f t="shared" si="14"/>
        <v>***</v>
      </c>
      <c r="Y27" s="66">
        <f t="shared" si="14"/>
        <v>0.19587628865979381</v>
      </c>
    </row>
    <row r="28" spans="3:25" x14ac:dyDescent="0.4">
      <c r="C28" s="73" t="s">
        <v>12</v>
      </c>
      <c r="D28" s="71" t="s">
        <v>13</v>
      </c>
      <c r="E28" s="2">
        <f t="shared" si="10"/>
        <v>0</v>
      </c>
      <c r="F28" s="2">
        <f t="shared" si="10"/>
        <v>0</v>
      </c>
      <c r="G28" s="2">
        <f t="shared" si="10"/>
        <v>0</v>
      </c>
      <c r="H28" s="2">
        <f t="shared" si="10"/>
        <v>0</v>
      </c>
      <c r="I28" s="2">
        <f t="shared" si="10"/>
        <v>0</v>
      </c>
      <c r="J28" s="2">
        <f t="shared" si="10"/>
        <v>0</v>
      </c>
      <c r="K28" s="79">
        <f t="shared" si="11"/>
        <v>0</v>
      </c>
      <c r="L28" s="1">
        <f t="shared" si="12"/>
        <v>0</v>
      </c>
      <c r="M28" s="2">
        <f t="shared" si="12"/>
        <v>0</v>
      </c>
      <c r="N28" s="2">
        <f t="shared" si="12"/>
        <v>0</v>
      </c>
      <c r="O28" s="2">
        <f t="shared" si="12"/>
        <v>0</v>
      </c>
      <c r="P28" s="2">
        <f t="shared" si="12"/>
        <v>0</v>
      </c>
      <c r="Q28" s="2">
        <f t="shared" si="12"/>
        <v>0</v>
      </c>
      <c r="R28" s="75">
        <f t="shared" si="13"/>
        <v>0</v>
      </c>
      <c r="S28" s="84" t="str">
        <f t="shared" si="14"/>
        <v>***</v>
      </c>
      <c r="T28" s="65" t="str">
        <f t="shared" si="14"/>
        <v>***</v>
      </c>
      <c r="U28" s="65" t="str">
        <f t="shared" si="14"/>
        <v>***</v>
      </c>
      <c r="V28" s="65" t="str">
        <f t="shared" si="14"/>
        <v>***</v>
      </c>
      <c r="W28" s="65" t="str">
        <f t="shared" si="14"/>
        <v>***</v>
      </c>
      <c r="X28" s="65" t="str">
        <f t="shared" si="14"/>
        <v>***</v>
      </c>
      <c r="Y28" s="66" t="str">
        <f t="shared" si="14"/>
        <v>***</v>
      </c>
    </row>
    <row r="29" spans="3:25" x14ac:dyDescent="0.4">
      <c r="C29" s="73" t="s">
        <v>14</v>
      </c>
      <c r="D29" s="71" t="s">
        <v>15</v>
      </c>
      <c r="E29" s="2">
        <f t="shared" si="10"/>
        <v>10.5</v>
      </c>
      <c r="F29" s="2">
        <f t="shared" si="10"/>
        <v>0</v>
      </c>
      <c r="G29" s="2">
        <f t="shared" si="10"/>
        <v>0</v>
      </c>
      <c r="H29" s="2">
        <f t="shared" si="10"/>
        <v>0</v>
      </c>
      <c r="I29" s="2">
        <f t="shared" si="10"/>
        <v>0</v>
      </c>
      <c r="J29" s="2">
        <f t="shared" si="10"/>
        <v>0</v>
      </c>
      <c r="K29" s="79">
        <f t="shared" si="11"/>
        <v>10.5</v>
      </c>
      <c r="L29" s="1">
        <f t="shared" si="12"/>
        <v>2.5</v>
      </c>
      <c r="M29" s="2">
        <f t="shared" si="12"/>
        <v>0</v>
      </c>
      <c r="N29" s="2">
        <f t="shared" si="12"/>
        <v>0</v>
      </c>
      <c r="O29" s="2">
        <f t="shared" si="12"/>
        <v>0</v>
      </c>
      <c r="P29" s="2">
        <f t="shared" si="12"/>
        <v>0</v>
      </c>
      <c r="Q29" s="2">
        <f t="shared" si="12"/>
        <v>0</v>
      </c>
      <c r="R29" s="75">
        <f t="shared" si="13"/>
        <v>2.5</v>
      </c>
      <c r="S29" s="84">
        <f t="shared" si="14"/>
        <v>0.23809523809523808</v>
      </c>
      <c r="T29" s="65" t="str">
        <f t="shared" si="14"/>
        <v>***</v>
      </c>
      <c r="U29" s="65" t="str">
        <f t="shared" si="14"/>
        <v>***</v>
      </c>
      <c r="V29" s="65" t="str">
        <f t="shared" si="14"/>
        <v>***</v>
      </c>
      <c r="W29" s="65" t="str">
        <f t="shared" si="14"/>
        <v>***</v>
      </c>
      <c r="X29" s="65" t="str">
        <f t="shared" si="14"/>
        <v>***</v>
      </c>
      <c r="Y29" s="66">
        <f t="shared" si="14"/>
        <v>0.23809523809523808</v>
      </c>
    </row>
    <row r="30" spans="3:25" x14ac:dyDescent="0.4">
      <c r="C30" s="3" t="s">
        <v>5</v>
      </c>
      <c r="D30" s="72"/>
      <c r="E30" s="63">
        <f t="shared" ref="E30:J30" si="15">SUM(E25:E29)</f>
        <v>822</v>
      </c>
      <c r="F30" s="63">
        <f t="shared" si="15"/>
        <v>1652</v>
      </c>
      <c r="G30" s="63">
        <f t="shared" si="15"/>
        <v>351</v>
      </c>
      <c r="H30" s="63">
        <f t="shared" si="15"/>
        <v>320.5</v>
      </c>
      <c r="I30" s="63">
        <f t="shared" si="15"/>
        <v>259.5</v>
      </c>
      <c r="J30" s="63">
        <f t="shared" si="15"/>
        <v>-300</v>
      </c>
      <c r="K30" s="80">
        <f t="shared" si="11"/>
        <v>3105</v>
      </c>
      <c r="L30" s="76">
        <f t="shared" ref="L30:Q30" si="16">SUM(L25:L29)</f>
        <v>174</v>
      </c>
      <c r="M30" s="63">
        <f t="shared" si="16"/>
        <v>340</v>
      </c>
      <c r="N30" s="63">
        <f t="shared" si="16"/>
        <v>73.5</v>
      </c>
      <c r="O30" s="63">
        <f t="shared" si="16"/>
        <v>43.5</v>
      </c>
      <c r="P30" s="63">
        <f t="shared" si="16"/>
        <v>68.5</v>
      </c>
      <c r="Q30" s="63">
        <f t="shared" si="16"/>
        <v>-52</v>
      </c>
      <c r="R30" s="77">
        <f t="shared" si="13"/>
        <v>647.5</v>
      </c>
      <c r="S30" s="82">
        <f t="shared" si="14"/>
        <v>0.21167883211678831</v>
      </c>
      <c r="T30" s="67">
        <f t="shared" si="14"/>
        <v>0.20581113801452786</v>
      </c>
      <c r="U30" s="67">
        <f t="shared" si="14"/>
        <v>0.20940170940170941</v>
      </c>
      <c r="V30" s="67">
        <f t="shared" si="14"/>
        <v>0.1357254290171607</v>
      </c>
      <c r="W30" s="67">
        <f t="shared" si="14"/>
        <v>0.26396917148362237</v>
      </c>
      <c r="X30" s="67">
        <f t="shared" si="14"/>
        <v>0.17333333333333334</v>
      </c>
      <c r="Y30" s="68">
        <f t="shared" si="14"/>
        <v>0.20853462157809985</v>
      </c>
    </row>
    <row r="31" spans="3:25" x14ac:dyDescent="0.4">
      <c r="C31" s="6"/>
      <c r="E31" s="5"/>
      <c r="F31" s="5"/>
      <c r="G31" s="5"/>
      <c r="H31" s="5"/>
      <c r="I31" s="5"/>
      <c r="J31" s="5"/>
      <c r="K31" s="6"/>
      <c r="L31" s="5"/>
      <c r="M31" s="5"/>
      <c r="N31" s="5"/>
      <c r="O31" s="5"/>
      <c r="P31" s="5"/>
      <c r="Q31" s="5"/>
      <c r="R31" s="6"/>
      <c r="S31" s="7"/>
      <c r="T31" s="7"/>
      <c r="U31" s="7"/>
      <c r="V31" s="7"/>
      <c r="W31" s="7"/>
      <c r="X31" s="7"/>
      <c r="Y31" s="7"/>
    </row>
    <row r="32" spans="3:25" x14ac:dyDescent="0.4">
      <c r="C32" s="6" t="s">
        <v>18</v>
      </c>
    </row>
    <row r="33" spans="3:25" x14ac:dyDescent="0.4">
      <c r="C33" s="87"/>
      <c r="D33" s="88"/>
      <c r="E33" s="87" t="s">
        <v>2</v>
      </c>
      <c r="F33" s="90"/>
      <c r="G33" s="90"/>
      <c r="H33" s="90"/>
      <c r="I33" s="90"/>
      <c r="J33" s="90"/>
      <c r="K33" s="88"/>
      <c r="L33" s="89" t="s">
        <v>3</v>
      </c>
      <c r="M33" s="90"/>
      <c r="N33" s="90"/>
      <c r="O33" s="90"/>
      <c r="P33" s="90"/>
      <c r="Q33" s="90"/>
      <c r="R33" s="88"/>
      <c r="S33" s="89" t="s">
        <v>4</v>
      </c>
      <c r="T33" s="90"/>
      <c r="U33" s="90"/>
      <c r="V33" s="90"/>
      <c r="W33" s="90"/>
      <c r="X33" s="90"/>
      <c r="Y33" s="88"/>
    </row>
    <row r="34" spans="3:25" x14ac:dyDescent="0.4">
      <c r="C34" s="61"/>
      <c r="D34" s="70"/>
      <c r="E34" s="74">
        <v>46113</v>
      </c>
      <c r="F34" s="62">
        <v>46143</v>
      </c>
      <c r="G34" s="62">
        <v>46174</v>
      </c>
      <c r="H34" s="62">
        <v>46204</v>
      </c>
      <c r="I34" s="62">
        <v>46235</v>
      </c>
      <c r="J34" s="62">
        <v>46266</v>
      </c>
      <c r="K34" s="64" t="s">
        <v>5</v>
      </c>
      <c r="L34" s="83">
        <v>46113</v>
      </c>
      <c r="M34" s="62">
        <v>46143</v>
      </c>
      <c r="N34" s="62">
        <v>46174</v>
      </c>
      <c r="O34" s="62">
        <v>46204</v>
      </c>
      <c r="P34" s="62">
        <v>46235</v>
      </c>
      <c r="Q34" s="62">
        <v>46266</v>
      </c>
      <c r="R34" s="64" t="s">
        <v>5</v>
      </c>
      <c r="S34" s="83">
        <v>46113</v>
      </c>
      <c r="T34" s="62">
        <v>46143</v>
      </c>
      <c r="U34" s="62">
        <v>46174</v>
      </c>
      <c r="V34" s="62">
        <v>46204</v>
      </c>
      <c r="W34" s="62">
        <v>46235</v>
      </c>
      <c r="X34" s="62">
        <v>46266</v>
      </c>
      <c r="Y34" s="64" t="s">
        <v>5</v>
      </c>
    </row>
    <row r="35" spans="3:25" x14ac:dyDescent="0.4">
      <c r="C35" s="73" t="s">
        <v>6</v>
      </c>
      <c r="D35" s="71" t="s">
        <v>7</v>
      </c>
      <c r="E35" s="39">
        <v>200</v>
      </c>
      <c r="F35" s="39">
        <v>200</v>
      </c>
      <c r="G35" s="39">
        <v>200</v>
      </c>
      <c r="H35" s="39">
        <v>200</v>
      </c>
      <c r="I35" s="39">
        <v>200</v>
      </c>
      <c r="J35" s="39">
        <v>200</v>
      </c>
      <c r="K35" s="79">
        <f t="shared" ref="K35:K40" si="17">SUM(E35:J35)</f>
        <v>1200</v>
      </c>
      <c r="L35" s="58">
        <v>50</v>
      </c>
      <c r="M35" s="39">
        <v>50</v>
      </c>
      <c r="N35" s="39">
        <v>50</v>
      </c>
      <c r="O35" s="39">
        <v>50</v>
      </c>
      <c r="P35" s="39">
        <v>50</v>
      </c>
      <c r="Q35" s="39">
        <v>50</v>
      </c>
      <c r="R35" s="75">
        <f t="shared" ref="R35:R40" si="18">SUM(L35:Q35)</f>
        <v>300</v>
      </c>
      <c r="S35" s="84">
        <f t="shared" ref="S35:Y40" si="19">IF(E35=0,"***",L35/E35)</f>
        <v>0.25</v>
      </c>
      <c r="T35" s="65">
        <f t="shared" si="19"/>
        <v>0.25</v>
      </c>
      <c r="U35" s="65">
        <f t="shared" si="19"/>
        <v>0.25</v>
      </c>
      <c r="V35" s="65">
        <f t="shared" si="19"/>
        <v>0.25</v>
      </c>
      <c r="W35" s="65">
        <f t="shared" si="19"/>
        <v>0.25</v>
      </c>
      <c r="X35" s="65">
        <f t="shared" si="19"/>
        <v>0.25</v>
      </c>
      <c r="Y35" s="66">
        <f t="shared" si="19"/>
        <v>0.25</v>
      </c>
    </row>
    <row r="36" spans="3:25" x14ac:dyDescent="0.4">
      <c r="C36" s="73" t="s">
        <v>8</v>
      </c>
      <c r="D36" s="60" t="s">
        <v>9</v>
      </c>
      <c r="E36" s="39">
        <v>200</v>
      </c>
      <c r="F36" s="39">
        <v>200</v>
      </c>
      <c r="G36" s="39">
        <v>200</v>
      </c>
      <c r="H36" s="39">
        <v>1100</v>
      </c>
      <c r="I36" s="39">
        <v>200</v>
      </c>
      <c r="J36" s="39">
        <v>200</v>
      </c>
      <c r="K36" s="79">
        <f t="shared" si="17"/>
        <v>2100</v>
      </c>
      <c r="L36" s="58">
        <v>50</v>
      </c>
      <c r="M36" s="39">
        <v>50</v>
      </c>
      <c r="N36" s="39">
        <v>50</v>
      </c>
      <c r="O36" s="39">
        <v>140</v>
      </c>
      <c r="P36" s="39">
        <v>50</v>
      </c>
      <c r="Q36" s="39">
        <v>50</v>
      </c>
      <c r="R36" s="75">
        <f t="shared" si="18"/>
        <v>390</v>
      </c>
      <c r="S36" s="84">
        <f t="shared" si="19"/>
        <v>0.25</v>
      </c>
      <c r="T36" s="65">
        <f t="shared" si="19"/>
        <v>0.25</v>
      </c>
      <c r="U36" s="65">
        <f t="shared" si="19"/>
        <v>0.25</v>
      </c>
      <c r="V36" s="65">
        <f t="shared" si="19"/>
        <v>0.12727272727272726</v>
      </c>
      <c r="W36" s="65">
        <f t="shared" si="19"/>
        <v>0.25</v>
      </c>
      <c r="X36" s="65">
        <f t="shared" si="19"/>
        <v>0.25</v>
      </c>
      <c r="Y36" s="66">
        <f t="shared" si="19"/>
        <v>0.18571428571428572</v>
      </c>
    </row>
    <row r="37" spans="3:25" x14ac:dyDescent="0.4">
      <c r="C37" s="73" t="s">
        <v>10</v>
      </c>
      <c r="D37" s="71" t="s">
        <v>11</v>
      </c>
      <c r="E37" s="39">
        <v>100</v>
      </c>
      <c r="F37" s="39">
        <v>100</v>
      </c>
      <c r="G37" s="39">
        <v>100</v>
      </c>
      <c r="H37" s="39">
        <v>100</v>
      </c>
      <c r="I37" s="39">
        <v>100</v>
      </c>
      <c r="J37" s="39">
        <v>100</v>
      </c>
      <c r="K37" s="79">
        <f t="shared" si="17"/>
        <v>600</v>
      </c>
      <c r="L37" s="58">
        <v>20</v>
      </c>
      <c r="M37" s="39">
        <v>20</v>
      </c>
      <c r="N37" s="39">
        <v>20</v>
      </c>
      <c r="O37" s="39">
        <v>20</v>
      </c>
      <c r="P37" s="39">
        <v>20</v>
      </c>
      <c r="Q37" s="39">
        <v>20</v>
      </c>
      <c r="R37" s="75">
        <f t="shared" si="18"/>
        <v>120</v>
      </c>
      <c r="S37" s="84">
        <f t="shared" si="19"/>
        <v>0.2</v>
      </c>
      <c r="T37" s="65">
        <f t="shared" si="19"/>
        <v>0.2</v>
      </c>
      <c r="U37" s="65">
        <f t="shared" si="19"/>
        <v>0.2</v>
      </c>
      <c r="V37" s="65">
        <f t="shared" si="19"/>
        <v>0.2</v>
      </c>
      <c r="W37" s="65">
        <f t="shared" si="19"/>
        <v>0.2</v>
      </c>
      <c r="X37" s="65">
        <f t="shared" si="19"/>
        <v>0.2</v>
      </c>
      <c r="Y37" s="66">
        <f t="shared" si="19"/>
        <v>0.2</v>
      </c>
    </row>
    <row r="38" spans="3:25" x14ac:dyDescent="0.4">
      <c r="C38" s="73" t="s">
        <v>12</v>
      </c>
      <c r="D38" s="71" t="s">
        <v>13</v>
      </c>
      <c r="E38" s="39"/>
      <c r="F38" s="39"/>
      <c r="G38" s="39"/>
      <c r="H38" s="39"/>
      <c r="I38" s="39"/>
      <c r="J38" s="39"/>
      <c r="K38" s="79">
        <f t="shared" si="17"/>
        <v>0</v>
      </c>
      <c r="L38" s="58"/>
      <c r="M38" s="39"/>
      <c r="N38" s="39"/>
      <c r="O38" s="39"/>
      <c r="P38" s="39"/>
      <c r="Q38" s="39"/>
      <c r="R38" s="75">
        <f t="shared" si="18"/>
        <v>0</v>
      </c>
      <c r="S38" s="84" t="str">
        <f t="shared" si="19"/>
        <v>***</v>
      </c>
      <c r="T38" s="65" t="str">
        <f t="shared" si="19"/>
        <v>***</v>
      </c>
      <c r="U38" s="65" t="str">
        <f t="shared" si="19"/>
        <v>***</v>
      </c>
      <c r="V38" s="65" t="str">
        <f t="shared" si="19"/>
        <v>***</v>
      </c>
      <c r="W38" s="65" t="str">
        <f t="shared" si="19"/>
        <v>***</v>
      </c>
      <c r="X38" s="65" t="str">
        <f t="shared" si="19"/>
        <v>***</v>
      </c>
      <c r="Y38" s="66" t="str">
        <f t="shared" si="19"/>
        <v>***</v>
      </c>
    </row>
    <row r="39" spans="3:25" x14ac:dyDescent="0.4">
      <c r="C39" s="73" t="s">
        <v>14</v>
      </c>
      <c r="D39" s="71" t="s">
        <v>15</v>
      </c>
      <c r="E39" s="39"/>
      <c r="F39" s="39"/>
      <c r="G39" s="39"/>
      <c r="H39" s="39"/>
      <c r="I39" s="39"/>
      <c r="J39" s="39"/>
      <c r="K39" s="79">
        <f t="shared" si="17"/>
        <v>0</v>
      </c>
      <c r="L39" s="58"/>
      <c r="M39" s="39"/>
      <c r="N39" s="39"/>
      <c r="O39" s="39"/>
      <c r="P39" s="39"/>
      <c r="Q39" s="39"/>
      <c r="R39" s="75">
        <f t="shared" si="18"/>
        <v>0</v>
      </c>
      <c r="S39" s="84" t="str">
        <f t="shared" si="19"/>
        <v>***</v>
      </c>
      <c r="T39" s="65" t="str">
        <f t="shared" si="19"/>
        <v>***</v>
      </c>
      <c r="U39" s="65" t="str">
        <f t="shared" si="19"/>
        <v>***</v>
      </c>
      <c r="V39" s="65" t="str">
        <f t="shared" si="19"/>
        <v>***</v>
      </c>
      <c r="W39" s="65" t="str">
        <f t="shared" si="19"/>
        <v>***</v>
      </c>
      <c r="X39" s="65" t="str">
        <f t="shared" si="19"/>
        <v>***</v>
      </c>
      <c r="Y39" s="66" t="str">
        <f t="shared" si="19"/>
        <v>***</v>
      </c>
    </row>
    <row r="40" spans="3:25" x14ac:dyDescent="0.4">
      <c r="C40" s="3" t="s">
        <v>5</v>
      </c>
      <c r="D40" s="72"/>
      <c r="E40" s="63">
        <f t="shared" ref="E40:J40" si="20">SUM(E35:E39)</f>
        <v>500</v>
      </c>
      <c r="F40" s="63">
        <f t="shared" si="20"/>
        <v>500</v>
      </c>
      <c r="G40" s="63">
        <f t="shared" si="20"/>
        <v>500</v>
      </c>
      <c r="H40" s="63">
        <f t="shared" si="20"/>
        <v>1400</v>
      </c>
      <c r="I40" s="63">
        <f t="shared" si="20"/>
        <v>500</v>
      </c>
      <c r="J40" s="63">
        <f t="shared" si="20"/>
        <v>500</v>
      </c>
      <c r="K40" s="80">
        <f t="shared" si="17"/>
        <v>3900</v>
      </c>
      <c r="L40" s="76">
        <f t="shared" ref="L40:Q40" si="21">SUM(L35:L39)</f>
        <v>120</v>
      </c>
      <c r="M40" s="63">
        <f t="shared" si="21"/>
        <v>120</v>
      </c>
      <c r="N40" s="63">
        <f t="shared" si="21"/>
        <v>120</v>
      </c>
      <c r="O40" s="63">
        <f t="shared" si="21"/>
        <v>210</v>
      </c>
      <c r="P40" s="63">
        <f t="shared" si="21"/>
        <v>120</v>
      </c>
      <c r="Q40" s="63">
        <f t="shared" si="21"/>
        <v>120</v>
      </c>
      <c r="R40" s="77">
        <f t="shared" si="18"/>
        <v>810</v>
      </c>
      <c r="S40" s="82">
        <f t="shared" si="19"/>
        <v>0.24</v>
      </c>
      <c r="T40" s="67">
        <f t="shared" si="19"/>
        <v>0.24</v>
      </c>
      <c r="U40" s="67">
        <f t="shared" si="19"/>
        <v>0.24</v>
      </c>
      <c r="V40" s="67">
        <f t="shared" si="19"/>
        <v>0.15</v>
      </c>
      <c r="W40" s="67">
        <f t="shared" si="19"/>
        <v>0.24</v>
      </c>
      <c r="X40" s="67">
        <f t="shared" si="19"/>
        <v>0.24</v>
      </c>
      <c r="Y40" s="68">
        <f t="shared" si="19"/>
        <v>0.2076923076923077</v>
      </c>
    </row>
    <row r="41" spans="3:25" hidden="1" x14ac:dyDescent="0.4">
      <c r="C41" s="6"/>
      <c r="E41" s="5"/>
      <c r="F41" s="5"/>
      <c r="G41" s="5"/>
      <c r="H41" s="5"/>
      <c r="I41" s="5"/>
      <c r="J41" s="5"/>
      <c r="K41" s="6"/>
      <c r="L41" s="5"/>
      <c r="M41" s="5"/>
      <c r="N41" s="5"/>
      <c r="O41" s="5"/>
      <c r="P41" s="5"/>
      <c r="Q41" s="5"/>
      <c r="R41" s="6"/>
      <c r="S41" s="7"/>
      <c r="T41" s="7"/>
      <c r="U41" s="7"/>
      <c r="V41" s="7"/>
      <c r="W41" s="7"/>
      <c r="X41" s="7"/>
      <c r="Y41" s="7"/>
    </row>
    <row r="42" spans="3:25" hidden="1" x14ac:dyDescent="0.4">
      <c r="C42" s="6" t="s">
        <v>19</v>
      </c>
    </row>
    <row r="43" spans="3:25" hidden="1" x14ac:dyDescent="0.4">
      <c r="C43" s="87"/>
      <c r="D43" s="88"/>
      <c r="E43" s="87" t="s">
        <v>2</v>
      </c>
      <c r="F43" s="90"/>
      <c r="G43" s="90"/>
      <c r="H43" s="90"/>
      <c r="I43" s="90"/>
      <c r="J43" s="90"/>
      <c r="K43" s="88"/>
      <c r="L43" s="89" t="s">
        <v>3</v>
      </c>
      <c r="M43" s="90"/>
      <c r="N43" s="90"/>
      <c r="O43" s="90"/>
      <c r="P43" s="90"/>
      <c r="Q43" s="90"/>
      <c r="R43" s="88"/>
      <c r="S43" s="89" t="s">
        <v>4</v>
      </c>
      <c r="T43" s="90"/>
      <c r="U43" s="90"/>
      <c r="V43" s="90"/>
      <c r="W43" s="90"/>
      <c r="X43" s="90"/>
      <c r="Y43" s="88"/>
    </row>
    <row r="44" spans="3:25" hidden="1" x14ac:dyDescent="0.4">
      <c r="C44" s="61"/>
      <c r="D44" s="70"/>
      <c r="E44" s="74">
        <v>46113</v>
      </c>
      <c r="F44" s="62">
        <v>46143</v>
      </c>
      <c r="G44" s="62">
        <v>46174</v>
      </c>
      <c r="H44" s="62">
        <v>46204</v>
      </c>
      <c r="I44" s="62">
        <v>46235</v>
      </c>
      <c r="J44" s="62">
        <v>46266</v>
      </c>
      <c r="K44" s="64" t="s">
        <v>5</v>
      </c>
      <c r="L44" s="83">
        <v>46113</v>
      </c>
      <c r="M44" s="62">
        <v>46143</v>
      </c>
      <c r="N44" s="62">
        <v>46174</v>
      </c>
      <c r="O44" s="62">
        <v>46204</v>
      </c>
      <c r="P44" s="62">
        <v>46235</v>
      </c>
      <c r="Q44" s="62">
        <v>46266</v>
      </c>
      <c r="R44" s="64" t="s">
        <v>5</v>
      </c>
      <c r="S44" s="83">
        <v>46113</v>
      </c>
      <c r="T44" s="62">
        <v>46143</v>
      </c>
      <c r="U44" s="62">
        <v>46174</v>
      </c>
      <c r="V44" s="62">
        <v>46204</v>
      </c>
      <c r="W44" s="62">
        <v>46235</v>
      </c>
      <c r="X44" s="62">
        <v>46266</v>
      </c>
      <c r="Y44" s="64" t="s">
        <v>5</v>
      </c>
    </row>
    <row r="45" spans="3:25" hidden="1" x14ac:dyDescent="0.4">
      <c r="C45" s="73" t="s">
        <v>6</v>
      </c>
      <c r="D45" s="71" t="s">
        <v>7</v>
      </c>
      <c r="E45" s="2">
        <f t="shared" ref="E45:J49" si="22">E35-E15</f>
        <v>58</v>
      </c>
      <c r="F45" s="2">
        <f t="shared" si="22"/>
        <v>69</v>
      </c>
      <c r="G45" s="2">
        <f t="shared" si="22"/>
        <v>74</v>
      </c>
      <c r="H45" s="2">
        <f t="shared" si="22"/>
        <v>152</v>
      </c>
      <c r="I45" s="2">
        <f t="shared" si="22"/>
        <v>182</v>
      </c>
      <c r="J45" s="2">
        <f t="shared" si="22"/>
        <v>-1205</v>
      </c>
      <c r="K45" s="79">
        <f t="shared" ref="K45:K50" si="23">SUM(E45:J45)</f>
        <v>-670</v>
      </c>
      <c r="L45" s="1">
        <f t="shared" ref="L45:Q49" si="24">L35-L15</f>
        <v>24</v>
      </c>
      <c r="M45" s="2">
        <f t="shared" si="24"/>
        <v>24</v>
      </c>
      <c r="N45" s="2">
        <f t="shared" si="24"/>
        <v>13</v>
      </c>
      <c r="O45" s="2">
        <f t="shared" si="24"/>
        <v>39</v>
      </c>
      <c r="P45" s="2">
        <f t="shared" si="24"/>
        <v>43</v>
      </c>
      <c r="Q45" s="2">
        <f t="shared" si="24"/>
        <v>-233</v>
      </c>
      <c r="R45" s="75">
        <f t="shared" ref="R45:R50" si="25">SUM(L45:Q45)</f>
        <v>-90</v>
      </c>
      <c r="S45" s="84">
        <f t="shared" ref="S45:Y50" si="26">S35-S15</f>
        <v>6.6901408450704219E-2</v>
      </c>
      <c r="T45" s="65">
        <f t="shared" si="26"/>
        <v>5.1526717557251911E-2</v>
      </c>
      <c r="U45" s="65">
        <f t="shared" si="26"/>
        <v>-4.3650793650793662E-2</v>
      </c>
      <c r="V45" s="65">
        <f t="shared" si="26"/>
        <v>2.0833333333333343E-2</v>
      </c>
      <c r="W45" s="65">
        <f t="shared" si="26"/>
        <v>-0.1388888888888889</v>
      </c>
      <c r="X45" s="65">
        <f t="shared" si="26"/>
        <v>4.8576512455516002E-2</v>
      </c>
      <c r="Y45" s="66">
        <f t="shared" si="26"/>
        <v>4.1443850267379678E-2</v>
      </c>
    </row>
    <row r="46" spans="3:25" hidden="1" x14ac:dyDescent="0.4">
      <c r="C46" s="73" t="s">
        <v>8</v>
      </c>
      <c r="D46" s="60" t="s">
        <v>9</v>
      </c>
      <c r="E46" s="2">
        <f t="shared" si="22"/>
        <v>-518</v>
      </c>
      <c r="F46" s="2">
        <f t="shared" si="22"/>
        <v>77</v>
      </c>
      <c r="G46" s="2">
        <f t="shared" si="22"/>
        <v>36</v>
      </c>
      <c r="H46" s="2">
        <f t="shared" si="22"/>
        <v>672</v>
      </c>
      <c r="I46" s="2">
        <f t="shared" si="22"/>
        <v>-1</v>
      </c>
      <c r="J46" s="2">
        <f t="shared" si="22"/>
        <v>105</v>
      </c>
      <c r="K46" s="79">
        <f t="shared" si="23"/>
        <v>371</v>
      </c>
      <c r="L46" s="1">
        <f t="shared" si="24"/>
        <v>-92</v>
      </c>
      <c r="M46" s="2">
        <f t="shared" si="24"/>
        <v>34</v>
      </c>
      <c r="N46" s="2">
        <f t="shared" si="24"/>
        <v>3</v>
      </c>
      <c r="O46" s="2">
        <f t="shared" si="24"/>
        <v>91</v>
      </c>
      <c r="P46" s="2">
        <f t="shared" si="24"/>
        <v>-20</v>
      </c>
      <c r="Q46" s="2">
        <f t="shared" si="24"/>
        <v>31</v>
      </c>
      <c r="R46" s="75">
        <f t="shared" si="25"/>
        <v>47</v>
      </c>
      <c r="S46" s="84">
        <f t="shared" si="26"/>
        <v>5.2228412256267398E-2</v>
      </c>
      <c r="T46" s="65">
        <f t="shared" si="26"/>
        <v>0.11991869918699186</v>
      </c>
      <c r="U46" s="65">
        <f t="shared" si="26"/>
        <v>-3.6585365853658514E-2</v>
      </c>
      <c r="V46" s="65">
        <f t="shared" si="26"/>
        <v>1.2786745964316046E-2</v>
      </c>
      <c r="W46" s="65">
        <f t="shared" si="26"/>
        <v>-9.8258706467661716E-2</v>
      </c>
      <c r="X46" s="65">
        <f t="shared" si="26"/>
        <v>4.9999999999999989E-2</v>
      </c>
      <c r="Y46" s="66">
        <f t="shared" si="26"/>
        <v>-1.2666281087333725E-2</v>
      </c>
    </row>
    <row r="47" spans="3:25" hidden="1" x14ac:dyDescent="0.4">
      <c r="C47" s="73" t="s">
        <v>10</v>
      </c>
      <c r="D47" s="71" t="s">
        <v>11</v>
      </c>
      <c r="E47" s="2">
        <f t="shared" si="22"/>
        <v>100</v>
      </c>
      <c r="F47" s="2">
        <f t="shared" si="22"/>
        <v>100</v>
      </c>
      <c r="G47" s="2">
        <f t="shared" si="22"/>
        <v>100</v>
      </c>
      <c r="H47" s="2">
        <f t="shared" si="22"/>
        <v>100</v>
      </c>
      <c r="I47" s="2">
        <f t="shared" si="22"/>
        <v>100</v>
      </c>
      <c r="J47" s="2">
        <f t="shared" si="22"/>
        <v>100</v>
      </c>
      <c r="K47" s="79">
        <f t="shared" si="23"/>
        <v>600</v>
      </c>
      <c r="L47" s="1">
        <f t="shared" si="24"/>
        <v>20</v>
      </c>
      <c r="M47" s="2">
        <f t="shared" si="24"/>
        <v>20</v>
      </c>
      <c r="N47" s="2">
        <f t="shared" si="24"/>
        <v>20</v>
      </c>
      <c r="O47" s="2">
        <f t="shared" si="24"/>
        <v>20</v>
      </c>
      <c r="P47" s="2">
        <f t="shared" si="24"/>
        <v>20</v>
      </c>
      <c r="Q47" s="2">
        <f t="shared" si="24"/>
        <v>20</v>
      </c>
      <c r="R47" s="75">
        <f t="shared" si="25"/>
        <v>120</v>
      </c>
      <c r="S47" s="84" t="e">
        <f t="shared" si="26"/>
        <v>#VALUE!</v>
      </c>
      <c r="T47" s="65" t="e">
        <f t="shared" si="26"/>
        <v>#VALUE!</v>
      </c>
      <c r="U47" s="65" t="e">
        <f t="shared" si="26"/>
        <v>#VALUE!</v>
      </c>
      <c r="V47" s="65" t="e">
        <f t="shared" si="26"/>
        <v>#VALUE!</v>
      </c>
      <c r="W47" s="65" t="e">
        <f t="shared" si="26"/>
        <v>#VALUE!</v>
      </c>
      <c r="X47" s="65" t="e">
        <f t="shared" si="26"/>
        <v>#VALUE!</v>
      </c>
      <c r="Y47" s="66" t="e">
        <f t="shared" si="26"/>
        <v>#VALUE!</v>
      </c>
    </row>
    <row r="48" spans="3:25" hidden="1" x14ac:dyDescent="0.4">
      <c r="C48" s="73" t="s">
        <v>12</v>
      </c>
      <c r="D48" s="71" t="s">
        <v>13</v>
      </c>
      <c r="E48" s="2">
        <f t="shared" si="22"/>
        <v>0</v>
      </c>
      <c r="F48" s="2">
        <f t="shared" si="22"/>
        <v>0</v>
      </c>
      <c r="G48" s="2">
        <f t="shared" si="22"/>
        <v>0</v>
      </c>
      <c r="H48" s="2">
        <f t="shared" si="22"/>
        <v>0</v>
      </c>
      <c r="I48" s="2">
        <f t="shared" si="22"/>
        <v>0</v>
      </c>
      <c r="J48" s="2">
        <f t="shared" si="22"/>
        <v>0</v>
      </c>
      <c r="K48" s="79">
        <f t="shared" si="23"/>
        <v>0</v>
      </c>
      <c r="L48" s="1">
        <f t="shared" si="24"/>
        <v>0</v>
      </c>
      <c r="M48" s="2">
        <f t="shared" si="24"/>
        <v>0</v>
      </c>
      <c r="N48" s="2">
        <f t="shared" si="24"/>
        <v>0</v>
      </c>
      <c r="O48" s="2">
        <f t="shared" si="24"/>
        <v>0</v>
      </c>
      <c r="P48" s="2">
        <f t="shared" si="24"/>
        <v>0</v>
      </c>
      <c r="Q48" s="2">
        <f t="shared" si="24"/>
        <v>0</v>
      </c>
      <c r="R48" s="75">
        <f t="shared" si="25"/>
        <v>0</v>
      </c>
      <c r="S48" s="84" t="e">
        <f t="shared" si="26"/>
        <v>#VALUE!</v>
      </c>
      <c r="T48" s="65" t="e">
        <f t="shared" si="26"/>
        <v>#VALUE!</v>
      </c>
      <c r="U48" s="65" t="e">
        <f t="shared" si="26"/>
        <v>#VALUE!</v>
      </c>
      <c r="V48" s="65" t="e">
        <f t="shared" si="26"/>
        <v>#VALUE!</v>
      </c>
      <c r="W48" s="65" t="e">
        <f t="shared" si="26"/>
        <v>#VALUE!</v>
      </c>
      <c r="X48" s="65" t="e">
        <f t="shared" si="26"/>
        <v>#VALUE!</v>
      </c>
      <c r="Y48" s="66" t="e">
        <f t="shared" si="26"/>
        <v>#VALUE!</v>
      </c>
    </row>
    <row r="49" spans="3:25" hidden="1" x14ac:dyDescent="0.4">
      <c r="C49" s="73" t="s">
        <v>14</v>
      </c>
      <c r="D49" s="71" t="s">
        <v>15</v>
      </c>
      <c r="E49" s="2">
        <f t="shared" si="22"/>
        <v>-21</v>
      </c>
      <c r="F49" s="2">
        <f t="shared" si="22"/>
        <v>0</v>
      </c>
      <c r="G49" s="2">
        <f t="shared" si="22"/>
        <v>0</v>
      </c>
      <c r="H49" s="2">
        <f t="shared" si="22"/>
        <v>0</v>
      </c>
      <c r="I49" s="2">
        <f t="shared" si="22"/>
        <v>0</v>
      </c>
      <c r="J49" s="2">
        <f t="shared" si="22"/>
        <v>0</v>
      </c>
      <c r="K49" s="79">
        <f t="shared" si="23"/>
        <v>-21</v>
      </c>
      <c r="L49" s="1">
        <f t="shared" si="24"/>
        <v>-5</v>
      </c>
      <c r="M49" s="2">
        <f t="shared" si="24"/>
        <v>0</v>
      </c>
      <c r="N49" s="2">
        <f t="shared" si="24"/>
        <v>0</v>
      </c>
      <c r="O49" s="2">
        <f t="shared" si="24"/>
        <v>0</v>
      </c>
      <c r="P49" s="2">
        <f t="shared" si="24"/>
        <v>0</v>
      </c>
      <c r="Q49" s="2">
        <f t="shared" si="24"/>
        <v>0</v>
      </c>
      <c r="R49" s="75">
        <f t="shared" si="25"/>
        <v>-5</v>
      </c>
      <c r="S49" s="84" t="e">
        <f t="shared" si="26"/>
        <v>#VALUE!</v>
      </c>
      <c r="T49" s="65" t="e">
        <f t="shared" si="26"/>
        <v>#VALUE!</v>
      </c>
      <c r="U49" s="65" t="e">
        <f t="shared" si="26"/>
        <v>#VALUE!</v>
      </c>
      <c r="V49" s="65" t="e">
        <f t="shared" si="26"/>
        <v>#VALUE!</v>
      </c>
      <c r="W49" s="65" t="e">
        <f t="shared" si="26"/>
        <v>#VALUE!</v>
      </c>
      <c r="X49" s="65" t="e">
        <f t="shared" si="26"/>
        <v>#VALUE!</v>
      </c>
      <c r="Y49" s="66" t="e">
        <f t="shared" si="26"/>
        <v>#VALUE!</v>
      </c>
    </row>
    <row r="50" spans="3:25" hidden="1" x14ac:dyDescent="0.4">
      <c r="C50" s="3" t="s">
        <v>5</v>
      </c>
      <c r="D50" s="72"/>
      <c r="E50" s="63">
        <f t="shared" ref="E50:J50" si="27">SUM(E45:E49)</f>
        <v>-381</v>
      </c>
      <c r="F50" s="63">
        <f t="shared" si="27"/>
        <v>246</v>
      </c>
      <c r="G50" s="63">
        <f t="shared" si="27"/>
        <v>210</v>
      </c>
      <c r="H50" s="63">
        <f t="shared" si="27"/>
        <v>924</v>
      </c>
      <c r="I50" s="63">
        <f t="shared" si="27"/>
        <v>281</v>
      </c>
      <c r="J50" s="63">
        <f t="shared" si="27"/>
        <v>-1000</v>
      </c>
      <c r="K50" s="80">
        <f t="shared" si="23"/>
        <v>280</v>
      </c>
      <c r="L50" s="76">
        <f t="shared" ref="L50:Q50" si="28">SUM(L45:L49)</f>
        <v>-53</v>
      </c>
      <c r="M50" s="63">
        <f t="shared" si="28"/>
        <v>78</v>
      </c>
      <c r="N50" s="63">
        <f t="shared" si="28"/>
        <v>36</v>
      </c>
      <c r="O50" s="63">
        <f t="shared" si="28"/>
        <v>150</v>
      </c>
      <c r="P50" s="63">
        <f t="shared" si="28"/>
        <v>43</v>
      </c>
      <c r="Q50" s="63">
        <f t="shared" si="28"/>
        <v>-182</v>
      </c>
      <c r="R50" s="77">
        <f t="shared" si="25"/>
        <v>72</v>
      </c>
      <c r="S50" s="82">
        <f t="shared" si="26"/>
        <v>4.3632236095346194E-2</v>
      </c>
      <c r="T50" s="67">
        <f t="shared" si="26"/>
        <v>7.4645669291338562E-2</v>
      </c>
      <c r="U50" s="67">
        <f t="shared" si="26"/>
        <v>-4.9655172413793136E-2</v>
      </c>
      <c r="V50" s="67">
        <f t="shared" si="26"/>
        <v>2.3949579831932771E-2</v>
      </c>
      <c r="W50" s="67">
        <f t="shared" si="26"/>
        <v>-0.11159817351598172</v>
      </c>
      <c r="X50" s="67">
        <f t="shared" si="26"/>
        <v>3.8666666666666655E-2</v>
      </c>
      <c r="Y50" s="68">
        <f t="shared" si="26"/>
        <v>3.8249043773905811E-3</v>
      </c>
    </row>
    <row r="51" spans="3:25" hidden="1" x14ac:dyDescent="0.4"/>
    <row r="52" spans="3:25" hidden="1" x14ac:dyDescent="0.4">
      <c r="C52" s="6" t="s">
        <v>20</v>
      </c>
    </row>
    <row r="53" spans="3:25" hidden="1" x14ac:dyDescent="0.4">
      <c r="C53" s="87"/>
      <c r="D53" s="88"/>
      <c r="E53" s="87" t="s">
        <v>2</v>
      </c>
      <c r="F53" s="90"/>
      <c r="G53" s="90"/>
      <c r="H53" s="90"/>
      <c r="I53" s="90"/>
      <c r="J53" s="90"/>
      <c r="K53" s="88"/>
      <c r="L53" s="89" t="s">
        <v>3</v>
      </c>
      <c r="M53" s="90"/>
      <c r="N53" s="90"/>
      <c r="O53" s="90"/>
      <c r="P53" s="90"/>
      <c r="Q53" s="90"/>
      <c r="R53" s="88"/>
      <c r="S53" s="89" t="s">
        <v>4</v>
      </c>
      <c r="T53" s="90"/>
      <c r="U53" s="90"/>
      <c r="V53" s="90"/>
      <c r="W53" s="90"/>
      <c r="X53" s="90"/>
      <c r="Y53" s="88"/>
    </row>
    <row r="54" spans="3:25" hidden="1" x14ac:dyDescent="0.4">
      <c r="C54" s="61"/>
      <c r="D54" s="70"/>
      <c r="E54" s="74">
        <v>46113</v>
      </c>
      <c r="F54" s="62">
        <v>46143</v>
      </c>
      <c r="G54" s="62">
        <v>46174</v>
      </c>
      <c r="H54" s="62">
        <v>46204</v>
      </c>
      <c r="I54" s="62">
        <v>46235</v>
      </c>
      <c r="J54" s="62">
        <v>46266</v>
      </c>
      <c r="K54" s="64" t="s">
        <v>5</v>
      </c>
      <c r="L54" s="83">
        <v>46113</v>
      </c>
      <c r="M54" s="62">
        <v>46143</v>
      </c>
      <c r="N54" s="62">
        <v>46174</v>
      </c>
      <c r="O54" s="62">
        <v>46204</v>
      </c>
      <c r="P54" s="62">
        <v>46235</v>
      </c>
      <c r="Q54" s="62">
        <v>46266</v>
      </c>
      <c r="R54" s="64" t="s">
        <v>5</v>
      </c>
      <c r="S54" s="83">
        <v>46113</v>
      </c>
      <c r="T54" s="62">
        <v>46143</v>
      </c>
      <c r="U54" s="62">
        <v>46174</v>
      </c>
      <c r="V54" s="62">
        <v>46204</v>
      </c>
      <c r="W54" s="62">
        <v>46235</v>
      </c>
      <c r="X54" s="62">
        <v>46266</v>
      </c>
      <c r="Y54" s="64" t="s">
        <v>5</v>
      </c>
    </row>
    <row r="55" spans="3:25" hidden="1" x14ac:dyDescent="0.4">
      <c r="C55" s="73" t="s">
        <v>6</v>
      </c>
      <c r="D55" s="71" t="s">
        <v>7</v>
      </c>
      <c r="E55" s="2">
        <f t="shared" ref="E55:J59" si="29">E35-E25</f>
        <v>26.5</v>
      </c>
      <c r="F55" s="2">
        <f t="shared" si="29"/>
        <v>-1313</v>
      </c>
      <c r="G55" s="2">
        <f t="shared" si="29"/>
        <v>127</v>
      </c>
      <c r="H55" s="2">
        <f t="shared" si="29"/>
        <v>156.5</v>
      </c>
      <c r="I55" s="2">
        <f t="shared" si="29"/>
        <v>86</v>
      </c>
      <c r="J55" s="2">
        <f t="shared" si="29"/>
        <v>605.5</v>
      </c>
      <c r="K55" s="79">
        <f t="shared" ref="K55:K60" si="30">SUM(E55:J55)</f>
        <v>-311.5</v>
      </c>
      <c r="L55" s="1">
        <f t="shared" ref="L55:Q59" si="31">L35-L25</f>
        <v>14.5</v>
      </c>
      <c r="M55" s="2">
        <f t="shared" si="31"/>
        <v>-263.5</v>
      </c>
      <c r="N55" s="2">
        <f t="shared" si="31"/>
        <v>28.5</v>
      </c>
      <c r="O55" s="2">
        <f t="shared" si="31"/>
        <v>40</v>
      </c>
      <c r="P55" s="2">
        <f t="shared" si="31"/>
        <v>22</v>
      </c>
      <c r="Q55" s="2">
        <f t="shared" si="31"/>
        <v>129</v>
      </c>
      <c r="R55" s="75">
        <f t="shared" ref="R55:R60" si="32">SUM(L55:Q55)</f>
        <v>-29.5</v>
      </c>
      <c r="S55" s="84">
        <f t="shared" ref="S55:Y60" si="33">S35-S25</f>
        <v>4.5389048991354458E-2</v>
      </c>
      <c r="T55" s="65">
        <f t="shared" si="33"/>
        <v>4.2795769993390603E-2</v>
      </c>
      <c r="U55" s="65">
        <f t="shared" si="33"/>
        <v>-4.4520547945205491E-2</v>
      </c>
      <c r="V55" s="65">
        <f t="shared" si="33"/>
        <v>2.0114942528735635E-2</v>
      </c>
      <c r="W55" s="65">
        <f t="shared" si="33"/>
        <v>4.3859649122807154E-3</v>
      </c>
      <c r="X55" s="65">
        <f t="shared" si="33"/>
        <v>5.5178791615289768E-2</v>
      </c>
      <c r="Y55" s="66">
        <f t="shared" si="33"/>
        <v>3.2004631161098251E-2</v>
      </c>
    </row>
    <row r="56" spans="3:25" hidden="1" x14ac:dyDescent="0.4">
      <c r="C56" s="73" t="s">
        <v>8</v>
      </c>
      <c r="D56" s="60" t="s">
        <v>9</v>
      </c>
      <c r="E56" s="2">
        <f t="shared" si="29"/>
        <v>-438</v>
      </c>
      <c r="F56" s="2">
        <f t="shared" si="29"/>
        <v>61</v>
      </c>
      <c r="G56" s="2">
        <f t="shared" si="29"/>
        <v>-29.5</v>
      </c>
      <c r="H56" s="2">
        <f t="shared" si="29"/>
        <v>823</v>
      </c>
      <c r="I56" s="2">
        <f t="shared" si="29"/>
        <v>54.5</v>
      </c>
      <c r="J56" s="2">
        <f t="shared" si="29"/>
        <v>94.5</v>
      </c>
      <c r="K56" s="79">
        <f t="shared" si="30"/>
        <v>565.5</v>
      </c>
      <c r="L56" s="1">
        <f t="shared" si="31"/>
        <v>-86</v>
      </c>
      <c r="M56" s="2">
        <f t="shared" si="31"/>
        <v>23.5</v>
      </c>
      <c r="N56" s="2">
        <f t="shared" si="31"/>
        <v>7.5</v>
      </c>
      <c r="O56" s="2">
        <f t="shared" si="31"/>
        <v>106.5</v>
      </c>
      <c r="P56" s="2">
        <f t="shared" si="31"/>
        <v>9.5</v>
      </c>
      <c r="Q56" s="2">
        <f t="shared" si="31"/>
        <v>23</v>
      </c>
      <c r="R56" s="75">
        <f t="shared" si="32"/>
        <v>84</v>
      </c>
      <c r="S56" s="84">
        <f t="shared" si="33"/>
        <v>3.6833855799373039E-2</v>
      </c>
      <c r="T56" s="65">
        <f t="shared" si="33"/>
        <v>5.9352517985611503E-2</v>
      </c>
      <c r="U56" s="65">
        <f t="shared" si="33"/>
        <v>6.4814814814814825E-2</v>
      </c>
      <c r="V56" s="65">
        <f t="shared" si="33"/>
        <v>6.3340991138824965E-3</v>
      </c>
      <c r="W56" s="65">
        <f t="shared" si="33"/>
        <v>-2.8350515463917536E-2</v>
      </c>
      <c r="X56" s="65">
        <f t="shared" si="33"/>
        <v>-5.924170616113722E-3</v>
      </c>
      <c r="Y56" s="66">
        <f t="shared" si="33"/>
        <v>-1.369920402178465E-2</v>
      </c>
    </row>
    <row r="57" spans="3:25" hidden="1" x14ac:dyDescent="0.4">
      <c r="C57" s="73" t="s">
        <v>10</v>
      </c>
      <c r="D57" s="71" t="s">
        <v>11</v>
      </c>
      <c r="E57" s="2">
        <f t="shared" si="29"/>
        <v>100</v>
      </c>
      <c r="F57" s="2">
        <f t="shared" si="29"/>
        <v>100</v>
      </c>
      <c r="G57" s="2">
        <f t="shared" si="29"/>
        <v>51.5</v>
      </c>
      <c r="H57" s="2">
        <f t="shared" si="29"/>
        <v>100</v>
      </c>
      <c r="I57" s="2">
        <f t="shared" si="29"/>
        <v>100</v>
      </c>
      <c r="J57" s="2">
        <f t="shared" si="29"/>
        <v>100</v>
      </c>
      <c r="K57" s="79">
        <f t="shared" si="30"/>
        <v>551.5</v>
      </c>
      <c r="L57" s="1">
        <f t="shared" si="31"/>
        <v>20</v>
      </c>
      <c r="M57" s="2">
        <f t="shared" si="31"/>
        <v>20</v>
      </c>
      <c r="N57" s="2">
        <f t="shared" si="31"/>
        <v>10.5</v>
      </c>
      <c r="O57" s="2">
        <f t="shared" si="31"/>
        <v>20</v>
      </c>
      <c r="P57" s="2">
        <f t="shared" si="31"/>
        <v>20</v>
      </c>
      <c r="Q57" s="2">
        <f t="shared" si="31"/>
        <v>20</v>
      </c>
      <c r="R57" s="75">
        <f t="shared" si="32"/>
        <v>110.5</v>
      </c>
      <c r="S57" s="84" t="e">
        <f t="shared" si="33"/>
        <v>#VALUE!</v>
      </c>
      <c r="T57" s="65" t="e">
        <f t="shared" si="33"/>
        <v>#VALUE!</v>
      </c>
      <c r="U57" s="65">
        <f t="shared" si="33"/>
        <v>4.1237113402061987E-3</v>
      </c>
      <c r="V57" s="65" t="e">
        <f t="shared" si="33"/>
        <v>#VALUE!</v>
      </c>
      <c r="W57" s="65" t="e">
        <f t="shared" si="33"/>
        <v>#VALUE!</v>
      </c>
      <c r="X57" s="65" t="e">
        <f t="shared" si="33"/>
        <v>#VALUE!</v>
      </c>
      <c r="Y57" s="66">
        <f t="shared" si="33"/>
        <v>4.1237113402061987E-3</v>
      </c>
    </row>
    <row r="58" spans="3:25" hidden="1" x14ac:dyDescent="0.4">
      <c r="C58" s="73" t="s">
        <v>12</v>
      </c>
      <c r="D58" s="71" t="s">
        <v>13</v>
      </c>
      <c r="E58" s="2">
        <f t="shared" si="29"/>
        <v>0</v>
      </c>
      <c r="F58" s="2">
        <f t="shared" si="29"/>
        <v>0</v>
      </c>
      <c r="G58" s="2">
        <f t="shared" si="29"/>
        <v>0</v>
      </c>
      <c r="H58" s="2">
        <f t="shared" si="29"/>
        <v>0</v>
      </c>
      <c r="I58" s="2">
        <f t="shared" si="29"/>
        <v>0</v>
      </c>
      <c r="J58" s="2">
        <f t="shared" si="29"/>
        <v>0</v>
      </c>
      <c r="K58" s="79">
        <f t="shared" si="30"/>
        <v>0</v>
      </c>
      <c r="L58" s="1">
        <f t="shared" si="31"/>
        <v>0</v>
      </c>
      <c r="M58" s="2">
        <f t="shared" si="31"/>
        <v>0</v>
      </c>
      <c r="N58" s="2">
        <f t="shared" si="31"/>
        <v>0</v>
      </c>
      <c r="O58" s="2">
        <f t="shared" si="31"/>
        <v>0</v>
      </c>
      <c r="P58" s="2">
        <f t="shared" si="31"/>
        <v>0</v>
      </c>
      <c r="Q58" s="2">
        <f t="shared" si="31"/>
        <v>0</v>
      </c>
      <c r="R58" s="75">
        <f t="shared" si="32"/>
        <v>0</v>
      </c>
      <c r="S58" s="84" t="e">
        <f t="shared" si="33"/>
        <v>#VALUE!</v>
      </c>
      <c r="T58" s="65" t="e">
        <f t="shared" si="33"/>
        <v>#VALUE!</v>
      </c>
      <c r="U58" s="65" t="e">
        <f t="shared" si="33"/>
        <v>#VALUE!</v>
      </c>
      <c r="V58" s="65" t="e">
        <f t="shared" si="33"/>
        <v>#VALUE!</v>
      </c>
      <c r="W58" s="65" t="e">
        <f t="shared" si="33"/>
        <v>#VALUE!</v>
      </c>
      <c r="X58" s="65" t="e">
        <f t="shared" si="33"/>
        <v>#VALUE!</v>
      </c>
      <c r="Y58" s="66" t="e">
        <f t="shared" si="33"/>
        <v>#VALUE!</v>
      </c>
    </row>
    <row r="59" spans="3:25" hidden="1" x14ac:dyDescent="0.4">
      <c r="C59" s="73" t="s">
        <v>14</v>
      </c>
      <c r="D59" s="71" t="s">
        <v>15</v>
      </c>
      <c r="E59" s="2">
        <f t="shared" si="29"/>
        <v>-10.5</v>
      </c>
      <c r="F59" s="2">
        <f t="shared" si="29"/>
        <v>0</v>
      </c>
      <c r="G59" s="2">
        <f t="shared" si="29"/>
        <v>0</v>
      </c>
      <c r="H59" s="2">
        <f t="shared" si="29"/>
        <v>0</v>
      </c>
      <c r="I59" s="2">
        <f t="shared" si="29"/>
        <v>0</v>
      </c>
      <c r="J59" s="2">
        <f t="shared" si="29"/>
        <v>0</v>
      </c>
      <c r="K59" s="79">
        <f t="shared" si="30"/>
        <v>-10.5</v>
      </c>
      <c r="L59" s="1">
        <f t="shared" si="31"/>
        <v>-2.5</v>
      </c>
      <c r="M59" s="2">
        <f t="shared" si="31"/>
        <v>0</v>
      </c>
      <c r="N59" s="2">
        <f t="shared" si="31"/>
        <v>0</v>
      </c>
      <c r="O59" s="2">
        <f t="shared" si="31"/>
        <v>0</v>
      </c>
      <c r="P59" s="2">
        <f t="shared" si="31"/>
        <v>0</v>
      </c>
      <c r="Q59" s="2">
        <f t="shared" si="31"/>
        <v>0</v>
      </c>
      <c r="R59" s="75">
        <f t="shared" si="32"/>
        <v>-2.5</v>
      </c>
      <c r="S59" s="84" t="e">
        <f t="shared" si="33"/>
        <v>#VALUE!</v>
      </c>
      <c r="T59" s="65" t="e">
        <f t="shared" si="33"/>
        <v>#VALUE!</v>
      </c>
      <c r="U59" s="65" t="e">
        <f t="shared" si="33"/>
        <v>#VALUE!</v>
      </c>
      <c r="V59" s="65" t="e">
        <f t="shared" si="33"/>
        <v>#VALUE!</v>
      </c>
      <c r="W59" s="65" t="e">
        <f t="shared" si="33"/>
        <v>#VALUE!</v>
      </c>
      <c r="X59" s="65" t="e">
        <f t="shared" si="33"/>
        <v>#VALUE!</v>
      </c>
      <c r="Y59" s="66" t="e">
        <f t="shared" si="33"/>
        <v>#VALUE!</v>
      </c>
    </row>
    <row r="60" spans="3:25" hidden="1" x14ac:dyDescent="0.4">
      <c r="C60" s="3" t="s">
        <v>5</v>
      </c>
      <c r="D60" s="72"/>
      <c r="E60" s="63">
        <f t="shared" ref="E60:J60" si="34">SUM(E55:E59)</f>
        <v>-322</v>
      </c>
      <c r="F60" s="63">
        <f t="shared" si="34"/>
        <v>-1152</v>
      </c>
      <c r="G60" s="63">
        <f t="shared" si="34"/>
        <v>149</v>
      </c>
      <c r="H60" s="63">
        <f t="shared" si="34"/>
        <v>1079.5</v>
      </c>
      <c r="I60" s="63">
        <f t="shared" si="34"/>
        <v>240.5</v>
      </c>
      <c r="J60" s="63">
        <f t="shared" si="34"/>
        <v>800</v>
      </c>
      <c r="K60" s="80">
        <f t="shared" si="30"/>
        <v>795</v>
      </c>
      <c r="L60" s="76">
        <f t="shared" ref="L60:Q60" si="35">SUM(L55:L59)</f>
        <v>-54</v>
      </c>
      <c r="M60" s="63">
        <f t="shared" si="35"/>
        <v>-220</v>
      </c>
      <c r="N60" s="63">
        <f t="shared" si="35"/>
        <v>46.5</v>
      </c>
      <c r="O60" s="63">
        <f t="shared" si="35"/>
        <v>166.5</v>
      </c>
      <c r="P60" s="63">
        <f t="shared" si="35"/>
        <v>51.5</v>
      </c>
      <c r="Q60" s="63">
        <f t="shared" si="35"/>
        <v>172</v>
      </c>
      <c r="R60" s="77">
        <f t="shared" si="32"/>
        <v>162.5</v>
      </c>
      <c r="S60" s="82">
        <f t="shared" si="33"/>
        <v>2.8321167883211679E-2</v>
      </c>
      <c r="T60" s="67">
        <f t="shared" si="33"/>
        <v>3.4188861985472135E-2</v>
      </c>
      <c r="U60" s="67">
        <f t="shared" si="33"/>
        <v>3.0598290598290584E-2</v>
      </c>
      <c r="V60" s="67">
        <f t="shared" si="33"/>
        <v>1.4274570982839296E-2</v>
      </c>
      <c r="W60" s="67">
        <f t="shared" si="33"/>
        <v>-2.3969171483622376E-2</v>
      </c>
      <c r="X60" s="67">
        <f t="shared" si="33"/>
        <v>6.6666666666666652E-2</v>
      </c>
      <c r="Y60" s="68">
        <f t="shared" si="33"/>
        <v>-8.4231388579214528E-4</v>
      </c>
    </row>
    <row r="61" spans="3:25" x14ac:dyDescent="0.4">
      <c r="C61" s="6"/>
      <c r="E61" s="5"/>
      <c r="F61" s="5"/>
      <c r="G61" s="5"/>
      <c r="H61" s="5"/>
      <c r="I61" s="5"/>
      <c r="J61" s="5"/>
      <c r="K61" s="6"/>
      <c r="L61" s="5"/>
      <c r="M61" s="5"/>
      <c r="N61" s="5"/>
      <c r="O61" s="5"/>
      <c r="P61" s="5"/>
      <c r="Q61" s="5"/>
      <c r="R61" s="6"/>
      <c r="S61" s="7"/>
      <c r="T61" s="7"/>
      <c r="U61" s="7"/>
      <c r="V61" s="7"/>
      <c r="W61" s="7"/>
      <c r="X61" s="7"/>
      <c r="Y61" s="7"/>
    </row>
    <row r="62" spans="3:25" x14ac:dyDescent="0.4">
      <c r="C62" s="6" t="s">
        <v>21</v>
      </c>
    </row>
    <row r="63" spans="3:25" x14ac:dyDescent="0.4">
      <c r="C63" s="87"/>
      <c r="D63" s="88"/>
      <c r="E63" s="87" t="s">
        <v>2</v>
      </c>
      <c r="F63" s="90"/>
      <c r="G63" s="90"/>
      <c r="H63" s="90"/>
      <c r="I63" s="90"/>
      <c r="J63" s="90"/>
      <c r="K63" s="88"/>
      <c r="L63" s="89" t="s">
        <v>3</v>
      </c>
      <c r="M63" s="90"/>
      <c r="N63" s="90"/>
      <c r="O63" s="90"/>
      <c r="P63" s="90"/>
      <c r="Q63" s="90"/>
      <c r="R63" s="88"/>
      <c r="S63" s="89" t="s">
        <v>4</v>
      </c>
      <c r="T63" s="90"/>
      <c r="U63" s="90"/>
      <c r="V63" s="90"/>
      <c r="W63" s="90"/>
      <c r="X63" s="90"/>
      <c r="Y63" s="88"/>
    </row>
    <row r="64" spans="3:25" x14ac:dyDescent="0.4">
      <c r="C64" s="61"/>
      <c r="D64" s="70"/>
      <c r="E64" s="74">
        <v>46113</v>
      </c>
      <c r="F64" s="62">
        <v>46143</v>
      </c>
      <c r="G64" s="62">
        <v>46174</v>
      </c>
      <c r="H64" s="62">
        <v>46204</v>
      </c>
      <c r="I64" s="62">
        <v>46235</v>
      </c>
      <c r="J64" s="62">
        <v>46266</v>
      </c>
      <c r="K64" s="64" t="s">
        <v>5</v>
      </c>
      <c r="L64" s="83">
        <v>46113</v>
      </c>
      <c r="M64" s="62">
        <v>46143</v>
      </c>
      <c r="N64" s="62">
        <v>46174</v>
      </c>
      <c r="O64" s="62">
        <v>46204</v>
      </c>
      <c r="P64" s="62">
        <v>46235</v>
      </c>
      <c r="Q64" s="62">
        <v>46266</v>
      </c>
      <c r="R64" s="64" t="s">
        <v>5</v>
      </c>
      <c r="S64" s="83">
        <v>46113</v>
      </c>
      <c r="T64" s="62">
        <v>46143</v>
      </c>
      <c r="U64" s="62">
        <v>46174</v>
      </c>
      <c r="V64" s="62">
        <v>46204</v>
      </c>
      <c r="W64" s="62">
        <v>46235</v>
      </c>
      <c r="X64" s="62">
        <v>46266</v>
      </c>
      <c r="Y64" s="64" t="s">
        <v>5</v>
      </c>
    </row>
    <row r="65" spans="3:25" x14ac:dyDescent="0.4">
      <c r="C65" s="73" t="s">
        <v>6</v>
      </c>
      <c r="D65" s="71" t="s">
        <v>7</v>
      </c>
      <c r="E65" s="39">
        <v>403.22500000000002</v>
      </c>
      <c r="F65" s="39">
        <v>109.11499999999999</v>
      </c>
      <c r="G65" s="39">
        <v>67.7</v>
      </c>
      <c r="H65" s="39">
        <v>44.72</v>
      </c>
      <c r="I65" s="39">
        <v>756.14</v>
      </c>
      <c r="J65" s="39">
        <v>14.11</v>
      </c>
      <c r="K65" s="79">
        <f t="shared" ref="K65:K70" si="36">SUM(E65:J65)</f>
        <v>1395.01</v>
      </c>
      <c r="L65" s="58">
        <v>81.834999999999994</v>
      </c>
      <c r="M65" s="39">
        <v>24.074999999999999</v>
      </c>
      <c r="N65" s="39">
        <v>24.31</v>
      </c>
      <c r="O65" s="39">
        <v>11.192</v>
      </c>
      <c r="P65" s="39">
        <v>151.19499999999999</v>
      </c>
      <c r="Q65" s="39">
        <v>7</v>
      </c>
      <c r="R65" s="75">
        <f t="shared" ref="R65:R70" si="37">SUM(L65:Q65)</f>
        <v>299.60699999999997</v>
      </c>
      <c r="S65" s="84">
        <f t="shared" ref="S65:Y70" si="38">IF(E65=0,"***",L65/E65)</f>
        <v>0.20295120590241178</v>
      </c>
      <c r="T65" s="65">
        <f t="shared" si="38"/>
        <v>0.22063877560372086</v>
      </c>
      <c r="U65" s="65">
        <f t="shared" si="38"/>
        <v>0.35908419497784339</v>
      </c>
      <c r="V65" s="65">
        <f t="shared" si="38"/>
        <v>0.25026833631484796</v>
      </c>
      <c r="W65" s="65">
        <f t="shared" si="38"/>
        <v>0.19995635728833283</v>
      </c>
      <c r="X65" s="65">
        <f t="shared" si="38"/>
        <v>0.49610205527994333</v>
      </c>
      <c r="Y65" s="66">
        <f t="shared" si="38"/>
        <v>0.21477050343725132</v>
      </c>
    </row>
    <row r="66" spans="3:25" x14ac:dyDescent="0.4">
      <c r="C66" s="73" t="s">
        <v>8</v>
      </c>
      <c r="D66" s="60" t="s">
        <v>9</v>
      </c>
      <c r="E66" s="39">
        <v>686.74400000000003</v>
      </c>
      <c r="F66" s="39">
        <v>333.19</v>
      </c>
      <c r="G66" s="39">
        <v>1864.34</v>
      </c>
      <c r="H66" s="39">
        <v>256</v>
      </c>
      <c r="I66" s="39">
        <v>695.7</v>
      </c>
      <c r="J66" s="39">
        <v>302</v>
      </c>
      <c r="K66" s="79">
        <f t="shared" si="36"/>
        <v>4137.9740000000002</v>
      </c>
      <c r="L66" s="58">
        <v>136.48400000000001</v>
      </c>
      <c r="M66" s="39">
        <v>75.944000000000003</v>
      </c>
      <c r="N66" s="39">
        <v>420.08</v>
      </c>
      <c r="O66" s="39">
        <v>70.3</v>
      </c>
      <c r="P66" s="39">
        <v>146.41999999999999</v>
      </c>
      <c r="Q66" s="39">
        <v>30.8</v>
      </c>
      <c r="R66" s="75">
        <f t="shared" si="37"/>
        <v>880.02799999999991</v>
      </c>
      <c r="S66" s="84">
        <f t="shared" si="38"/>
        <v>0.19874072434560769</v>
      </c>
      <c r="T66" s="65">
        <f t="shared" si="38"/>
        <v>0.22793000990425885</v>
      </c>
      <c r="U66" s="65">
        <f t="shared" si="38"/>
        <v>0.2253237070491434</v>
      </c>
      <c r="V66" s="65">
        <f t="shared" si="38"/>
        <v>0.27460937499999999</v>
      </c>
      <c r="W66" s="65">
        <f t="shared" si="38"/>
        <v>0.21046428058071004</v>
      </c>
      <c r="X66" s="65">
        <f t="shared" si="38"/>
        <v>0.10198675496688742</v>
      </c>
      <c r="Y66" s="66">
        <f t="shared" si="38"/>
        <v>0.2126712250971127</v>
      </c>
    </row>
    <row r="67" spans="3:25" x14ac:dyDescent="0.4">
      <c r="C67" s="73" t="s">
        <v>10</v>
      </c>
      <c r="D67" s="71" t="s">
        <v>11</v>
      </c>
      <c r="E67" s="39">
        <v>69</v>
      </c>
      <c r="F67" s="39"/>
      <c r="G67" s="39"/>
      <c r="H67" s="39">
        <v>591.39</v>
      </c>
      <c r="I67" s="39">
        <v>0</v>
      </c>
      <c r="J67" s="39">
        <v>0</v>
      </c>
      <c r="K67" s="79">
        <f t="shared" si="36"/>
        <v>660.39</v>
      </c>
      <c r="L67" s="58">
        <v>9</v>
      </c>
      <c r="M67" s="39"/>
      <c r="N67" s="39"/>
      <c r="O67" s="39">
        <v>130.75</v>
      </c>
      <c r="P67" s="39">
        <v>0</v>
      </c>
      <c r="Q67" s="39">
        <v>0</v>
      </c>
      <c r="R67" s="79">
        <f t="shared" si="37"/>
        <v>139.75</v>
      </c>
      <c r="S67" s="84">
        <f t="shared" si="38"/>
        <v>0.13043478260869565</v>
      </c>
      <c r="T67" s="65" t="str">
        <f t="shared" si="38"/>
        <v>***</v>
      </c>
      <c r="U67" s="65" t="str">
        <f t="shared" si="38"/>
        <v>***</v>
      </c>
      <c r="V67" s="65">
        <f t="shared" si="38"/>
        <v>0.22108929809432015</v>
      </c>
      <c r="W67" s="65" t="str">
        <f t="shared" si="38"/>
        <v>***</v>
      </c>
      <c r="X67" s="65" t="str">
        <f t="shared" si="38"/>
        <v>***</v>
      </c>
      <c r="Y67" s="66">
        <f t="shared" si="38"/>
        <v>0.21161737761020002</v>
      </c>
    </row>
    <row r="68" spans="3:25" x14ac:dyDescent="0.4">
      <c r="C68" s="73" t="s">
        <v>12</v>
      </c>
      <c r="D68" s="71" t="s">
        <v>13</v>
      </c>
      <c r="E68" s="39"/>
      <c r="F68" s="39"/>
      <c r="G68" s="39"/>
      <c r="H68" s="39"/>
      <c r="I68" s="39">
        <v>0</v>
      </c>
      <c r="J68" s="39">
        <v>0</v>
      </c>
      <c r="K68" s="79">
        <f t="shared" si="36"/>
        <v>0</v>
      </c>
      <c r="L68" s="58"/>
      <c r="M68" s="39"/>
      <c r="N68" s="39"/>
      <c r="O68" s="39"/>
      <c r="P68" s="39">
        <v>0</v>
      </c>
      <c r="Q68" s="39">
        <v>0</v>
      </c>
      <c r="R68" s="75">
        <f t="shared" si="37"/>
        <v>0</v>
      </c>
      <c r="S68" s="84" t="str">
        <f t="shared" si="38"/>
        <v>***</v>
      </c>
      <c r="T68" s="65" t="str">
        <f t="shared" si="38"/>
        <v>***</v>
      </c>
      <c r="U68" s="65" t="str">
        <f t="shared" si="38"/>
        <v>***</v>
      </c>
      <c r="V68" s="65" t="str">
        <f t="shared" si="38"/>
        <v>***</v>
      </c>
      <c r="W68" s="65" t="str">
        <f t="shared" si="38"/>
        <v>***</v>
      </c>
      <c r="X68" s="65" t="str">
        <f t="shared" si="38"/>
        <v>***</v>
      </c>
      <c r="Y68" s="66" t="str">
        <f t="shared" si="38"/>
        <v>***</v>
      </c>
    </row>
    <row r="69" spans="3:25" x14ac:dyDescent="0.4">
      <c r="C69" s="73" t="s">
        <v>14</v>
      </c>
      <c r="D69" s="71" t="s">
        <v>15</v>
      </c>
      <c r="E69" s="39">
        <v>8.5</v>
      </c>
      <c r="F69" s="39"/>
      <c r="G69" s="39"/>
      <c r="H69" s="39"/>
      <c r="I69" s="39">
        <v>0</v>
      </c>
      <c r="J69" s="39">
        <v>0</v>
      </c>
      <c r="K69" s="79">
        <f t="shared" si="36"/>
        <v>8.5</v>
      </c>
      <c r="L69" s="58">
        <v>1.5</v>
      </c>
      <c r="M69" s="39"/>
      <c r="N69" s="39"/>
      <c r="O69" s="39"/>
      <c r="P69" s="39">
        <v>0</v>
      </c>
      <c r="Q69" s="39">
        <v>0</v>
      </c>
      <c r="R69" s="75">
        <f t="shared" si="37"/>
        <v>1.5</v>
      </c>
      <c r="S69" s="84">
        <f t="shared" si="38"/>
        <v>0.17647058823529413</v>
      </c>
      <c r="T69" s="65" t="str">
        <f t="shared" si="38"/>
        <v>***</v>
      </c>
      <c r="U69" s="65" t="str">
        <f t="shared" si="38"/>
        <v>***</v>
      </c>
      <c r="V69" s="65" t="str">
        <f t="shared" si="38"/>
        <v>***</v>
      </c>
      <c r="W69" s="65" t="str">
        <f t="shared" si="38"/>
        <v>***</v>
      </c>
      <c r="X69" s="65" t="str">
        <f t="shared" si="38"/>
        <v>***</v>
      </c>
      <c r="Y69" s="66">
        <f t="shared" si="38"/>
        <v>0.17647058823529413</v>
      </c>
    </row>
    <row r="70" spans="3:25" x14ac:dyDescent="0.4">
      <c r="C70" s="3" t="s">
        <v>5</v>
      </c>
      <c r="D70" s="72"/>
      <c r="E70" s="63">
        <f t="shared" ref="E70:J70" si="39">SUM(E65:E69)</f>
        <v>1167.4690000000001</v>
      </c>
      <c r="F70" s="63">
        <f t="shared" si="39"/>
        <v>442.30500000000001</v>
      </c>
      <c r="G70" s="63">
        <f t="shared" si="39"/>
        <v>1932.04</v>
      </c>
      <c r="H70" s="63">
        <f t="shared" si="39"/>
        <v>892.11</v>
      </c>
      <c r="I70" s="63">
        <f t="shared" si="39"/>
        <v>1451.8400000000001</v>
      </c>
      <c r="J70" s="63">
        <f t="shared" si="39"/>
        <v>316.11</v>
      </c>
      <c r="K70" s="80">
        <f t="shared" si="36"/>
        <v>6201.8739999999998</v>
      </c>
      <c r="L70" s="76">
        <f t="shared" ref="L70:Q70" si="40">SUM(L65:L69)</f>
        <v>228.81900000000002</v>
      </c>
      <c r="M70" s="63">
        <f t="shared" si="40"/>
        <v>100.01900000000001</v>
      </c>
      <c r="N70" s="63">
        <f t="shared" si="40"/>
        <v>444.39</v>
      </c>
      <c r="O70" s="63">
        <f t="shared" si="40"/>
        <v>212.24199999999999</v>
      </c>
      <c r="P70" s="63">
        <f t="shared" si="40"/>
        <v>297.61500000000001</v>
      </c>
      <c r="Q70" s="63">
        <f t="shared" si="40"/>
        <v>37.799999999999997</v>
      </c>
      <c r="R70" s="77">
        <f t="shared" si="37"/>
        <v>1320.885</v>
      </c>
      <c r="S70" s="82">
        <f t="shared" si="38"/>
        <v>0.19599578232912396</v>
      </c>
      <c r="T70" s="67">
        <f t="shared" si="38"/>
        <v>0.22613128949480563</v>
      </c>
      <c r="U70" s="67">
        <f t="shared" si="38"/>
        <v>0.23001076582265378</v>
      </c>
      <c r="V70" s="67">
        <f t="shared" si="38"/>
        <v>0.23791012319108629</v>
      </c>
      <c r="W70" s="67">
        <f t="shared" si="38"/>
        <v>0.20499159687017851</v>
      </c>
      <c r="X70" s="67">
        <f t="shared" si="38"/>
        <v>0.1195786276928917</v>
      </c>
      <c r="Y70" s="68">
        <f t="shared" si="38"/>
        <v>0.21298159233805783</v>
      </c>
    </row>
    <row r="71" spans="3:25" x14ac:dyDescent="0.4">
      <c r="C71" s="6"/>
      <c r="E71" s="5"/>
      <c r="F71" s="5"/>
      <c r="G71" s="5"/>
      <c r="H71" s="5"/>
      <c r="I71" s="5"/>
      <c r="J71" s="5"/>
      <c r="K71" s="6"/>
      <c r="L71" s="5"/>
      <c r="M71" s="5"/>
      <c r="N71" s="5"/>
      <c r="O71" s="5"/>
      <c r="P71" s="5"/>
      <c r="Q71" s="5"/>
      <c r="R71" s="6"/>
      <c r="S71" s="7"/>
      <c r="T71" s="7"/>
      <c r="U71" s="7"/>
      <c r="V71" s="7"/>
      <c r="W71" s="7"/>
      <c r="X71" s="7"/>
      <c r="Y71" s="7"/>
    </row>
    <row r="72" spans="3:25" x14ac:dyDescent="0.4">
      <c r="C72" s="6" t="s">
        <v>22</v>
      </c>
    </row>
    <row r="73" spans="3:25" x14ac:dyDescent="0.4">
      <c r="C73" s="87"/>
      <c r="D73" s="88"/>
      <c r="E73" s="87" t="s">
        <v>2</v>
      </c>
      <c r="F73" s="90"/>
      <c r="G73" s="90"/>
      <c r="H73" s="90"/>
      <c r="I73" s="90"/>
      <c r="J73" s="90"/>
      <c r="K73" s="88"/>
      <c r="L73" s="89" t="s">
        <v>3</v>
      </c>
      <c r="M73" s="90"/>
      <c r="N73" s="90"/>
      <c r="O73" s="90"/>
      <c r="P73" s="90"/>
      <c r="Q73" s="90"/>
      <c r="R73" s="88"/>
      <c r="S73" s="89" t="s">
        <v>4</v>
      </c>
      <c r="T73" s="90"/>
      <c r="U73" s="90"/>
      <c r="V73" s="90"/>
      <c r="W73" s="90"/>
      <c r="X73" s="90"/>
      <c r="Y73" s="88"/>
    </row>
    <row r="74" spans="3:25" x14ac:dyDescent="0.4">
      <c r="C74" s="61"/>
      <c r="D74" s="70"/>
      <c r="E74" s="74">
        <v>46113</v>
      </c>
      <c r="F74" s="62">
        <v>46143</v>
      </c>
      <c r="G74" s="62">
        <v>46174</v>
      </c>
      <c r="H74" s="62">
        <v>46204</v>
      </c>
      <c r="I74" s="62">
        <v>46235</v>
      </c>
      <c r="J74" s="62">
        <v>46266</v>
      </c>
      <c r="K74" s="64" t="s">
        <v>5</v>
      </c>
      <c r="L74" s="83">
        <v>46113</v>
      </c>
      <c r="M74" s="62">
        <v>46143</v>
      </c>
      <c r="N74" s="62">
        <v>46174</v>
      </c>
      <c r="O74" s="62">
        <v>46204</v>
      </c>
      <c r="P74" s="62">
        <v>46235</v>
      </c>
      <c r="Q74" s="62">
        <v>46266</v>
      </c>
      <c r="R74" s="64" t="s">
        <v>5</v>
      </c>
      <c r="S74" s="83">
        <v>46113</v>
      </c>
      <c r="T74" s="62">
        <v>46143</v>
      </c>
      <c r="U74" s="62">
        <v>46174</v>
      </c>
      <c r="V74" s="62">
        <v>46204</v>
      </c>
      <c r="W74" s="62">
        <v>46235</v>
      </c>
      <c r="X74" s="62">
        <v>46266</v>
      </c>
      <c r="Y74" s="64" t="s">
        <v>5</v>
      </c>
    </row>
    <row r="75" spans="3:25" x14ac:dyDescent="0.4">
      <c r="C75" s="73" t="s">
        <v>6</v>
      </c>
      <c r="D75" s="71" t="s">
        <v>7</v>
      </c>
      <c r="E75" s="39">
        <f t="shared" ref="E75:J79" si="41">E65-E35</f>
        <v>203.22500000000002</v>
      </c>
      <c r="F75" s="39">
        <f t="shared" si="41"/>
        <v>-90.885000000000005</v>
      </c>
      <c r="G75" s="39">
        <f t="shared" si="41"/>
        <v>-132.30000000000001</v>
      </c>
      <c r="H75" s="39">
        <f t="shared" si="41"/>
        <v>-155.28</v>
      </c>
      <c r="I75" s="39">
        <f t="shared" si="41"/>
        <v>556.14</v>
      </c>
      <c r="J75" s="39">
        <f t="shared" si="41"/>
        <v>-185.89</v>
      </c>
      <c r="K75" s="79">
        <f t="shared" ref="K75:K80" si="42">SUM(E75:J75)</f>
        <v>195.01</v>
      </c>
      <c r="L75" s="58">
        <f t="shared" ref="L75:Q79" si="43">L65-L35</f>
        <v>31.834999999999994</v>
      </c>
      <c r="M75" s="39">
        <f t="shared" si="43"/>
        <v>-25.925000000000001</v>
      </c>
      <c r="N75" s="39">
        <f t="shared" si="43"/>
        <v>-25.69</v>
      </c>
      <c r="O75" s="39">
        <f t="shared" si="43"/>
        <v>-38.808</v>
      </c>
      <c r="P75" s="39">
        <f t="shared" si="43"/>
        <v>101.19499999999999</v>
      </c>
      <c r="Q75" s="39">
        <f t="shared" si="43"/>
        <v>-43</v>
      </c>
      <c r="R75" s="75">
        <f t="shared" ref="R75:R80" si="44">SUM(L75:Q75)</f>
        <v>-0.39300000000001489</v>
      </c>
      <c r="S75" s="84">
        <f t="shared" ref="S75:Y80" si="45">S65-S35</f>
        <v>-4.704879409758822E-2</v>
      </c>
      <c r="T75" s="65">
        <f t="shared" si="45"/>
        <v>-2.936122439627914E-2</v>
      </c>
      <c r="U75" s="65">
        <f t="shared" si="45"/>
        <v>0.10908419497784339</v>
      </c>
      <c r="V75" s="65">
        <f t="shared" si="45"/>
        <v>2.6833631484796117E-4</v>
      </c>
      <c r="W75" s="65">
        <f t="shared" si="45"/>
        <v>-5.0043642711667169E-2</v>
      </c>
      <c r="X75" s="65">
        <f t="shared" si="45"/>
        <v>0.24610205527994333</v>
      </c>
      <c r="Y75" s="66">
        <f t="shared" si="45"/>
        <v>-3.522949656274868E-2</v>
      </c>
    </row>
    <row r="76" spans="3:25" x14ac:dyDescent="0.4">
      <c r="C76" s="73" t="s">
        <v>8</v>
      </c>
      <c r="D76" s="60" t="s">
        <v>9</v>
      </c>
      <c r="E76" s="39">
        <f t="shared" si="41"/>
        <v>486.74400000000003</v>
      </c>
      <c r="F76" s="39">
        <f t="shared" si="41"/>
        <v>133.19</v>
      </c>
      <c r="G76" s="39">
        <f t="shared" si="41"/>
        <v>1664.34</v>
      </c>
      <c r="H76" s="39">
        <f t="shared" si="41"/>
        <v>-844</v>
      </c>
      <c r="I76" s="39">
        <f t="shared" si="41"/>
        <v>495.70000000000005</v>
      </c>
      <c r="J76" s="39">
        <f t="shared" si="41"/>
        <v>102</v>
      </c>
      <c r="K76" s="79">
        <f t="shared" si="42"/>
        <v>2037.9739999999999</v>
      </c>
      <c r="L76" s="58">
        <f t="shared" si="43"/>
        <v>86.484000000000009</v>
      </c>
      <c r="M76" s="39">
        <f t="shared" si="43"/>
        <v>25.944000000000003</v>
      </c>
      <c r="N76" s="39">
        <f t="shared" si="43"/>
        <v>370.08</v>
      </c>
      <c r="O76" s="39">
        <f t="shared" si="43"/>
        <v>-69.7</v>
      </c>
      <c r="P76" s="39">
        <f t="shared" si="43"/>
        <v>96.419999999999987</v>
      </c>
      <c r="Q76" s="39">
        <f t="shared" si="43"/>
        <v>-19.2</v>
      </c>
      <c r="R76" s="75">
        <f t="shared" si="44"/>
        <v>490.02799999999996</v>
      </c>
      <c r="S76" s="84">
        <f t="shared" si="45"/>
        <v>-5.1259275654392311E-2</v>
      </c>
      <c r="T76" s="65">
        <f t="shared" si="45"/>
        <v>-2.2069990095741149E-2</v>
      </c>
      <c r="U76" s="65">
        <f t="shared" si="45"/>
        <v>-2.4676292950856604E-2</v>
      </c>
      <c r="V76" s="65">
        <f t="shared" si="45"/>
        <v>0.14733664772727273</v>
      </c>
      <c r="W76" s="65">
        <f t="shared" si="45"/>
        <v>-3.9535719419289961E-2</v>
      </c>
      <c r="X76" s="65">
        <f t="shared" si="45"/>
        <v>-0.14801324503311258</v>
      </c>
      <c r="Y76" s="66">
        <f t="shared" si="45"/>
        <v>2.6956939382826978E-2</v>
      </c>
    </row>
    <row r="77" spans="3:25" x14ac:dyDescent="0.4">
      <c r="C77" s="73" t="s">
        <v>10</v>
      </c>
      <c r="D77" s="71" t="s">
        <v>11</v>
      </c>
      <c r="E77" s="39">
        <f t="shared" si="41"/>
        <v>-31</v>
      </c>
      <c r="F77" s="39">
        <f t="shared" si="41"/>
        <v>-100</v>
      </c>
      <c r="G77" s="39">
        <f t="shared" si="41"/>
        <v>-100</v>
      </c>
      <c r="H77" s="39">
        <f t="shared" si="41"/>
        <v>491.39</v>
      </c>
      <c r="I77" s="39">
        <f t="shared" si="41"/>
        <v>-100</v>
      </c>
      <c r="J77" s="39">
        <f t="shared" si="41"/>
        <v>-100</v>
      </c>
      <c r="K77" s="79">
        <f t="shared" si="42"/>
        <v>60.389999999999986</v>
      </c>
      <c r="L77" s="58">
        <f t="shared" si="43"/>
        <v>-11</v>
      </c>
      <c r="M77" s="39">
        <f t="shared" si="43"/>
        <v>-20</v>
      </c>
      <c r="N77" s="39">
        <f t="shared" si="43"/>
        <v>-20</v>
      </c>
      <c r="O77" s="39">
        <f t="shared" si="43"/>
        <v>110.75</v>
      </c>
      <c r="P77" s="39">
        <f t="shared" si="43"/>
        <v>-20</v>
      </c>
      <c r="Q77" s="39">
        <f t="shared" si="43"/>
        <v>-20</v>
      </c>
      <c r="R77" s="75">
        <f t="shared" si="44"/>
        <v>19.75</v>
      </c>
      <c r="S77" s="84">
        <f t="shared" si="45"/>
        <v>-6.9565217391304363E-2</v>
      </c>
      <c r="T77" s="65" t="e">
        <f t="shared" si="45"/>
        <v>#VALUE!</v>
      </c>
      <c r="U77" s="65" t="e">
        <f t="shared" si="45"/>
        <v>#VALUE!</v>
      </c>
      <c r="V77" s="65">
        <f t="shared" si="45"/>
        <v>2.1089298094320141E-2</v>
      </c>
      <c r="W77" s="65" t="e">
        <f t="shared" si="45"/>
        <v>#VALUE!</v>
      </c>
      <c r="X77" s="65" t="e">
        <f t="shared" si="45"/>
        <v>#VALUE!</v>
      </c>
      <c r="Y77" s="66">
        <f t="shared" si="45"/>
        <v>1.1617377610200014E-2</v>
      </c>
    </row>
    <row r="78" spans="3:25" x14ac:dyDescent="0.4">
      <c r="C78" s="73" t="s">
        <v>12</v>
      </c>
      <c r="D78" s="71" t="s">
        <v>13</v>
      </c>
      <c r="E78" s="39">
        <f t="shared" si="41"/>
        <v>0</v>
      </c>
      <c r="F78" s="39">
        <f t="shared" si="41"/>
        <v>0</v>
      </c>
      <c r="G78" s="39">
        <f t="shared" si="41"/>
        <v>0</v>
      </c>
      <c r="H78" s="39">
        <f t="shared" si="41"/>
        <v>0</v>
      </c>
      <c r="I78" s="39">
        <f t="shared" si="41"/>
        <v>0</v>
      </c>
      <c r="J78" s="39">
        <f t="shared" si="41"/>
        <v>0</v>
      </c>
      <c r="K78" s="79">
        <f t="shared" si="42"/>
        <v>0</v>
      </c>
      <c r="L78" s="58">
        <f t="shared" si="43"/>
        <v>0</v>
      </c>
      <c r="M78" s="39">
        <f t="shared" si="43"/>
        <v>0</v>
      </c>
      <c r="N78" s="39">
        <f t="shared" si="43"/>
        <v>0</v>
      </c>
      <c r="O78" s="39">
        <f t="shared" si="43"/>
        <v>0</v>
      </c>
      <c r="P78" s="39">
        <f t="shared" si="43"/>
        <v>0</v>
      </c>
      <c r="Q78" s="39">
        <f t="shared" si="43"/>
        <v>0</v>
      </c>
      <c r="R78" s="75">
        <f t="shared" si="44"/>
        <v>0</v>
      </c>
      <c r="S78" s="84" t="e">
        <f t="shared" si="45"/>
        <v>#VALUE!</v>
      </c>
      <c r="T78" s="65" t="e">
        <f t="shared" si="45"/>
        <v>#VALUE!</v>
      </c>
      <c r="U78" s="65" t="e">
        <f t="shared" si="45"/>
        <v>#VALUE!</v>
      </c>
      <c r="V78" s="65" t="e">
        <f t="shared" si="45"/>
        <v>#VALUE!</v>
      </c>
      <c r="W78" s="65" t="e">
        <f t="shared" si="45"/>
        <v>#VALUE!</v>
      </c>
      <c r="X78" s="65" t="e">
        <f t="shared" si="45"/>
        <v>#VALUE!</v>
      </c>
      <c r="Y78" s="66" t="e">
        <f t="shared" si="45"/>
        <v>#VALUE!</v>
      </c>
    </row>
    <row r="79" spans="3:25" x14ac:dyDescent="0.4">
      <c r="C79" s="73" t="s">
        <v>14</v>
      </c>
      <c r="D79" s="71" t="s">
        <v>15</v>
      </c>
      <c r="E79" s="39">
        <f t="shared" si="41"/>
        <v>8.5</v>
      </c>
      <c r="F79" s="39">
        <f t="shared" si="41"/>
        <v>0</v>
      </c>
      <c r="G79" s="39">
        <f t="shared" si="41"/>
        <v>0</v>
      </c>
      <c r="H79" s="39">
        <f t="shared" si="41"/>
        <v>0</v>
      </c>
      <c r="I79" s="39">
        <f t="shared" si="41"/>
        <v>0</v>
      </c>
      <c r="J79" s="39">
        <f t="shared" si="41"/>
        <v>0</v>
      </c>
      <c r="K79" s="79">
        <f t="shared" si="42"/>
        <v>8.5</v>
      </c>
      <c r="L79" s="58">
        <f t="shared" si="43"/>
        <v>1.5</v>
      </c>
      <c r="M79" s="39">
        <f t="shared" si="43"/>
        <v>0</v>
      </c>
      <c r="N79" s="39">
        <f t="shared" si="43"/>
        <v>0</v>
      </c>
      <c r="O79" s="39">
        <f t="shared" si="43"/>
        <v>0</v>
      </c>
      <c r="P79" s="39">
        <f t="shared" si="43"/>
        <v>0</v>
      </c>
      <c r="Q79" s="39">
        <f t="shared" si="43"/>
        <v>0</v>
      </c>
      <c r="R79" s="75">
        <f t="shared" si="44"/>
        <v>1.5</v>
      </c>
      <c r="S79" s="84" t="e">
        <f t="shared" si="45"/>
        <v>#VALUE!</v>
      </c>
      <c r="T79" s="65" t="e">
        <f t="shared" si="45"/>
        <v>#VALUE!</v>
      </c>
      <c r="U79" s="65" t="e">
        <f t="shared" si="45"/>
        <v>#VALUE!</v>
      </c>
      <c r="V79" s="65" t="e">
        <f t="shared" si="45"/>
        <v>#VALUE!</v>
      </c>
      <c r="W79" s="65" t="e">
        <f t="shared" si="45"/>
        <v>#VALUE!</v>
      </c>
      <c r="X79" s="65" t="e">
        <f t="shared" si="45"/>
        <v>#VALUE!</v>
      </c>
      <c r="Y79" s="66" t="e">
        <f t="shared" si="45"/>
        <v>#VALUE!</v>
      </c>
    </row>
    <row r="80" spans="3:25" x14ac:dyDescent="0.4">
      <c r="C80" s="3" t="s">
        <v>5</v>
      </c>
      <c r="D80" s="72"/>
      <c r="E80" s="63">
        <f t="shared" ref="E80:J80" si="46">SUM(E75:E79)</f>
        <v>667.46900000000005</v>
      </c>
      <c r="F80" s="63">
        <f t="shared" si="46"/>
        <v>-57.695000000000007</v>
      </c>
      <c r="G80" s="63">
        <f t="shared" si="46"/>
        <v>1432.04</v>
      </c>
      <c r="H80" s="63">
        <f t="shared" si="46"/>
        <v>-507.89</v>
      </c>
      <c r="I80" s="63">
        <f t="shared" si="46"/>
        <v>951.84000000000015</v>
      </c>
      <c r="J80" s="63">
        <f t="shared" si="46"/>
        <v>-183.89</v>
      </c>
      <c r="K80" s="80">
        <f t="shared" si="42"/>
        <v>2301.8740000000003</v>
      </c>
      <c r="L80" s="76">
        <f t="shared" ref="L80:Q80" si="47">SUM(L75:L79)</f>
        <v>108.819</v>
      </c>
      <c r="M80" s="63">
        <f t="shared" si="47"/>
        <v>-19.980999999999998</v>
      </c>
      <c r="N80" s="63">
        <f t="shared" si="47"/>
        <v>324.39</v>
      </c>
      <c r="O80" s="63">
        <f t="shared" si="47"/>
        <v>2.2419999999999902</v>
      </c>
      <c r="P80" s="63">
        <f t="shared" si="47"/>
        <v>177.61499999999998</v>
      </c>
      <c r="Q80" s="63">
        <f t="shared" si="47"/>
        <v>-82.2</v>
      </c>
      <c r="R80" s="77">
        <f t="shared" si="44"/>
        <v>510.88500000000005</v>
      </c>
      <c r="S80" s="82">
        <f t="shared" si="45"/>
        <v>-4.4004217670876034E-2</v>
      </c>
      <c r="T80" s="67">
        <f t="shared" si="45"/>
        <v>-1.3868710505194365E-2</v>
      </c>
      <c r="U80" s="67">
        <f t="shared" si="45"/>
        <v>-9.9892341773462068E-3</v>
      </c>
      <c r="V80" s="67">
        <f t="shared" si="45"/>
        <v>8.7910123191086292E-2</v>
      </c>
      <c r="W80" s="67">
        <f t="shared" si="45"/>
        <v>-3.500840312982148E-2</v>
      </c>
      <c r="X80" s="67">
        <f t="shared" si="45"/>
        <v>-0.1204213723071083</v>
      </c>
      <c r="Y80" s="68">
        <f t="shared" si="45"/>
        <v>5.2892846457501252E-3</v>
      </c>
    </row>
    <row r="81" spans="3:25" x14ac:dyDescent="0.4">
      <c r="C81" s="6"/>
      <c r="E81" s="5"/>
      <c r="F81" s="5"/>
      <c r="G81" s="5"/>
      <c r="H81" s="5"/>
      <c r="I81" s="5"/>
      <c r="J81" s="5"/>
      <c r="K81" s="6"/>
      <c r="L81" s="5"/>
      <c r="M81" s="5"/>
      <c r="N81" s="5"/>
      <c r="O81" s="5"/>
      <c r="P81" s="5"/>
      <c r="Q81" s="5"/>
      <c r="R81" s="6"/>
      <c r="S81" s="7"/>
      <c r="T81" s="7"/>
      <c r="U81" s="7"/>
      <c r="V81" s="7"/>
      <c r="W81" s="7"/>
      <c r="X81" s="7"/>
      <c r="Y81" s="7"/>
    </row>
    <row r="82" spans="3:25" x14ac:dyDescent="0.4">
      <c r="C82" s="6" t="s">
        <v>23</v>
      </c>
    </row>
    <row r="83" spans="3:25" x14ac:dyDescent="0.4">
      <c r="C83" s="87"/>
      <c r="D83" s="88"/>
      <c r="E83" s="87" t="s">
        <v>2</v>
      </c>
      <c r="F83" s="90"/>
      <c r="G83" s="90"/>
      <c r="H83" s="90"/>
      <c r="I83" s="90"/>
      <c r="J83" s="90"/>
      <c r="K83" s="88"/>
      <c r="L83" s="89" t="s">
        <v>3</v>
      </c>
      <c r="M83" s="90"/>
      <c r="N83" s="90"/>
      <c r="O83" s="90"/>
      <c r="P83" s="90"/>
      <c r="Q83" s="90"/>
      <c r="R83" s="88"/>
      <c r="S83" s="89" t="s">
        <v>4</v>
      </c>
      <c r="T83" s="90"/>
      <c r="U83" s="90"/>
      <c r="V83" s="90"/>
      <c r="W83" s="90"/>
      <c r="X83" s="90"/>
      <c r="Y83" s="88"/>
    </row>
    <row r="84" spans="3:25" x14ac:dyDescent="0.4">
      <c r="C84" s="61"/>
      <c r="D84" s="70"/>
      <c r="E84" s="74">
        <v>46113</v>
      </c>
      <c r="F84" s="62">
        <v>46143</v>
      </c>
      <c r="G84" s="62">
        <v>46174</v>
      </c>
      <c r="H84" s="62">
        <v>46204</v>
      </c>
      <c r="I84" s="62">
        <v>46235</v>
      </c>
      <c r="J84" s="62">
        <v>46266</v>
      </c>
      <c r="K84" s="64" t="s">
        <v>5</v>
      </c>
      <c r="L84" s="83">
        <v>46113</v>
      </c>
      <c r="M84" s="62">
        <v>46143</v>
      </c>
      <c r="N84" s="62">
        <v>46174</v>
      </c>
      <c r="O84" s="62">
        <v>46204</v>
      </c>
      <c r="P84" s="62">
        <v>46235</v>
      </c>
      <c r="Q84" s="62">
        <v>46266</v>
      </c>
      <c r="R84" s="64" t="s">
        <v>5</v>
      </c>
      <c r="S84" s="83">
        <v>46113</v>
      </c>
      <c r="T84" s="62">
        <v>46143</v>
      </c>
      <c r="U84" s="62">
        <v>46174</v>
      </c>
      <c r="V84" s="62">
        <v>46204</v>
      </c>
      <c r="W84" s="62">
        <v>46235</v>
      </c>
      <c r="X84" s="62">
        <v>46266</v>
      </c>
      <c r="Y84" s="64" t="s">
        <v>5</v>
      </c>
    </row>
    <row r="85" spans="3:25" x14ac:dyDescent="0.4">
      <c r="C85" s="73" t="s">
        <v>6</v>
      </c>
      <c r="D85" s="71" t="s">
        <v>7</v>
      </c>
      <c r="E85" s="39">
        <f t="shared" ref="E85:J89" si="48">E65-E15</f>
        <v>261.22500000000002</v>
      </c>
      <c r="F85" s="39">
        <f t="shared" si="48"/>
        <v>-21.885000000000005</v>
      </c>
      <c r="G85" s="39">
        <f t="shared" si="48"/>
        <v>-58.3</v>
      </c>
      <c r="H85" s="39">
        <f t="shared" si="48"/>
        <v>-3.2800000000000011</v>
      </c>
      <c r="I85" s="39">
        <f t="shared" si="48"/>
        <v>738.14</v>
      </c>
      <c r="J85" s="39">
        <f t="shared" si="48"/>
        <v>-1390.89</v>
      </c>
      <c r="K85" s="79">
        <f t="shared" ref="K85:K90" si="49">SUM(E85:J85)</f>
        <v>-474.99000000000012</v>
      </c>
      <c r="L85" s="58">
        <f t="shared" ref="L85:Q89" si="50">L65-L15</f>
        <v>55.834999999999994</v>
      </c>
      <c r="M85" s="39">
        <f t="shared" si="50"/>
        <v>-1.9250000000000007</v>
      </c>
      <c r="N85" s="39">
        <f t="shared" si="50"/>
        <v>-12.690000000000001</v>
      </c>
      <c r="O85" s="39">
        <f t="shared" si="50"/>
        <v>0.19200000000000017</v>
      </c>
      <c r="P85" s="39">
        <f t="shared" si="50"/>
        <v>144.19499999999999</v>
      </c>
      <c r="Q85" s="39">
        <f t="shared" si="50"/>
        <v>-276</v>
      </c>
      <c r="R85" s="75">
        <f t="shared" ref="R85:R90" si="51">SUM(L85:Q85)</f>
        <v>-90.393000000000001</v>
      </c>
      <c r="S85" s="84">
        <f t="shared" ref="S85:Y90" si="52">S65-S15</f>
        <v>1.9852614353115999E-2</v>
      </c>
      <c r="T85" s="65">
        <f t="shared" si="52"/>
        <v>2.2165493160972771E-2</v>
      </c>
      <c r="U85" s="65">
        <f t="shared" si="52"/>
        <v>6.5433401327049723E-2</v>
      </c>
      <c r="V85" s="65">
        <f t="shared" si="52"/>
        <v>2.1101669648181304E-2</v>
      </c>
      <c r="W85" s="65">
        <f t="shared" si="52"/>
        <v>-0.18893253160055606</v>
      </c>
      <c r="X85" s="65">
        <f t="shared" si="52"/>
        <v>0.29467856773545931</v>
      </c>
      <c r="Y85" s="66">
        <f t="shared" si="52"/>
        <v>6.2143537046309982E-3</v>
      </c>
    </row>
    <row r="86" spans="3:25" x14ac:dyDescent="0.4">
      <c r="C86" s="73" t="s">
        <v>8</v>
      </c>
      <c r="D86" s="60" t="s">
        <v>9</v>
      </c>
      <c r="E86" s="39">
        <f t="shared" si="48"/>
        <v>-31.255999999999972</v>
      </c>
      <c r="F86" s="39">
        <f t="shared" si="48"/>
        <v>210.19</v>
      </c>
      <c r="G86" s="39">
        <f t="shared" si="48"/>
        <v>1700.34</v>
      </c>
      <c r="H86" s="39">
        <f t="shared" si="48"/>
        <v>-172</v>
      </c>
      <c r="I86" s="39">
        <f t="shared" si="48"/>
        <v>494.70000000000005</v>
      </c>
      <c r="J86" s="39">
        <f t="shared" si="48"/>
        <v>207</v>
      </c>
      <c r="K86" s="79">
        <f t="shared" si="49"/>
        <v>2408.9740000000002</v>
      </c>
      <c r="L86" s="58">
        <f t="shared" si="50"/>
        <v>-5.5159999999999911</v>
      </c>
      <c r="M86" s="39">
        <f t="shared" si="50"/>
        <v>59.944000000000003</v>
      </c>
      <c r="N86" s="39">
        <f t="shared" si="50"/>
        <v>373.08</v>
      </c>
      <c r="O86" s="39">
        <f t="shared" si="50"/>
        <v>21.299999999999997</v>
      </c>
      <c r="P86" s="39">
        <f t="shared" si="50"/>
        <v>76.419999999999987</v>
      </c>
      <c r="Q86" s="39">
        <f t="shared" si="50"/>
        <v>11.8</v>
      </c>
      <c r="R86" s="75">
        <f t="shared" si="51"/>
        <v>537.02799999999991</v>
      </c>
      <c r="S86" s="84">
        <f t="shared" si="52"/>
        <v>9.6913660187508688E-4</v>
      </c>
      <c r="T86" s="65">
        <f t="shared" si="52"/>
        <v>9.7848709091250707E-2</v>
      </c>
      <c r="U86" s="65">
        <f t="shared" si="52"/>
        <v>-6.1261658804515118E-2</v>
      </c>
      <c r="V86" s="65">
        <f t="shared" si="52"/>
        <v>0.16012339369158879</v>
      </c>
      <c r="W86" s="65">
        <f t="shared" si="52"/>
        <v>-0.13779442588695168</v>
      </c>
      <c r="X86" s="65">
        <f t="shared" si="52"/>
        <v>-9.8013245033112595E-2</v>
      </c>
      <c r="Y86" s="66">
        <f t="shared" si="52"/>
        <v>1.4290658295493253E-2</v>
      </c>
    </row>
    <row r="87" spans="3:25" x14ac:dyDescent="0.4">
      <c r="C87" s="73" t="s">
        <v>10</v>
      </c>
      <c r="D87" s="71" t="s">
        <v>11</v>
      </c>
      <c r="E87" s="39">
        <f t="shared" si="48"/>
        <v>69</v>
      </c>
      <c r="F87" s="39">
        <f t="shared" si="48"/>
        <v>0</v>
      </c>
      <c r="G87" s="39">
        <f t="shared" si="48"/>
        <v>0</v>
      </c>
      <c r="H87" s="39">
        <f t="shared" si="48"/>
        <v>591.39</v>
      </c>
      <c r="I87" s="39">
        <f t="shared" si="48"/>
        <v>0</v>
      </c>
      <c r="J87" s="39">
        <f t="shared" si="48"/>
        <v>0</v>
      </c>
      <c r="K87" s="79">
        <f t="shared" si="49"/>
        <v>660.39</v>
      </c>
      <c r="L87" s="58">
        <f t="shared" si="50"/>
        <v>9</v>
      </c>
      <c r="M87" s="39">
        <f t="shared" si="50"/>
        <v>0</v>
      </c>
      <c r="N87" s="39">
        <f t="shared" si="50"/>
        <v>0</v>
      </c>
      <c r="O87" s="39">
        <f t="shared" si="50"/>
        <v>130.75</v>
      </c>
      <c r="P87" s="39">
        <f t="shared" si="50"/>
        <v>0</v>
      </c>
      <c r="Q87" s="39">
        <f t="shared" si="50"/>
        <v>0</v>
      </c>
      <c r="R87" s="75">
        <f t="shared" si="51"/>
        <v>139.75</v>
      </c>
      <c r="S87" s="84" t="e">
        <f t="shared" si="52"/>
        <v>#VALUE!</v>
      </c>
      <c r="T87" s="65" t="e">
        <f t="shared" si="52"/>
        <v>#VALUE!</v>
      </c>
      <c r="U87" s="65" t="e">
        <f t="shared" si="52"/>
        <v>#VALUE!</v>
      </c>
      <c r="V87" s="65" t="e">
        <f t="shared" si="52"/>
        <v>#VALUE!</v>
      </c>
      <c r="W87" s="65" t="e">
        <f t="shared" si="52"/>
        <v>#VALUE!</v>
      </c>
      <c r="X87" s="65" t="e">
        <f t="shared" si="52"/>
        <v>#VALUE!</v>
      </c>
      <c r="Y87" s="66" t="e">
        <f t="shared" si="52"/>
        <v>#VALUE!</v>
      </c>
    </row>
    <row r="88" spans="3:25" x14ac:dyDescent="0.4">
      <c r="C88" s="73" t="s">
        <v>12</v>
      </c>
      <c r="D88" s="71" t="s">
        <v>13</v>
      </c>
      <c r="E88" s="39">
        <f t="shared" si="48"/>
        <v>0</v>
      </c>
      <c r="F88" s="39">
        <f t="shared" si="48"/>
        <v>0</v>
      </c>
      <c r="G88" s="39">
        <f t="shared" si="48"/>
        <v>0</v>
      </c>
      <c r="H88" s="39">
        <f t="shared" si="48"/>
        <v>0</v>
      </c>
      <c r="I88" s="39">
        <f t="shared" si="48"/>
        <v>0</v>
      </c>
      <c r="J88" s="39">
        <f t="shared" si="48"/>
        <v>0</v>
      </c>
      <c r="K88" s="79">
        <f t="shared" si="49"/>
        <v>0</v>
      </c>
      <c r="L88" s="58">
        <f t="shared" si="50"/>
        <v>0</v>
      </c>
      <c r="M88" s="39">
        <f t="shared" si="50"/>
        <v>0</v>
      </c>
      <c r="N88" s="39">
        <f t="shared" si="50"/>
        <v>0</v>
      </c>
      <c r="O88" s="39">
        <f t="shared" si="50"/>
        <v>0</v>
      </c>
      <c r="P88" s="39">
        <f t="shared" si="50"/>
        <v>0</v>
      </c>
      <c r="Q88" s="39">
        <f t="shared" si="50"/>
        <v>0</v>
      </c>
      <c r="R88" s="75">
        <f t="shared" si="51"/>
        <v>0</v>
      </c>
      <c r="S88" s="84" t="e">
        <f t="shared" si="52"/>
        <v>#VALUE!</v>
      </c>
      <c r="T88" s="65" t="e">
        <f t="shared" si="52"/>
        <v>#VALUE!</v>
      </c>
      <c r="U88" s="65" t="e">
        <f t="shared" si="52"/>
        <v>#VALUE!</v>
      </c>
      <c r="V88" s="65" t="e">
        <f t="shared" si="52"/>
        <v>#VALUE!</v>
      </c>
      <c r="W88" s="65" t="e">
        <f t="shared" si="52"/>
        <v>#VALUE!</v>
      </c>
      <c r="X88" s="65" t="e">
        <f t="shared" si="52"/>
        <v>#VALUE!</v>
      </c>
      <c r="Y88" s="66" t="e">
        <f t="shared" si="52"/>
        <v>#VALUE!</v>
      </c>
    </row>
    <row r="89" spans="3:25" x14ac:dyDescent="0.4">
      <c r="C89" s="73" t="s">
        <v>14</v>
      </c>
      <c r="D89" s="71" t="s">
        <v>15</v>
      </c>
      <c r="E89" s="39">
        <f t="shared" si="48"/>
        <v>-12.5</v>
      </c>
      <c r="F89" s="39">
        <f t="shared" si="48"/>
        <v>0</v>
      </c>
      <c r="G89" s="39">
        <f t="shared" si="48"/>
        <v>0</v>
      </c>
      <c r="H89" s="39">
        <f t="shared" si="48"/>
        <v>0</v>
      </c>
      <c r="I89" s="39">
        <f t="shared" si="48"/>
        <v>0</v>
      </c>
      <c r="J89" s="39">
        <f t="shared" si="48"/>
        <v>0</v>
      </c>
      <c r="K89" s="79">
        <f t="shared" si="49"/>
        <v>-12.5</v>
      </c>
      <c r="L89" s="58">
        <f t="shared" si="50"/>
        <v>-3.5</v>
      </c>
      <c r="M89" s="39">
        <f t="shared" si="50"/>
        <v>0</v>
      </c>
      <c r="N89" s="39">
        <f t="shared" si="50"/>
        <v>0</v>
      </c>
      <c r="O89" s="39">
        <f t="shared" si="50"/>
        <v>0</v>
      </c>
      <c r="P89" s="39">
        <f t="shared" si="50"/>
        <v>0</v>
      </c>
      <c r="Q89" s="39">
        <f t="shared" si="50"/>
        <v>0</v>
      </c>
      <c r="R89" s="75">
        <f t="shared" si="51"/>
        <v>-3.5</v>
      </c>
      <c r="S89" s="84">
        <f t="shared" si="52"/>
        <v>-6.1624649859943953E-2</v>
      </c>
      <c r="T89" s="65" t="e">
        <f t="shared" si="52"/>
        <v>#VALUE!</v>
      </c>
      <c r="U89" s="65" t="e">
        <f t="shared" si="52"/>
        <v>#VALUE!</v>
      </c>
      <c r="V89" s="65" t="e">
        <f t="shared" si="52"/>
        <v>#VALUE!</v>
      </c>
      <c r="W89" s="65" t="e">
        <f t="shared" si="52"/>
        <v>#VALUE!</v>
      </c>
      <c r="X89" s="65" t="e">
        <f t="shared" si="52"/>
        <v>#VALUE!</v>
      </c>
      <c r="Y89" s="66">
        <f t="shared" si="52"/>
        <v>-6.1624649859943953E-2</v>
      </c>
    </row>
    <row r="90" spans="3:25" x14ac:dyDescent="0.4">
      <c r="C90" s="3" t="s">
        <v>5</v>
      </c>
      <c r="D90" s="72"/>
      <c r="E90" s="63">
        <f t="shared" ref="E90:J90" si="53">SUM(E85:E89)</f>
        <v>286.46900000000005</v>
      </c>
      <c r="F90" s="63">
        <f t="shared" si="53"/>
        <v>188.30500000000001</v>
      </c>
      <c r="G90" s="63">
        <f t="shared" si="53"/>
        <v>1642.04</v>
      </c>
      <c r="H90" s="63">
        <f t="shared" si="53"/>
        <v>416.11</v>
      </c>
      <c r="I90" s="63">
        <f t="shared" si="53"/>
        <v>1232.8400000000001</v>
      </c>
      <c r="J90" s="63">
        <f t="shared" si="53"/>
        <v>-1183.8900000000001</v>
      </c>
      <c r="K90" s="80">
        <f t="shared" si="49"/>
        <v>2581.8739999999998</v>
      </c>
      <c r="L90" s="76">
        <f t="shared" ref="L90:Q90" si="54">SUM(L85:L89)</f>
        <v>55.819000000000003</v>
      </c>
      <c r="M90" s="63">
        <f t="shared" si="54"/>
        <v>58.019000000000005</v>
      </c>
      <c r="N90" s="63">
        <f t="shared" si="54"/>
        <v>360.39</v>
      </c>
      <c r="O90" s="63">
        <f t="shared" si="54"/>
        <v>152.24199999999999</v>
      </c>
      <c r="P90" s="63">
        <f t="shared" si="54"/>
        <v>220.61499999999998</v>
      </c>
      <c r="Q90" s="63">
        <f t="shared" si="54"/>
        <v>-264.2</v>
      </c>
      <c r="R90" s="77">
        <f t="shared" si="51"/>
        <v>582.88499999999999</v>
      </c>
      <c r="S90" s="82">
        <f t="shared" si="52"/>
        <v>-3.7198157552983946E-4</v>
      </c>
      <c r="T90" s="67">
        <f t="shared" si="52"/>
        <v>6.0776958786144197E-2</v>
      </c>
      <c r="U90" s="67">
        <f t="shared" si="52"/>
        <v>-5.9644406591139343E-2</v>
      </c>
      <c r="V90" s="67">
        <f t="shared" si="52"/>
        <v>0.11185970302301906</v>
      </c>
      <c r="W90" s="67">
        <f t="shared" si="52"/>
        <v>-0.1466065766458032</v>
      </c>
      <c r="X90" s="67">
        <f t="shared" si="52"/>
        <v>-8.1754705640441641E-2</v>
      </c>
      <c r="Y90" s="68">
        <f t="shared" si="52"/>
        <v>9.1141890231407063E-3</v>
      </c>
    </row>
  </sheetData>
  <mergeCells count="36">
    <mergeCell ref="C13:D13"/>
    <mergeCell ref="C53:D53"/>
    <mergeCell ref="C3:D3"/>
    <mergeCell ref="S53:Y53"/>
    <mergeCell ref="S33:Y33"/>
    <mergeCell ref="E3:K3"/>
    <mergeCell ref="E43:K43"/>
    <mergeCell ref="S43:Y43"/>
    <mergeCell ref="E33:K33"/>
    <mergeCell ref="C43:D43"/>
    <mergeCell ref="E23:K23"/>
    <mergeCell ref="S3:Y3"/>
    <mergeCell ref="L13:R13"/>
    <mergeCell ref="L3:R3"/>
    <mergeCell ref="L43:R43"/>
    <mergeCell ref="C23:D23"/>
    <mergeCell ref="S23:Y23"/>
    <mergeCell ref="L33:R33"/>
    <mergeCell ref="E13:K13"/>
    <mergeCell ref="L23:R23"/>
    <mergeCell ref="S13:Y13"/>
    <mergeCell ref="C83:D83"/>
    <mergeCell ref="L63:R63"/>
    <mergeCell ref="C33:D33"/>
    <mergeCell ref="S83:Y83"/>
    <mergeCell ref="S63:Y63"/>
    <mergeCell ref="C73:D73"/>
    <mergeCell ref="E53:K53"/>
    <mergeCell ref="C63:D63"/>
    <mergeCell ref="E83:K83"/>
    <mergeCell ref="L53:R53"/>
    <mergeCell ref="E73:K73"/>
    <mergeCell ref="S73:Y73"/>
    <mergeCell ref="E63:K63"/>
    <mergeCell ref="L83:R83"/>
    <mergeCell ref="L73:R73"/>
  </mergeCells>
  <phoneticPr fontId="2"/>
  <printOptions horizontalCentered="1" verticalCentered="1"/>
  <pageMargins left="0.70866141732283472" right="0.70866141732283472" top="0.74803149606299213" bottom="0.74803149606299213" header="0.31496062992125978" footer="0.31496062992125978"/>
  <pageSetup paperSize="8" scale="46"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pageSetUpPr fitToPage="1"/>
  </sheetPr>
  <dimension ref="C1:Y90"/>
  <sheetViews>
    <sheetView tabSelected="1" workbookViewId="0">
      <pane xSplit="4" ySplit="1" topLeftCell="E73" activePane="bottomRight" state="frozen"/>
      <selection activeCell="E77" sqref="E77"/>
      <selection pane="topRight" activeCell="E77" sqref="E77"/>
      <selection pane="bottomLeft" activeCell="E77" sqref="E77"/>
      <selection pane="bottomRight" activeCell="Q77" sqref="Q77"/>
    </sheetView>
  </sheetViews>
  <sheetFormatPr defaultRowHeight="18.75" x14ac:dyDescent="0.4"/>
  <cols>
    <col min="3" max="3" width="9.75" style="85" bestFit="1" customWidth="1"/>
    <col min="5" max="25" width="10.125" style="85" customWidth="1"/>
  </cols>
  <sheetData>
    <row r="1" spans="3:25" ht="24" customHeight="1" x14ac:dyDescent="0.4">
      <c r="C1" s="8" t="s">
        <v>25</v>
      </c>
    </row>
    <row r="2" spans="3:25" x14ac:dyDescent="0.4">
      <c r="C2" t="s">
        <v>1</v>
      </c>
    </row>
    <row r="3" spans="3:25" x14ac:dyDescent="0.4">
      <c r="C3" s="87"/>
      <c r="D3" s="88"/>
      <c r="E3" s="91" t="s">
        <v>2</v>
      </c>
      <c r="F3" s="90"/>
      <c r="G3" s="90"/>
      <c r="H3" s="90"/>
      <c r="I3" s="90"/>
      <c r="J3" s="90"/>
      <c r="K3" s="90"/>
      <c r="L3" s="92" t="s">
        <v>3</v>
      </c>
      <c r="M3" s="90"/>
      <c r="N3" s="90"/>
      <c r="O3" s="90"/>
      <c r="P3" s="90"/>
      <c r="Q3" s="90"/>
      <c r="R3" s="88"/>
      <c r="S3" s="89" t="s">
        <v>4</v>
      </c>
      <c r="T3" s="90"/>
      <c r="U3" s="90"/>
      <c r="V3" s="90"/>
      <c r="W3" s="90"/>
      <c r="X3" s="90"/>
      <c r="Y3" s="88"/>
    </row>
    <row r="4" spans="3:25" x14ac:dyDescent="0.4">
      <c r="C4" s="61"/>
      <c r="D4" s="70"/>
      <c r="E4" s="62">
        <v>45383</v>
      </c>
      <c r="F4" s="62">
        <v>45413</v>
      </c>
      <c r="G4" s="62">
        <v>45444</v>
      </c>
      <c r="H4" s="62">
        <v>45474</v>
      </c>
      <c r="I4" s="62">
        <v>45505</v>
      </c>
      <c r="J4" s="62">
        <v>45536</v>
      </c>
      <c r="K4" s="78" t="s">
        <v>5</v>
      </c>
      <c r="L4" s="74">
        <v>45383</v>
      </c>
      <c r="M4" s="62">
        <v>45413</v>
      </c>
      <c r="N4" s="62">
        <v>45444</v>
      </c>
      <c r="O4" s="62">
        <v>45474</v>
      </c>
      <c r="P4" s="62">
        <v>45505</v>
      </c>
      <c r="Q4" s="62">
        <v>45536</v>
      </c>
      <c r="R4" s="64" t="s">
        <v>5</v>
      </c>
      <c r="S4" s="83">
        <v>45383</v>
      </c>
      <c r="T4" s="62">
        <v>45413</v>
      </c>
      <c r="U4" s="62">
        <v>45444</v>
      </c>
      <c r="V4" s="62">
        <v>45474</v>
      </c>
      <c r="W4" s="62">
        <v>45505</v>
      </c>
      <c r="X4" s="62">
        <v>45536</v>
      </c>
      <c r="Y4" s="64" t="s">
        <v>5</v>
      </c>
    </row>
    <row r="5" spans="3:25" x14ac:dyDescent="0.4">
      <c r="C5" s="73" t="s">
        <v>6</v>
      </c>
      <c r="D5" s="71" t="s">
        <v>7</v>
      </c>
      <c r="E5" s="69">
        <f>全体!E5-機械!E5</f>
        <v>9189.7860000000019</v>
      </c>
      <c r="F5" s="69">
        <f>全体!F5-機械!F5</f>
        <v>8106.3619999999992</v>
      </c>
      <c r="G5" s="69">
        <f>全体!G5-機械!G5</f>
        <v>7273.7219999999998</v>
      </c>
      <c r="H5" s="69">
        <f>全体!H5-機械!H5</f>
        <v>8331.2099999999991</v>
      </c>
      <c r="I5" s="69">
        <f>全体!I5-機械!I5</f>
        <v>10737.936</v>
      </c>
      <c r="J5" s="69">
        <f>全体!J5-機械!J5</f>
        <v>8565.2139999999999</v>
      </c>
      <c r="K5" s="79">
        <f t="shared" ref="K5:K10" si="0">SUM(E5:J5)</f>
        <v>52204.23</v>
      </c>
      <c r="L5" s="1">
        <f>全体!L5-機械!L5</f>
        <v>2645.0309999999999</v>
      </c>
      <c r="M5" s="69">
        <f>全体!M5-機械!M5</f>
        <v>2402.7930000000001</v>
      </c>
      <c r="N5" s="69">
        <f>全体!N5-機械!N5</f>
        <v>2134.4720000000002</v>
      </c>
      <c r="O5" s="69">
        <f>全体!O5-機械!O5</f>
        <v>2349.2440000000001</v>
      </c>
      <c r="P5" s="69">
        <f>全体!P5-機械!P5</f>
        <v>3130.7729999999988</v>
      </c>
      <c r="Q5" s="69">
        <f>全体!Q5-機械!Q5</f>
        <v>2838.1559999999999</v>
      </c>
      <c r="R5" s="75">
        <f t="shared" ref="R5:R10" si="1">SUM(L5:Q5)</f>
        <v>15500.469000000001</v>
      </c>
      <c r="S5" s="84">
        <f t="shared" ref="S5:Y10" si="2">IF(E5=0,"***",L5/E5)</f>
        <v>0.28782291557170098</v>
      </c>
      <c r="T5" s="65">
        <f t="shared" si="2"/>
        <v>0.29640830251597455</v>
      </c>
      <c r="U5" s="65">
        <f t="shared" si="2"/>
        <v>0.29344976340860984</v>
      </c>
      <c r="V5" s="65">
        <f t="shared" si="2"/>
        <v>0.28198112879161613</v>
      </c>
      <c r="W5" s="65">
        <f t="shared" si="2"/>
        <v>0.29156189792898735</v>
      </c>
      <c r="X5" s="65">
        <f t="shared" si="2"/>
        <v>0.3313584459185725</v>
      </c>
      <c r="Y5" s="66">
        <f t="shared" si="2"/>
        <v>0.29691978983312273</v>
      </c>
    </row>
    <row r="6" spans="3:25" x14ac:dyDescent="0.4">
      <c r="C6" s="73" t="s">
        <v>8</v>
      </c>
      <c r="D6" s="60" t="s">
        <v>9</v>
      </c>
      <c r="E6" s="69">
        <f>全体!E6-機械!E6</f>
        <v>8985.8709999999992</v>
      </c>
      <c r="F6" s="69">
        <f>全体!F6-機械!F6</f>
        <v>5588.2659999999996</v>
      </c>
      <c r="G6" s="69">
        <f>全体!G6-機械!G6</f>
        <v>9507.8509999999987</v>
      </c>
      <c r="H6" s="69">
        <f>全体!H6-機械!H6</f>
        <v>10377.789000000001</v>
      </c>
      <c r="I6" s="69">
        <f>全体!I6-機械!I6</f>
        <v>9679.4759999999987</v>
      </c>
      <c r="J6" s="69">
        <f>全体!J6-機械!J6</f>
        <v>9662.494999999999</v>
      </c>
      <c r="K6" s="79">
        <f t="shared" si="0"/>
        <v>53801.747999999992</v>
      </c>
      <c r="L6" s="1">
        <f>全体!L6-機械!L6</f>
        <v>2055.0205999999998</v>
      </c>
      <c r="M6" s="69">
        <f>全体!M6-機械!M6</f>
        <v>1259.05</v>
      </c>
      <c r="N6" s="69">
        <f>全体!N6-機械!N6</f>
        <v>1875.4570000000001</v>
      </c>
      <c r="O6" s="69">
        <f>全体!O6-機械!O6</f>
        <v>2239.2438000000002</v>
      </c>
      <c r="P6" s="69">
        <f>全体!P6-機械!P6</f>
        <v>2138.223</v>
      </c>
      <c r="Q6" s="69">
        <f>全体!Q6-機械!Q6</f>
        <v>2237.5880000000011</v>
      </c>
      <c r="R6" s="75">
        <f t="shared" si="1"/>
        <v>11804.582400000001</v>
      </c>
      <c r="S6" s="84">
        <f t="shared" si="2"/>
        <v>0.22869464740813661</v>
      </c>
      <c r="T6" s="65">
        <f t="shared" si="2"/>
        <v>0.2253024462328744</v>
      </c>
      <c r="U6" s="65">
        <f t="shared" si="2"/>
        <v>0.19725351186088216</v>
      </c>
      <c r="V6" s="65">
        <f t="shared" si="2"/>
        <v>0.21577272384320012</v>
      </c>
      <c r="W6" s="65">
        <f t="shared" si="2"/>
        <v>0.22090276374464901</v>
      </c>
      <c r="X6" s="65">
        <f t="shared" si="2"/>
        <v>0.23157455708903357</v>
      </c>
      <c r="Y6" s="66">
        <f t="shared" si="2"/>
        <v>0.21940890098961102</v>
      </c>
    </row>
    <row r="7" spans="3:25" x14ac:dyDescent="0.4">
      <c r="C7" s="73" t="s">
        <v>10</v>
      </c>
      <c r="D7" s="71" t="s">
        <v>11</v>
      </c>
      <c r="E7" s="69">
        <f>全体!E7-機械!E7</f>
        <v>8422.1989999999987</v>
      </c>
      <c r="F7" s="69">
        <f>全体!F7-機械!F7</f>
        <v>7218.1109999999999</v>
      </c>
      <c r="G7" s="69">
        <f>全体!G7-機械!G7</f>
        <v>7228.3410000000013</v>
      </c>
      <c r="H7" s="69">
        <f>全体!H7-機械!H7</f>
        <v>8652.5730000000003</v>
      </c>
      <c r="I7" s="69">
        <f>全体!I7-機械!I7</f>
        <v>9130.4250000000011</v>
      </c>
      <c r="J7" s="69">
        <f>全体!J7-機械!J7</f>
        <v>8392.639000000001</v>
      </c>
      <c r="K7" s="79">
        <f t="shared" si="0"/>
        <v>49044.288</v>
      </c>
      <c r="L7" s="1">
        <f>全体!L7-機械!L7</f>
        <v>2032.1369999999999</v>
      </c>
      <c r="M7" s="69">
        <f>全体!M7-機械!M7</f>
        <v>1623.6510000000001</v>
      </c>
      <c r="N7" s="69">
        <f>全体!N7-機械!N7</f>
        <v>1607.7619999999999</v>
      </c>
      <c r="O7" s="69">
        <f>全体!O7-機械!O7</f>
        <v>1875.443</v>
      </c>
      <c r="P7" s="69">
        <f>全体!P7-機械!P7</f>
        <v>1941.4059999999999</v>
      </c>
      <c r="Q7" s="69">
        <f>全体!Q7-機械!Q7</f>
        <v>2104.9580000000001</v>
      </c>
      <c r="R7" s="75">
        <f t="shared" si="1"/>
        <v>11185.357000000002</v>
      </c>
      <c r="S7" s="84">
        <f t="shared" si="2"/>
        <v>0.24128342253608592</v>
      </c>
      <c r="T7" s="65">
        <f t="shared" si="2"/>
        <v>0.22494126233303979</v>
      </c>
      <c r="U7" s="65">
        <f t="shared" si="2"/>
        <v>0.22242475832282949</v>
      </c>
      <c r="V7" s="65">
        <f t="shared" si="2"/>
        <v>0.21674974600040936</v>
      </c>
      <c r="W7" s="65">
        <f t="shared" si="2"/>
        <v>0.21263040877067604</v>
      </c>
      <c r="X7" s="65">
        <f t="shared" si="2"/>
        <v>0.25081002530908331</v>
      </c>
      <c r="Y7" s="66">
        <f t="shared" si="2"/>
        <v>0.22806645699495121</v>
      </c>
    </row>
    <row r="8" spans="3:25" x14ac:dyDescent="0.4">
      <c r="C8" s="73" t="s">
        <v>12</v>
      </c>
      <c r="D8" s="71" t="s">
        <v>13</v>
      </c>
      <c r="E8" s="69">
        <f>全体!E8-機械!E8</f>
        <v>8514.4500000000007</v>
      </c>
      <c r="F8" s="69">
        <f>全体!F8-機械!F8</f>
        <v>3182.96</v>
      </c>
      <c r="G8" s="69">
        <f>全体!G8-機械!G8</f>
        <v>10715.25</v>
      </c>
      <c r="H8" s="69">
        <f>全体!H8-機械!H8</f>
        <v>0</v>
      </c>
      <c r="I8" s="69">
        <f>全体!I8-機械!I8</f>
        <v>0</v>
      </c>
      <c r="J8" s="69">
        <f>全体!J8-機械!J8</f>
        <v>24111.466</v>
      </c>
      <c r="K8" s="79">
        <f t="shared" si="0"/>
        <v>46524.126000000004</v>
      </c>
      <c r="L8" s="1">
        <f>全体!L8-機械!L8</f>
        <v>154.30000000000001</v>
      </c>
      <c r="M8" s="69">
        <f>全体!M8-機械!M8</f>
        <v>57.56</v>
      </c>
      <c r="N8" s="69">
        <f>全体!N8-機械!N8</f>
        <v>183.74</v>
      </c>
      <c r="O8" s="69">
        <f>全体!O8-機械!O8</f>
        <v>0</v>
      </c>
      <c r="P8" s="69">
        <f>全体!P8-機械!P8</f>
        <v>0</v>
      </c>
      <c r="Q8" s="69">
        <f>全体!Q8-機械!Q8</f>
        <v>642.976</v>
      </c>
      <c r="R8" s="75">
        <f t="shared" si="1"/>
        <v>1038.576</v>
      </c>
      <c r="S8" s="84">
        <f t="shared" si="2"/>
        <v>1.8122133549436547E-2</v>
      </c>
      <c r="T8" s="65">
        <f t="shared" si="2"/>
        <v>1.8083796214844045E-2</v>
      </c>
      <c r="U8" s="65">
        <f t="shared" si="2"/>
        <v>1.7147523389561607E-2</v>
      </c>
      <c r="V8" s="65" t="str">
        <f t="shared" si="2"/>
        <v>***</v>
      </c>
      <c r="W8" s="65" t="str">
        <f t="shared" si="2"/>
        <v>***</v>
      </c>
      <c r="X8" s="65">
        <f t="shared" si="2"/>
        <v>2.6666814867250293E-2</v>
      </c>
      <c r="Y8" s="66">
        <f t="shared" si="2"/>
        <v>2.2323385505404227E-2</v>
      </c>
    </row>
    <row r="9" spans="3:25" x14ac:dyDescent="0.4">
      <c r="C9" s="73" t="s">
        <v>14</v>
      </c>
      <c r="D9" s="71" t="s">
        <v>15</v>
      </c>
      <c r="E9" s="69">
        <f>全体!E9-機械!E9</f>
        <v>64.19</v>
      </c>
      <c r="F9" s="69">
        <f>全体!F9-機械!F9</f>
        <v>9.2200000000000006</v>
      </c>
      <c r="G9" s="69">
        <f>全体!G9-機械!G9</f>
        <v>14.04</v>
      </c>
      <c r="H9" s="69">
        <f>全体!H9-機械!H9</f>
        <v>77.69</v>
      </c>
      <c r="I9" s="69">
        <f>全体!I9-機械!I9</f>
        <v>30.37</v>
      </c>
      <c r="J9" s="69">
        <f>全体!J9-機械!J9</f>
        <v>31.443999999999999</v>
      </c>
      <c r="K9" s="79">
        <f t="shared" si="0"/>
        <v>226.95399999999998</v>
      </c>
      <c r="L9" s="1">
        <f>全体!L9-機械!L9</f>
        <v>19.062000000000001</v>
      </c>
      <c r="M9" s="69">
        <f>全体!M9-機械!M9</f>
        <v>4.29</v>
      </c>
      <c r="N9" s="69">
        <f>全体!N9-機械!N9</f>
        <v>5.38</v>
      </c>
      <c r="O9" s="69">
        <f>全体!O9-機械!O9</f>
        <v>15.204000000000001</v>
      </c>
      <c r="P9" s="69">
        <f>全体!P9-機械!P9</f>
        <v>10.076000000000001</v>
      </c>
      <c r="Q9" s="69">
        <f>全体!Q9-機械!Q9</f>
        <v>13.314</v>
      </c>
      <c r="R9" s="75">
        <f t="shared" si="1"/>
        <v>67.325999999999993</v>
      </c>
      <c r="S9" s="84">
        <f t="shared" si="2"/>
        <v>0.29696214363608042</v>
      </c>
      <c r="T9" s="65">
        <f t="shared" si="2"/>
        <v>0.46529284164858997</v>
      </c>
      <c r="U9" s="65">
        <f t="shared" si="2"/>
        <v>0.38319088319088318</v>
      </c>
      <c r="V9" s="65">
        <f t="shared" si="2"/>
        <v>0.19570086240185353</v>
      </c>
      <c r="W9" s="65">
        <f t="shared" si="2"/>
        <v>0.33177477774119196</v>
      </c>
      <c r="X9" s="65">
        <f t="shared" si="2"/>
        <v>0.42341941228851293</v>
      </c>
      <c r="Y9" s="66">
        <f t="shared" si="2"/>
        <v>0.29665042255258772</v>
      </c>
    </row>
    <row r="10" spans="3:25" x14ac:dyDescent="0.4">
      <c r="C10" s="3" t="s">
        <v>5</v>
      </c>
      <c r="D10" s="72"/>
      <c r="E10" s="63">
        <f t="shared" ref="E10:J10" si="3">SUM(E5:E9)</f>
        <v>35176.495999999999</v>
      </c>
      <c r="F10" s="63">
        <f t="shared" si="3"/>
        <v>24104.918999999998</v>
      </c>
      <c r="G10" s="63">
        <f t="shared" si="3"/>
        <v>34739.203999999998</v>
      </c>
      <c r="H10" s="63">
        <f t="shared" si="3"/>
        <v>27439.261999999999</v>
      </c>
      <c r="I10" s="63">
        <f t="shared" si="3"/>
        <v>29578.206999999999</v>
      </c>
      <c r="J10" s="63">
        <f t="shared" si="3"/>
        <v>50763.258000000002</v>
      </c>
      <c r="K10" s="80">
        <f t="shared" si="0"/>
        <v>201801.34599999999</v>
      </c>
      <c r="L10" s="76">
        <f t="shared" ref="L10:Q10" si="4">SUM(L5:L9)</f>
        <v>6905.5505999999996</v>
      </c>
      <c r="M10" s="63">
        <f t="shared" si="4"/>
        <v>5347.3440000000001</v>
      </c>
      <c r="N10" s="63">
        <f t="shared" si="4"/>
        <v>5806.8109999999997</v>
      </c>
      <c r="O10" s="63">
        <f t="shared" si="4"/>
        <v>6479.1348000000007</v>
      </c>
      <c r="P10" s="63">
        <f t="shared" si="4"/>
        <v>7220.4779999999992</v>
      </c>
      <c r="Q10" s="63">
        <f t="shared" si="4"/>
        <v>7836.9920000000011</v>
      </c>
      <c r="R10" s="77">
        <f t="shared" si="1"/>
        <v>39596.310400000002</v>
      </c>
      <c r="S10" s="82">
        <f t="shared" si="2"/>
        <v>0.19631149731343336</v>
      </c>
      <c r="T10" s="67">
        <f t="shared" si="2"/>
        <v>0.22183621525548378</v>
      </c>
      <c r="U10" s="67">
        <f t="shared" si="2"/>
        <v>0.16715440572558887</v>
      </c>
      <c r="V10" s="67">
        <f t="shared" si="2"/>
        <v>0.23612642351678412</v>
      </c>
      <c r="W10" s="67">
        <f t="shared" si="2"/>
        <v>0.2441147970869228</v>
      </c>
      <c r="X10" s="67">
        <f t="shared" si="2"/>
        <v>0.15438315641600467</v>
      </c>
      <c r="Y10" s="68">
        <f t="shared" si="2"/>
        <v>0.19621430275296581</v>
      </c>
    </row>
    <row r="11" spans="3:25" x14ac:dyDescent="0.4">
      <c r="C11" s="6"/>
      <c r="E11" s="5"/>
      <c r="F11" s="5"/>
      <c r="G11" s="5"/>
      <c r="H11" s="5"/>
      <c r="I11" s="5"/>
      <c r="J11" s="5"/>
      <c r="K11" s="6"/>
      <c r="L11" s="5"/>
      <c r="M11" s="5"/>
      <c r="N11" s="5"/>
      <c r="O11" s="5"/>
      <c r="P11" s="5"/>
      <c r="Q11" s="5"/>
      <c r="R11" s="6"/>
      <c r="S11" s="7"/>
      <c r="T11" s="7"/>
      <c r="U11" s="7"/>
      <c r="V11" s="7"/>
      <c r="W11" s="7"/>
      <c r="X11" s="7"/>
      <c r="Y11" s="7"/>
    </row>
    <row r="12" spans="3:25" x14ac:dyDescent="0.4">
      <c r="C12" s="6" t="s">
        <v>16</v>
      </c>
    </row>
    <row r="13" spans="3:25" x14ac:dyDescent="0.4">
      <c r="C13" s="87"/>
      <c r="D13" s="88"/>
      <c r="E13" s="91" t="s">
        <v>2</v>
      </c>
      <c r="F13" s="90"/>
      <c r="G13" s="90"/>
      <c r="H13" s="90"/>
      <c r="I13" s="90"/>
      <c r="J13" s="90"/>
      <c r="K13" s="90"/>
      <c r="L13" s="92" t="s">
        <v>3</v>
      </c>
      <c r="M13" s="90"/>
      <c r="N13" s="90"/>
      <c r="O13" s="90"/>
      <c r="P13" s="90"/>
      <c r="Q13" s="90"/>
      <c r="R13" s="88"/>
      <c r="S13" s="92" t="s">
        <v>4</v>
      </c>
      <c r="T13" s="90"/>
      <c r="U13" s="90"/>
      <c r="V13" s="90"/>
      <c r="W13" s="90"/>
      <c r="X13" s="90"/>
      <c r="Y13" s="88"/>
    </row>
    <row r="14" spans="3:25" x14ac:dyDescent="0.4">
      <c r="C14" s="61"/>
      <c r="D14" s="70"/>
      <c r="E14" s="74">
        <v>45748</v>
      </c>
      <c r="F14" s="62">
        <v>45778</v>
      </c>
      <c r="G14" s="62">
        <v>45809</v>
      </c>
      <c r="H14" s="62">
        <v>45839</v>
      </c>
      <c r="I14" s="62">
        <v>45870</v>
      </c>
      <c r="J14" s="62">
        <v>45901</v>
      </c>
      <c r="K14" s="64" t="s">
        <v>5</v>
      </c>
      <c r="L14" s="83">
        <v>45748</v>
      </c>
      <c r="M14" s="62">
        <v>45778</v>
      </c>
      <c r="N14" s="62">
        <v>45809</v>
      </c>
      <c r="O14" s="62">
        <v>45839</v>
      </c>
      <c r="P14" s="62">
        <v>45870</v>
      </c>
      <c r="Q14" s="62">
        <v>45901</v>
      </c>
      <c r="R14" s="64" t="s">
        <v>5</v>
      </c>
      <c r="S14" s="74">
        <v>45748</v>
      </c>
      <c r="T14" s="62">
        <v>45778</v>
      </c>
      <c r="U14" s="62">
        <v>45809</v>
      </c>
      <c r="V14" s="62">
        <v>45839</v>
      </c>
      <c r="W14" s="62">
        <v>45870</v>
      </c>
      <c r="X14" s="62">
        <v>45901</v>
      </c>
      <c r="Y14" s="64" t="s">
        <v>5</v>
      </c>
    </row>
    <row r="15" spans="3:25" x14ac:dyDescent="0.4">
      <c r="C15" s="73" t="s">
        <v>6</v>
      </c>
      <c r="D15" s="71" t="s">
        <v>7</v>
      </c>
      <c r="E15" s="69">
        <f>全体!E15-機械!E15</f>
        <v>11729.789000000001</v>
      </c>
      <c r="F15" s="69">
        <f>全体!F15-機械!F15</f>
        <v>7644.0140000000001</v>
      </c>
      <c r="G15" s="69">
        <f>全体!G15-機械!G15</f>
        <v>8345.81</v>
      </c>
      <c r="H15" s="69">
        <f>全体!H15-機械!H15</f>
        <v>9909.0420000000013</v>
      </c>
      <c r="I15" s="69">
        <f>全体!I15-機械!I15</f>
        <v>10281.5</v>
      </c>
      <c r="J15" s="69">
        <f>全体!J15-機械!J15</f>
        <v>7381.0940000000028</v>
      </c>
      <c r="K15" s="75">
        <f t="shared" ref="K15:K20" si="5">SUM(E15:J15)</f>
        <v>55291.249000000003</v>
      </c>
      <c r="L15" s="69">
        <f>全体!L15-機械!L15</f>
        <v>3665.15</v>
      </c>
      <c r="M15" s="69">
        <f>全体!M15-機械!M15</f>
        <v>2461.9290000000001</v>
      </c>
      <c r="N15" s="69">
        <f>全体!N15-機械!N15</f>
        <v>2665.1190000000011</v>
      </c>
      <c r="O15" s="69">
        <f>全体!O15-機械!O15</f>
        <v>3111.6030000000001</v>
      </c>
      <c r="P15" s="69">
        <f>全体!P15-機械!P15</f>
        <v>3219.1460000000002</v>
      </c>
      <c r="Q15" s="69">
        <f>全体!Q15-機械!Q15</f>
        <v>2447.3160000000012</v>
      </c>
      <c r="R15" s="75">
        <f t="shared" ref="R15:R20" si="6">SUM(L15:Q15)</f>
        <v>17570.263000000003</v>
      </c>
      <c r="S15" s="84">
        <f t="shared" ref="S15:Y20" si="7">IF(E15=0,"***",L15/E15)</f>
        <v>0.31246512618428174</v>
      </c>
      <c r="T15" s="65">
        <f t="shared" si="7"/>
        <v>0.32207280101789454</v>
      </c>
      <c r="U15" s="65">
        <f t="shared" si="7"/>
        <v>0.31933616988644614</v>
      </c>
      <c r="V15" s="65">
        <f t="shared" si="7"/>
        <v>0.31401653156783466</v>
      </c>
      <c r="W15" s="65">
        <f t="shared" si="7"/>
        <v>0.31310081213830671</v>
      </c>
      <c r="X15" s="65">
        <f t="shared" si="7"/>
        <v>0.33156548338227371</v>
      </c>
      <c r="Y15" s="66">
        <f t="shared" si="7"/>
        <v>0.31777656171232455</v>
      </c>
    </row>
    <row r="16" spans="3:25" x14ac:dyDescent="0.4">
      <c r="C16" s="73" t="s">
        <v>8</v>
      </c>
      <c r="D16" s="60" t="s">
        <v>9</v>
      </c>
      <c r="E16" s="69">
        <f>全体!E16-機械!E16</f>
        <v>9469.4629999999997</v>
      </c>
      <c r="F16" s="69">
        <f>全体!F16-機械!F16</f>
        <v>8836.1960000000017</v>
      </c>
      <c r="G16" s="69">
        <f>全体!G16-機械!G16</f>
        <v>8382.7489999999962</v>
      </c>
      <c r="H16" s="69">
        <f>全体!H16-機械!H16</f>
        <v>9165.01</v>
      </c>
      <c r="I16" s="69">
        <f>全体!I16-機械!I16</f>
        <v>7165.3010000000004</v>
      </c>
      <c r="J16" s="69">
        <f>全体!J16-機械!J16</f>
        <v>7326.947000000001</v>
      </c>
      <c r="K16" s="75">
        <f t="shared" si="5"/>
        <v>50345.665999999997</v>
      </c>
      <c r="L16" s="69">
        <f>全体!L16-機械!L16</f>
        <v>2566.5808000000002</v>
      </c>
      <c r="M16" s="69">
        <f>全体!M16-機械!M16</f>
        <v>2453.7159999999999</v>
      </c>
      <c r="N16" s="69">
        <f>全体!N16-機械!N16</f>
        <v>1930.305799999999</v>
      </c>
      <c r="O16" s="69">
        <f>全体!O16-機械!O16</f>
        <v>2031.8440000000001</v>
      </c>
      <c r="P16" s="69">
        <f>全体!P16-機械!P16</f>
        <v>1880.749</v>
      </c>
      <c r="Q16" s="69">
        <f>全体!Q16-機械!Q16</f>
        <v>1979.123</v>
      </c>
      <c r="R16" s="75">
        <f t="shared" si="6"/>
        <v>12842.318599999999</v>
      </c>
      <c r="S16" s="84">
        <f t="shared" si="7"/>
        <v>0.27103762906090878</v>
      </c>
      <c r="T16" s="65">
        <f t="shared" si="7"/>
        <v>0.27768917756011741</v>
      </c>
      <c r="U16" s="65">
        <f t="shared" si="7"/>
        <v>0.23027121532566464</v>
      </c>
      <c r="V16" s="65">
        <f t="shared" si="7"/>
        <v>0.22169577556380191</v>
      </c>
      <c r="W16" s="65">
        <f t="shared" si="7"/>
        <v>0.26248011074482425</v>
      </c>
      <c r="X16" s="65">
        <f t="shared" si="7"/>
        <v>0.27011564298199509</v>
      </c>
      <c r="Y16" s="66">
        <f t="shared" si="7"/>
        <v>0.25508290227007818</v>
      </c>
    </row>
    <row r="17" spans="3:25" x14ac:dyDescent="0.4">
      <c r="C17" s="73" t="s">
        <v>10</v>
      </c>
      <c r="D17" s="71" t="s">
        <v>11</v>
      </c>
      <c r="E17" s="69">
        <f>全体!E17-機械!E17</f>
        <v>9422.8090000000011</v>
      </c>
      <c r="F17" s="69">
        <f>全体!F17-機械!F17</f>
        <v>7351.2480000000014</v>
      </c>
      <c r="G17" s="69">
        <f>全体!G17-機械!G17</f>
        <v>7391.3860000000013</v>
      </c>
      <c r="H17" s="69">
        <f>全体!H17-機械!H17</f>
        <v>9599.9369999999999</v>
      </c>
      <c r="I17" s="69">
        <f>全体!I17-機械!I17</f>
        <v>8283.0830000000024</v>
      </c>
      <c r="J17" s="69">
        <f>全体!J17-機械!J17</f>
        <v>9097.8079999999991</v>
      </c>
      <c r="K17" s="75">
        <f t="shared" si="5"/>
        <v>51146.271000000001</v>
      </c>
      <c r="L17" s="69">
        <f>全体!L17-機械!L17</f>
        <v>2241.822999999999</v>
      </c>
      <c r="M17" s="69">
        <f>全体!M17-機械!M17</f>
        <v>1791.091999999999</v>
      </c>
      <c r="N17" s="69">
        <f>全体!N17-機械!N17</f>
        <v>1710.721</v>
      </c>
      <c r="O17" s="69">
        <f>全体!O17-機械!O17</f>
        <v>2300.3980000000001</v>
      </c>
      <c r="P17" s="69">
        <f>全体!P17-機械!P17</f>
        <v>2009.645</v>
      </c>
      <c r="Q17" s="69">
        <f>全体!Q17-機械!Q17</f>
        <v>1844.8320000000001</v>
      </c>
      <c r="R17" s="75">
        <f t="shared" si="6"/>
        <v>11898.510999999999</v>
      </c>
      <c r="S17" s="84">
        <f t="shared" si="7"/>
        <v>0.23791451147953849</v>
      </c>
      <c r="T17" s="65">
        <f t="shared" si="7"/>
        <v>0.24364461653313813</v>
      </c>
      <c r="U17" s="65">
        <f t="shared" si="7"/>
        <v>0.23144793141638115</v>
      </c>
      <c r="V17" s="65">
        <f t="shared" si="7"/>
        <v>0.23962636421468184</v>
      </c>
      <c r="W17" s="65">
        <f t="shared" si="7"/>
        <v>0.2426204107818308</v>
      </c>
      <c r="X17" s="65">
        <f t="shared" si="7"/>
        <v>0.20277763610751076</v>
      </c>
      <c r="Y17" s="66">
        <f t="shared" si="7"/>
        <v>0.23263692088128962</v>
      </c>
    </row>
    <row r="18" spans="3:25" x14ac:dyDescent="0.4">
      <c r="C18" s="73" t="s">
        <v>12</v>
      </c>
      <c r="D18" s="71" t="s">
        <v>13</v>
      </c>
      <c r="E18" s="69">
        <f>全体!E18-機械!E18</f>
        <v>9358.2080000000005</v>
      </c>
      <c r="F18" s="69">
        <f>全体!F18-機械!F18</f>
        <v>2209.46</v>
      </c>
      <c r="G18" s="69">
        <f>全体!G18-機械!G18</f>
        <v>11193.008</v>
      </c>
      <c r="H18" s="69">
        <f>全体!H18-機械!H18</f>
        <v>0</v>
      </c>
      <c r="I18" s="69">
        <f>全体!I18-機械!I18</f>
        <v>6139.9040000000005</v>
      </c>
      <c r="J18" s="69">
        <f>全体!J18-機械!J18</f>
        <v>9994.7119999999995</v>
      </c>
      <c r="K18" s="75">
        <f t="shared" si="5"/>
        <v>38895.292000000001</v>
      </c>
      <c r="L18" s="69">
        <f>全体!L18-機械!L18</f>
        <v>173.928</v>
      </c>
      <c r="M18" s="69">
        <f>全体!M18-機械!M18</f>
        <v>19.309999999999999</v>
      </c>
      <c r="N18" s="69">
        <f>全体!N18-機械!N18</f>
        <v>196.12799999999999</v>
      </c>
      <c r="O18" s="69">
        <f>全体!O18-機械!O18</f>
        <v>0</v>
      </c>
      <c r="P18" s="69">
        <f>全体!P18-機械!P18</f>
        <v>115.904</v>
      </c>
      <c r="Q18" s="69">
        <f>全体!Q18-機械!Q18</f>
        <v>197.75200000000001</v>
      </c>
      <c r="R18" s="75">
        <f t="shared" si="6"/>
        <v>703.02199999999993</v>
      </c>
      <c r="S18" s="84">
        <f t="shared" si="7"/>
        <v>1.8585609552598102E-2</v>
      </c>
      <c r="T18" s="65">
        <f t="shared" si="7"/>
        <v>8.7396920514514857E-3</v>
      </c>
      <c r="U18" s="65">
        <f t="shared" si="7"/>
        <v>1.7522367535161235E-2</v>
      </c>
      <c r="V18" s="65" t="str">
        <f t="shared" si="7"/>
        <v>***</v>
      </c>
      <c r="W18" s="65">
        <f t="shared" si="7"/>
        <v>1.8877168112074714E-2</v>
      </c>
      <c r="X18" s="65">
        <f t="shared" si="7"/>
        <v>1.978566265841377E-2</v>
      </c>
      <c r="Y18" s="66">
        <f t="shared" si="7"/>
        <v>1.8074732540894665E-2</v>
      </c>
    </row>
    <row r="19" spans="3:25" x14ac:dyDescent="0.4">
      <c r="C19" s="73" t="s">
        <v>14</v>
      </c>
      <c r="D19" s="71" t="s">
        <v>15</v>
      </c>
      <c r="E19" s="69">
        <f>全体!E19-機械!E19</f>
        <v>6.0500000000000007</v>
      </c>
      <c r="F19" s="69">
        <f>全体!F19-機械!F19</f>
        <v>0</v>
      </c>
      <c r="G19" s="69">
        <f>全体!G19-機械!G19</f>
        <v>11.3</v>
      </c>
      <c r="H19" s="69">
        <f>全体!H19-機械!H19</f>
        <v>12.3</v>
      </c>
      <c r="I19" s="69">
        <f>全体!I19-機械!I19</f>
        <v>1.1000000000000001</v>
      </c>
      <c r="J19" s="69">
        <f>全体!J19-機械!J19</f>
        <v>0</v>
      </c>
      <c r="K19" s="75">
        <f t="shared" si="5"/>
        <v>30.750000000000004</v>
      </c>
      <c r="L19" s="69">
        <f>全体!L19-機械!L19</f>
        <v>0.30100000000000016</v>
      </c>
      <c r="M19" s="69">
        <f>全体!M19-機械!M19</f>
        <v>0</v>
      </c>
      <c r="N19" s="69">
        <f>全体!N19-機械!N19</f>
        <v>2.4990000000000001</v>
      </c>
      <c r="O19" s="69">
        <f>全体!O19-機械!O19</f>
        <v>4.8</v>
      </c>
      <c r="P19" s="69">
        <f>全体!P19-機械!P19</f>
        <v>0.375</v>
      </c>
      <c r="Q19" s="69">
        <f>全体!Q19-機械!Q19</f>
        <v>0</v>
      </c>
      <c r="R19" s="75">
        <f t="shared" si="6"/>
        <v>7.9749999999999996</v>
      </c>
      <c r="S19" s="84">
        <f t="shared" si="7"/>
        <v>4.9752066115702501E-2</v>
      </c>
      <c r="T19" s="65" t="str">
        <f t="shared" si="7"/>
        <v>***</v>
      </c>
      <c r="U19" s="65">
        <f t="shared" si="7"/>
        <v>0.2211504424778761</v>
      </c>
      <c r="V19" s="65">
        <f t="shared" si="7"/>
        <v>0.39024390243902435</v>
      </c>
      <c r="W19" s="65">
        <f t="shared" si="7"/>
        <v>0.34090909090909088</v>
      </c>
      <c r="X19" s="65" t="str">
        <f t="shared" si="7"/>
        <v>***</v>
      </c>
      <c r="Y19" s="66">
        <f t="shared" si="7"/>
        <v>0.25934959349593489</v>
      </c>
    </row>
    <row r="20" spans="3:25" x14ac:dyDescent="0.4">
      <c r="C20" s="3" t="s">
        <v>5</v>
      </c>
      <c r="D20" s="72"/>
      <c r="E20" s="63">
        <f t="shared" ref="E20:J20" si="8">SUM(E15:E19)</f>
        <v>39986.319000000003</v>
      </c>
      <c r="F20" s="63">
        <f t="shared" si="8"/>
        <v>26040.918000000005</v>
      </c>
      <c r="G20" s="63">
        <f t="shared" si="8"/>
        <v>35324.252999999997</v>
      </c>
      <c r="H20" s="63">
        <f t="shared" si="8"/>
        <v>28686.289000000001</v>
      </c>
      <c r="I20" s="63">
        <f t="shared" si="8"/>
        <v>31870.887999999999</v>
      </c>
      <c r="J20" s="63">
        <f t="shared" si="8"/>
        <v>33800.561000000002</v>
      </c>
      <c r="K20" s="80">
        <f t="shared" si="5"/>
        <v>195709.228</v>
      </c>
      <c r="L20" s="76">
        <f t="shared" ref="L20:Q20" si="9">SUM(L15:L19)</f>
        <v>8647.782799999999</v>
      </c>
      <c r="M20" s="63">
        <f t="shared" si="9"/>
        <v>6726.0469999999996</v>
      </c>
      <c r="N20" s="63">
        <f t="shared" si="9"/>
        <v>6504.7727999999997</v>
      </c>
      <c r="O20" s="63">
        <f t="shared" si="9"/>
        <v>7448.6450000000004</v>
      </c>
      <c r="P20" s="63">
        <f t="shared" si="9"/>
        <v>7225.8190000000013</v>
      </c>
      <c r="Q20" s="63">
        <f t="shared" si="9"/>
        <v>6469.023000000002</v>
      </c>
      <c r="R20" s="77">
        <f t="shared" si="6"/>
        <v>43022.089599999999</v>
      </c>
      <c r="S20" s="82">
        <f t="shared" si="7"/>
        <v>0.21626853924713596</v>
      </c>
      <c r="T20" s="67">
        <f t="shared" si="7"/>
        <v>0.25828763025942475</v>
      </c>
      <c r="U20" s="67">
        <f t="shared" si="7"/>
        <v>0.18414466683839006</v>
      </c>
      <c r="V20" s="67">
        <f t="shared" si="7"/>
        <v>0.25965871709651955</v>
      </c>
      <c r="W20" s="67">
        <f t="shared" si="7"/>
        <v>0.2267216087609483</v>
      </c>
      <c r="X20" s="67">
        <f t="shared" si="7"/>
        <v>0.19138803642933624</v>
      </c>
      <c r="Y20" s="68">
        <f t="shared" si="7"/>
        <v>0.2198265765986262</v>
      </c>
    </row>
    <row r="21" spans="3:25" x14ac:dyDescent="0.4">
      <c r="C21" s="6"/>
      <c r="E21" s="5"/>
      <c r="F21" s="5"/>
      <c r="G21" s="5"/>
      <c r="H21" s="5"/>
      <c r="I21" s="5"/>
      <c r="J21" s="5"/>
      <c r="K21" s="6"/>
      <c r="L21" s="5"/>
      <c r="M21" s="5"/>
      <c r="N21" s="5"/>
      <c r="O21" s="5"/>
      <c r="P21" s="5"/>
      <c r="Q21" s="5"/>
      <c r="R21" s="6"/>
      <c r="S21" s="7"/>
      <c r="T21" s="7"/>
      <c r="U21" s="7"/>
      <c r="V21" s="7"/>
      <c r="W21" s="7"/>
      <c r="X21" s="7"/>
      <c r="Y21" s="7"/>
    </row>
    <row r="22" spans="3:25" x14ac:dyDescent="0.4">
      <c r="C22" s="6" t="s">
        <v>17</v>
      </c>
    </row>
    <row r="23" spans="3:25" x14ac:dyDescent="0.4">
      <c r="C23" s="87"/>
      <c r="D23" s="88"/>
      <c r="E23" s="91" t="s">
        <v>2</v>
      </c>
      <c r="F23" s="90"/>
      <c r="G23" s="90"/>
      <c r="H23" s="90"/>
      <c r="I23" s="90"/>
      <c r="J23" s="90"/>
      <c r="K23" s="90"/>
      <c r="L23" s="92" t="s">
        <v>3</v>
      </c>
      <c r="M23" s="90"/>
      <c r="N23" s="90"/>
      <c r="O23" s="90"/>
      <c r="P23" s="90"/>
      <c r="Q23" s="90"/>
      <c r="R23" s="88"/>
      <c r="S23" s="92" t="s">
        <v>4</v>
      </c>
      <c r="T23" s="90"/>
      <c r="U23" s="90"/>
      <c r="V23" s="90"/>
      <c r="W23" s="90"/>
      <c r="X23" s="90"/>
      <c r="Y23" s="88"/>
    </row>
    <row r="24" spans="3:25" x14ac:dyDescent="0.4">
      <c r="C24" s="61"/>
      <c r="D24" s="70"/>
      <c r="E24" s="74">
        <v>45748</v>
      </c>
      <c r="F24" s="62">
        <v>45778</v>
      </c>
      <c r="G24" s="62">
        <v>45809</v>
      </c>
      <c r="H24" s="62">
        <v>45839</v>
      </c>
      <c r="I24" s="62">
        <v>45870</v>
      </c>
      <c r="J24" s="62">
        <v>45901</v>
      </c>
      <c r="K24" s="64" t="s">
        <v>5</v>
      </c>
      <c r="L24" s="74">
        <v>45748</v>
      </c>
      <c r="M24" s="62">
        <v>45778</v>
      </c>
      <c r="N24" s="62">
        <v>45809</v>
      </c>
      <c r="O24" s="62">
        <v>45839</v>
      </c>
      <c r="P24" s="62">
        <v>45870</v>
      </c>
      <c r="Q24" s="62">
        <v>45901</v>
      </c>
      <c r="R24" s="64" t="s">
        <v>5</v>
      </c>
      <c r="S24" s="74">
        <v>45748</v>
      </c>
      <c r="T24" s="62">
        <v>45778</v>
      </c>
      <c r="U24" s="62">
        <v>45809</v>
      </c>
      <c r="V24" s="62">
        <v>45839</v>
      </c>
      <c r="W24" s="62">
        <v>45870</v>
      </c>
      <c r="X24" s="62">
        <v>45901</v>
      </c>
      <c r="Y24" s="64" t="s">
        <v>5</v>
      </c>
    </row>
    <row r="25" spans="3:25" x14ac:dyDescent="0.4">
      <c r="C25" s="73" t="s">
        <v>6</v>
      </c>
      <c r="D25" s="71" t="s">
        <v>7</v>
      </c>
      <c r="E25" s="2">
        <f t="shared" ref="E25:J29" si="10">(E15+E5)/2</f>
        <v>10459.787500000002</v>
      </c>
      <c r="F25" s="2">
        <f t="shared" si="10"/>
        <v>7875.1880000000001</v>
      </c>
      <c r="G25" s="2">
        <f t="shared" si="10"/>
        <v>7809.7659999999996</v>
      </c>
      <c r="H25" s="2">
        <f t="shared" si="10"/>
        <v>9120.1260000000002</v>
      </c>
      <c r="I25" s="2">
        <f t="shared" si="10"/>
        <v>10509.718000000001</v>
      </c>
      <c r="J25" s="2">
        <f t="shared" si="10"/>
        <v>7973.1540000000014</v>
      </c>
      <c r="K25" s="79">
        <f t="shared" ref="K25:K30" si="11">SUM(E25:J25)</f>
        <v>53747.739500000003</v>
      </c>
      <c r="L25" s="1">
        <f t="shared" ref="L25:Q29" si="12">(L15+L5)/2</f>
        <v>3155.0905000000002</v>
      </c>
      <c r="M25" s="2">
        <f t="shared" si="12"/>
        <v>2432.3609999999999</v>
      </c>
      <c r="N25" s="2">
        <f t="shared" si="12"/>
        <v>2399.7955000000006</v>
      </c>
      <c r="O25" s="2">
        <f t="shared" si="12"/>
        <v>2730.4234999999999</v>
      </c>
      <c r="P25" s="2">
        <f t="shared" si="12"/>
        <v>3174.9594999999995</v>
      </c>
      <c r="Q25" s="2">
        <f t="shared" si="12"/>
        <v>2642.7360000000008</v>
      </c>
      <c r="R25" s="75">
        <f t="shared" ref="R25:R30" si="13">SUM(L25:Q25)</f>
        <v>16535.366000000002</v>
      </c>
      <c r="S25" s="84">
        <f t="shared" ref="S25:Y30" si="14">IF(E25=0,"***",L25/E25)</f>
        <v>0.30164001897744097</v>
      </c>
      <c r="T25" s="65">
        <f t="shared" si="14"/>
        <v>0.30886386458329629</v>
      </c>
      <c r="U25" s="65">
        <f t="shared" si="14"/>
        <v>0.30728135772569892</v>
      </c>
      <c r="V25" s="65">
        <f t="shared" si="14"/>
        <v>0.29938440543474948</v>
      </c>
      <c r="W25" s="65">
        <f t="shared" si="14"/>
        <v>0.3020974968119981</v>
      </c>
      <c r="X25" s="65">
        <f t="shared" si="14"/>
        <v>0.33145427769236618</v>
      </c>
      <c r="Y25" s="66">
        <f t="shared" si="14"/>
        <v>0.30764765465159705</v>
      </c>
    </row>
    <row r="26" spans="3:25" x14ac:dyDescent="0.4">
      <c r="C26" s="73" t="s">
        <v>8</v>
      </c>
      <c r="D26" s="60" t="s">
        <v>9</v>
      </c>
      <c r="E26" s="2">
        <f t="shared" si="10"/>
        <v>9227.6669999999995</v>
      </c>
      <c r="F26" s="2">
        <f t="shared" si="10"/>
        <v>7212.2310000000007</v>
      </c>
      <c r="G26" s="2">
        <f t="shared" si="10"/>
        <v>8945.2999999999975</v>
      </c>
      <c r="H26" s="2">
        <f t="shared" si="10"/>
        <v>9771.3994999999995</v>
      </c>
      <c r="I26" s="2">
        <f t="shared" si="10"/>
        <v>8422.3884999999991</v>
      </c>
      <c r="J26" s="2">
        <f t="shared" si="10"/>
        <v>8494.7209999999995</v>
      </c>
      <c r="K26" s="79">
        <f t="shared" si="11"/>
        <v>52073.706999999995</v>
      </c>
      <c r="L26" s="1">
        <f t="shared" si="12"/>
        <v>2310.8006999999998</v>
      </c>
      <c r="M26" s="2">
        <f t="shared" si="12"/>
        <v>1856.3829999999998</v>
      </c>
      <c r="N26" s="2">
        <f t="shared" si="12"/>
        <v>1902.8813999999995</v>
      </c>
      <c r="O26" s="2">
        <f t="shared" si="12"/>
        <v>2135.5439000000001</v>
      </c>
      <c r="P26" s="2">
        <f t="shared" si="12"/>
        <v>2009.4859999999999</v>
      </c>
      <c r="Q26" s="2">
        <f t="shared" si="12"/>
        <v>2108.3555000000006</v>
      </c>
      <c r="R26" s="75">
        <f t="shared" si="13"/>
        <v>12323.450499999999</v>
      </c>
      <c r="S26" s="84">
        <f t="shared" si="14"/>
        <v>0.25042090270487655</v>
      </c>
      <c r="T26" s="65">
        <f t="shared" si="14"/>
        <v>0.25739372463250271</v>
      </c>
      <c r="U26" s="65">
        <f t="shared" si="14"/>
        <v>0.21272415681978246</v>
      </c>
      <c r="V26" s="65">
        <f t="shared" si="14"/>
        <v>0.21855046454706925</v>
      </c>
      <c r="W26" s="65">
        <f t="shared" si="14"/>
        <v>0.23858861414431312</v>
      </c>
      <c r="X26" s="65">
        <f t="shared" si="14"/>
        <v>0.2481959678251941</v>
      </c>
      <c r="Y26" s="66">
        <f t="shared" si="14"/>
        <v>0.23665398931556764</v>
      </c>
    </row>
    <row r="27" spans="3:25" x14ac:dyDescent="0.4">
      <c r="C27" s="73" t="s">
        <v>10</v>
      </c>
      <c r="D27" s="71" t="s">
        <v>11</v>
      </c>
      <c r="E27" s="2">
        <f t="shared" si="10"/>
        <v>8922.5040000000008</v>
      </c>
      <c r="F27" s="2">
        <f t="shared" si="10"/>
        <v>7284.6795000000002</v>
      </c>
      <c r="G27" s="2">
        <f t="shared" si="10"/>
        <v>7309.8635000000013</v>
      </c>
      <c r="H27" s="2">
        <f t="shared" si="10"/>
        <v>9126.255000000001</v>
      </c>
      <c r="I27" s="2">
        <f t="shared" si="10"/>
        <v>8706.7540000000008</v>
      </c>
      <c r="J27" s="2">
        <f t="shared" si="10"/>
        <v>8745.2235000000001</v>
      </c>
      <c r="K27" s="79">
        <f t="shared" si="11"/>
        <v>50095.279500000004</v>
      </c>
      <c r="L27" s="1">
        <f t="shared" si="12"/>
        <v>2136.9799999999996</v>
      </c>
      <c r="M27" s="2">
        <f t="shared" si="12"/>
        <v>1707.3714999999995</v>
      </c>
      <c r="N27" s="2">
        <f t="shared" si="12"/>
        <v>1659.2415000000001</v>
      </c>
      <c r="O27" s="2">
        <f t="shared" si="12"/>
        <v>2087.9205000000002</v>
      </c>
      <c r="P27" s="2">
        <f t="shared" si="12"/>
        <v>1975.5255</v>
      </c>
      <c r="Q27" s="2">
        <f t="shared" si="12"/>
        <v>1974.895</v>
      </c>
      <c r="R27" s="75">
        <f t="shared" si="13"/>
        <v>11541.933999999999</v>
      </c>
      <c r="S27" s="84">
        <f t="shared" si="14"/>
        <v>0.23950451577270229</v>
      </c>
      <c r="T27" s="65">
        <f t="shared" si="14"/>
        <v>0.234378396468918</v>
      </c>
      <c r="U27" s="65">
        <f t="shared" si="14"/>
        <v>0.22698665987401814</v>
      </c>
      <c r="V27" s="65">
        <f t="shared" si="14"/>
        <v>0.22878174015518962</v>
      </c>
      <c r="W27" s="65">
        <f t="shared" si="14"/>
        <v>0.22689575242392282</v>
      </c>
      <c r="X27" s="65">
        <f t="shared" si="14"/>
        <v>0.22582556066177153</v>
      </c>
      <c r="Y27" s="66">
        <f t="shared" si="14"/>
        <v>0.2303996327638016</v>
      </c>
    </row>
    <row r="28" spans="3:25" x14ac:dyDescent="0.4">
      <c r="C28" s="73" t="s">
        <v>12</v>
      </c>
      <c r="D28" s="71" t="s">
        <v>13</v>
      </c>
      <c r="E28" s="2">
        <f t="shared" si="10"/>
        <v>8936.3290000000015</v>
      </c>
      <c r="F28" s="2">
        <f t="shared" si="10"/>
        <v>2696.21</v>
      </c>
      <c r="G28" s="2">
        <f t="shared" si="10"/>
        <v>10954.129000000001</v>
      </c>
      <c r="H28" s="2">
        <f t="shared" si="10"/>
        <v>0</v>
      </c>
      <c r="I28" s="2">
        <f t="shared" si="10"/>
        <v>3069.9520000000002</v>
      </c>
      <c r="J28" s="2">
        <f t="shared" si="10"/>
        <v>17053.089</v>
      </c>
      <c r="K28" s="79">
        <f t="shared" si="11"/>
        <v>42709.709000000003</v>
      </c>
      <c r="L28" s="1">
        <f t="shared" si="12"/>
        <v>164.114</v>
      </c>
      <c r="M28" s="2">
        <f t="shared" si="12"/>
        <v>38.435000000000002</v>
      </c>
      <c r="N28" s="2">
        <f t="shared" si="12"/>
        <v>189.934</v>
      </c>
      <c r="O28" s="2">
        <f t="shared" si="12"/>
        <v>0</v>
      </c>
      <c r="P28" s="2">
        <f t="shared" si="12"/>
        <v>57.951999999999998</v>
      </c>
      <c r="Q28" s="2">
        <f t="shared" si="12"/>
        <v>420.36400000000003</v>
      </c>
      <c r="R28" s="75">
        <f t="shared" si="13"/>
        <v>870.79899999999998</v>
      </c>
      <c r="S28" s="84">
        <f t="shared" si="14"/>
        <v>1.8364811770023238E-2</v>
      </c>
      <c r="T28" s="65">
        <f t="shared" si="14"/>
        <v>1.4255195255562438E-2</v>
      </c>
      <c r="U28" s="65">
        <f t="shared" si="14"/>
        <v>1.7339032615007546E-2</v>
      </c>
      <c r="V28" s="65" t="str">
        <f t="shared" si="14"/>
        <v>***</v>
      </c>
      <c r="W28" s="65">
        <f t="shared" si="14"/>
        <v>1.8877168112074714E-2</v>
      </c>
      <c r="X28" s="65">
        <f t="shared" si="14"/>
        <v>2.4650314086790963E-2</v>
      </c>
      <c r="Y28" s="66">
        <f t="shared" si="14"/>
        <v>2.0388783262372496E-2</v>
      </c>
    </row>
    <row r="29" spans="3:25" x14ac:dyDescent="0.4">
      <c r="C29" s="73" t="s">
        <v>14</v>
      </c>
      <c r="D29" s="71" t="s">
        <v>15</v>
      </c>
      <c r="E29" s="2">
        <f t="shared" si="10"/>
        <v>35.119999999999997</v>
      </c>
      <c r="F29" s="2">
        <f t="shared" si="10"/>
        <v>4.6100000000000003</v>
      </c>
      <c r="G29" s="2">
        <f t="shared" si="10"/>
        <v>12.67</v>
      </c>
      <c r="H29" s="2">
        <f t="shared" si="10"/>
        <v>44.994999999999997</v>
      </c>
      <c r="I29" s="2">
        <f t="shared" si="10"/>
        <v>15.735000000000001</v>
      </c>
      <c r="J29" s="2">
        <f t="shared" si="10"/>
        <v>15.722</v>
      </c>
      <c r="K29" s="79">
        <f t="shared" si="11"/>
        <v>128.852</v>
      </c>
      <c r="L29" s="1">
        <f t="shared" si="12"/>
        <v>9.6814999999999998</v>
      </c>
      <c r="M29" s="2">
        <f t="shared" si="12"/>
        <v>2.145</v>
      </c>
      <c r="N29" s="2">
        <f t="shared" si="12"/>
        <v>3.9394999999999998</v>
      </c>
      <c r="O29" s="2">
        <f t="shared" si="12"/>
        <v>10.002000000000001</v>
      </c>
      <c r="P29" s="2">
        <f t="shared" si="12"/>
        <v>5.2255000000000003</v>
      </c>
      <c r="Q29" s="2">
        <f t="shared" si="12"/>
        <v>6.657</v>
      </c>
      <c r="R29" s="75">
        <f t="shared" si="13"/>
        <v>37.650500000000001</v>
      </c>
      <c r="S29" s="84">
        <f t="shared" si="14"/>
        <v>0.27566913439635538</v>
      </c>
      <c r="T29" s="65">
        <f t="shared" si="14"/>
        <v>0.46529284164858997</v>
      </c>
      <c r="U29" s="65">
        <f t="shared" si="14"/>
        <v>0.31093133385951066</v>
      </c>
      <c r="V29" s="65">
        <f t="shared" si="14"/>
        <v>0.22229136570730085</v>
      </c>
      <c r="W29" s="65">
        <f t="shared" si="14"/>
        <v>0.33209405783285667</v>
      </c>
      <c r="X29" s="65">
        <f t="shared" si="14"/>
        <v>0.42341941228851293</v>
      </c>
      <c r="Y29" s="66">
        <f t="shared" si="14"/>
        <v>0.29219957781020084</v>
      </c>
    </row>
    <row r="30" spans="3:25" x14ac:dyDescent="0.4">
      <c r="C30" s="3" t="s">
        <v>5</v>
      </c>
      <c r="D30" s="72"/>
      <c r="E30" s="63">
        <f t="shared" ref="E30:J30" si="15">SUM(E25:E29)</f>
        <v>37581.407500000008</v>
      </c>
      <c r="F30" s="63">
        <f t="shared" si="15"/>
        <v>25072.9185</v>
      </c>
      <c r="G30" s="63">
        <f t="shared" si="15"/>
        <v>35031.728499999997</v>
      </c>
      <c r="H30" s="63">
        <f t="shared" si="15"/>
        <v>28062.7755</v>
      </c>
      <c r="I30" s="63">
        <f t="shared" si="15"/>
        <v>30724.547500000004</v>
      </c>
      <c r="J30" s="63">
        <f t="shared" si="15"/>
        <v>42281.909500000002</v>
      </c>
      <c r="K30" s="80">
        <f t="shared" si="11"/>
        <v>198755.28700000001</v>
      </c>
      <c r="L30" s="76">
        <f t="shared" ref="L30:Q30" si="16">SUM(L25:L29)</f>
        <v>7776.6666999999989</v>
      </c>
      <c r="M30" s="63">
        <f t="shared" si="16"/>
        <v>6036.6954999999998</v>
      </c>
      <c r="N30" s="63">
        <f t="shared" si="16"/>
        <v>6155.7919000000011</v>
      </c>
      <c r="O30" s="63">
        <f t="shared" si="16"/>
        <v>6963.8899000000001</v>
      </c>
      <c r="P30" s="63">
        <f t="shared" si="16"/>
        <v>7223.1484999999993</v>
      </c>
      <c r="Q30" s="63">
        <f t="shared" si="16"/>
        <v>7153.0075000000006</v>
      </c>
      <c r="R30" s="77">
        <f t="shared" si="13"/>
        <v>41309.200000000004</v>
      </c>
      <c r="S30" s="82">
        <f t="shared" si="14"/>
        <v>0.20692856434395113</v>
      </c>
      <c r="T30" s="67">
        <f t="shared" si="14"/>
        <v>0.24076556943301194</v>
      </c>
      <c r="U30" s="67">
        <f t="shared" si="14"/>
        <v>0.17572047294212165</v>
      </c>
      <c r="V30" s="67">
        <f t="shared" si="14"/>
        <v>0.24815399674205427</v>
      </c>
      <c r="W30" s="67">
        <f t="shared" si="14"/>
        <v>0.23509373083525473</v>
      </c>
      <c r="X30" s="67">
        <f t="shared" si="14"/>
        <v>0.16917418311015495</v>
      </c>
      <c r="Y30" s="68">
        <f t="shared" si="14"/>
        <v>0.20783950265433696</v>
      </c>
    </row>
    <row r="31" spans="3:25" x14ac:dyDescent="0.4">
      <c r="C31" s="6"/>
      <c r="E31" s="5"/>
      <c r="F31" s="5"/>
      <c r="G31" s="5"/>
      <c r="H31" s="5"/>
      <c r="I31" s="5"/>
      <c r="J31" s="5"/>
      <c r="K31" s="6"/>
      <c r="L31" s="5"/>
      <c r="M31" s="5"/>
      <c r="N31" s="5"/>
      <c r="O31" s="5"/>
      <c r="P31" s="5"/>
      <c r="Q31" s="5"/>
      <c r="R31" s="6"/>
      <c r="S31" s="7"/>
      <c r="T31" s="7"/>
      <c r="U31" s="7"/>
      <c r="V31" s="7"/>
      <c r="W31" s="7"/>
      <c r="X31" s="7"/>
      <c r="Y31" s="7"/>
    </row>
    <row r="32" spans="3:25" x14ac:dyDescent="0.4">
      <c r="C32" s="6" t="s">
        <v>18</v>
      </c>
    </row>
    <row r="33" spans="3:25" x14ac:dyDescent="0.4">
      <c r="C33" s="87"/>
      <c r="D33" s="88"/>
      <c r="E33" s="87" t="s">
        <v>2</v>
      </c>
      <c r="F33" s="90"/>
      <c r="G33" s="90"/>
      <c r="H33" s="90"/>
      <c r="I33" s="90"/>
      <c r="J33" s="90"/>
      <c r="K33" s="88"/>
      <c r="L33" s="89" t="s">
        <v>3</v>
      </c>
      <c r="M33" s="90"/>
      <c r="N33" s="90"/>
      <c r="O33" s="90"/>
      <c r="P33" s="90"/>
      <c r="Q33" s="90"/>
      <c r="R33" s="88"/>
      <c r="S33" s="89" t="s">
        <v>4</v>
      </c>
      <c r="T33" s="90"/>
      <c r="U33" s="90"/>
      <c r="V33" s="90"/>
      <c r="W33" s="90"/>
      <c r="X33" s="90"/>
      <c r="Y33" s="88"/>
    </row>
    <row r="34" spans="3:25" x14ac:dyDescent="0.4">
      <c r="C34" s="61"/>
      <c r="D34" s="70"/>
      <c r="E34" s="74">
        <v>46113</v>
      </c>
      <c r="F34" s="62">
        <v>46143</v>
      </c>
      <c r="G34" s="62">
        <v>46174</v>
      </c>
      <c r="H34" s="62">
        <v>46204</v>
      </c>
      <c r="I34" s="62">
        <v>46235</v>
      </c>
      <c r="J34" s="62">
        <v>46266</v>
      </c>
      <c r="K34" s="64" t="s">
        <v>5</v>
      </c>
      <c r="L34" s="83">
        <v>46113</v>
      </c>
      <c r="M34" s="62">
        <v>46143</v>
      </c>
      <c r="N34" s="62">
        <v>46174</v>
      </c>
      <c r="O34" s="62">
        <v>46204</v>
      </c>
      <c r="P34" s="62">
        <v>46235</v>
      </c>
      <c r="Q34" s="62">
        <v>46266</v>
      </c>
      <c r="R34" s="64" t="s">
        <v>5</v>
      </c>
      <c r="S34" s="83">
        <v>46113</v>
      </c>
      <c r="T34" s="62">
        <v>46143</v>
      </c>
      <c r="U34" s="62">
        <v>46174</v>
      </c>
      <c r="V34" s="62">
        <v>46204</v>
      </c>
      <c r="W34" s="62">
        <v>46235</v>
      </c>
      <c r="X34" s="62">
        <v>46266</v>
      </c>
      <c r="Y34" s="64" t="s">
        <v>5</v>
      </c>
    </row>
    <row r="35" spans="3:25" x14ac:dyDescent="0.4">
      <c r="C35" s="73" t="s">
        <v>6</v>
      </c>
      <c r="D35" s="71" t="s">
        <v>7</v>
      </c>
      <c r="E35" s="2">
        <v>11600</v>
      </c>
      <c r="F35" s="2">
        <v>10220</v>
      </c>
      <c r="G35" s="2">
        <v>8550</v>
      </c>
      <c r="H35" s="2">
        <v>9970</v>
      </c>
      <c r="I35" s="2">
        <v>11590</v>
      </c>
      <c r="J35" s="2">
        <v>8200</v>
      </c>
      <c r="K35" s="79">
        <f t="shared" ref="K35:K40" si="17">SUM(E35:J35)</f>
        <v>60130</v>
      </c>
      <c r="L35" s="1">
        <v>3490</v>
      </c>
      <c r="M35" s="2">
        <v>3000</v>
      </c>
      <c r="N35" s="2">
        <v>2640</v>
      </c>
      <c r="O35" s="2">
        <v>2990</v>
      </c>
      <c r="P35" s="2">
        <v>3510</v>
      </c>
      <c r="Q35" s="2">
        <v>2800</v>
      </c>
      <c r="R35" s="75">
        <f t="shared" ref="R35:R40" si="18">SUM(L35:Q35)</f>
        <v>18430</v>
      </c>
      <c r="S35" s="84">
        <f t="shared" ref="S35:Y40" si="19">IF(E35=0,"***",L35/E35)</f>
        <v>0.30086206896551726</v>
      </c>
      <c r="T35" s="65">
        <f t="shared" si="19"/>
        <v>0.29354207436399216</v>
      </c>
      <c r="U35" s="65">
        <f t="shared" si="19"/>
        <v>0.30877192982456142</v>
      </c>
      <c r="V35" s="65">
        <f t="shared" si="19"/>
        <v>0.29989969909729186</v>
      </c>
      <c r="W35" s="65">
        <f t="shared" si="19"/>
        <v>0.30284728213977569</v>
      </c>
      <c r="X35" s="65">
        <f t="shared" si="19"/>
        <v>0.34146341463414637</v>
      </c>
      <c r="Y35" s="66">
        <f t="shared" si="19"/>
        <v>0.30650257774821221</v>
      </c>
    </row>
    <row r="36" spans="3:25" x14ac:dyDescent="0.4">
      <c r="C36" s="73" t="s">
        <v>8</v>
      </c>
      <c r="D36" s="60" t="s">
        <v>9</v>
      </c>
      <c r="E36" s="2">
        <v>10750</v>
      </c>
      <c r="F36" s="2">
        <v>7960</v>
      </c>
      <c r="G36" s="2">
        <v>9980</v>
      </c>
      <c r="H36" s="2">
        <v>10050</v>
      </c>
      <c r="I36" s="2">
        <v>9310</v>
      </c>
      <c r="J36" s="2">
        <v>9350</v>
      </c>
      <c r="K36" s="79">
        <f t="shared" si="17"/>
        <v>57400</v>
      </c>
      <c r="L36" s="1">
        <v>2670</v>
      </c>
      <c r="M36" s="2">
        <v>2040</v>
      </c>
      <c r="N36" s="2">
        <v>2110</v>
      </c>
      <c r="O36" s="2">
        <v>2270</v>
      </c>
      <c r="P36" s="2">
        <v>2230</v>
      </c>
      <c r="Q36" s="2">
        <v>2320</v>
      </c>
      <c r="R36" s="75">
        <f t="shared" si="18"/>
        <v>13640</v>
      </c>
      <c r="S36" s="84">
        <f t="shared" si="19"/>
        <v>0.2483720930232558</v>
      </c>
      <c r="T36" s="65">
        <f t="shared" si="19"/>
        <v>0.25628140703517588</v>
      </c>
      <c r="U36" s="65">
        <f t="shared" si="19"/>
        <v>0.21142284569138275</v>
      </c>
      <c r="V36" s="65">
        <f t="shared" si="19"/>
        <v>0.22587064676616916</v>
      </c>
      <c r="W36" s="65">
        <f t="shared" si="19"/>
        <v>0.23952738990332975</v>
      </c>
      <c r="X36" s="65">
        <f t="shared" si="19"/>
        <v>0.24812834224598931</v>
      </c>
      <c r="Y36" s="66">
        <f t="shared" si="19"/>
        <v>0.23763066202090594</v>
      </c>
    </row>
    <row r="37" spans="3:25" x14ac:dyDescent="0.4">
      <c r="C37" s="73" t="s">
        <v>10</v>
      </c>
      <c r="D37" s="71" t="s">
        <v>11</v>
      </c>
      <c r="E37" s="2">
        <v>9800</v>
      </c>
      <c r="F37" s="2">
        <v>7990</v>
      </c>
      <c r="G37" s="2">
        <v>8070</v>
      </c>
      <c r="H37" s="2">
        <v>10030</v>
      </c>
      <c r="I37" s="2">
        <v>9570</v>
      </c>
      <c r="J37" s="2">
        <v>9610</v>
      </c>
      <c r="K37" s="79">
        <f t="shared" si="17"/>
        <v>55070</v>
      </c>
      <c r="L37" s="1">
        <v>2350</v>
      </c>
      <c r="M37" s="2">
        <v>1870</v>
      </c>
      <c r="N37" s="2">
        <v>1840</v>
      </c>
      <c r="O37" s="2">
        <v>2300</v>
      </c>
      <c r="P37" s="2">
        <v>2170</v>
      </c>
      <c r="Q37" s="2">
        <v>2170</v>
      </c>
      <c r="R37" s="75">
        <f t="shared" si="18"/>
        <v>12700</v>
      </c>
      <c r="S37" s="84">
        <f t="shared" si="19"/>
        <v>0.23979591836734693</v>
      </c>
      <c r="T37" s="65">
        <f t="shared" si="19"/>
        <v>0.23404255319148937</v>
      </c>
      <c r="U37" s="65">
        <f t="shared" si="19"/>
        <v>0.22800495662949194</v>
      </c>
      <c r="V37" s="65">
        <f t="shared" si="19"/>
        <v>0.22931206380857427</v>
      </c>
      <c r="W37" s="65">
        <f t="shared" si="19"/>
        <v>0.22675026123301986</v>
      </c>
      <c r="X37" s="65">
        <f t="shared" si="19"/>
        <v>0.22580645161290322</v>
      </c>
      <c r="Y37" s="66">
        <f t="shared" si="19"/>
        <v>0.23061558017069184</v>
      </c>
    </row>
    <row r="38" spans="3:25" x14ac:dyDescent="0.4">
      <c r="C38" s="73" t="s">
        <v>12</v>
      </c>
      <c r="D38" s="71" t="s">
        <v>13</v>
      </c>
      <c r="E38" s="39"/>
      <c r="F38" s="39"/>
      <c r="G38" s="39"/>
      <c r="H38" s="39"/>
      <c r="I38" s="39"/>
      <c r="J38" s="39"/>
      <c r="K38" s="79">
        <f t="shared" si="17"/>
        <v>0</v>
      </c>
      <c r="L38" s="58"/>
      <c r="M38" s="39"/>
      <c r="N38" s="39"/>
      <c r="O38" s="39"/>
      <c r="P38" s="39"/>
      <c r="Q38" s="39"/>
      <c r="R38" s="75">
        <f t="shared" si="18"/>
        <v>0</v>
      </c>
      <c r="S38" s="84" t="str">
        <f t="shared" si="19"/>
        <v>***</v>
      </c>
      <c r="T38" s="65" t="str">
        <f t="shared" si="19"/>
        <v>***</v>
      </c>
      <c r="U38" s="65" t="str">
        <f t="shared" si="19"/>
        <v>***</v>
      </c>
      <c r="V38" s="65" t="str">
        <f t="shared" si="19"/>
        <v>***</v>
      </c>
      <c r="W38" s="65" t="str">
        <f t="shared" si="19"/>
        <v>***</v>
      </c>
      <c r="X38" s="65" t="str">
        <f t="shared" si="19"/>
        <v>***</v>
      </c>
      <c r="Y38" s="66" t="str">
        <f t="shared" si="19"/>
        <v>***</v>
      </c>
    </row>
    <row r="39" spans="3:25" x14ac:dyDescent="0.4">
      <c r="C39" s="73" t="s">
        <v>14</v>
      </c>
      <c r="D39" s="71" t="s">
        <v>15</v>
      </c>
      <c r="E39" s="39"/>
      <c r="F39" s="39"/>
      <c r="G39" s="39"/>
      <c r="H39" s="39"/>
      <c r="I39" s="39"/>
      <c r="J39" s="39"/>
      <c r="K39" s="79">
        <f t="shared" si="17"/>
        <v>0</v>
      </c>
      <c r="L39" s="58"/>
      <c r="M39" s="39"/>
      <c r="N39" s="39"/>
      <c r="O39" s="39"/>
      <c r="P39" s="39"/>
      <c r="Q39" s="39"/>
      <c r="R39" s="75">
        <f t="shared" si="18"/>
        <v>0</v>
      </c>
      <c r="S39" s="84" t="str">
        <f t="shared" si="19"/>
        <v>***</v>
      </c>
      <c r="T39" s="65" t="str">
        <f t="shared" si="19"/>
        <v>***</v>
      </c>
      <c r="U39" s="65" t="str">
        <f t="shared" si="19"/>
        <v>***</v>
      </c>
      <c r="V39" s="65" t="str">
        <f t="shared" si="19"/>
        <v>***</v>
      </c>
      <c r="W39" s="65" t="str">
        <f t="shared" si="19"/>
        <v>***</v>
      </c>
      <c r="X39" s="65" t="str">
        <f t="shared" si="19"/>
        <v>***</v>
      </c>
      <c r="Y39" s="66" t="str">
        <f t="shared" si="19"/>
        <v>***</v>
      </c>
    </row>
    <row r="40" spans="3:25" x14ac:dyDescent="0.4">
      <c r="C40" s="3" t="s">
        <v>5</v>
      </c>
      <c r="D40" s="72"/>
      <c r="E40" s="63">
        <f t="shared" ref="E40:J40" si="20">SUM(E35:E39)</f>
        <v>32150</v>
      </c>
      <c r="F40" s="63">
        <f t="shared" si="20"/>
        <v>26170</v>
      </c>
      <c r="G40" s="63">
        <f t="shared" si="20"/>
        <v>26600</v>
      </c>
      <c r="H40" s="63">
        <f t="shared" si="20"/>
        <v>30050</v>
      </c>
      <c r="I40" s="63">
        <f t="shared" si="20"/>
        <v>30470</v>
      </c>
      <c r="J40" s="63">
        <f t="shared" si="20"/>
        <v>27160</v>
      </c>
      <c r="K40" s="80">
        <f t="shared" si="17"/>
        <v>172600</v>
      </c>
      <c r="L40" s="76">
        <f t="shared" ref="L40:Q40" si="21">SUM(L35:L39)</f>
        <v>8510</v>
      </c>
      <c r="M40" s="63">
        <f t="shared" si="21"/>
        <v>6910</v>
      </c>
      <c r="N40" s="63">
        <f t="shared" si="21"/>
        <v>6590</v>
      </c>
      <c r="O40" s="63">
        <f t="shared" si="21"/>
        <v>7560</v>
      </c>
      <c r="P40" s="63">
        <f t="shared" si="21"/>
        <v>7910</v>
      </c>
      <c r="Q40" s="63">
        <f t="shared" si="21"/>
        <v>7290</v>
      </c>
      <c r="R40" s="77">
        <f t="shared" si="18"/>
        <v>44770</v>
      </c>
      <c r="S40" s="82">
        <f t="shared" si="19"/>
        <v>0.26469673405909799</v>
      </c>
      <c r="T40" s="67">
        <f t="shared" si="19"/>
        <v>0.26404279709591133</v>
      </c>
      <c r="U40" s="67">
        <f t="shared" si="19"/>
        <v>0.24774436090225563</v>
      </c>
      <c r="V40" s="67">
        <f t="shared" si="19"/>
        <v>0.25158069883527456</v>
      </c>
      <c r="W40" s="67">
        <f t="shared" si="19"/>
        <v>0.25959960617000327</v>
      </c>
      <c r="X40" s="67">
        <f t="shared" si="19"/>
        <v>0.26840942562592046</v>
      </c>
      <c r="Y40" s="68">
        <f t="shared" si="19"/>
        <v>0.25938586326767094</v>
      </c>
    </row>
    <row r="41" spans="3:25" hidden="1" x14ac:dyDescent="0.4">
      <c r="C41" s="6"/>
      <c r="E41" s="5"/>
      <c r="F41" s="5"/>
      <c r="G41" s="5"/>
      <c r="H41" s="5"/>
      <c r="I41" s="5"/>
      <c r="J41" s="5"/>
      <c r="K41" s="6"/>
      <c r="L41" s="5"/>
      <c r="M41" s="5"/>
      <c r="N41" s="5"/>
      <c r="O41" s="5"/>
      <c r="P41" s="5"/>
      <c r="Q41" s="5"/>
      <c r="R41" s="6"/>
      <c r="S41" s="7"/>
      <c r="T41" s="7"/>
      <c r="U41" s="7"/>
      <c r="V41" s="7"/>
      <c r="W41" s="7"/>
      <c r="X41" s="7"/>
      <c r="Y41" s="7"/>
    </row>
    <row r="42" spans="3:25" hidden="1" x14ac:dyDescent="0.4">
      <c r="C42" s="6" t="s">
        <v>19</v>
      </c>
    </row>
    <row r="43" spans="3:25" hidden="1" x14ac:dyDescent="0.4">
      <c r="C43" s="87"/>
      <c r="D43" s="88"/>
      <c r="E43" s="87" t="s">
        <v>2</v>
      </c>
      <c r="F43" s="90"/>
      <c r="G43" s="90"/>
      <c r="H43" s="90"/>
      <c r="I43" s="90"/>
      <c r="J43" s="90"/>
      <c r="K43" s="88"/>
      <c r="L43" s="89" t="s">
        <v>3</v>
      </c>
      <c r="M43" s="90"/>
      <c r="N43" s="90"/>
      <c r="O43" s="90"/>
      <c r="P43" s="90"/>
      <c r="Q43" s="90"/>
      <c r="R43" s="88"/>
      <c r="S43" s="89" t="s">
        <v>4</v>
      </c>
      <c r="T43" s="90"/>
      <c r="U43" s="90"/>
      <c r="V43" s="90"/>
      <c r="W43" s="90"/>
      <c r="X43" s="90"/>
      <c r="Y43" s="88"/>
    </row>
    <row r="44" spans="3:25" hidden="1" x14ac:dyDescent="0.4">
      <c r="C44" s="61"/>
      <c r="D44" s="70"/>
      <c r="E44" s="74">
        <v>46113</v>
      </c>
      <c r="F44" s="62">
        <v>46143</v>
      </c>
      <c r="G44" s="62">
        <v>46174</v>
      </c>
      <c r="H44" s="62">
        <v>46204</v>
      </c>
      <c r="I44" s="62">
        <v>46235</v>
      </c>
      <c r="J44" s="62">
        <v>46266</v>
      </c>
      <c r="K44" s="64" t="s">
        <v>5</v>
      </c>
      <c r="L44" s="83">
        <v>46113</v>
      </c>
      <c r="M44" s="62">
        <v>46143</v>
      </c>
      <c r="N44" s="62">
        <v>46174</v>
      </c>
      <c r="O44" s="62">
        <v>46204</v>
      </c>
      <c r="P44" s="62">
        <v>46235</v>
      </c>
      <c r="Q44" s="62">
        <v>46266</v>
      </c>
      <c r="R44" s="64" t="s">
        <v>5</v>
      </c>
      <c r="S44" s="83">
        <v>46113</v>
      </c>
      <c r="T44" s="62">
        <v>46143</v>
      </c>
      <c r="U44" s="62">
        <v>46174</v>
      </c>
      <c r="V44" s="62">
        <v>46204</v>
      </c>
      <c r="W44" s="62">
        <v>46235</v>
      </c>
      <c r="X44" s="62">
        <v>46266</v>
      </c>
      <c r="Y44" s="64" t="s">
        <v>5</v>
      </c>
    </row>
    <row r="45" spans="3:25" hidden="1" x14ac:dyDescent="0.4">
      <c r="C45" s="73" t="s">
        <v>6</v>
      </c>
      <c r="D45" s="71" t="s">
        <v>7</v>
      </c>
      <c r="E45" s="2">
        <f t="shared" ref="E45:J49" si="22">E35-E15</f>
        <v>-129.78900000000067</v>
      </c>
      <c r="F45" s="2">
        <f t="shared" si="22"/>
        <v>2575.9859999999999</v>
      </c>
      <c r="G45" s="2">
        <f t="shared" si="22"/>
        <v>204.19000000000051</v>
      </c>
      <c r="H45" s="2">
        <f t="shared" si="22"/>
        <v>60.957999999998719</v>
      </c>
      <c r="I45" s="2">
        <f t="shared" si="22"/>
        <v>1308.5</v>
      </c>
      <c r="J45" s="2">
        <f t="shared" si="22"/>
        <v>818.90599999999722</v>
      </c>
      <c r="K45" s="79">
        <f t="shared" ref="K45:K50" si="23">SUM(E45:J45)</f>
        <v>4838.7509999999957</v>
      </c>
      <c r="L45" s="1">
        <f t="shared" ref="L45:Q49" si="24">L35-L15</f>
        <v>-175.15000000000009</v>
      </c>
      <c r="M45" s="2">
        <f t="shared" si="24"/>
        <v>538.07099999999991</v>
      </c>
      <c r="N45" s="2">
        <f t="shared" si="24"/>
        <v>-25.119000000001051</v>
      </c>
      <c r="O45" s="2">
        <f t="shared" si="24"/>
        <v>-121.60300000000007</v>
      </c>
      <c r="P45" s="2">
        <f t="shared" si="24"/>
        <v>290.85399999999981</v>
      </c>
      <c r="Q45" s="2">
        <f t="shared" si="24"/>
        <v>352.68399999999883</v>
      </c>
      <c r="R45" s="75">
        <f t="shared" ref="R45:R50" si="25">SUM(L45:Q45)</f>
        <v>859.73699999999735</v>
      </c>
      <c r="S45" s="84">
        <f t="shared" ref="S45:Y50" si="26">S35-S15</f>
        <v>-1.1603057218764479E-2</v>
      </c>
      <c r="T45" s="65">
        <f t="shared" si="26"/>
        <v>-2.8530726653902383E-2</v>
      </c>
      <c r="U45" s="65">
        <f t="shared" si="26"/>
        <v>-1.0564240061884722E-2</v>
      </c>
      <c r="V45" s="65">
        <f t="shared" si="26"/>
        <v>-1.4116832470542795E-2</v>
      </c>
      <c r="W45" s="65">
        <f t="shared" si="26"/>
        <v>-1.0253529998531019E-2</v>
      </c>
      <c r="X45" s="65">
        <f t="shared" si="26"/>
        <v>9.8979312518726603E-3</v>
      </c>
      <c r="Y45" s="66">
        <f t="shared" si="26"/>
        <v>-1.1273983964112333E-2</v>
      </c>
    </row>
    <row r="46" spans="3:25" hidden="1" x14ac:dyDescent="0.4">
      <c r="C46" s="73" t="s">
        <v>8</v>
      </c>
      <c r="D46" s="60" t="s">
        <v>9</v>
      </c>
      <c r="E46" s="2">
        <f t="shared" si="22"/>
        <v>1280.5370000000003</v>
      </c>
      <c r="F46" s="2">
        <f t="shared" si="22"/>
        <v>-876.19600000000173</v>
      </c>
      <c r="G46" s="2">
        <f t="shared" si="22"/>
        <v>1597.2510000000038</v>
      </c>
      <c r="H46" s="2">
        <f t="shared" si="22"/>
        <v>884.98999999999978</v>
      </c>
      <c r="I46" s="2">
        <f t="shared" si="22"/>
        <v>2144.6989999999996</v>
      </c>
      <c r="J46" s="2">
        <f t="shared" si="22"/>
        <v>2023.052999999999</v>
      </c>
      <c r="K46" s="79">
        <f t="shared" si="23"/>
        <v>7054.3340000000007</v>
      </c>
      <c r="L46" s="1">
        <f t="shared" si="24"/>
        <v>103.41919999999982</v>
      </c>
      <c r="M46" s="2">
        <f t="shared" si="24"/>
        <v>-413.71599999999989</v>
      </c>
      <c r="N46" s="2">
        <f t="shared" si="24"/>
        <v>179.69420000000105</v>
      </c>
      <c r="O46" s="2">
        <f t="shared" si="24"/>
        <v>238.15599999999995</v>
      </c>
      <c r="P46" s="2">
        <f t="shared" si="24"/>
        <v>349.25099999999998</v>
      </c>
      <c r="Q46" s="2">
        <f t="shared" si="24"/>
        <v>340.87699999999995</v>
      </c>
      <c r="R46" s="75">
        <f t="shared" si="25"/>
        <v>797.68140000000085</v>
      </c>
      <c r="S46" s="84">
        <f t="shared" si="26"/>
        <v>-2.2665536037652978E-2</v>
      </c>
      <c r="T46" s="65">
        <f t="shared" si="26"/>
        <v>-2.1407770524941527E-2</v>
      </c>
      <c r="U46" s="65">
        <f t="shared" si="26"/>
        <v>-1.8848369634281881E-2</v>
      </c>
      <c r="V46" s="65">
        <f t="shared" si="26"/>
        <v>4.1748712023672585E-3</v>
      </c>
      <c r="W46" s="65">
        <f t="shared" si="26"/>
        <v>-2.2952720841494495E-2</v>
      </c>
      <c r="X46" s="65">
        <f t="shared" si="26"/>
        <v>-2.1987300736005772E-2</v>
      </c>
      <c r="Y46" s="66">
        <f t="shared" si="26"/>
        <v>-1.7452240249172246E-2</v>
      </c>
    </row>
    <row r="47" spans="3:25" hidden="1" x14ac:dyDescent="0.4">
      <c r="C47" s="73" t="s">
        <v>10</v>
      </c>
      <c r="D47" s="71" t="s">
        <v>11</v>
      </c>
      <c r="E47" s="2">
        <f t="shared" si="22"/>
        <v>377.19099999999889</v>
      </c>
      <c r="F47" s="2">
        <f t="shared" si="22"/>
        <v>638.75199999999859</v>
      </c>
      <c r="G47" s="2">
        <f t="shared" si="22"/>
        <v>678.61399999999867</v>
      </c>
      <c r="H47" s="2">
        <f t="shared" si="22"/>
        <v>430.0630000000001</v>
      </c>
      <c r="I47" s="2">
        <f t="shared" si="22"/>
        <v>1286.9169999999976</v>
      </c>
      <c r="J47" s="2">
        <f t="shared" si="22"/>
        <v>512.19200000000092</v>
      </c>
      <c r="K47" s="79">
        <f t="shared" si="23"/>
        <v>3923.7289999999948</v>
      </c>
      <c r="L47" s="1">
        <f t="shared" si="24"/>
        <v>108.17700000000104</v>
      </c>
      <c r="M47" s="2">
        <f t="shared" si="24"/>
        <v>78.908000000001039</v>
      </c>
      <c r="N47" s="2">
        <f t="shared" si="24"/>
        <v>129.279</v>
      </c>
      <c r="O47" s="2">
        <f t="shared" si="24"/>
        <v>-0.39800000000013824</v>
      </c>
      <c r="P47" s="2">
        <f t="shared" si="24"/>
        <v>160.35500000000002</v>
      </c>
      <c r="Q47" s="2">
        <f t="shared" si="24"/>
        <v>325.16799999999989</v>
      </c>
      <c r="R47" s="75">
        <f t="shared" si="25"/>
        <v>801.48900000000185</v>
      </c>
      <c r="S47" s="84">
        <f t="shared" si="26"/>
        <v>1.88140688780844E-3</v>
      </c>
      <c r="T47" s="65">
        <f t="shared" si="26"/>
        <v>-9.6020633416487589E-3</v>
      </c>
      <c r="U47" s="65">
        <f t="shared" si="26"/>
        <v>-3.442974786889208E-3</v>
      </c>
      <c r="V47" s="65">
        <f t="shared" si="26"/>
        <v>-1.0314300406107563E-2</v>
      </c>
      <c r="W47" s="65">
        <f t="shared" si="26"/>
        <v>-1.5870149548810941E-2</v>
      </c>
      <c r="X47" s="65">
        <f t="shared" si="26"/>
        <v>2.3028815505392458E-2</v>
      </c>
      <c r="Y47" s="66">
        <f t="shared" si="26"/>
        <v>-2.0213407105977854E-3</v>
      </c>
    </row>
    <row r="48" spans="3:25" hidden="1" x14ac:dyDescent="0.4">
      <c r="C48" s="73" t="s">
        <v>12</v>
      </c>
      <c r="D48" s="71" t="s">
        <v>13</v>
      </c>
      <c r="E48" s="2">
        <f t="shared" si="22"/>
        <v>-9358.2080000000005</v>
      </c>
      <c r="F48" s="2">
        <f t="shared" si="22"/>
        <v>-2209.46</v>
      </c>
      <c r="G48" s="2">
        <f t="shared" si="22"/>
        <v>-11193.008</v>
      </c>
      <c r="H48" s="2">
        <f t="shared" si="22"/>
        <v>0</v>
      </c>
      <c r="I48" s="2">
        <f t="shared" si="22"/>
        <v>-6139.9040000000005</v>
      </c>
      <c r="J48" s="2">
        <f t="shared" si="22"/>
        <v>-9994.7119999999995</v>
      </c>
      <c r="K48" s="79">
        <f t="shared" si="23"/>
        <v>-38895.292000000001</v>
      </c>
      <c r="L48" s="1">
        <f t="shared" si="24"/>
        <v>-173.928</v>
      </c>
      <c r="M48" s="2">
        <f t="shared" si="24"/>
        <v>-19.309999999999999</v>
      </c>
      <c r="N48" s="2">
        <f t="shared" si="24"/>
        <v>-196.12799999999999</v>
      </c>
      <c r="O48" s="2">
        <f t="shared" si="24"/>
        <v>0</v>
      </c>
      <c r="P48" s="2">
        <f t="shared" si="24"/>
        <v>-115.904</v>
      </c>
      <c r="Q48" s="2">
        <f t="shared" si="24"/>
        <v>-197.75200000000001</v>
      </c>
      <c r="R48" s="75">
        <f t="shared" si="25"/>
        <v>-703.02199999999993</v>
      </c>
      <c r="S48" s="84" t="e">
        <f t="shared" si="26"/>
        <v>#VALUE!</v>
      </c>
      <c r="T48" s="65" t="e">
        <f t="shared" si="26"/>
        <v>#VALUE!</v>
      </c>
      <c r="U48" s="65" t="e">
        <f t="shared" si="26"/>
        <v>#VALUE!</v>
      </c>
      <c r="V48" s="65" t="e">
        <f t="shared" si="26"/>
        <v>#VALUE!</v>
      </c>
      <c r="W48" s="65" t="e">
        <f t="shared" si="26"/>
        <v>#VALUE!</v>
      </c>
      <c r="X48" s="65" t="e">
        <f t="shared" si="26"/>
        <v>#VALUE!</v>
      </c>
      <c r="Y48" s="66" t="e">
        <f t="shared" si="26"/>
        <v>#VALUE!</v>
      </c>
    </row>
    <row r="49" spans="3:25" hidden="1" x14ac:dyDescent="0.4">
      <c r="C49" s="73" t="s">
        <v>14</v>
      </c>
      <c r="D49" s="71" t="s">
        <v>15</v>
      </c>
      <c r="E49" s="2">
        <f t="shared" si="22"/>
        <v>-6.0500000000000007</v>
      </c>
      <c r="F49" s="2">
        <f t="shared" si="22"/>
        <v>0</v>
      </c>
      <c r="G49" s="2">
        <f t="shared" si="22"/>
        <v>-11.3</v>
      </c>
      <c r="H49" s="2">
        <f t="shared" si="22"/>
        <v>-12.3</v>
      </c>
      <c r="I49" s="2">
        <f t="shared" si="22"/>
        <v>-1.1000000000000001</v>
      </c>
      <c r="J49" s="2">
        <f t="shared" si="22"/>
        <v>0</v>
      </c>
      <c r="K49" s="79">
        <f t="shared" si="23"/>
        <v>-30.750000000000004</v>
      </c>
      <c r="L49" s="1">
        <f t="shared" si="24"/>
        <v>-0.30100000000000016</v>
      </c>
      <c r="M49" s="2">
        <f t="shared" si="24"/>
        <v>0</v>
      </c>
      <c r="N49" s="2">
        <f t="shared" si="24"/>
        <v>-2.4990000000000001</v>
      </c>
      <c r="O49" s="2">
        <f t="shared" si="24"/>
        <v>-4.8</v>
      </c>
      <c r="P49" s="2">
        <f t="shared" si="24"/>
        <v>-0.375</v>
      </c>
      <c r="Q49" s="2">
        <f t="shared" si="24"/>
        <v>0</v>
      </c>
      <c r="R49" s="75">
        <f t="shared" si="25"/>
        <v>-7.9749999999999996</v>
      </c>
      <c r="S49" s="84" t="e">
        <f t="shared" si="26"/>
        <v>#VALUE!</v>
      </c>
      <c r="T49" s="65" t="e">
        <f t="shared" si="26"/>
        <v>#VALUE!</v>
      </c>
      <c r="U49" s="65" t="e">
        <f t="shared" si="26"/>
        <v>#VALUE!</v>
      </c>
      <c r="V49" s="65" t="e">
        <f t="shared" si="26"/>
        <v>#VALUE!</v>
      </c>
      <c r="W49" s="65" t="e">
        <f t="shared" si="26"/>
        <v>#VALUE!</v>
      </c>
      <c r="X49" s="65" t="e">
        <f t="shared" si="26"/>
        <v>#VALUE!</v>
      </c>
      <c r="Y49" s="66" t="e">
        <f t="shared" si="26"/>
        <v>#VALUE!</v>
      </c>
    </row>
    <row r="50" spans="3:25" hidden="1" x14ac:dyDescent="0.4">
      <c r="C50" s="3" t="s">
        <v>5</v>
      </c>
      <c r="D50" s="72"/>
      <c r="E50" s="63">
        <f t="shared" ref="E50:J50" si="27">SUM(E45:E49)</f>
        <v>-7836.3190000000022</v>
      </c>
      <c r="F50" s="63">
        <f t="shared" si="27"/>
        <v>129.0819999999967</v>
      </c>
      <c r="G50" s="63">
        <f t="shared" si="27"/>
        <v>-8724.252999999997</v>
      </c>
      <c r="H50" s="63">
        <f t="shared" si="27"/>
        <v>1363.7109999999986</v>
      </c>
      <c r="I50" s="63">
        <f t="shared" si="27"/>
        <v>-1400.8880000000031</v>
      </c>
      <c r="J50" s="63">
        <f t="shared" si="27"/>
        <v>-6640.5610000000024</v>
      </c>
      <c r="K50" s="80">
        <f t="shared" si="23"/>
        <v>-23109.228000000006</v>
      </c>
      <c r="L50" s="76">
        <f t="shared" ref="L50:Q50" si="28">SUM(L45:L49)</f>
        <v>-137.78279999999921</v>
      </c>
      <c r="M50" s="63">
        <f t="shared" si="28"/>
        <v>183.95300000000105</v>
      </c>
      <c r="N50" s="63">
        <f t="shared" si="28"/>
        <v>85.227200000000011</v>
      </c>
      <c r="O50" s="63">
        <f t="shared" si="28"/>
        <v>111.35499999999975</v>
      </c>
      <c r="P50" s="63">
        <f t="shared" si="28"/>
        <v>684.18099999999981</v>
      </c>
      <c r="Q50" s="63">
        <f t="shared" si="28"/>
        <v>820.97699999999872</v>
      </c>
      <c r="R50" s="77">
        <f t="shared" si="25"/>
        <v>1747.9104000000002</v>
      </c>
      <c r="S50" s="82">
        <f t="shared" si="26"/>
        <v>4.8428194811962033E-2</v>
      </c>
      <c r="T50" s="67">
        <f t="shared" si="26"/>
        <v>5.7551668364865805E-3</v>
      </c>
      <c r="U50" s="67">
        <f t="shared" si="26"/>
        <v>6.3599694063865564E-2</v>
      </c>
      <c r="V50" s="67">
        <f t="shared" si="26"/>
        <v>-8.0780182612449902E-3</v>
      </c>
      <c r="W50" s="67">
        <f t="shared" si="26"/>
        <v>3.2877997409054976E-2</v>
      </c>
      <c r="X50" s="67">
        <f t="shared" si="26"/>
        <v>7.7021389196584217E-2</v>
      </c>
      <c r="Y50" s="68">
        <f t="shared" si="26"/>
        <v>3.9559286669044735E-2</v>
      </c>
    </row>
    <row r="51" spans="3:25" hidden="1" x14ac:dyDescent="0.4"/>
    <row r="52" spans="3:25" hidden="1" x14ac:dyDescent="0.4">
      <c r="C52" s="6" t="s">
        <v>20</v>
      </c>
    </row>
    <row r="53" spans="3:25" hidden="1" x14ac:dyDescent="0.4">
      <c r="C53" s="87"/>
      <c r="D53" s="88"/>
      <c r="E53" s="87" t="s">
        <v>2</v>
      </c>
      <c r="F53" s="90"/>
      <c r="G53" s="90"/>
      <c r="H53" s="90"/>
      <c r="I53" s="90"/>
      <c r="J53" s="90"/>
      <c r="K53" s="88"/>
      <c r="L53" s="89" t="s">
        <v>3</v>
      </c>
      <c r="M53" s="90"/>
      <c r="N53" s="90"/>
      <c r="O53" s="90"/>
      <c r="P53" s="90"/>
      <c r="Q53" s="90"/>
      <c r="R53" s="88"/>
      <c r="S53" s="89" t="s">
        <v>4</v>
      </c>
      <c r="T53" s="90"/>
      <c r="U53" s="90"/>
      <c r="V53" s="90"/>
      <c r="W53" s="90"/>
      <c r="X53" s="90"/>
      <c r="Y53" s="88"/>
    </row>
    <row r="54" spans="3:25" hidden="1" x14ac:dyDescent="0.4">
      <c r="C54" s="61"/>
      <c r="D54" s="70"/>
      <c r="E54" s="74">
        <v>46113</v>
      </c>
      <c r="F54" s="62">
        <v>46143</v>
      </c>
      <c r="G54" s="62">
        <v>46174</v>
      </c>
      <c r="H54" s="62">
        <v>46204</v>
      </c>
      <c r="I54" s="62">
        <v>46235</v>
      </c>
      <c r="J54" s="62">
        <v>46266</v>
      </c>
      <c r="K54" s="64" t="s">
        <v>5</v>
      </c>
      <c r="L54" s="83">
        <v>46113</v>
      </c>
      <c r="M54" s="62">
        <v>46143</v>
      </c>
      <c r="N54" s="62">
        <v>46174</v>
      </c>
      <c r="O54" s="62">
        <v>46204</v>
      </c>
      <c r="P54" s="62">
        <v>46235</v>
      </c>
      <c r="Q54" s="62">
        <v>46266</v>
      </c>
      <c r="R54" s="64" t="s">
        <v>5</v>
      </c>
      <c r="S54" s="83">
        <v>46113</v>
      </c>
      <c r="T54" s="62">
        <v>46143</v>
      </c>
      <c r="U54" s="62">
        <v>46174</v>
      </c>
      <c r="V54" s="62">
        <v>46204</v>
      </c>
      <c r="W54" s="62">
        <v>46235</v>
      </c>
      <c r="X54" s="62">
        <v>46266</v>
      </c>
      <c r="Y54" s="64" t="s">
        <v>5</v>
      </c>
    </row>
    <row r="55" spans="3:25" hidden="1" x14ac:dyDescent="0.4">
      <c r="C55" s="73" t="s">
        <v>6</v>
      </c>
      <c r="D55" s="71" t="s">
        <v>7</v>
      </c>
      <c r="E55" s="2">
        <f t="shared" ref="E55:J59" si="29">E35-E25</f>
        <v>1140.2124999999978</v>
      </c>
      <c r="F55" s="2">
        <f t="shared" si="29"/>
        <v>2344.8119999999999</v>
      </c>
      <c r="G55" s="2">
        <f t="shared" si="29"/>
        <v>740.23400000000038</v>
      </c>
      <c r="H55" s="2">
        <f t="shared" si="29"/>
        <v>849.8739999999998</v>
      </c>
      <c r="I55" s="2">
        <f t="shared" si="29"/>
        <v>1080.2819999999992</v>
      </c>
      <c r="J55" s="2">
        <f t="shared" si="29"/>
        <v>226.84599999999864</v>
      </c>
      <c r="K55" s="79">
        <f t="shared" ref="K55:K60" si="30">SUM(E55:J55)</f>
        <v>6382.2604999999958</v>
      </c>
      <c r="L55" s="1">
        <f t="shared" ref="L55:Q59" si="31">L35-L25</f>
        <v>334.90949999999975</v>
      </c>
      <c r="M55" s="2">
        <f t="shared" si="31"/>
        <v>567.63900000000012</v>
      </c>
      <c r="N55" s="2">
        <f t="shared" si="31"/>
        <v>240.20449999999937</v>
      </c>
      <c r="O55" s="2">
        <f t="shared" si="31"/>
        <v>259.57650000000012</v>
      </c>
      <c r="P55" s="2">
        <f t="shared" si="31"/>
        <v>335.04050000000052</v>
      </c>
      <c r="Q55" s="2">
        <f t="shared" si="31"/>
        <v>157.26399999999921</v>
      </c>
      <c r="R55" s="75">
        <f t="shared" ref="R55:R60" si="32">SUM(L55:Q55)</f>
        <v>1894.6339999999991</v>
      </c>
      <c r="S55" s="84">
        <f t="shared" ref="S55:Y60" si="33">IF(E55=0,"***",L55/E55)</f>
        <v>0.29372551169189987</v>
      </c>
      <c r="T55" s="65">
        <f t="shared" si="33"/>
        <v>0.24208294737488556</v>
      </c>
      <c r="U55" s="65">
        <f t="shared" si="33"/>
        <v>0.32449806412566734</v>
      </c>
      <c r="V55" s="65">
        <f t="shared" si="33"/>
        <v>0.3054293930629719</v>
      </c>
      <c r="W55" s="65">
        <f t="shared" si="33"/>
        <v>0.31014170374032035</v>
      </c>
      <c r="X55" s="65">
        <f t="shared" si="33"/>
        <v>0.69326327111785158</v>
      </c>
      <c r="Y55" s="66">
        <f t="shared" si="33"/>
        <v>0.29685939644738729</v>
      </c>
    </row>
    <row r="56" spans="3:25" hidden="1" x14ac:dyDescent="0.4">
      <c r="C56" s="73" t="s">
        <v>8</v>
      </c>
      <c r="D56" s="60" t="s">
        <v>9</v>
      </c>
      <c r="E56" s="2">
        <f t="shared" si="29"/>
        <v>1522.3330000000005</v>
      </c>
      <c r="F56" s="2">
        <f t="shared" si="29"/>
        <v>747.76899999999932</v>
      </c>
      <c r="G56" s="2">
        <f t="shared" si="29"/>
        <v>1034.7000000000025</v>
      </c>
      <c r="H56" s="2">
        <f t="shared" si="29"/>
        <v>278.60050000000047</v>
      </c>
      <c r="I56" s="2">
        <f t="shared" si="29"/>
        <v>887.61150000000089</v>
      </c>
      <c r="J56" s="2">
        <f t="shared" si="29"/>
        <v>855.27900000000045</v>
      </c>
      <c r="K56" s="79">
        <f t="shared" si="30"/>
        <v>5326.2930000000042</v>
      </c>
      <c r="L56" s="1">
        <f t="shared" si="31"/>
        <v>359.19930000000022</v>
      </c>
      <c r="M56" s="2">
        <f t="shared" si="31"/>
        <v>183.61700000000019</v>
      </c>
      <c r="N56" s="2">
        <f t="shared" si="31"/>
        <v>207.11860000000047</v>
      </c>
      <c r="O56" s="2">
        <f t="shared" si="31"/>
        <v>134.45609999999988</v>
      </c>
      <c r="P56" s="2">
        <f t="shared" si="31"/>
        <v>220.51400000000012</v>
      </c>
      <c r="Q56" s="2">
        <f t="shared" si="31"/>
        <v>211.64449999999943</v>
      </c>
      <c r="R56" s="75">
        <f t="shared" si="32"/>
        <v>1316.5495000000003</v>
      </c>
      <c r="S56" s="84">
        <f t="shared" si="33"/>
        <v>0.23595317187501033</v>
      </c>
      <c r="T56" s="65">
        <f t="shared" si="33"/>
        <v>0.24555310530391117</v>
      </c>
      <c r="U56" s="65">
        <f t="shared" si="33"/>
        <v>0.20017261041847875</v>
      </c>
      <c r="V56" s="65">
        <f t="shared" si="33"/>
        <v>0.48261255812534309</v>
      </c>
      <c r="W56" s="65">
        <f t="shared" si="33"/>
        <v>0.24843526700589155</v>
      </c>
      <c r="X56" s="65">
        <f t="shared" si="33"/>
        <v>0.24745667787938125</v>
      </c>
      <c r="Y56" s="66">
        <f t="shared" si="33"/>
        <v>0.24717932340560297</v>
      </c>
    </row>
    <row r="57" spans="3:25" hidden="1" x14ac:dyDescent="0.4">
      <c r="C57" s="73" t="s">
        <v>10</v>
      </c>
      <c r="D57" s="71" t="s">
        <v>11</v>
      </c>
      <c r="E57" s="2">
        <f t="shared" si="29"/>
        <v>877.49599999999919</v>
      </c>
      <c r="F57" s="2">
        <f t="shared" si="29"/>
        <v>705.32049999999981</v>
      </c>
      <c r="G57" s="2">
        <f t="shared" si="29"/>
        <v>760.1364999999987</v>
      </c>
      <c r="H57" s="2">
        <f t="shared" si="29"/>
        <v>903.74499999999898</v>
      </c>
      <c r="I57" s="2">
        <f t="shared" si="29"/>
        <v>863.24599999999919</v>
      </c>
      <c r="J57" s="2">
        <f t="shared" si="29"/>
        <v>864.77649999999994</v>
      </c>
      <c r="K57" s="79">
        <f t="shared" si="30"/>
        <v>4974.7204999999958</v>
      </c>
      <c r="L57" s="1">
        <f t="shared" si="31"/>
        <v>213.02000000000044</v>
      </c>
      <c r="M57" s="2">
        <f t="shared" si="31"/>
        <v>162.62850000000049</v>
      </c>
      <c r="N57" s="2">
        <f t="shared" si="31"/>
        <v>180.75849999999991</v>
      </c>
      <c r="O57" s="2">
        <f t="shared" si="31"/>
        <v>212.07949999999983</v>
      </c>
      <c r="P57" s="2">
        <f t="shared" si="31"/>
        <v>194.47450000000003</v>
      </c>
      <c r="Q57" s="2">
        <f t="shared" si="31"/>
        <v>195.10500000000002</v>
      </c>
      <c r="R57" s="75">
        <f t="shared" si="32"/>
        <v>1158.0660000000007</v>
      </c>
      <c r="S57" s="84">
        <f t="shared" si="33"/>
        <v>0.24275894135130033</v>
      </c>
      <c r="T57" s="65">
        <f t="shared" si="33"/>
        <v>0.23057390221892107</v>
      </c>
      <c r="U57" s="65">
        <f t="shared" si="33"/>
        <v>0.23779742191040718</v>
      </c>
      <c r="V57" s="65">
        <f t="shared" si="33"/>
        <v>0.23466741171458771</v>
      </c>
      <c r="W57" s="65">
        <f t="shared" si="33"/>
        <v>0.22528282783818313</v>
      </c>
      <c r="X57" s="65">
        <f t="shared" si="33"/>
        <v>0.22561320757444267</v>
      </c>
      <c r="Y57" s="66">
        <f t="shared" si="33"/>
        <v>0.23279016378910167</v>
      </c>
    </row>
    <row r="58" spans="3:25" hidden="1" x14ac:dyDescent="0.4">
      <c r="C58" s="73" t="s">
        <v>12</v>
      </c>
      <c r="D58" s="71" t="s">
        <v>13</v>
      </c>
      <c r="E58" s="2">
        <f t="shared" si="29"/>
        <v>-8936.3290000000015</v>
      </c>
      <c r="F58" s="2">
        <f t="shared" si="29"/>
        <v>-2696.21</v>
      </c>
      <c r="G58" s="2">
        <f t="shared" si="29"/>
        <v>-10954.129000000001</v>
      </c>
      <c r="H58" s="2">
        <f t="shared" si="29"/>
        <v>0</v>
      </c>
      <c r="I58" s="2">
        <f t="shared" si="29"/>
        <v>-3069.9520000000002</v>
      </c>
      <c r="J58" s="2">
        <f t="shared" si="29"/>
        <v>-17053.089</v>
      </c>
      <c r="K58" s="79">
        <f t="shared" si="30"/>
        <v>-42709.709000000003</v>
      </c>
      <c r="L58" s="1">
        <f t="shared" si="31"/>
        <v>-164.114</v>
      </c>
      <c r="M58" s="2">
        <f t="shared" si="31"/>
        <v>-38.435000000000002</v>
      </c>
      <c r="N58" s="2">
        <f t="shared" si="31"/>
        <v>-189.934</v>
      </c>
      <c r="O58" s="2">
        <f t="shared" si="31"/>
        <v>0</v>
      </c>
      <c r="P58" s="2">
        <f t="shared" si="31"/>
        <v>-57.951999999999998</v>
      </c>
      <c r="Q58" s="2">
        <f t="shared" si="31"/>
        <v>-420.36400000000003</v>
      </c>
      <c r="R58" s="75">
        <f t="shared" si="32"/>
        <v>-870.79899999999998</v>
      </c>
      <c r="S58" s="84">
        <f t="shared" si="33"/>
        <v>1.8364811770023238E-2</v>
      </c>
      <c r="T58" s="65">
        <f t="shared" si="33"/>
        <v>1.4255195255562438E-2</v>
      </c>
      <c r="U58" s="65">
        <f t="shared" si="33"/>
        <v>1.7339032615007546E-2</v>
      </c>
      <c r="V58" s="65" t="str">
        <f t="shared" si="33"/>
        <v>***</v>
      </c>
      <c r="W58" s="65">
        <f t="shared" si="33"/>
        <v>1.8877168112074714E-2</v>
      </c>
      <c r="X58" s="65">
        <f t="shared" si="33"/>
        <v>2.4650314086790963E-2</v>
      </c>
      <c r="Y58" s="66">
        <f t="shared" si="33"/>
        <v>2.0388783262372496E-2</v>
      </c>
    </row>
    <row r="59" spans="3:25" hidden="1" x14ac:dyDescent="0.4">
      <c r="C59" s="73" t="s">
        <v>14</v>
      </c>
      <c r="D59" s="71" t="s">
        <v>15</v>
      </c>
      <c r="E59" s="2">
        <f t="shared" si="29"/>
        <v>-35.119999999999997</v>
      </c>
      <c r="F59" s="2">
        <f t="shared" si="29"/>
        <v>-4.6100000000000003</v>
      </c>
      <c r="G59" s="2">
        <f t="shared" si="29"/>
        <v>-12.67</v>
      </c>
      <c r="H59" s="2">
        <f t="shared" si="29"/>
        <v>-44.994999999999997</v>
      </c>
      <c r="I59" s="2">
        <f t="shared" si="29"/>
        <v>-15.735000000000001</v>
      </c>
      <c r="J59" s="2">
        <f t="shared" si="29"/>
        <v>-15.722</v>
      </c>
      <c r="K59" s="79">
        <f t="shared" si="30"/>
        <v>-128.852</v>
      </c>
      <c r="L59" s="1">
        <f t="shared" si="31"/>
        <v>-9.6814999999999998</v>
      </c>
      <c r="M59" s="2">
        <f t="shared" si="31"/>
        <v>-2.145</v>
      </c>
      <c r="N59" s="2">
        <f t="shared" si="31"/>
        <v>-3.9394999999999998</v>
      </c>
      <c r="O59" s="2">
        <f t="shared" si="31"/>
        <v>-10.002000000000001</v>
      </c>
      <c r="P59" s="2">
        <f t="shared" si="31"/>
        <v>-5.2255000000000003</v>
      </c>
      <c r="Q59" s="2">
        <f t="shared" si="31"/>
        <v>-6.657</v>
      </c>
      <c r="R59" s="75">
        <f t="shared" si="32"/>
        <v>-37.650500000000001</v>
      </c>
      <c r="S59" s="84">
        <f t="shared" si="33"/>
        <v>0.27566913439635538</v>
      </c>
      <c r="T59" s="65">
        <f t="shared" si="33"/>
        <v>0.46529284164858997</v>
      </c>
      <c r="U59" s="65">
        <f t="shared" si="33"/>
        <v>0.31093133385951066</v>
      </c>
      <c r="V59" s="65">
        <f t="shared" si="33"/>
        <v>0.22229136570730085</v>
      </c>
      <c r="W59" s="65">
        <f t="shared" si="33"/>
        <v>0.33209405783285667</v>
      </c>
      <c r="X59" s="65">
        <f t="shared" si="33"/>
        <v>0.42341941228851293</v>
      </c>
      <c r="Y59" s="66">
        <f t="shared" si="33"/>
        <v>0.29219957781020084</v>
      </c>
    </row>
    <row r="60" spans="3:25" hidden="1" x14ac:dyDescent="0.4">
      <c r="C60" s="3" t="s">
        <v>5</v>
      </c>
      <c r="D60" s="72"/>
      <c r="E60" s="63">
        <f t="shared" ref="E60:J60" si="34">SUM(E55:E59)</f>
        <v>-5431.4075000000039</v>
      </c>
      <c r="F60" s="63">
        <f t="shared" si="34"/>
        <v>1097.0814999999991</v>
      </c>
      <c r="G60" s="63">
        <f t="shared" si="34"/>
        <v>-8431.7284999999993</v>
      </c>
      <c r="H60" s="63">
        <f t="shared" si="34"/>
        <v>1987.2244999999994</v>
      </c>
      <c r="I60" s="63">
        <f t="shared" si="34"/>
        <v>-254.54750000000092</v>
      </c>
      <c r="J60" s="63">
        <f t="shared" si="34"/>
        <v>-15121.9095</v>
      </c>
      <c r="K60" s="80">
        <f t="shared" si="30"/>
        <v>-26155.287000000004</v>
      </c>
      <c r="L60" s="76">
        <f t="shared" ref="L60:Q60" si="35">SUM(L55:L59)</f>
        <v>733.33330000000035</v>
      </c>
      <c r="M60" s="63">
        <f t="shared" si="35"/>
        <v>873.30450000000087</v>
      </c>
      <c r="N60" s="63">
        <f t="shared" si="35"/>
        <v>434.20809999999977</v>
      </c>
      <c r="O60" s="63">
        <f t="shared" si="35"/>
        <v>596.11009999999987</v>
      </c>
      <c r="P60" s="63">
        <f t="shared" si="35"/>
        <v>686.85150000000067</v>
      </c>
      <c r="Q60" s="63">
        <f t="shared" si="35"/>
        <v>136.99249999999861</v>
      </c>
      <c r="R60" s="77">
        <f t="shared" si="32"/>
        <v>3460.8</v>
      </c>
      <c r="S60" s="82">
        <f t="shared" si="33"/>
        <v>-0.13501717556637019</v>
      </c>
      <c r="T60" s="67">
        <f t="shared" si="33"/>
        <v>0.7960251813561724</v>
      </c>
      <c r="U60" s="67">
        <f t="shared" si="33"/>
        <v>-5.1496926164071796E-2</v>
      </c>
      <c r="V60" s="67">
        <f t="shared" si="33"/>
        <v>0.29997119097515157</v>
      </c>
      <c r="W60" s="67">
        <f t="shared" si="33"/>
        <v>-2.6983234956147601</v>
      </c>
      <c r="X60" s="67">
        <f t="shared" si="33"/>
        <v>-9.0592064447944636E-3</v>
      </c>
      <c r="Y60" s="68">
        <f t="shared" si="33"/>
        <v>-0.1323174163602181</v>
      </c>
    </row>
    <row r="61" spans="3:25" x14ac:dyDescent="0.4">
      <c r="C61" s="6"/>
      <c r="E61" s="5"/>
      <c r="F61" s="5"/>
      <c r="G61" s="5"/>
      <c r="H61" s="5"/>
      <c r="I61" s="5"/>
      <c r="J61" s="5"/>
      <c r="K61" s="6"/>
      <c r="L61" s="5"/>
      <c r="M61" s="5"/>
      <c r="N61" s="5"/>
      <c r="O61" s="5"/>
      <c r="P61" s="5"/>
      <c r="Q61" s="5"/>
      <c r="R61" s="6"/>
      <c r="S61" s="7"/>
      <c r="T61" s="7"/>
      <c r="U61" s="7"/>
      <c r="V61" s="7"/>
      <c r="W61" s="7"/>
      <c r="X61" s="7"/>
      <c r="Y61" s="7"/>
    </row>
    <row r="62" spans="3:25" x14ac:dyDescent="0.4">
      <c r="C62" s="6" t="s">
        <v>21</v>
      </c>
    </row>
    <row r="63" spans="3:25" x14ac:dyDescent="0.4">
      <c r="C63" s="87"/>
      <c r="D63" s="88"/>
      <c r="E63" s="87" t="s">
        <v>2</v>
      </c>
      <c r="F63" s="90"/>
      <c r="G63" s="90"/>
      <c r="H63" s="90"/>
      <c r="I63" s="90"/>
      <c r="J63" s="90"/>
      <c r="K63" s="88"/>
      <c r="L63" s="89" t="s">
        <v>3</v>
      </c>
      <c r="M63" s="90"/>
      <c r="N63" s="90"/>
      <c r="O63" s="90"/>
      <c r="P63" s="90"/>
      <c r="Q63" s="90"/>
      <c r="R63" s="88"/>
      <c r="S63" s="89" t="s">
        <v>4</v>
      </c>
      <c r="T63" s="90"/>
      <c r="U63" s="90"/>
      <c r="V63" s="90"/>
      <c r="W63" s="90"/>
      <c r="X63" s="90"/>
      <c r="Y63" s="88"/>
    </row>
    <row r="64" spans="3:25" x14ac:dyDescent="0.4">
      <c r="C64" s="61"/>
      <c r="D64" s="70"/>
      <c r="E64" s="74">
        <v>46113</v>
      </c>
      <c r="F64" s="62">
        <v>46143</v>
      </c>
      <c r="G64" s="62">
        <v>46174</v>
      </c>
      <c r="H64" s="62">
        <v>46204</v>
      </c>
      <c r="I64" s="62">
        <v>46235</v>
      </c>
      <c r="J64" s="62">
        <v>46266</v>
      </c>
      <c r="K64" s="64" t="s">
        <v>5</v>
      </c>
      <c r="L64" s="83">
        <v>46113</v>
      </c>
      <c r="M64" s="62">
        <v>46143</v>
      </c>
      <c r="N64" s="62">
        <v>46174</v>
      </c>
      <c r="O64" s="62">
        <v>46204</v>
      </c>
      <c r="P64" s="62">
        <v>46235</v>
      </c>
      <c r="Q64" s="62">
        <v>46266</v>
      </c>
      <c r="R64" s="64" t="s">
        <v>5</v>
      </c>
      <c r="S64" s="83">
        <v>46113</v>
      </c>
      <c r="T64" s="62">
        <v>46143</v>
      </c>
      <c r="U64" s="62">
        <v>46174</v>
      </c>
      <c r="V64" s="62">
        <v>46204</v>
      </c>
      <c r="W64" s="62">
        <v>46235</v>
      </c>
      <c r="X64" s="62">
        <v>46266</v>
      </c>
      <c r="Y64" s="64" t="s">
        <v>5</v>
      </c>
    </row>
    <row r="65" spans="3:25" x14ac:dyDescent="0.4">
      <c r="C65" s="73" t="s">
        <v>6</v>
      </c>
      <c r="D65" s="71" t="s">
        <v>7</v>
      </c>
      <c r="E65" s="81">
        <f>全体!E65-機械!E65</f>
        <v>14627.132</v>
      </c>
      <c r="F65" s="81">
        <f>全体!F65-機械!F65</f>
        <v>10710.898999999999</v>
      </c>
      <c r="G65" s="81">
        <f>全体!G65-機械!G65</f>
        <v>8808.3389999999999</v>
      </c>
      <c r="H65" s="39">
        <f>全体!H65-機械!H65</f>
        <v>10398.705</v>
      </c>
      <c r="I65" s="39">
        <f>全体!I65-機械!I65</f>
        <v>11184.057000000001</v>
      </c>
      <c r="J65" s="39">
        <f>全体!J65-機械!J65</f>
        <v>10743.395999999999</v>
      </c>
      <c r="K65" s="75">
        <f t="shared" ref="K65:K70" si="36">SUM(E65:J65)</f>
        <v>66472.527999999991</v>
      </c>
      <c r="L65" s="115">
        <f>全体!L65-機械!L65</f>
        <v>4448.9870000000001</v>
      </c>
      <c r="M65" s="39">
        <f>全体!M65-機械!M65</f>
        <v>3543.3650000000002</v>
      </c>
      <c r="N65" s="81">
        <f>全体!N65-機械!N65</f>
        <v>2978.8110000000001</v>
      </c>
      <c r="O65" s="39">
        <f>全体!O65-機械!O65</f>
        <v>3509.2150000000001</v>
      </c>
      <c r="P65" s="39">
        <f>全体!P65-機械!P65</f>
        <v>3824.692</v>
      </c>
      <c r="Q65" s="39">
        <f>全体!Q65-機械!Q65</f>
        <v>3609.7910000000002</v>
      </c>
      <c r="R65" s="75">
        <f t="shared" ref="R65:R70" si="37">SUM(L65:Q65)</f>
        <v>21914.861000000001</v>
      </c>
      <c r="S65" s="84">
        <f t="shared" ref="S65:Y70" si="38">IF(E65=0,"***",L65/E65)</f>
        <v>0.30415989956199208</v>
      </c>
      <c r="T65" s="65">
        <f t="shared" si="38"/>
        <v>0.3308186362321221</v>
      </c>
      <c r="U65" s="65">
        <f t="shared" si="38"/>
        <v>0.33818078527631601</v>
      </c>
      <c r="V65" s="65">
        <f t="shared" si="38"/>
        <v>0.33746654030477835</v>
      </c>
      <c r="W65" s="65">
        <f t="shared" si="38"/>
        <v>0.34197715551700064</v>
      </c>
      <c r="X65" s="65">
        <f t="shared" si="38"/>
        <v>0.33600092559187061</v>
      </c>
      <c r="Y65" s="66">
        <f t="shared" si="38"/>
        <v>0.32968297820717762</v>
      </c>
    </row>
    <row r="66" spans="3:25" x14ac:dyDescent="0.4">
      <c r="C66" s="73" t="s">
        <v>8</v>
      </c>
      <c r="D66" s="60" t="s">
        <v>9</v>
      </c>
      <c r="E66" s="81">
        <f>全体!E66-機械!E66</f>
        <v>14067.127999999999</v>
      </c>
      <c r="F66" s="81">
        <f>全体!F66-機械!F66</f>
        <v>9737.7029999999995</v>
      </c>
      <c r="G66" s="81">
        <f>全体!G66-機械!G66</f>
        <v>11119.465</v>
      </c>
      <c r="H66" s="39">
        <f>全体!H66-機械!H66</f>
        <v>16851.797999999999</v>
      </c>
      <c r="I66" s="39">
        <f>全体!I66-機械!I66</f>
        <v>9674.5439999999999</v>
      </c>
      <c r="J66" s="39">
        <f>全体!J66-機械!J66</f>
        <v>10229.839</v>
      </c>
      <c r="K66" s="75">
        <f t="shared" si="36"/>
        <v>71680.476999999999</v>
      </c>
      <c r="L66" s="115">
        <f>全体!L66-機械!L66</f>
        <v>3307.8038999999999</v>
      </c>
      <c r="M66" s="39">
        <f>全体!M66-機械!M66</f>
        <v>2376.386</v>
      </c>
      <c r="N66" s="81">
        <f>全体!N66-機械!N66</f>
        <v>2252.1179999999999</v>
      </c>
      <c r="O66" s="39">
        <f>全体!O66-機械!O66</f>
        <v>3479.6050999999998</v>
      </c>
      <c r="P66" s="39">
        <f>全体!P66-機械!P66</f>
        <v>2471.9029999999998</v>
      </c>
      <c r="Q66" s="39">
        <f>全体!Q66-機械!Q66</f>
        <v>2704.7195999999999</v>
      </c>
      <c r="R66" s="75">
        <f t="shared" si="37"/>
        <v>16592.535599999999</v>
      </c>
      <c r="S66" s="84">
        <f t="shared" si="38"/>
        <v>0.23514422417994635</v>
      </c>
      <c r="T66" s="65">
        <f t="shared" si="38"/>
        <v>0.2440396877990631</v>
      </c>
      <c r="U66" s="65">
        <f t="shared" si="38"/>
        <v>0.2025383415479072</v>
      </c>
      <c r="V66" s="65">
        <f t="shared" si="38"/>
        <v>0.20648272071621082</v>
      </c>
      <c r="W66" s="65">
        <f t="shared" si="38"/>
        <v>0.25550589257746925</v>
      </c>
      <c r="X66" s="65">
        <f t="shared" si="38"/>
        <v>0.26439512879919225</v>
      </c>
      <c r="Y66" s="66">
        <f t="shared" si="38"/>
        <v>0.23147914598838398</v>
      </c>
    </row>
    <row r="67" spans="3:25" x14ac:dyDescent="0.4">
      <c r="C67" s="73" t="s">
        <v>10</v>
      </c>
      <c r="D67" s="71" t="s">
        <v>11</v>
      </c>
      <c r="E67" s="81">
        <f>全体!E67-機械!E67</f>
        <v>10521.23</v>
      </c>
      <c r="F67" s="81">
        <f>全体!F67-機械!F67</f>
        <v>8723.6720000000005</v>
      </c>
      <c r="G67" s="81">
        <f>全体!G67-機械!G67</f>
        <v>8649.7389999999996</v>
      </c>
      <c r="H67" s="39">
        <f>全体!H67-機械!H67</f>
        <v>11359.198</v>
      </c>
      <c r="I67" s="39">
        <f>全体!I67-機械!I67</f>
        <v>10792.558999999999</v>
      </c>
      <c r="J67" s="39">
        <f>全体!J67-機械!J67</f>
        <v>11228.92</v>
      </c>
      <c r="K67" s="75">
        <f t="shared" si="36"/>
        <v>61275.318000000007</v>
      </c>
      <c r="L67" s="115">
        <f>全体!L67-機械!L67</f>
        <v>2579.8029999999999</v>
      </c>
      <c r="M67" s="39">
        <f>全体!M67-機械!M67</f>
        <v>2281.1640000000002</v>
      </c>
      <c r="N67" s="81">
        <f>全体!N67-機械!N67</f>
        <v>2181.163</v>
      </c>
      <c r="O67" s="39">
        <f>全体!O67-機械!O67</f>
        <v>2935.663</v>
      </c>
      <c r="P67" s="39">
        <f>全体!P67-機械!P67</f>
        <v>2924.3220000000001</v>
      </c>
      <c r="Q67" s="39">
        <f>全体!Q67-機械!Q67</f>
        <v>2868.6579999999999</v>
      </c>
      <c r="R67" s="75">
        <f t="shared" si="37"/>
        <v>15770.773000000001</v>
      </c>
      <c r="S67" s="84">
        <f t="shared" si="38"/>
        <v>0.24519975326078794</v>
      </c>
      <c r="T67" s="65">
        <f t="shared" si="38"/>
        <v>0.26149126193648731</v>
      </c>
      <c r="U67" s="65">
        <f t="shared" si="38"/>
        <v>0.25216518093782947</v>
      </c>
      <c r="V67" s="65">
        <f t="shared" si="38"/>
        <v>0.25843928418185863</v>
      </c>
      <c r="W67" s="65">
        <f t="shared" si="38"/>
        <v>0.27095724007624145</v>
      </c>
      <c r="X67" s="65">
        <f t="shared" si="38"/>
        <v>0.2554705172002294</v>
      </c>
      <c r="Y67" s="66">
        <f t="shared" si="38"/>
        <v>0.25737562063733394</v>
      </c>
    </row>
    <row r="68" spans="3:25" x14ac:dyDescent="0.4">
      <c r="C68" s="73" t="s">
        <v>12</v>
      </c>
      <c r="D68" s="71" t="s">
        <v>13</v>
      </c>
      <c r="E68" s="81">
        <f>全体!E68-機械!E68</f>
        <v>0</v>
      </c>
      <c r="F68" s="81"/>
      <c r="G68" s="81">
        <f>全体!G68-機械!G68</f>
        <v>0</v>
      </c>
      <c r="H68" s="39">
        <f>全体!H68-機械!H68</f>
        <v>0</v>
      </c>
      <c r="I68" s="39">
        <f>全体!I68-機械!I68</f>
        <v>0</v>
      </c>
      <c r="J68" s="39">
        <f>全体!J68-機械!J68</f>
        <v>5999.68</v>
      </c>
      <c r="K68" s="75">
        <f t="shared" si="36"/>
        <v>5999.68</v>
      </c>
      <c r="L68" s="115">
        <f>全体!L68-機械!L68</f>
        <v>0</v>
      </c>
      <c r="M68" s="39"/>
      <c r="N68" s="81">
        <f>全体!N68-機械!N68</f>
        <v>0</v>
      </c>
      <c r="O68" s="39">
        <f>全体!O68-機械!O68</f>
        <v>0</v>
      </c>
      <c r="P68" s="39">
        <f>全体!P68-機械!P68</f>
        <v>0</v>
      </c>
      <c r="Q68" s="39">
        <f>全体!Q68-機械!Q68</f>
        <v>235.12</v>
      </c>
      <c r="R68" s="75">
        <f t="shared" si="37"/>
        <v>235.12</v>
      </c>
      <c r="S68" s="84" t="str">
        <f t="shared" si="38"/>
        <v>***</v>
      </c>
      <c r="T68" s="65" t="str">
        <f t="shared" si="38"/>
        <v>***</v>
      </c>
      <c r="U68" s="65" t="str">
        <f t="shared" si="38"/>
        <v>***</v>
      </c>
      <c r="V68" s="65" t="str">
        <f t="shared" si="38"/>
        <v>***</v>
      </c>
      <c r="W68" s="65" t="str">
        <f t="shared" si="38"/>
        <v>***</v>
      </c>
      <c r="X68" s="65">
        <f t="shared" si="38"/>
        <v>3.9188756733692459E-2</v>
      </c>
      <c r="Y68" s="66">
        <f t="shared" si="38"/>
        <v>3.9188756733692459E-2</v>
      </c>
    </row>
    <row r="69" spans="3:25" x14ac:dyDescent="0.4">
      <c r="C69" s="73" t="s">
        <v>14</v>
      </c>
      <c r="D69" s="71" t="s">
        <v>15</v>
      </c>
      <c r="E69" s="81">
        <f>全体!E69-機械!E69</f>
        <v>0.80000000000000071</v>
      </c>
      <c r="F69" s="81">
        <f>全体!F69-機械!F69</f>
        <v>7.17</v>
      </c>
      <c r="G69" s="81">
        <f>全体!G69-機械!G69</f>
        <v>0</v>
      </c>
      <c r="H69" s="39">
        <f>全体!H69-機械!H69</f>
        <v>0.45</v>
      </c>
      <c r="I69" s="39">
        <f>全体!I69-機械!I69</f>
        <v>10.79</v>
      </c>
      <c r="J69" s="39">
        <f>全体!J69-機械!J69</f>
        <v>0</v>
      </c>
      <c r="K69" s="75">
        <f t="shared" si="36"/>
        <v>19.21</v>
      </c>
      <c r="L69" s="115">
        <f>全体!L69-機械!L69</f>
        <v>0</v>
      </c>
      <c r="M69" s="39">
        <f>全体!M69-機械!M69</f>
        <v>2.7509999999999999</v>
      </c>
      <c r="N69" s="81">
        <f>全体!N69-機械!N69</f>
        <v>0</v>
      </c>
      <c r="O69" s="39">
        <f>全体!O69-機械!O69</f>
        <v>5.3999999999999999E-2</v>
      </c>
      <c r="P69" s="39">
        <f>全体!P69-機械!P69</f>
        <v>4.266</v>
      </c>
      <c r="Q69" s="39">
        <f>全体!Q69-機械!Q69</f>
        <v>0</v>
      </c>
      <c r="R69" s="75">
        <f t="shared" si="37"/>
        <v>7.0709999999999997</v>
      </c>
      <c r="S69" s="84">
        <f t="shared" si="38"/>
        <v>0</v>
      </c>
      <c r="T69" s="65">
        <f t="shared" si="38"/>
        <v>0.38368200836820082</v>
      </c>
      <c r="U69" s="65" t="str">
        <f t="shared" si="38"/>
        <v>***</v>
      </c>
      <c r="V69" s="65">
        <f t="shared" si="38"/>
        <v>0.12</v>
      </c>
      <c r="W69" s="65">
        <f t="shared" si="38"/>
        <v>0.39536607970342913</v>
      </c>
      <c r="X69" s="65" t="str">
        <f t="shared" si="38"/>
        <v>***</v>
      </c>
      <c r="Y69" s="66">
        <f t="shared" si="38"/>
        <v>0.36808953669963557</v>
      </c>
    </row>
    <row r="70" spans="3:25" x14ac:dyDescent="0.4">
      <c r="C70" s="3" t="s">
        <v>5</v>
      </c>
      <c r="D70" s="72"/>
      <c r="E70" s="63">
        <f t="shared" ref="E70:J70" si="39">SUM(E65:E69)</f>
        <v>39216.29</v>
      </c>
      <c r="F70" s="63">
        <f t="shared" si="39"/>
        <v>29179.443999999996</v>
      </c>
      <c r="G70" s="63">
        <f t="shared" si="39"/>
        <v>28577.542999999998</v>
      </c>
      <c r="H70" s="63">
        <f t="shared" si="39"/>
        <v>38610.150999999998</v>
      </c>
      <c r="I70" s="63">
        <f t="shared" si="39"/>
        <v>31661.950000000004</v>
      </c>
      <c r="J70" s="63">
        <f t="shared" si="39"/>
        <v>38201.834999999999</v>
      </c>
      <c r="K70" s="77">
        <f t="shared" si="36"/>
        <v>205447.21300000002</v>
      </c>
      <c r="L70" s="116">
        <f t="shared" ref="L70:Q70" si="40">SUM(L65:L69)</f>
        <v>10336.5939</v>
      </c>
      <c r="M70" s="63">
        <f t="shared" si="40"/>
        <v>8203.6660000000011</v>
      </c>
      <c r="N70" s="63">
        <f t="shared" si="40"/>
        <v>7412.0920000000006</v>
      </c>
      <c r="O70" s="63">
        <f t="shared" si="40"/>
        <v>9924.5370999999996</v>
      </c>
      <c r="P70" s="63">
        <f t="shared" si="40"/>
        <v>9225.1829999999991</v>
      </c>
      <c r="Q70" s="63">
        <f t="shared" si="40"/>
        <v>9418.2885999999999</v>
      </c>
      <c r="R70" s="77">
        <f t="shared" si="37"/>
        <v>54520.3606</v>
      </c>
      <c r="S70" s="82">
        <f t="shared" si="38"/>
        <v>0.26357908664996099</v>
      </c>
      <c r="T70" s="67">
        <f t="shared" si="38"/>
        <v>0.28114538440143005</v>
      </c>
      <c r="U70" s="67">
        <f t="shared" si="38"/>
        <v>0.2593677140123628</v>
      </c>
      <c r="V70" s="67">
        <f t="shared" si="38"/>
        <v>0.25704476265840037</v>
      </c>
      <c r="W70" s="67">
        <f t="shared" si="38"/>
        <v>0.29136496646605775</v>
      </c>
      <c r="X70" s="67">
        <f t="shared" si="38"/>
        <v>0.24654021462581574</v>
      </c>
      <c r="Y70" s="68">
        <f t="shared" si="38"/>
        <v>0.26537405790946406</v>
      </c>
    </row>
    <row r="71" spans="3:25" x14ac:dyDescent="0.4">
      <c r="C71" s="6"/>
      <c r="E71" s="5"/>
      <c r="F71" s="5"/>
      <c r="G71" s="5"/>
      <c r="H71" s="5"/>
      <c r="I71" s="5"/>
      <c r="J71" s="5"/>
      <c r="K71" s="6"/>
      <c r="L71" s="5"/>
      <c r="M71" s="5"/>
      <c r="N71" s="5"/>
      <c r="O71" s="5"/>
      <c r="P71" s="5"/>
      <c r="Q71" s="5"/>
      <c r="R71" s="6"/>
      <c r="S71" s="7"/>
      <c r="T71" s="7"/>
      <c r="U71" s="7"/>
      <c r="V71" s="7"/>
      <c r="W71" s="7"/>
      <c r="X71" s="7"/>
      <c r="Y71" s="7"/>
    </row>
    <row r="72" spans="3:25" x14ac:dyDescent="0.4">
      <c r="C72" s="6" t="s">
        <v>22</v>
      </c>
    </row>
    <row r="73" spans="3:25" x14ac:dyDescent="0.4">
      <c r="C73" s="87"/>
      <c r="D73" s="88"/>
      <c r="E73" s="87" t="s">
        <v>2</v>
      </c>
      <c r="F73" s="90"/>
      <c r="G73" s="90"/>
      <c r="H73" s="90"/>
      <c r="I73" s="90"/>
      <c r="J73" s="90"/>
      <c r="K73" s="88"/>
      <c r="L73" s="89" t="s">
        <v>3</v>
      </c>
      <c r="M73" s="90"/>
      <c r="N73" s="90"/>
      <c r="O73" s="90"/>
      <c r="P73" s="90"/>
      <c r="Q73" s="90"/>
      <c r="R73" s="88"/>
      <c r="S73" s="89" t="s">
        <v>4</v>
      </c>
      <c r="T73" s="90"/>
      <c r="U73" s="90"/>
      <c r="V73" s="90"/>
      <c r="W73" s="90"/>
      <c r="X73" s="90"/>
      <c r="Y73" s="88"/>
    </row>
    <row r="74" spans="3:25" x14ac:dyDescent="0.4">
      <c r="C74" s="61"/>
      <c r="D74" s="70"/>
      <c r="E74" s="74">
        <v>46113</v>
      </c>
      <c r="F74" s="62">
        <v>46143</v>
      </c>
      <c r="G74" s="62">
        <v>46174</v>
      </c>
      <c r="H74" s="62">
        <v>46204</v>
      </c>
      <c r="I74" s="62">
        <v>46235</v>
      </c>
      <c r="J74" s="62">
        <v>46266</v>
      </c>
      <c r="K74" s="64" t="s">
        <v>5</v>
      </c>
      <c r="L74" s="83">
        <v>46113</v>
      </c>
      <c r="M74" s="62">
        <v>46143</v>
      </c>
      <c r="N74" s="62">
        <v>46174</v>
      </c>
      <c r="O74" s="62">
        <v>46204</v>
      </c>
      <c r="P74" s="62">
        <v>46235</v>
      </c>
      <c r="Q74" s="62">
        <v>46266</v>
      </c>
      <c r="R74" s="64" t="s">
        <v>5</v>
      </c>
      <c r="S74" s="83">
        <v>46113</v>
      </c>
      <c r="T74" s="62">
        <v>46143</v>
      </c>
      <c r="U74" s="62">
        <v>46174</v>
      </c>
      <c r="V74" s="62">
        <v>46204</v>
      </c>
      <c r="W74" s="62">
        <v>46235</v>
      </c>
      <c r="X74" s="62">
        <v>46266</v>
      </c>
      <c r="Y74" s="64" t="s">
        <v>5</v>
      </c>
    </row>
    <row r="75" spans="3:25" x14ac:dyDescent="0.4">
      <c r="C75" s="73" t="s">
        <v>6</v>
      </c>
      <c r="D75" s="71" t="s">
        <v>7</v>
      </c>
      <c r="E75" s="39">
        <f t="shared" ref="E75:J79" si="41">E65-E35</f>
        <v>3027.1319999999996</v>
      </c>
      <c r="F75" s="39">
        <f t="shared" si="41"/>
        <v>490.89899999999943</v>
      </c>
      <c r="G75" s="39">
        <f t="shared" si="41"/>
        <v>258.33899999999994</v>
      </c>
      <c r="H75" s="39">
        <f t="shared" si="41"/>
        <v>428.70499999999993</v>
      </c>
      <c r="I75" s="39">
        <f t="shared" si="41"/>
        <v>-405.9429999999993</v>
      </c>
      <c r="J75" s="39">
        <f t="shared" si="41"/>
        <v>2543.3959999999988</v>
      </c>
      <c r="K75" s="79">
        <f t="shared" ref="K75:K80" si="42">SUM(E75:J75)</f>
        <v>6342.5279999999984</v>
      </c>
      <c r="L75" s="58">
        <f t="shared" ref="L75:Q79" si="43">L65-L35</f>
        <v>958.98700000000008</v>
      </c>
      <c r="M75" s="39">
        <f t="shared" si="43"/>
        <v>543.36500000000024</v>
      </c>
      <c r="N75" s="39">
        <f t="shared" si="43"/>
        <v>338.81100000000015</v>
      </c>
      <c r="O75" s="39">
        <f t="shared" si="43"/>
        <v>519.21500000000015</v>
      </c>
      <c r="P75" s="39">
        <f t="shared" si="43"/>
        <v>314.69200000000001</v>
      </c>
      <c r="Q75" s="39">
        <f t="shared" si="43"/>
        <v>809.79100000000017</v>
      </c>
      <c r="R75" s="75">
        <f t="shared" ref="R75:R80" si="44">SUM(L75:Q75)</f>
        <v>3484.8610000000008</v>
      </c>
      <c r="S75" s="84">
        <f t="shared" ref="S75:Y80" si="45">S65-S35</f>
        <v>3.2978305964748156E-3</v>
      </c>
      <c r="T75" s="65">
        <f t="shared" si="45"/>
        <v>3.7276561868129943E-2</v>
      </c>
      <c r="U75" s="65">
        <f t="shared" si="45"/>
        <v>2.940885545175459E-2</v>
      </c>
      <c r="V75" s="65">
        <f t="shared" si="45"/>
        <v>3.756684120748649E-2</v>
      </c>
      <c r="W75" s="65">
        <f t="shared" si="45"/>
        <v>3.9129873377224955E-2</v>
      </c>
      <c r="X75" s="65">
        <f t="shared" si="45"/>
        <v>-5.4624890422757533E-3</v>
      </c>
      <c r="Y75" s="66">
        <f t="shared" si="45"/>
        <v>2.3180400458965411E-2</v>
      </c>
    </row>
    <row r="76" spans="3:25" x14ac:dyDescent="0.4">
      <c r="C76" s="73" t="s">
        <v>8</v>
      </c>
      <c r="D76" s="60" t="s">
        <v>9</v>
      </c>
      <c r="E76" s="39">
        <f t="shared" si="41"/>
        <v>3317.1279999999988</v>
      </c>
      <c r="F76" s="39">
        <f t="shared" si="41"/>
        <v>1777.7029999999995</v>
      </c>
      <c r="G76" s="39">
        <f t="shared" si="41"/>
        <v>1139.4650000000001</v>
      </c>
      <c r="H76" s="39">
        <f t="shared" si="41"/>
        <v>6801.7979999999989</v>
      </c>
      <c r="I76" s="39">
        <f t="shared" si="41"/>
        <v>364.54399999999987</v>
      </c>
      <c r="J76" s="39">
        <f t="shared" si="41"/>
        <v>879.83899999999994</v>
      </c>
      <c r="K76" s="79">
        <f t="shared" si="42"/>
        <v>14280.476999999997</v>
      </c>
      <c r="L76" s="58">
        <f t="shared" si="43"/>
        <v>637.80389999999989</v>
      </c>
      <c r="M76" s="39">
        <f t="shared" si="43"/>
        <v>336.38599999999997</v>
      </c>
      <c r="N76" s="39">
        <f t="shared" si="43"/>
        <v>142.11799999999994</v>
      </c>
      <c r="O76" s="39">
        <f t="shared" si="43"/>
        <v>1209.6050999999998</v>
      </c>
      <c r="P76" s="39">
        <f t="shared" si="43"/>
        <v>241.90299999999979</v>
      </c>
      <c r="Q76" s="39">
        <f t="shared" si="43"/>
        <v>384.7195999999999</v>
      </c>
      <c r="R76" s="75">
        <f t="shared" si="44"/>
        <v>2952.5355999999992</v>
      </c>
      <c r="S76" s="84">
        <f t="shared" si="45"/>
        <v>-1.3227868843309454E-2</v>
      </c>
      <c r="T76" s="65">
        <f t="shared" si="45"/>
        <v>-1.224171923611278E-2</v>
      </c>
      <c r="U76" s="65">
        <f t="shared" si="45"/>
        <v>-8.8845041434755523E-3</v>
      </c>
      <c r="V76" s="65">
        <f t="shared" si="45"/>
        <v>-1.9387926049958343E-2</v>
      </c>
      <c r="W76" s="65">
        <f t="shared" si="45"/>
        <v>1.59785026741395E-2</v>
      </c>
      <c r="X76" s="65">
        <f t="shared" si="45"/>
        <v>1.6266786553202933E-2</v>
      </c>
      <c r="Y76" s="66">
        <f t="shared" si="45"/>
        <v>-6.1515160325219531E-3</v>
      </c>
    </row>
    <row r="77" spans="3:25" x14ac:dyDescent="0.4">
      <c r="C77" s="73" t="s">
        <v>10</v>
      </c>
      <c r="D77" s="71" t="s">
        <v>11</v>
      </c>
      <c r="E77" s="39">
        <f t="shared" si="41"/>
        <v>721.22999999999956</v>
      </c>
      <c r="F77" s="39">
        <f t="shared" si="41"/>
        <v>733.67200000000048</v>
      </c>
      <c r="G77" s="39">
        <f t="shared" si="41"/>
        <v>579.73899999999958</v>
      </c>
      <c r="H77" s="39">
        <f t="shared" si="41"/>
        <v>1329.1980000000003</v>
      </c>
      <c r="I77" s="39">
        <f t="shared" si="41"/>
        <v>1222.5589999999993</v>
      </c>
      <c r="J77" s="39">
        <f t="shared" si="41"/>
        <v>1618.92</v>
      </c>
      <c r="K77" s="79">
        <f t="shared" si="42"/>
        <v>6205.3179999999993</v>
      </c>
      <c r="L77" s="58">
        <f t="shared" si="43"/>
        <v>229.80299999999988</v>
      </c>
      <c r="M77" s="39">
        <f t="shared" si="43"/>
        <v>411.16400000000021</v>
      </c>
      <c r="N77" s="39">
        <f t="shared" si="43"/>
        <v>341.16300000000001</v>
      </c>
      <c r="O77" s="39">
        <f t="shared" si="43"/>
        <v>635.66300000000001</v>
      </c>
      <c r="P77" s="39">
        <f t="shared" si="43"/>
        <v>754.32200000000012</v>
      </c>
      <c r="Q77" s="39">
        <f t="shared" si="43"/>
        <v>698.6579999999999</v>
      </c>
      <c r="R77" s="75">
        <f t="shared" si="44"/>
        <v>3070.7730000000001</v>
      </c>
      <c r="S77" s="84">
        <f t="shared" si="45"/>
        <v>5.4038348934410119E-3</v>
      </c>
      <c r="T77" s="65">
        <f t="shared" si="45"/>
        <v>2.7448708744997941E-2</v>
      </c>
      <c r="U77" s="65">
        <f t="shared" si="45"/>
        <v>2.416022430833753E-2</v>
      </c>
      <c r="V77" s="65">
        <f t="shared" si="45"/>
        <v>2.9127220373284357E-2</v>
      </c>
      <c r="W77" s="65">
        <f t="shared" si="45"/>
        <v>4.4206978843221584E-2</v>
      </c>
      <c r="X77" s="65">
        <f t="shared" si="45"/>
        <v>2.9664065587326177E-2</v>
      </c>
      <c r="Y77" s="66">
        <f t="shared" si="45"/>
        <v>2.6760040466642099E-2</v>
      </c>
    </row>
    <row r="78" spans="3:25" x14ac:dyDescent="0.4">
      <c r="C78" s="73" t="s">
        <v>12</v>
      </c>
      <c r="D78" s="71" t="s">
        <v>13</v>
      </c>
      <c r="E78" s="39">
        <f t="shared" si="41"/>
        <v>0</v>
      </c>
      <c r="F78" s="39">
        <f t="shared" si="41"/>
        <v>0</v>
      </c>
      <c r="G78" s="39">
        <f t="shared" si="41"/>
        <v>0</v>
      </c>
      <c r="H78" s="39">
        <f t="shared" si="41"/>
        <v>0</v>
      </c>
      <c r="I78" s="39">
        <f t="shared" si="41"/>
        <v>0</v>
      </c>
      <c r="J78" s="39">
        <f t="shared" si="41"/>
        <v>5999.68</v>
      </c>
      <c r="K78" s="79">
        <f t="shared" si="42"/>
        <v>5999.68</v>
      </c>
      <c r="L78" s="58">
        <f t="shared" si="43"/>
        <v>0</v>
      </c>
      <c r="M78" s="39">
        <f t="shared" si="43"/>
        <v>0</v>
      </c>
      <c r="N78" s="39">
        <f t="shared" si="43"/>
        <v>0</v>
      </c>
      <c r="O78" s="39">
        <f t="shared" si="43"/>
        <v>0</v>
      </c>
      <c r="P78" s="39">
        <f t="shared" si="43"/>
        <v>0</v>
      </c>
      <c r="Q78" s="39">
        <f t="shared" si="43"/>
        <v>235.12</v>
      </c>
      <c r="R78" s="75">
        <f t="shared" si="44"/>
        <v>235.12</v>
      </c>
      <c r="S78" s="84" t="e">
        <f t="shared" si="45"/>
        <v>#VALUE!</v>
      </c>
      <c r="T78" s="65" t="e">
        <f t="shared" si="45"/>
        <v>#VALUE!</v>
      </c>
      <c r="U78" s="65" t="e">
        <f t="shared" si="45"/>
        <v>#VALUE!</v>
      </c>
      <c r="V78" s="65" t="e">
        <f t="shared" si="45"/>
        <v>#VALUE!</v>
      </c>
      <c r="W78" s="65" t="e">
        <f t="shared" si="45"/>
        <v>#VALUE!</v>
      </c>
      <c r="X78" s="65" t="e">
        <f t="shared" si="45"/>
        <v>#VALUE!</v>
      </c>
      <c r="Y78" s="66" t="e">
        <f t="shared" si="45"/>
        <v>#VALUE!</v>
      </c>
    </row>
    <row r="79" spans="3:25" x14ac:dyDescent="0.4">
      <c r="C79" s="73" t="s">
        <v>14</v>
      </c>
      <c r="D79" s="71" t="s">
        <v>15</v>
      </c>
      <c r="E79" s="39">
        <f t="shared" si="41"/>
        <v>0.80000000000000071</v>
      </c>
      <c r="F79" s="39">
        <f t="shared" si="41"/>
        <v>7.17</v>
      </c>
      <c r="G79" s="39">
        <f t="shared" si="41"/>
        <v>0</v>
      </c>
      <c r="H79" s="39">
        <f t="shared" si="41"/>
        <v>0.45</v>
      </c>
      <c r="I79" s="39">
        <f t="shared" si="41"/>
        <v>10.79</v>
      </c>
      <c r="J79" s="39">
        <f t="shared" si="41"/>
        <v>0</v>
      </c>
      <c r="K79" s="79">
        <f t="shared" si="42"/>
        <v>19.21</v>
      </c>
      <c r="L79" s="58">
        <f t="shared" si="43"/>
        <v>0</v>
      </c>
      <c r="M79" s="39">
        <f t="shared" si="43"/>
        <v>2.7509999999999999</v>
      </c>
      <c r="N79" s="39">
        <f t="shared" si="43"/>
        <v>0</v>
      </c>
      <c r="O79" s="39">
        <f t="shared" si="43"/>
        <v>5.3999999999999999E-2</v>
      </c>
      <c r="P79" s="39">
        <f t="shared" si="43"/>
        <v>4.266</v>
      </c>
      <c r="Q79" s="39">
        <f t="shared" si="43"/>
        <v>0</v>
      </c>
      <c r="R79" s="75">
        <f t="shared" si="44"/>
        <v>7.0709999999999997</v>
      </c>
      <c r="S79" s="84" t="e">
        <f t="shared" si="45"/>
        <v>#VALUE!</v>
      </c>
      <c r="T79" s="65" t="e">
        <f t="shared" si="45"/>
        <v>#VALUE!</v>
      </c>
      <c r="U79" s="65" t="e">
        <f t="shared" si="45"/>
        <v>#VALUE!</v>
      </c>
      <c r="V79" s="65" t="e">
        <f t="shared" si="45"/>
        <v>#VALUE!</v>
      </c>
      <c r="W79" s="65" t="e">
        <f t="shared" si="45"/>
        <v>#VALUE!</v>
      </c>
      <c r="X79" s="65" t="e">
        <f t="shared" si="45"/>
        <v>#VALUE!</v>
      </c>
      <c r="Y79" s="66" t="e">
        <f t="shared" si="45"/>
        <v>#VALUE!</v>
      </c>
    </row>
    <row r="80" spans="3:25" x14ac:dyDescent="0.4">
      <c r="C80" s="3" t="s">
        <v>5</v>
      </c>
      <c r="D80" s="72"/>
      <c r="E80" s="63">
        <f t="shared" ref="E80:J80" si="46">SUM(E75:E79)</f>
        <v>7066.2899999999981</v>
      </c>
      <c r="F80" s="63">
        <f t="shared" si="46"/>
        <v>3009.4439999999995</v>
      </c>
      <c r="G80" s="63">
        <f t="shared" si="46"/>
        <v>1977.5429999999997</v>
      </c>
      <c r="H80" s="63">
        <f t="shared" si="46"/>
        <v>8560.1509999999998</v>
      </c>
      <c r="I80" s="63">
        <f t="shared" si="46"/>
        <v>1191.9499999999998</v>
      </c>
      <c r="J80" s="63">
        <f t="shared" si="46"/>
        <v>11041.834999999999</v>
      </c>
      <c r="K80" s="80">
        <f t="shared" si="42"/>
        <v>32847.212999999996</v>
      </c>
      <c r="L80" s="76">
        <f t="shared" ref="L80:Q80" si="47">SUM(L75:L79)</f>
        <v>1826.5938999999998</v>
      </c>
      <c r="M80" s="63">
        <f t="shared" si="47"/>
        <v>1293.6660000000004</v>
      </c>
      <c r="N80" s="63">
        <f t="shared" si="47"/>
        <v>822.0920000000001</v>
      </c>
      <c r="O80" s="63">
        <f t="shared" si="47"/>
        <v>2364.5371</v>
      </c>
      <c r="P80" s="63">
        <f t="shared" si="47"/>
        <v>1315.183</v>
      </c>
      <c r="Q80" s="63">
        <f t="shared" si="47"/>
        <v>2128.2885999999999</v>
      </c>
      <c r="R80" s="77">
        <f t="shared" si="44"/>
        <v>9750.3606</v>
      </c>
      <c r="S80" s="82">
        <f t="shared" si="45"/>
        <v>-1.1176474091370014E-3</v>
      </c>
      <c r="T80" s="67">
        <f t="shared" si="45"/>
        <v>1.7102587305518724E-2</v>
      </c>
      <c r="U80" s="67">
        <f t="shared" si="45"/>
        <v>1.1623353110107176E-2</v>
      </c>
      <c r="V80" s="67">
        <f t="shared" si="45"/>
        <v>5.4640638231258087E-3</v>
      </c>
      <c r="W80" s="67">
        <f t="shared" si="45"/>
        <v>3.1765360296054479E-2</v>
      </c>
      <c r="X80" s="67">
        <f t="shared" si="45"/>
        <v>-2.1869211000104721E-2</v>
      </c>
      <c r="Y80" s="68">
        <f t="shared" si="45"/>
        <v>5.9881946417931209E-3</v>
      </c>
    </row>
    <row r="81" spans="3:25" x14ac:dyDescent="0.4">
      <c r="C81" s="6"/>
      <c r="E81" s="5"/>
      <c r="F81" s="5"/>
      <c r="G81" s="5"/>
      <c r="H81" s="5"/>
      <c r="I81" s="5"/>
      <c r="J81" s="5"/>
      <c r="K81" s="6"/>
      <c r="L81" s="5"/>
      <c r="M81" s="5"/>
      <c r="N81" s="5"/>
      <c r="O81" s="5"/>
      <c r="P81" s="5"/>
      <c r="Q81" s="5"/>
      <c r="R81" s="6"/>
      <c r="S81" s="7"/>
      <c r="T81" s="7"/>
      <c r="U81" s="7"/>
      <c r="V81" s="7"/>
      <c r="W81" s="7"/>
      <c r="X81" s="7"/>
      <c r="Y81" s="7"/>
    </row>
    <row r="82" spans="3:25" x14ac:dyDescent="0.4">
      <c r="C82" s="6" t="s">
        <v>23</v>
      </c>
    </row>
    <row r="83" spans="3:25" x14ac:dyDescent="0.4">
      <c r="C83" s="87"/>
      <c r="D83" s="88"/>
      <c r="E83" s="87" t="s">
        <v>2</v>
      </c>
      <c r="F83" s="90"/>
      <c r="G83" s="90"/>
      <c r="H83" s="90"/>
      <c r="I83" s="90"/>
      <c r="J83" s="90"/>
      <c r="K83" s="88"/>
      <c r="L83" s="89" t="s">
        <v>3</v>
      </c>
      <c r="M83" s="90"/>
      <c r="N83" s="90"/>
      <c r="O83" s="90"/>
      <c r="P83" s="90"/>
      <c r="Q83" s="90"/>
      <c r="R83" s="88"/>
      <c r="S83" s="89" t="s">
        <v>4</v>
      </c>
      <c r="T83" s="90"/>
      <c r="U83" s="90"/>
      <c r="V83" s="90"/>
      <c r="W83" s="90"/>
      <c r="X83" s="90"/>
      <c r="Y83" s="88"/>
    </row>
    <row r="84" spans="3:25" x14ac:dyDescent="0.4">
      <c r="C84" s="61"/>
      <c r="D84" s="70"/>
      <c r="E84" s="74">
        <v>46113</v>
      </c>
      <c r="F84" s="62">
        <v>46143</v>
      </c>
      <c r="G84" s="62">
        <v>46174</v>
      </c>
      <c r="H84" s="62">
        <v>46204</v>
      </c>
      <c r="I84" s="62">
        <v>46235</v>
      </c>
      <c r="J84" s="62">
        <v>46266</v>
      </c>
      <c r="K84" s="64" t="s">
        <v>5</v>
      </c>
      <c r="L84" s="83">
        <v>46113</v>
      </c>
      <c r="M84" s="62">
        <v>46143</v>
      </c>
      <c r="N84" s="62">
        <v>46174</v>
      </c>
      <c r="O84" s="62">
        <v>46204</v>
      </c>
      <c r="P84" s="62">
        <v>46235</v>
      </c>
      <c r="Q84" s="62">
        <v>46266</v>
      </c>
      <c r="R84" s="64" t="s">
        <v>5</v>
      </c>
      <c r="S84" s="83">
        <v>46113</v>
      </c>
      <c r="T84" s="62">
        <v>46143</v>
      </c>
      <c r="U84" s="62">
        <v>46174</v>
      </c>
      <c r="V84" s="62">
        <v>46204</v>
      </c>
      <c r="W84" s="62">
        <v>46235</v>
      </c>
      <c r="X84" s="62">
        <v>46266</v>
      </c>
      <c r="Y84" s="64" t="s">
        <v>5</v>
      </c>
    </row>
    <row r="85" spans="3:25" x14ac:dyDescent="0.4">
      <c r="C85" s="73" t="s">
        <v>6</v>
      </c>
      <c r="D85" s="71" t="s">
        <v>7</v>
      </c>
      <c r="E85" s="39">
        <f t="shared" ref="E85:J89" si="48">E65-E15</f>
        <v>2897.3429999999989</v>
      </c>
      <c r="F85" s="39">
        <f t="shared" si="48"/>
        <v>3066.8849999999993</v>
      </c>
      <c r="G85" s="39">
        <f t="shared" si="48"/>
        <v>462.52900000000045</v>
      </c>
      <c r="H85" s="39">
        <f t="shared" si="48"/>
        <v>489.66299999999865</v>
      </c>
      <c r="I85" s="39">
        <f t="shared" si="48"/>
        <v>902.5570000000007</v>
      </c>
      <c r="J85" s="39">
        <f t="shared" si="48"/>
        <v>3362.301999999996</v>
      </c>
      <c r="K85" s="79">
        <f t="shared" ref="K85:K90" si="49">SUM(E85:J85)</f>
        <v>11181.278999999995</v>
      </c>
      <c r="L85" s="58">
        <f t="shared" ref="L85:Q89" si="50">L65-L15</f>
        <v>783.83699999999999</v>
      </c>
      <c r="M85" s="39">
        <f t="shared" si="50"/>
        <v>1081.4360000000001</v>
      </c>
      <c r="N85" s="39">
        <f t="shared" si="50"/>
        <v>313.6919999999991</v>
      </c>
      <c r="O85" s="39">
        <f t="shared" si="50"/>
        <v>397.61200000000008</v>
      </c>
      <c r="P85" s="39">
        <f t="shared" si="50"/>
        <v>605.54599999999982</v>
      </c>
      <c r="Q85" s="39">
        <f t="shared" si="50"/>
        <v>1162.474999999999</v>
      </c>
      <c r="R85" s="75">
        <f t="shared" ref="R85:R90" si="51">SUM(L85:Q85)</f>
        <v>4344.5979999999981</v>
      </c>
      <c r="S85" s="84">
        <f t="shared" ref="S85:Y89" si="52">S65-S15</f>
        <v>-8.3052266222896631E-3</v>
      </c>
      <c r="T85" s="65">
        <f t="shared" si="52"/>
        <v>8.7458352142275597E-3</v>
      </c>
      <c r="U85" s="65">
        <f t="shared" si="52"/>
        <v>1.8844615389869868E-2</v>
      </c>
      <c r="V85" s="65">
        <f t="shared" si="52"/>
        <v>2.3450008736943695E-2</v>
      </c>
      <c r="W85" s="65">
        <f t="shared" si="52"/>
        <v>2.8876343378693936E-2</v>
      </c>
      <c r="X85" s="65">
        <f t="shared" si="52"/>
        <v>4.435442209596907E-3</v>
      </c>
      <c r="Y85" s="66">
        <f t="shared" si="52"/>
        <v>1.1906416494853078E-2</v>
      </c>
    </row>
    <row r="86" spans="3:25" x14ac:dyDescent="0.4">
      <c r="C86" s="73" t="s">
        <v>8</v>
      </c>
      <c r="D86" s="60" t="s">
        <v>9</v>
      </c>
      <c r="E86" s="39">
        <f t="shared" si="48"/>
        <v>4597.6649999999991</v>
      </c>
      <c r="F86" s="39">
        <f t="shared" si="48"/>
        <v>901.50699999999779</v>
      </c>
      <c r="G86" s="39">
        <f t="shared" si="48"/>
        <v>2736.716000000004</v>
      </c>
      <c r="H86" s="39">
        <f t="shared" si="48"/>
        <v>7686.7879999999986</v>
      </c>
      <c r="I86" s="39">
        <f t="shared" si="48"/>
        <v>2509.2429999999995</v>
      </c>
      <c r="J86" s="39">
        <f t="shared" si="48"/>
        <v>2902.8919999999989</v>
      </c>
      <c r="K86" s="79">
        <f t="shared" si="49"/>
        <v>21334.810999999998</v>
      </c>
      <c r="L86" s="58">
        <f t="shared" si="50"/>
        <v>741.2230999999997</v>
      </c>
      <c r="M86" s="39">
        <f t="shared" si="50"/>
        <v>-77.329999999999927</v>
      </c>
      <c r="N86" s="39">
        <f t="shared" si="50"/>
        <v>321.81220000000098</v>
      </c>
      <c r="O86" s="39">
        <f t="shared" si="50"/>
        <v>1447.7610999999997</v>
      </c>
      <c r="P86" s="39">
        <f t="shared" si="50"/>
        <v>591.15399999999977</v>
      </c>
      <c r="Q86" s="39">
        <f t="shared" si="50"/>
        <v>725.59659999999985</v>
      </c>
      <c r="R86" s="75">
        <f t="shared" si="51"/>
        <v>3750.2169999999996</v>
      </c>
      <c r="S86" s="84">
        <f t="shared" si="52"/>
        <v>-3.5893404880962432E-2</v>
      </c>
      <c r="T86" s="65">
        <f t="shared" si="52"/>
        <v>-3.3649489761054308E-2</v>
      </c>
      <c r="U86" s="65">
        <f t="shared" si="52"/>
        <v>-2.7732873777757433E-2</v>
      </c>
      <c r="V86" s="65">
        <f t="shared" si="52"/>
        <v>-1.5213054847591084E-2</v>
      </c>
      <c r="W86" s="65">
        <f t="shared" si="52"/>
        <v>-6.9742181673549952E-3</v>
      </c>
      <c r="X86" s="65">
        <f t="shared" si="52"/>
        <v>-5.7205141828028383E-3</v>
      </c>
      <c r="Y86" s="66">
        <f t="shared" si="52"/>
        <v>-2.3603756281694199E-2</v>
      </c>
    </row>
    <row r="87" spans="3:25" x14ac:dyDescent="0.4">
      <c r="C87" s="73" t="s">
        <v>10</v>
      </c>
      <c r="D87" s="71" t="s">
        <v>11</v>
      </c>
      <c r="E87" s="39">
        <f t="shared" si="48"/>
        <v>1098.4209999999985</v>
      </c>
      <c r="F87" s="39">
        <f t="shared" si="48"/>
        <v>1372.4239999999991</v>
      </c>
      <c r="G87" s="39">
        <f t="shared" si="48"/>
        <v>1258.3529999999982</v>
      </c>
      <c r="H87" s="39">
        <f t="shared" si="48"/>
        <v>1759.2610000000004</v>
      </c>
      <c r="I87" s="39">
        <f t="shared" si="48"/>
        <v>2509.4759999999969</v>
      </c>
      <c r="J87" s="39">
        <f t="shared" si="48"/>
        <v>2131.112000000001</v>
      </c>
      <c r="K87" s="79">
        <f t="shared" si="49"/>
        <v>10129.046999999995</v>
      </c>
      <c r="L87" s="58">
        <f t="shared" si="50"/>
        <v>337.98000000000093</v>
      </c>
      <c r="M87" s="39">
        <f t="shared" si="50"/>
        <v>490.07200000000125</v>
      </c>
      <c r="N87" s="39">
        <f t="shared" si="50"/>
        <v>470.44200000000001</v>
      </c>
      <c r="O87" s="39">
        <f t="shared" si="50"/>
        <v>635.26499999999987</v>
      </c>
      <c r="P87" s="39">
        <f t="shared" si="50"/>
        <v>914.67700000000013</v>
      </c>
      <c r="Q87" s="39">
        <f t="shared" si="50"/>
        <v>1023.8259999999998</v>
      </c>
      <c r="R87" s="75">
        <f t="shared" si="51"/>
        <v>3872.2620000000024</v>
      </c>
      <c r="S87" s="84">
        <f t="shared" si="52"/>
        <v>7.2852417812494519E-3</v>
      </c>
      <c r="T87" s="65">
        <f t="shared" si="52"/>
        <v>1.7846645403349182E-2</v>
      </c>
      <c r="U87" s="65">
        <f t="shared" si="52"/>
        <v>2.0717249521448322E-2</v>
      </c>
      <c r="V87" s="65">
        <f t="shared" si="52"/>
        <v>1.8812919967176794E-2</v>
      </c>
      <c r="W87" s="65">
        <f t="shared" si="52"/>
        <v>2.8336829294410643E-2</v>
      </c>
      <c r="X87" s="65">
        <f t="shared" si="52"/>
        <v>5.2692881092718635E-2</v>
      </c>
      <c r="Y87" s="66">
        <f t="shared" si="52"/>
        <v>2.4738699756044313E-2</v>
      </c>
    </row>
    <row r="88" spans="3:25" x14ac:dyDescent="0.4">
      <c r="C88" s="73" t="s">
        <v>12</v>
      </c>
      <c r="D88" s="71" t="s">
        <v>13</v>
      </c>
      <c r="E88" s="39">
        <f t="shared" si="48"/>
        <v>-9358.2080000000005</v>
      </c>
      <c r="F88" s="39">
        <f t="shared" si="48"/>
        <v>-2209.46</v>
      </c>
      <c r="G88" s="39">
        <f t="shared" si="48"/>
        <v>-11193.008</v>
      </c>
      <c r="H88" s="39">
        <f t="shared" si="48"/>
        <v>0</v>
      </c>
      <c r="I88" s="39">
        <f t="shared" si="48"/>
        <v>-6139.9040000000005</v>
      </c>
      <c r="J88" s="39">
        <f t="shared" si="48"/>
        <v>-3995.0319999999992</v>
      </c>
      <c r="K88" s="79">
        <f t="shared" si="49"/>
        <v>-32895.612000000001</v>
      </c>
      <c r="L88" s="58">
        <f t="shared" si="50"/>
        <v>-173.928</v>
      </c>
      <c r="M88" s="39">
        <f t="shared" si="50"/>
        <v>-19.309999999999999</v>
      </c>
      <c r="N88" s="39">
        <f t="shared" si="50"/>
        <v>-196.12799999999999</v>
      </c>
      <c r="O88" s="39">
        <f t="shared" si="50"/>
        <v>0</v>
      </c>
      <c r="P88" s="39">
        <f t="shared" si="50"/>
        <v>-115.904</v>
      </c>
      <c r="Q88" s="39">
        <f t="shared" si="50"/>
        <v>37.367999999999995</v>
      </c>
      <c r="R88" s="75">
        <f t="shared" si="51"/>
        <v>-467.90199999999999</v>
      </c>
      <c r="S88" s="84" t="e">
        <f t="shared" si="52"/>
        <v>#VALUE!</v>
      </c>
      <c r="T88" s="65" t="e">
        <f t="shared" si="52"/>
        <v>#VALUE!</v>
      </c>
      <c r="U88" s="65" t="e">
        <f t="shared" si="52"/>
        <v>#VALUE!</v>
      </c>
      <c r="V88" s="65" t="e">
        <f t="shared" si="52"/>
        <v>#VALUE!</v>
      </c>
      <c r="W88" s="65" t="e">
        <f t="shared" si="52"/>
        <v>#VALUE!</v>
      </c>
      <c r="X88" s="65">
        <f t="shared" si="52"/>
        <v>1.9403094075278689E-2</v>
      </c>
      <c r="Y88" s="66">
        <f t="shared" si="52"/>
        <v>2.1114024192797794E-2</v>
      </c>
    </row>
    <row r="89" spans="3:25" x14ac:dyDescent="0.4">
      <c r="C89" s="73" t="s">
        <v>14</v>
      </c>
      <c r="D89" s="71" t="s">
        <v>15</v>
      </c>
      <c r="E89" s="39">
        <f t="shared" si="48"/>
        <v>-5.25</v>
      </c>
      <c r="F89" s="39">
        <f t="shared" si="48"/>
        <v>7.17</v>
      </c>
      <c r="G89" s="39">
        <f t="shared" si="48"/>
        <v>-11.3</v>
      </c>
      <c r="H89" s="39">
        <f t="shared" si="48"/>
        <v>-11.850000000000001</v>
      </c>
      <c r="I89" s="39">
        <f t="shared" si="48"/>
        <v>9.69</v>
      </c>
      <c r="J89" s="39">
        <f t="shared" si="48"/>
        <v>0</v>
      </c>
      <c r="K89" s="79">
        <f t="shared" si="49"/>
        <v>-11.540000000000004</v>
      </c>
      <c r="L89" s="58">
        <f t="shared" si="50"/>
        <v>-0.30100000000000016</v>
      </c>
      <c r="M89" s="39">
        <f t="shared" si="50"/>
        <v>2.7509999999999999</v>
      </c>
      <c r="N89" s="39">
        <f t="shared" si="50"/>
        <v>-2.4990000000000001</v>
      </c>
      <c r="O89" s="39">
        <f t="shared" si="50"/>
        <v>-4.7459999999999996</v>
      </c>
      <c r="P89" s="39">
        <f t="shared" si="50"/>
        <v>3.891</v>
      </c>
      <c r="Q89" s="39">
        <f t="shared" si="50"/>
        <v>0</v>
      </c>
      <c r="R89" s="75">
        <f t="shared" si="51"/>
        <v>-0.90399999999999991</v>
      </c>
      <c r="S89" s="84">
        <f t="shared" si="52"/>
        <v>-4.9752066115702501E-2</v>
      </c>
      <c r="T89" s="65" t="e">
        <f t="shared" si="52"/>
        <v>#VALUE!</v>
      </c>
      <c r="U89" s="65" t="e">
        <f t="shared" si="52"/>
        <v>#VALUE!</v>
      </c>
      <c r="V89" s="65">
        <f t="shared" si="52"/>
        <v>-0.27024390243902435</v>
      </c>
      <c r="W89" s="65">
        <f t="shared" si="52"/>
        <v>5.4456988794338246E-2</v>
      </c>
      <c r="X89" s="65" t="e">
        <f t="shared" si="52"/>
        <v>#VALUE!</v>
      </c>
      <c r="Y89" s="66">
        <f t="shared" si="52"/>
        <v>0.10873994320370067</v>
      </c>
    </row>
    <row r="90" spans="3:25" x14ac:dyDescent="0.4">
      <c r="C90" s="3" t="s">
        <v>5</v>
      </c>
      <c r="D90" s="72"/>
      <c r="E90" s="63">
        <f t="shared" ref="E90:J90" si="53">SUM(E85:E89)</f>
        <v>-770.02900000000409</v>
      </c>
      <c r="F90" s="63">
        <f t="shared" si="53"/>
        <v>3138.5259999999962</v>
      </c>
      <c r="G90" s="63">
        <f t="shared" si="53"/>
        <v>-6746.7099999999973</v>
      </c>
      <c r="H90" s="63">
        <f t="shared" si="53"/>
        <v>9923.8619999999974</v>
      </c>
      <c r="I90" s="63">
        <f t="shared" si="53"/>
        <v>-208.93800000000334</v>
      </c>
      <c r="J90" s="63">
        <f t="shared" si="53"/>
        <v>4401.2739999999976</v>
      </c>
      <c r="K90" s="80">
        <f t="shared" si="49"/>
        <v>9737.984999999986</v>
      </c>
      <c r="L90" s="76">
        <f t="shared" ref="L90:Q90" si="54">SUM(L85:L89)</f>
        <v>1688.8111000000008</v>
      </c>
      <c r="M90" s="63">
        <f t="shared" si="54"/>
        <v>1477.6190000000015</v>
      </c>
      <c r="N90" s="63">
        <f t="shared" si="54"/>
        <v>907.31920000000014</v>
      </c>
      <c r="O90" s="63">
        <f t="shared" si="54"/>
        <v>2475.8920999999996</v>
      </c>
      <c r="P90" s="63">
        <f t="shared" si="54"/>
        <v>1999.3639999999996</v>
      </c>
      <c r="Q90" s="63">
        <f t="shared" si="54"/>
        <v>2949.2655999999984</v>
      </c>
      <c r="R90" s="77">
        <f t="shared" si="51"/>
        <v>11498.271000000001</v>
      </c>
      <c r="S90" s="82">
        <f>S70-S20</f>
        <v>4.7310547402825032E-2</v>
      </c>
      <c r="T90" s="67">
        <f>T70-T20</f>
        <v>2.2857754142005304E-2</v>
      </c>
      <c r="U90" s="67">
        <f>U80-U50</f>
        <v>-5.1976340953758388E-2</v>
      </c>
      <c r="V90" s="67">
        <f>V80-V50</f>
        <v>1.3542082084370799E-2</v>
      </c>
      <c r="W90" s="67">
        <f>W80-W50</f>
        <v>-1.1126371130004975E-3</v>
      </c>
      <c r="X90" s="67">
        <f>X80-X50</f>
        <v>-9.8890600196688938E-2</v>
      </c>
      <c r="Y90" s="68">
        <f>Y70-Y20</f>
        <v>4.5547481310837856E-2</v>
      </c>
    </row>
  </sheetData>
  <mergeCells count="36">
    <mergeCell ref="C13:D13"/>
    <mergeCell ref="C53:D53"/>
    <mergeCell ref="C3:D3"/>
    <mergeCell ref="S53:Y53"/>
    <mergeCell ref="S33:Y33"/>
    <mergeCell ref="E3:K3"/>
    <mergeCell ref="E43:K43"/>
    <mergeCell ref="S43:Y43"/>
    <mergeCell ref="E33:K33"/>
    <mergeCell ref="C43:D43"/>
    <mergeCell ref="E23:K23"/>
    <mergeCell ref="S3:Y3"/>
    <mergeCell ref="L13:R13"/>
    <mergeCell ref="L3:R3"/>
    <mergeCell ref="L43:R43"/>
    <mergeCell ref="C23:D23"/>
    <mergeCell ref="S23:Y23"/>
    <mergeCell ref="L33:R33"/>
    <mergeCell ref="E13:K13"/>
    <mergeCell ref="L23:R23"/>
    <mergeCell ref="S13:Y13"/>
    <mergeCell ref="C83:D83"/>
    <mergeCell ref="L63:R63"/>
    <mergeCell ref="C33:D33"/>
    <mergeCell ref="S83:Y83"/>
    <mergeCell ref="S63:Y63"/>
    <mergeCell ref="C73:D73"/>
    <mergeCell ref="E53:K53"/>
    <mergeCell ref="C63:D63"/>
    <mergeCell ref="E83:K83"/>
    <mergeCell ref="L53:R53"/>
    <mergeCell ref="E73:K73"/>
    <mergeCell ref="S73:Y73"/>
    <mergeCell ref="E63:K63"/>
    <mergeCell ref="L83:R83"/>
    <mergeCell ref="L73:R73"/>
  </mergeCells>
  <phoneticPr fontId="2"/>
  <printOptions horizontalCentered="1" verticalCentered="1"/>
  <pageMargins left="0.70866141732283472" right="0.70866141732283472" top="0.74803149606299213" bottom="0.74803149606299213" header="0.31496062992125978" footer="0.31496062992125978"/>
  <pageSetup paperSize="8" scale="46"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Y90"/>
  <sheetViews>
    <sheetView workbookViewId="0">
      <pane xSplit="4" ySplit="1" topLeftCell="E40" activePane="bottomRight" state="frozen"/>
      <selection activeCell="M85" sqref="M85:Q89"/>
      <selection pane="topRight" activeCell="M85" sqref="M85:Q89"/>
      <selection pane="bottomLeft" activeCell="M85" sqref="M85:Q89"/>
      <selection pane="bottomRight" activeCell="Q70" sqref="Q70"/>
    </sheetView>
  </sheetViews>
  <sheetFormatPr defaultRowHeight="18.75" x14ac:dyDescent="0.4"/>
  <cols>
    <col min="3" max="3" width="9.75" style="85" bestFit="1" customWidth="1"/>
    <col min="5" max="25" width="10.125" style="85" customWidth="1"/>
  </cols>
  <sheetData>
    <row r="1" spans="3:25" ht="24" customHeight="1" x14ac:dyDescent="0.4">
      <c r="C1" s="8" t="s">
        <v>0</v>
      </c>
    </row>
    <row r="2" spans="3:25" x14ac:dyDescent="0.4">
      <c r="C2" t="s">
        <v>1</v>
      </c>
    </row>
    <row r="3" spans="3:25" x14ac:dyDescent="0.4">
      <c r="C3" s="87"/>
      <c r="D3" s="88"/>
      <c r="E3" s="91" t="s">
        <v>2</v>
      </c>
      <c r="F3" s="90"/>
      <c r="G3" s="90"/>
      <c r="H3" s="90"/>
      <c r="I3" s="90"/>
      <c r="J3" s="90"/>
      <c r="K3" s="90"/>
      <c r="L3" s="92" t="s">
        <v>3</v>
      </c>
      <c r="M3" s="90"/>
      <c r="N3" s="90"/>
      <c r="O3" s="90"/>
      <c r="P3" s="90"/>
      <c r="Q3" s="90"/>
      <c r="R3" s="88"/>
      <c r="S3" s="89" t="s">
        <v>4</v>
      </c>
      <c r="T3" s="90"/>
      <c r="U3" s="90"/>
      <c r="V3" s="90"/>
      <c r="W3" s="90"/>
      <c r="X3" s="90"/>
      <c r="Y3" s="88"/>
    </row>
    <row r="4" spans="3:25" x14ac:dyDescent="0.4">
      <c r="C4" s="61"/>
      <c r="D4" s="70"/>
      <c r="E4" s="62">
        <v>45383</v>
      </c>
      <c r="F4" s="62">
        <v>45413</v>
      </c>
      <c r="G4" s="62">
        <v>45444</v>
      </c>
      <c r="H4" s="62">
        <v>45474</v>
      </c>
      <c r="I4" s="62">
        <v>45505</v>
      </c>
      <c r="J4" s="62">
        <v>45536</v>
      </c>
      <c r="K4" s="78" t="s">
        <v>5</v>
      </c>
      <c r="L4" s="74">
        <v>45383</v>
      </c>
      <c r="M4" s="62">
        <v>45413</v>
      </c>
      <c r="N4" s="62">
        <v>45444</v>
      </c>
      <c r="O4" s="62">
        <v>45474</v>
      </c>
      <c r="P4" s="62">
        <v>45505</v>
      </c>
      <c r="Q4" s="62">
        <v>45536</v>
      </c>
      <c r="R4" s="64" t="s">
        <v>5</v>
      </c>
      <c r="S4" s="83">
        <v>45383</v>
      </c>
      <c r="T4" s="62">
        <v>45413</v>
      </c>
      <c r="U4" s="62">
        <v>45444</v>
      </c>
      <c r="V4" s="62">
        <v>45474</v>
      </c>
      <c r="W4" s="62">
        <v>45505</v>
      </c>
      <c r="X4" s="62">
        <v>45536</v>
      </c>
      <c r="Y4" s="64" t="s">
        <v>5</v>
      </c>
    </row>
    <row r="5" spans="3:25" x14ac:dyDescent="0.4">
      <c r="C5" s="73" t="s">
        <v>6</v>
      </c>
      <c r="D5" s="71" t="s">
        <v>7</v>
      </c>
      <c r="E5" s="2">
        <v>9394.7860000000019</v>
      </c>
      <c r="F5" s="2">
        <v>11001.361999999999</v>
      </c>
      <c r="G5" s="2">
        <v>7293.7219999999998</v>
      </c>
      <c r="H5" s="2">
        <v>8370.2099999999991</v>
      </c>
      <c r="I5" s="2">
        <v>10947.936</v>
      </c>
      <c r="J5" s="2">
        <v>6349.213999999999</v>
      </c>
      <c r="K5" s="79">
        <f t="shared" ref="K5:K10" si="0">SUM(E5:J5)</f>
        <v>53357.23</v>
      </c>
      <c r="L5" s="1">
        <v>2690.0309999999999</v>
      </c>
      <c r="M5" s="2">
        <v>3003.7930000000001</v>
      </c>
      <c r="N5" s="2">
        <v>2140.4720000000002</v>
      </c>
      <c r="O5" s="2">
        <v>2358.2440000000001</v>
      </c>
      <c r="P5" s="2">
        <v>3179.7729999999988</v>
      </c>
      <c r="Q5" s="2">
        <v>2397.1559999999999</v>
      </c>
      <c r="R5" s="75">
        <f t="shared" ref="R5:R10" si="1">SUM(L5:Q5)</f>
        <v>15769.469000000001</v>
      </c>
      <c r="S5" s="84">
        <f t="shared" ref="S5:Y10" si="2">IF(E5=0,"***",L5/E5)</f>
        <v>0.2863323337008421</v>
      </c>
      <c r="T5" s="65">
        <f t="shared" si="2"/>
        <v>0.27303828380522344</v>
      </c>
      <c r="U5" s="65">
        <f t="shared" si="2"/>
        <v>0.29346772470900323</v>
      </c>
      <c r="V5" s="65">
        <f t="shared" si="2"/>
        <v>0.2817425130313338</v>
      </c>
      <c r="W5" s="65">
        <f t="shared" si="2"/>
        <v>0.29044497519897805</v>
      </c>
      <c r="X5" s="65">
        <f t="shared" si="2"/>
        <v>0.37755161505030393</v>
      </c>
      <c r="Y5" s="66">
        <f t="shared" si="2"/>
        <v>0.29554512106419317</v>
      </c>
    </row>
    <row r="6" spans="3:25" x14ac:dyDescent="0.4">
      <c r="C6" s="73" t="s">
        <v>8</v>
      </c>
      <c r="D6" s="59" t="s">
        <v>9</v>
      </c>
      <c r="E6" s="2">
        <v>9543.8709999999992</v>
      </c>
      <c r="F6" s="2">
        <v>5743.2659999999996</v>
      </c>
      <c r="G6" s="2">
        <v>9802.8509999999987</v>
      </c>
      <c r="H6" s="2">
        <v>10503.789000000001</v>
      </c>
      <c r="I6" s="2">
        <v>9769.4759999999987</v>
      </c>
      <c r="J6" s="2">
        <v>9778.494999999999</v>
      </c>
      <c r="K6" s="79">
        <f t="shared" si="0"/>
        <v>55141.747999999992</v>
      </c>
      <c r="L6" s="1">
        <v>2185.0205999999998</v>
      </c>
      <c r="M6" s="2">
        <v>1296.05</v>
      </c>
      <c r="N6" s="2">
        <v>1913.4570000000001</v>
      </c>
      <c r="O6" s="2">
        <v>2257.2438000000002</v>
      </c>
      <c r="P6" s="2">
        <v>2149.223</v>
      </c>
      <c r="Q6" s="2">
        <v>2272.5880000000011</v>
      </c>
      <c r="R6" s="75">
        <f t="shared" si="1"/>
        <v>12073.582400000001</v>
      </c>
      <c r="S6" s="84">
        <f t="shared" si="2"/>
        <v>0.22894490086884034</v>
      </c>
      <c r="T6" s="65">
        <f t="shared" si="2"/>
        <v>0.22566428230905552</v>
      </c>
      <c r="U6" s="65">
        <f t="shared" si="2"/>
        <v>0.19519392878663569</v>
      </c>
      <c r="V6" s="65">
        <f t="shared" si="2"/>
        <v>0.21489805250276828</v>
      </c>
      <c r="W6" s="65">
        <f t="shared" si="2"/>
        <v>0.21999368236331204</v>
      </c>
      <c r="X6" s="65">
        <f t="shared" si="2"/>
        <v>0.23240672516578484</v>
      </c>
      <c r="Y6" s="66">
        <f t="shared" si="2"/>
        <v>0.21895538023205219</v>
      </c>
    </row>
    <row r="7" spans="3:25" x14ac:dyDescent="0.4">
      <c r="C7" s="73" t="s">
        <v>10</v>
      </c>
      <c r="D7" s="71" t="s">
        <v>11</v>
      </c>
      <c r="E7" s="2">
        <v>8422.1989999999987</v>
      </c>
      <c r="F7" s="2">
        <v>7218.1109999999999</v>
      </c>
      <c r="G7" s="2">
        <v>7325.3410000000013</v>
      </c>
      <c r="H7" s="2">
        <v>8652.5730000000003</v>
      </c>
      <c r="I7" s="2">
        <v>9130.4250000000011</v>
      </c>
      <c r="J7" s="2">
        <v>8392.639000000001</v>
      </c>
      <c r="K7" s="79">
        <f t="shared" si="0"/>
        <v>49141.288</v>
      </c>
      <c r="L7" s="1">
        <v>2032.1369999999999</v>
      </c>
      <c r="M7" s="2">
        <v>1623.6510000000001</v>
      </c>
      <c r="N7" s="2">
        <v>1626.7619999999999</v>
      </c>
      <c r="O7" s="2">
        <v>1875.443</v>
      </c>
      <c r="P7" s="2">
        <v>1941.4059999999999</v>
      </c>
      <c r="Q7" s="2">
        <v>2104.9580000000001</v>
      </c>
      <c r="R7" s="75">
        <f t="shared" si="1"/>
        <v>11204.357000000002</v>
      </c>
      <c r="S7" s="84">
        <f t="shared" si="2"/>
        <v>0.24128342253608592</v>
      </c>
      <c r="T7" s="65">
        <f t="shared" si="2"/>
        <v>0.22494126233303979</v>
      </c>
      <c r="U7" s="65">
        <f t="shared" si="2"/>
        <v>0.22207321133582719</v>
      </c>
      <c r="V7" s="65">
        <f t="shared" si="2"/>
        <v>0.21674974600040936</v>
      </c>
      <c r="W7" s="65">
        <f t="shared" si="2"/>
        <v>0.21263040877067604</v>
      </c>
      <c r="X7" s="65">
        <f t="shared" si="2"/>
        <v>0.25081002530908331</v>
      </c>
      <c r="Y7" s="66">
        <f t="shared" si="2"/>
        <v>0.22800291681406482</v>
      </c>
    </row>
    <row r="8" spans="3:25" x14ac:dyDescent="0.4">
      <c r="C8" s="73" t="s">
        <v>12</v>
      </c>
      <c r="D8" s="71" t="s">
        <v>13</v>
      </c>
      <c r="E8" s="2">
        <v>8514.4500000000007</v>
      </c>
      <c r="F8" s="2">
        <v>3182.96</v>
      </c>
      <c r="G8" s="2">
        <v>10715.25</v>
      </c>
      <c r="H8" s="2">
        <v>0</v>
      </c>
      <c r="I8" s="2">
        <v>0</v>
      </c>
      <c r="J8" s="2">
        <v>24111.466</v>
      </c>
      <c r="K8" s="79">
        <f t="shared" si="0"/>
        <v>46524.126000000004</v>
      </c>
      <c r="L8" s="1">
        <v>154.30000000000001</v>
      </c>
      <c r="M8" s="2">
        <v>57.56</v>
      </c>
      <c r="N8" s="2">
        <v>183.74</v>
      </c>
      <c r="O8" s="2">
        <v>0</v>
      </c>
      <c r="P8" s="2">
        <v>0</v>
      </c>
      <c r="Q8" s="2">
        <v>642.976</v>
      </c>
      <c r="R8" s="75">
        <f t="shared" si="1"/>
        <v>1038.576</v>
      </c>
      <c r="S8" s="84">
        <f t="shared" si="2"/>
        <v>1.8122133549436547E-2</v>
      </c>
      <c r="T8" s="65">
        <f t="shared" si="2"/>
        <v>1.8083796214844045E-2</v>
      </c>
      <c r="U8" s="65">
        <f t="shared" si="2"/>
        <v>1.7147523389561607E-2</v>
      </c>
      <c r="V8" s="65" t="str">
        <f t="shared" si="2"/>
        <v>***</v>
      </c>
      <c r="W8" s="65" t="str">
        <f t="shared" si="2"/>
        <v>***</v>
      </c>
      <c r="X8" s="65">
        <f t="shared" si="2"/>
        <v>2.6666814867250293E-2</v>
      </c>
      <c r="Y8" s="66">
        <f t="shared" si="2"/>
        <v>2.2323385505404227E-2</v>
      </c>
    </row>
    <row r="9" spans="3:25" x14ac:dyDescent="0.4">
      <c r="C9" s="73" t="s">
        <v>14</v>
      </c>
      <c r="D9" s="71" t="s">
        <v>15</v>
      </c>
      <c r="E9" s="2">
        <v>64.19</v>
      </c>
      <c r="F9" s="2">
        <v>9.2200000000000006</v>
      </c>
      <c r="G9" s="2">
        <v>14.04</v>
      </c>
      <c r="H9" s="2">
        <v>77.69</v>
      </c>
      <c r="I9" s="2">
        <v>30.37</v>
      </c>
      <c r="J9" s="2">
        <v>31.443999999999999</v>
      </c>
      <c r="K9" s="79">
        <f t="shared" si="0"/>
        <v>226.95399999999998</v>
      </c>
      <c r="L9" s="1">
        <v>19.062000000000001</v>
      </c>
      <c r="M9" s="2">
        <v>4.29</v>
      </c>
      <c r="N9" s="2">
        <v>5.38</v>
      </c>
      <c r="O9" s="2">
        <v>15.204000000000001</v>
      </c>
      <c r="P9" s="2">
        <v>10.076000000000001</v>
      </c>
      <c r="Q9" s="2">
        <v>13.314</v>
      </c>
      <c r="R9" s="75">
        <f t="shared" si="1"/>
        <v>67.325999999999993</v>
      </c>
      <c r="S9" s="84">
        <f t="shared" si="2"/>
        <v>0.29696214363608042</v>
      </c>
      <c r="T9" s="65">
        <f t="shared" si="2"/>
        <v>0.46529284164858997</v>
      </c>
      <c r="U9" s="65">
        <f t="shared" si="2"/>
        <v>0.38319088319088318</v>
      </c>
      <c r="V9" s="65">
        <f t="shared" si="2"/>
        <v>0.19570086240185353</v>
      </c>
      <c r="W9" s="65">
        <f t="shared" si="2"/>
        <v>0.33177477774119196</v>
      </c>
      <c r="X9" s="65">
        <f t="shared" si="2"/>
        <v>0.42341941228851293</v>
      </c>
      <c r="Y9" s="66">
        <f t="shared" si="2"/>
        <v>0.29665042255258772</v>
      </c>
    </row>
    <row r="10" spans="3:25" x14ac:dyDescent="0.4">
      <c r="C10" s="3" t="s">
        <v>5</v>
      </c>
      <c r="D10" s="72"/>
      <c r="E10" s="63">
        <f t="shared" ref="E10:J10" si="3">SUM(E5:E9)</f>
        <v>35939.495999999999</v>
      </c>
      <c r="F10" s="63">
        <f t="shared" si="3"/>
        <v>27154.918999999998</v>
      </c>
      <c r="G10" s="63">
        <f t="shared" si="3"/>
        <v>35151.203999999998</v>
      </c>
      <c r="H10" s="63">
        <f t="shared" si="3"/>
        <v>27604.261999999999</v>
      </c>
      <c r="I10" s="63">
        <f t="shared" si="3"/>
        <v>29878.206999999999</v>
      </c>
      <c r="J10" s="63">
        <f t="shared" si="3"/>
        <v>48663.258000000002</v>
      </c>
      <c r="K10" s="80">
        <f t="shared" si="0"/>
        <v>204391.34599999999</v>
      </c>
      <c r="L10" s="76">
        <f t="shared" ref="L10:Q10" si="4">SUM(L5:L9)</f>
        <v>7080.5505999999996</v>
      </c>
      <c r="M10" s="63">
        <f t="shared" si="4"/>
        <v>5985.3440000000001</v>
      </c>
      <c r="N10" s="63">
        <f t="shared" si="4"/>
        <v>5869.8109999999997</v>
      </c>
      <c r="O10" s="63">
        <f t="shared" si="4"/>
        <v>6506.1348000000007</v>
      </c>
      <c r="P10" s="63">
        <f t="shared" si="4"/>
        <v>7280.4779999999992</v>
      </c>
      <c r="Q10" s="63">
        <f t="shared" si="4"/>
        <v>7430.9920000000011</v>
      </c>
      <c r="R10" s="77">
        <f t="shared" si="1"/>
        <v>40153.310400000002</v>
      </c>
      <c r="S10" s="82">
        <f t="shared" si="2"/>
        <v>0.19701307441818328</v>
      </c>
      <c r="T10" s="67">
        <f t="shared" si="2"/>
        <v>0.22041472486071495</v>
      </c>
      <c r="U10" s="67">
        <f t="shared" si="2"/>
        <v>0.16698748071332067</v>
      </c>
      <c r="V10" s="67">
        <f t="shared" si="2"/>
        <v>0.23569312593830624</v>
      </c>
      <c r="W10" s="67">
        <f t="shared" si="2"/>
        <v>0.24367185085771711</v>
      </c>
      <c r="X10" s="67">
        <f t="shared" si="2"/>
        <v>0.15270231187562494</v>
      </c>
      <c r="Y10" s="68">
        <f t="shared" si="2"/>
        <v>0.19645308466240055</v>
      </c>
    </row>
    <row r="11" spans="3:25" x14ac:dyDescent="0.4">
      <c r="C11" s="6"/>
      <c r="E11" s="5"/>
      <c r="F11" s="5"/>
      <c r="G11" s="5"/>
      <c r="H11" s="5"/>
      <c r="I11" s="5"/>
      <c r="J11" s="5"/>
      <c r="K11" s="6"/>
      <c r="L11" s="5"/>
      <c r="M11" s="5"/>
      <c r="N11" s="5"/>
      <c r="O11" s="5"/>
      <c r="P11" s="5"/>
      <c r="Q11" s="5"/>
      <c r="R11" s="6"/>
      <c r="S11" s="7"/>
      <c r="T11" s="7"/>
      <c r="U11" s="7"/>
      <c r="V11" s="7"/>
      <c r="W11" s="7"/>
      <c r="X11" s="7"/>
      <c r="Y11" s="7"/>
    </row>
    <row r="12" spans="3:25" x14ac:dyDescent="0.4">
      <c r="C12" s="6" t="s">
        <v>16</v>
      </c>
    </row>
    <row r="13" spans="3:25" x14ac:dyDescent="0.4">
      <c r="C13" s="87"/>
      <c r="D13" s="88"/>
      <c r="E13" s="91" t="s">
        <v>2</v>
      </c>
      <c r="F13" s="90"/>
      <c r="G13" s="90"/>
      <c r="H13" s="90"/>
      <c r="I13" s="90"/>
      <c r="J13" s="90"/>
      <c r="K13" s="90"/>
      <c r="L13" s="92" t="s">
        <v>3</v>
      </c>
      <c r="M13" s="90"/>
      <c r="N13" s="90"/>
      <c r="O13" s="90"/>
      <c r="P13" s="90"/>
      <c r="Q13" s="90"/>
      <c r="R13" s="88"/>
      <c r="S13" s="92" t="s">
        <v>4</v>
      </c>
      <c r="T13" s="90"/>
      <c r="U13" s="90"/>
      <c r="V13" s="90"/>
      <c r="W13" s="90"/>
      <c r="X13" s="90"/>
      <c r="Y13" s="88"/>
    </row>
    <row r="14" spans="3:25" x14ac:dyDescent="0.4">
      <c r="C14" s="61"/>
      <c r="D14" s="70"/>
      <c r="E14" s="74">
        <v>45748</v>
      </c>
      <c r="F14" s="62">
        <v>45778</v>
      </c>
      <c r="G14" s="62">
        <v>45809</v>
      </c>
      <c r="H14" s="62">
        <v>45839</v>
      </c>
      <c r="I14" s="62">
        <v>45870</v>
      </c>
      <c r="J14" s="62">
        <v>45901</v>
      </c>
      <c r="K14" s="64" t="s">
        <v>5</v>
      </c>
      <c r="L14" s="74">
        <v>45748</v>
      </c>
      <c r="M14" s="62">
        <v>45778</v>
      </c>
      <c r="N14" s="62">
        <v>45809</v>
      </c>
      <c r="O14" s="62">
        <v>45839</v>
      </c>
      <c r="P14" s="62">
        <v>45870</v>
      </c>
      <c r="Q14" s="62">
        <v>45901</v>
      </c>
      <c r="R14" s="64" t="s">
        <v>5</v>
      </c>
      <c r="S14" s="74">
        <v>45748</v>
      </c>
      <c r="T14" s="62">
        <v>45778</v>
      </c>
      <c r="U14" s="62">
        <v>45809</v>
      </c>
      <c r="V14" s="62">
        <v>45839</v>
      </c>
      <c r="W14" s="62">
        <v>45870</v>
      </c>
      <c r="X14" s="62">
        <v>45901</v>
      </c>
      <c r="Y14" s="64" t="s">
        <v>5</v>
      </c>
    </row>
    <row r="15" spans="3:25" x14ac:dyDescent="0.4">
      <c r="C15" s="73" t="s">
        <v>6</v>
      </c>
      <c r="D15" s="71" t="s">
        <v>7</v>
      </c>
      <c r="E15" s="2">
        <v>11871.789000000001</v>
      </c>
      <c r="F15" s="2">
        <v>7775.0140000000001</v>
      </c>
      <c r="G15" s="2">
        <v>8471.81</v>
      </c>
      <c r="H15" s="2">
        <v>9957.0420000000013</v>
      </c>
      <c r="I15" s="2">
        <v>10299.5</v>
      </c>
      <c r="J15" s="2">
        <v>8786.0940000000028</v>
      </c>
      <c r="K15" s="79">
        <f t="shared" ref="K15:K20" si="5">SUM(E15:J15)</f>
        <v>57161.249000000003</v>
      </c>
      <c r="L15" s="1">
        <v>3691.15</v>
      </c>
      <c r="M15" s="2">
        <v>2487.9290000000001</v>
      </c>
      <c r="N15" s="2">
        <v>2702.1190000000011</v>
      </c>
      <c r="O15" s="2">
        <v>3122.6030000000001</v>
      </c>
      <c r="P15" s="2">
        <v>3226.1460000000002</v>
      </c>
      <c r="Q15" s="2">
        <v>2730.3160000000012</v>
      </c>
      <c r="R15" s="75">
        <f t="shared" ref="R15:R20" si="6">SUM(L15:Q15)</f>
        <v>17960.263000000003</v>
      </c>
      <c r="S15" s="84">
        <f t="shared" ref="S15:Y20" si="7">IF(E15=0,"***",L15/E15)</f>
        <v>0.31091775637184926</v>
      </c>
      <c r="T15" s="65">
        <f t="shared" si="7"/>
        <v>0.3199902919788955</v>
      </c>
      <c r="U15" s="65">
        <f t="shared" si="7"/>
        <v>0.31895415501528024</v>
      </c>
      <c r="V15" s="65">
        <f t="shared" si="7"/>
        <v>0.31360749507735325</v>
      </c>
      <c r="W15" s="65">
        <f t="shared" si="7"/>
        <v>0.31323326375066751</v>
      </c>
      <c r="X15" s="65">
        <f t="shared" si="7"/>
        <v>0.31075424414990327</v>
      </c>
      <c r="Y15" s="66">
        <f t="shared" si="7"/>
        <v>0.31420347375544577</v>
      </c>
    </row>
    <row r="16" spans="3:25" x14ac:dyDescent="0.4">
      <c r="C16" s="73" t="s">
        <v>8</v>
      </c>
      <c r="D16" s="59" t="s">
        <v>9</v>
      </c>
      <c r="E16" s="2">
        <v>10187.463</v>
      </c>
      <c r="F16" s="2">
        <v>8959.1960000000017</v>
      </c>
      <c r="G16" s="2">
        <v>8546.7489999999962</v>
      </c>
      <c r="H16" s="2">
        <v>9593.01</v>
      </c>
      <c r="I16" s="2">
        <v>7366.3010000000004</v>
      </c>
      <c r="J16" s="2">
        <v>7421.947000000001</v>
      </c>
      <c r="K16" s="79">
        <f t="shared" si="5"/>
        <v>52074.665999999997</v>
      </c>
      <c r="L16" s="1">
        <v>2708.5808000000002</v>
      </c>
      <c r="M16" s="2">
        <v>2469.7159999999999</v>
      </c>
      <c r="N16" s="2">
        <v>1977.305799999999</v>
      </c>
      <c r="O16" s="2">
        <v>2080.8440000000001</v>
      </c>
      <c r="P16" s="2">
        <v>1950.749</v>
      </c>
      <c r="Q16" s="2">
        <v>1998.123</v>
      </c>
      <c r="R16" s="75">
        <f t="shared" si="6"/>
        <v>13185.318599999999</v>
      </c>
      <c r="S16" s="84">
        <f t="shared" si="7"/>
        <v>0.26587392759119716</v>
      </c>
      <c r="T16" s="65">
        <f t="shared" si="7"/>
        <v>0.27566268223175378</v>
      </c>
      <c r="U16" s="65">
        <f t="shared" si="7"/>
        <v>0.23135180406023387</v>
      </c>
      <c r="V16" s="65">
        <f t="shared" si="7"/>
        <v>0.21691252276397086</v>
      </c>
      <c r="W16" s="65">
        <f t="shared" si="7"/>
        <v>0.26482070173347516</v>
      </c>
      <c r="X16" s="65">
        <f t="shared" si="7"/>
        <v>0.269218171458244</v>
      </c>
      <c r="Y16" s="66">
        <f t="shared" si="7"/>
        <v>0.25320025288304299</v>
      </c>
    </row>
    <row r="17" spans="3:25" x14ac:dyDescent="0.4">
      <c r="C17" s="73" t="s">
        <v>10</v>
      </c>
      <c r="D17" s="71" t="s">
        <v>11</v>
      </c>
      <c r="E17" s="2">
        <v>9422.8090000000011</v>
      </c>
      <c r="F17" s="2">
        <v>7351.2480000000014</v>
      </c>
      <c r="G17" s="2">
        <v>7391.3860000000013</v>
      </c>
      <c r="H17" s="2">
        <v>9599.9369999999999</v>
      </c>
      <c r="I17" s="2">
        <v>8283.0830000000024</v>
      </c>
      <c r="J17" s="2">
        <v>9097.8079999999991</v>
      </c>
      <c r="K17" s="79">
        <f t="shared" si="5"/>
        <v>51146.271000000001</v>
      </c>
      <c r="L17" s="1">
        <v>2241.822999999999</v>
      </c>
      <c r="M17" s="2">
        <v>1791.091999999999</v>
      </c>
      <c r="N17" s="2">
        <v>1710.721</v>
      </c>
      <c r="O17" s="2">
        <v>2300.3980000000001</v>
      </c>
      <c r="P17" s="2">
        <v>2009.645</v>
      </c>
      <c r="Q17" s="2">
        <v>1844.8320000000001</v>
      </c>
      <c r="R17" s="75">
        <f t="shared" si="6"/>
        <v>11898.510999999999</v>
      </c>
      <c r="S17" s="84">
        <f t="shared" si="7"/>
        <v>0.23791451147953849</v>
      </c>
      <c r="T17" s="65">
        <f t="shared" si="7"/>
        <v>0.24364461653313813</v>
      </c>
      <c r="U17" s="65">
        <f t="shared" si="7"/>
        <v>0.23144793141638115</v>
      </c>
      <c r="V17" s="65">
        <f t="shared" si="7"/>
        <v>0.23962636421468184</v>
      </c>
      <c r="W17" s="65">
        <f t="shared" si="7"/>
        <v>0.2426204107818308</v>
      </c>
      <c r="X17" s="65">
        <f t="shared" si="7"/>
        <v>0.20277763610751076</v>
      </c>
      <c r="Y17" s="66">
        <f t="shared" si="7"/>
        <v>0.23263692088128962</v>
      </c>
    </row>
    <row r="18" spans="3:25" x14ac:dyDescent="0.4">
      <c r="C18" s="73" t="s">
        <v>12</v>
      </c>
      <c r="D18" s="71" t="s">
        <v>13</v>
      </c>
      <c r="E18" s="2">
        <v>9358.2080000000005</v>
      </c>
      <c r="F18" s="2">
        <v>2209.46</v>
      </c>
      <c r="G18" s="2">
        <v>11193.008</v>
      </c>
      <c r="H18" s="2">
        <v>0</v>
      </c>
      <c r="I18" s="2">
        <v>6139.9040000000005</v>
      </c>
      <c r="J18" s="2">
        <v>9994.7119999999995</v>
      </c>
      <c r="K18" s="79">
        <f t="shared" si="5"/>
        <v>38895.292000000001</v>
      </c>
      <c r="L18" s="1">
        <v>173.928</v>
      </c>
      <c r="M18" s="2">
        <v>19.309999999999999</v>
      </c>
      <c r="N18" s="2">
        <v>196.12799999999999</v>
      </c>
      <c r="O18" s="2">
        <v>0</v>
      </c>
      <c r="P18" s="2">
        <v>115.904</v>
      </c>
      <c r="Q18" s="2">
        <v>197.75200000000001</v>
      </c>
      <c r="R18" s="75">
        <f t="shared" si="6"/>
        <v>703.02199999999993</v>
      </c>
      <c r="S18" s="84">
        <f t="shared" si="7"/>
        <v>1.8585609552598102E-2</v>
      </c>
      <c r="T18" s="65">
        <f t="shared" si="7"/>
        <v>8.7396920514514857E-3</v>
      </c>
      <c r="U18" s="65">
        <f t="shared" si="7"/>
        <v>1.7522367535161235E-2</v>
      </c>
      <c r="V18" s="65" t="str">
        <f t="shared" si="7"/>
        <v>***</v>
      </c>
      <c r="W18" s="65">
        <f t="shared" si="7"/>
        <v>1.8877168112074714E-2</v>
      </c>
      <c r="X18" s="65">
        <f t="shared" si="7"/>
        <v>1.978566265841377E-2</v>
      </c>
      <c r="Y18" s="66">
        <f t="shared" si="7"/>
        <v>1.8074732540894665E-2</v>
      </c>
    </row>
    <row r="19" spans="3:25" x14ac:dyDescent="0.4">
      <c r="C19" s="73" t="s">
        <v>14</v>
      </c>
      <c r="D19" s="71" t="s">
        <v>15</v>
      </c>
      <c r="E19" s="2">
        <v>27.05</v>
      </c>
      <c r="F19" s="2">
        <v>0</v>
      </c>
      <c r="G19" s="2">
        <v>11.3</v>
      </c>
      <c r="H19" s="2">
        <v>12.3</v>
      </c>
      <c r="I19" s="2">
        <v>1.1000000000000001</v>
      </c>
      <c r="J19" s="2">
        <v>0</v>
      </c>
      <c r="K19" s="79">
        <f t="shared" si="5"/>
        <v>51.750000000000007</v>
      </c>
      <c r="L19" s="1">
        <v>5.3010000000000002</v>
      </c>
      <c r="M19" s="2">
        <v>0</v>
      </c>
      <c r="N19" s="2">
        <v>2.4990000000000001</v>
      </c>
      <c r="O19" s="2">
        <v>4.8</v>
      </c>
      <c r="P19" s="2">
        <v>0.375</v>
      </c>
      <c r="Q19" s="2">
        <v>0</v>
      </c>
      <c r="R19" s="75">
        <f t="shared" si="6"/>
        <v>12.975000000000001</v>
      </c>
      <c r="S19" s="84">
        <f t="shared" si="7"/>
        <v>0.19597042513863216</v>
      </c>
      <c r="T19" s="65" t="str">
        <f t="shared" si="7"/>
        <v>***</v>
      </c>
      <c r="U19" s="65">
        <f t="shared" si="7"/>
        <v>0.2211504424778761</v>
      </c>
      <c r="V19" s="65">
        <f t="shared" si="7"/>
        <v>0.39024390243902435</v>
      </c>
      <c r="W19" s="65">
        <f t="shared" si="7"/>
        <v>0.34090909090909088</v>
      </c>
      <c r="X19" s="65" t="str">
        <f t="shared" si="7"/>
        <v>***</v>
      </c>
      <c r="Y19" s="66">
        <f t="shared" si="7"/>
        <v>0.25072463768115943</v>
      </c>
    </row>
    <row r="20" spans="3:25" x14ac:dyDescent="0.4">
      <c r="C20" s="3" t="s">
        <v>5</v>
      </c>
      <c r="D20" s="72"/>
      <c r="E20" s="63">
        <f t="shared" ref="E20:J20" si="8">SUM(E15:E19)</f>
        <v>40867.319000000003</v>
      </c>
      <c r="F20" s="63">
        <f t="shared" si="8"/>
        <v>26294.918000000005</v>
      </c>
      <c r="G20" s="63">
        <f t="shared" si="8"/>
        <v>35614.252999999997</v>
      </c>
      <c r="H20" s="63">
        <f t="shared" si="8"/>
        <v>29162.289000000001</v>
      </c>
      <c r="I20" s="63">
        <f t="shared" si="8"/>
        <v>32089.887999999999</v>
      </c>
      <c r="J20" s="63">
        <f t="shared" si="8"/>
        <v>35300.561000000002</v>
      </c>
      <c r="K20" s="80">
        <f t="shared" si="5"/>
        <v>199329.228</v>
      </c>
      <c r="L20" s="76">
        <f t="shared" ref="L20:Q20" si="9">SUM(L15:L19)</f>
        <v>8820.782799999999</v>
      </c>
      <c r="M20" s="63">
        <f t="shared" si="9"/>
        <v>6768.0469999999996</v>
      </c>
      <c r="N20" s="63">
        <f t="shared" si="9"/>
        <v>6588.7727999999997</v>
      </c>
      <c r="O20" s="63">
        <f t="shared" si="9"/>
        <v>7508.6450000000004</v>
      </c>
      <c r="P20" s="63">
        <f t="shared" si="9"/>
        <v>7302.8190000000013</v>
      </c>
      <c r="Q20" s="63">
        <f t="shared" si="9"/>
        <v>6771.023000000002</v>
      </c>
      <c r="R20" s="77">
        <f t="shared" si="6"/>
        <v>43760.089599999999</v>
      </c>
      <c r="S20" s="82">
        <f t="shared" si="7"/>
        <v>0.21583952693348929</v>
      </c>
      <c r="T20" s="67">
        <f t="shared" si="7"/>
        <v>0.25738992606860378</v>
      </c>
      <c r="U20" s="67">
        <f t="shared" si="7"/>
        <v>0.18500381855545309</v>
      </c>
      <c r="V20" s="67">
        <f t="shared" si="7"/>
        <v>0.25747790236904927</v>
      </c>
      <c r="W20" s="67">
        <f t="shared" si="7"/>
        <v>0.22757383883670773</v>
      </c>
      <c r="X20" s="67">
        <f t="shared" si="7"/>
        <v>0.19181063439756671</v>
      </c>
      <c r="Y20" s="68">
        <f t="shared" si="7"/>
        <v>0.2195367435025635</v>
      </c>
    </row>
    <row r="21" spans="3:25" x14ac:dyDescent="0.4">
      <c r="C21" s="6"/>
      <c r="E21" s="5"/>
      <c r="F21" s="5"/>
      <c r="G21" s="5"/>
      <c r="H21" s="5"/>
      <c r="I21" s="5"/>
      <c r="J21" s="5"/>
      <c r="K21" s="6"/>
      <c r="L21" s="5"/>
      <c r="M21" s="5"/>
      <c r="N21" s="5"/>
      <c r="O21" s="5"/>
      <c r="P21" s="5"/>
      <c r="Q21" s="5"/>
      <c r="R21" s="6"/>
      <c r="S21" s="7"/>
      <c r="T21" s="7"/>
      <c r="U21" s="7"/>
      <c r="V21" s="7"/>
      <c r="W21" s="7"/>
      <c r="X21" s="7"/>
      <c r="Y21" s="7"/>
    </row>
    <row r="22" spans="3:25" x14ac:dyDescent="0.4">
      <c r="C22" s="6" t="s">
        <v>17</v>
      </c>
    </row>
    <row r="23" spans="3:25" x14ac:dyDescent="0.4">
      <c r="C23" s="87"/>
      <c r="D23" s="88"/>
      <c r="E23" s="91" t="s">
        <v>2</v>
      </c>
      <c r="F23" s="90"/>
      <c r="G23" s="90"/>
      <c r="H23" s="90"/>
      <c r="I23" s="90"/>
      <c r="J23" s="90"/>
      <c r="K23" s="90"/>
      <c r="L23" s="92" t="s">
        <v>3</v>
      </c>
      <c r="M23" s="90"/>
      <c r="N23" s="90"/>
      <c r="O23" s="90"/>
      <c r="P23" s="90"/>
      <c r="Q23" s="90"/>
      <c r="R23" s="88"/>
      <c r="S23" s="92" t="s">
        <v>4</v>
      </c>
      <c r="T23" s="90"/>
      <c r="U23" s="90"/>
      <c r="V23" s="90"/>
      <c r="W23" s="90"/>
      <c r="X23" s="90"/>
      <c r="Y23" s="88"/>
    </row>
    <row r="24" spans="3:25" x14ac:dyDescent="0.4">
      <c r="C24" s="61"/>
      <c r="D24" s="70"/>
      <c r="E24" s="74">
        <v>45748</v>
      </c>
      <c r="F24" s="62">
        <v>45778</v>
      </c>
      <c r="G24" s="62">
        <v>45809</v>
      </c>
      <c r="H24" s="62">
        <v>45839</v>
      </c>
      <c r="I24" s="62">
        <v>45870</v>
      </c>
      <c r="J24" s="62">
        <v>45901</v>
      </c>
      <c r="K24" s="64" t="s">
        <v>5</v>
      </c>
      <c r="L24" s="74">
        <v>45748</v>
      </c>
      <c r="M24" s="62">
        <v>45778</v>
      </c>
      <c r="N24" s="62">
        <v>45809</v>
      </c>
      <c r="O24" s="62">
        <v>45839</v>
      </c>
      <c r="P24" s="62">
        <v>45870</v>
      </c>
      <c r="Q24" s="62">
        <v>45901</v>
      </c>
      <c r="R24" s="64" t="s">
        <v>5</v>
      </c>
      <c r="S24" s="74">
        <v>45748</v>
      </c>
      <c r="T24" s="62">
        <v>45778</v>
      </c>
      <c r="U24" s="62">
        <v>45809</v>
      </c>
      <c r="V24" s="62">
        <v>45839</v>
      </c>
      <c r="W24" s="62">
        <v>45870</v>
      </c>
      <c r="X24" s="62">
        <v>45901</v>
      </c>
      <c r="Y24" s="64" t="s">
        <v>5</v>
      </c>
    </row>
    <row r="25" spans="3:25" x14ac:dyDescent="0.4">
      <c r="C25" s="73" t="s">
        <v>6</v>
      </c>
      <c r="D25" s="71" t="s">
        <v>7</v>
      </c>
      <c r="E25" s="2">
        <f t="shared" ref="E25:J29" si="10">(E15+E5)/2</f>
        <v>10633.287500000002</v>
      </c>
      <c r="F25" s="2">
        <f t="shared" si="10"/>
        <v>9388.1880000000001</v>
      </c>
      <c r="G25" s="2">
        <f t="shared" si="10"/>
        <v>7882.7659999999996</v>
      </c>
      <c r="H25" s="2">
        <f t="shared" si="10"/>
        <v>9163.6260000000002</v>
      </c>
      <c r="I25" s="2">
        <f t="shared" si="10"/>
        <v>10623.718000000001</v>
      </c>
      <c r="J25" s="2">
        <f t="shared" si="10"/>
        <v>7567.6540000000005</v>
      </c>
      <c r="K25" s="79">
        <f t="shared" ref="K25:K30" si="11">SUM(E25:J25)</f>
        <v>55259.239500000003</v>
      </c>
      <c r="L25" s="1">
        <f t="shared" ref="L25:Q29" si="12">(L15+L5)/2</f>
        <v>3190.5905000000002</v>
      </c>
      <c r="M25" s="2">
        <f t="shared" si="12"/>
        <v>2745.8609999999999</v>
      </c>
      <c r="N25" s="2">
        <f t="shared" si="12"/>
        <v>2421.2955000000006</v>
      </c>
      <c r="O25" s="2">
        <f t="shared" si="12"/>
        <v>2740.4234999999999</v>
      </c>
      <c r="P25" s="2">
        <f t="shared" si="12"/>
        <v>3202.9594999999995</v>
      </c>
      <c r="Q25" s="2">
        <f t="shared" si="12"/>
        <v>2563.7360000000008</v>
      </c>
      <c r="R25" s="75">
        <f t="shared" ref="R25:R30" si="13">SUM(L25:Q25)</f>
        <v>16864.866000000002</v>
      </c>
      <c r="S25" s="84">
        <f t="shared" ref="S25:Y30" si="14">IF(E25=0,"***",L25/E25)</f>
        <v>0.30005682626374952</v>
      </c>
      <c r="T25" s="65">
        <f t="shared" si="14"/>
        <v>0.29248040196894226</v>
      </c>
      <c r="U25" s="65">
        <f t="shared" si="14"/>
        <v>0.30716318358302158</v>
      </c>
      <c r="V25" s="65">
        <f t="shared" si="14"/>
        <v>0.29905449000210177</v>
      </c>
      <c r="W25" s="65">
        <f t="shared" si="14"/>
        <v>0.30149138936105035</v>
      </c>
      <c r="X25" s="65">
        <f t="shared" si="14"/>
        <v>0.33877553069947447</v>
      </c>
      <c r="Y25" s="66">
        <f t="shared" si="14"/>
        <v>0.30519540537650724</v>
      </c>
    </row>
    <row r="26" spans="3:25" x14ac:dyDescent="0.4">
      <c r="C26" s="73" t="s">
        <v>8</v>
      </c>
      <c r="D26" s="59" t="s">
        <v>9</v>
      </c>
      <c r="E26" s="2">
        <f t="shared" si="10"/>
        <v>9865.6669999999995</v>
      </c>
      <c r="F26" s="2">
        <f t="shared" si="10"/>
        <v>7351.2310000000007</v>
      </c>
      <c r="G26" s="2">
        <f t="shared" si="10"/>
        <v>9174.7999999999975</v>
      </c>
      <c r="H26" s="2">
        <f t="shared" si="10"/>
        <v>10048.3995</v>
      </c>
      <c r="I26" s="2">
        <f t="shared" si="10"/>
        <v>8567.8884999999991</v>
      </c>
      <c r="J26" s="2">
        <f t="shared" si="10"/>
        <v>8600.2209999999995</v>
      </c>
      <c r="K26" s="79">
        <f t="shared" si="11"/>
        <v>53608.206999999995</v>
      </c>
      <c r="L26" s="1">
        <f t="shared" si="12"/>
        <v>2446.8006999999998</v>
      </c>
      <c r="M26" s="2">
        <f t="shared" si="12"/>
        <v>1882.8829999999998</v>
      </c>
      <c r="N26" s="2">
        <f t="shared" si="12"/>
        <v>1945.3813999999995</v>
      </c>
      <c r="O26" s="2">
        <f t="shared" si="12"/>
        <v>2169.0439000000001</v>
      </c>
      <c r="P26" s="2">
        <f t="shared" si="12"/>
        <v>2049.9859999999999</v>
      </c>
      <c r="Q26" s="2">
        <f t="shared" si="12"/>
        <v>2135.3555000000006</v>
      </c>
      <c r="R26" s="75">
        <f t="shared" si="13"/>
        <v>12629.450499999999</v>
      </c>
      <c r="S26" s="84">
        <f t="shared" si="14"/>
        <v>0.24801168537312276</v>
      </c>
      <c r="T26" s="65">
        <f t="shared" si="14"/>
        <v>0.25613166012603872</v>
      </c>
      <c r="U26" s="65">
        <f t="shared" si="14"/>
        <v>0.21203529232244844</v>
      </c>
      <c r="V26" s="65">
        <f t="shared" si="14"/>
        <v>0.21585964013472994</v>
      </c>
      <c r="W26" s="65">
        <f t="shared" si="14"/>
        <v>0.23926385129778477</v>
      </c>
      <c r="X26" s="65">
        <f t="shared" si="14"/>
        <v>0.24829077066740501</v>
      </c>
      <c r="Y26" s="66">
        <f t="shared" si="14"/>
        <v>0.23558800427703169</v>
      </c>
    </row>
    <row r="27" spans="3:25" x14ac:dyDescent="0.4">
      <c r="C27" s="73" t="s">
        <v>10</v>
      </c>
      <c r="D27" s="71" t="s">
        <v>11</v>
      </c>
      <c r="E27" s="2">
        <f t="shared" si="10"/>
        <v>8922.5040000000008</v>
      </c>
      <c r="F27" s="2">
        <f t="shared" si="10"/>
        <v>7284.6795000000002</v>
      </c>
      <c r="G27" s="2">
        <f t="shared" si="10"/>
        <v>7358.3635000000013</v>
      </c>
      <c r="H27" s="2">
        <f t="shared" si="10"/>
        <v>9126.255000000001</v>
      </c>
      <c r="I27" s="2">
        <f t="shared" si="10"/>
        <v>8706.7540000000008</v>
      </c>
      <c r="J27" s="2">
        <f t="shared" si="10"/>
        <v>8745.2235000000001</v>
      </c>
      <c r="K27" s="79">
        <f t="shared" si="11"/>
        <v>50143.779500000004</v>
      </c>
      <c r="L27" s="1">
        <f t="shared" si="12"/>
        <v>2136.9799999999996</v>
      </c>
      <c r="M27" s="2">
        <f t="shared" si="12"/>
        <v>1707.3714999999995</v>
      </c>
      <c r="N27" s="2">
        <f t="shared" si="12"/>
        <v>1668.7415000000001</v>
      </c>
      <c r="O27" s="2">
        <f t="shared" si="12"/>
        <v>2087.9205000000002</v>
      </c>
      <c r="P27" s="2">
        <f t="shared" si="12"/>
        <v>1975.5255</v>
      </c>
      <c r="Q27" s="2">
        <f t="shared" si="12"/>
        <v>1974.895</v>
      </c>
      <c r="R27" s="75">
        <f t="shared" si="13"/>
        <v>11551.433999999999</v>
      </c>
      <c r="S27" s="84">
        <f t="shared" si="14"/>
        <v>0.23950451577270229</v>
      </c>
      <c r="T27" s="65">
        <f t="shared" si="14"/>
        <v>0.234378396468918</v>
      </c>
      <c r="U27" s="65">
        <f t="shared" si="14"/>
        <v>0.22678160707880221</v>
      </c>
      <c r="V27" s="65">
        <f t="shared" si="14"/>
        <v>0.22878174015518962</v>
      </c>
      <c r="W27" s="65">
        <f t="shared" si="14"/>
        <v>0.22689575242392282</v>
      </c>
      <c r="X27" s="65">
        <f t="shared" si="14"/>
        <v>0.22582556066177153</v>
      </c>
      <c r="Y27" s="66">
        <f t="shared" si="14"/>
        <v>0.23036624114063836</v>
      </c>
    </row>
    <row r="28" spans="3:25" x14ac:dyDescent="0.4">
      <c r="C28" s="73" t="s">
        <v>12</v>
      </c>
      <c r="D28" s="71" t="s">
        <v>13</v>
      </c>
      <c r="E28" s="2">
        <f t="shared" si="10"/>
        <v>8936.3290000000015</v>
      </c>
      <c r="F28" s="2">
        <f t="shared" si="10"/>
        <v>2696.21</v>
      </c>
      <c r="G28" s="2">
        <f t="shared" si="10"/>
        <v>10954.129000000001</v>
      </c>
      <c r="H28" s="2">
        <f t="shared" si="10"/>
        <v>0</v>
      </c>
      <c r="I28" s="2">
        <f t="shared" si="10"/>
        <v>3069.9520000000002</v>
      </c>
      <c r="J28" s="2">
        <f t="shared" si="10"/>
        <v>17053.089</v>
      </c>
      <c r="K28" s="79">
        <f t="shared" si="11"/>
        <v>42709.709000000003</v>
      </c>
      <c r="L28" s="1">
        <f t="shared" si="12"/>
        <v>164.114</v>
      </c>
      <c r="M28" s="2">
        <f t="shared" si="12"/>
        <v>38.435000000000002</v>
      </c>
      <c r="N28" s="2">
        <f t="shared" si="12"/>
        <v>189.934</v>
      </c>
      <c r="O28" s="2">
        <f t="shared" si="12"/>
        <v>0</v>
      </c>
      <c r="P28" s="2">
        <f t="shared" si="12"/>
        <v>57.951999999999998</v>
      </c>
      <c r="Q28" s="2">
        <f t="shared" si="12"/>
        <v>420.36400000000003</v>
      </c>
      <c r="R28" s="75">
        <f t="shared" si="13"/>
        <v>870.79899999999998</v>
      </c>
      <c r="S28" s="84">
        <f t="shared" si="14"/>
        <v>1.8364811770023238E-2</v>
      </c>
      <c r="T28" s="65">
        <f t="shared" si="14"/>
        <v>1.4255195255562438E-2</v>
      </c>
      <c r="U28" s="65">
        <f t="shared" si="14"/>
        <v>1.7339032615007546E-2</v>
      </c>
      <c r="V28" s="65" t="str">
        <f t="shared" si="14"/>
        <v>***</v>
      </c>
      <c r="W28" s="65">
        <f t="shared" si="14"/>
        <v>1.8877168112074714E-2</v>
      </c>
      <c r="X28" s="65">
        <f t="shared" si="14"/>
        <v>2.4650314086790963E-2</v>
      </c>
      <c r="Y28" s="66">
        <f t="shared" si="14"/>
        <v>2.0388783262372496E-2</v>
      </c>
    </row>
    <row r="29" spans="3:25" x14ac:dyDescent="0.4">
      <c r="C29" s="73" t="s">
        <v>14</v>
      </c>
      <c r="D29" s="71" t="s">
        <v>15</v>
      </c>
      <c r="E29" s="2">
        <f t="shared" si="10"/>
        <v>45.62</v>
      </c>
      <c r="F29" s="2">
        <f t="shared" si="10"/>
        <v>4.6100000000000003</v>
      </c>
      <c r="G29" s="2">
        <f t="shared" si="10"/>
        <v>12.67</v>
      </c>
      <c r="H29" s="2">
        <f t="shared" si="10"/>
        <v>44.994999999999997</v>
      </c>
      <c r="I29" s="2">
        <f t="shared" si="10"/>
        <v>15.735000000000001</v>
      </c>
      <c r="J29" s="2">
        <f t="shared" si="10"/>
        <v>15.722</v>
      </c>
      <c r="K29" s="79">
        <f t="shared" si="11"/>
        <v>139.352</v>
      </c>
      <c r="L29" s="1">
        <f t="shared" si="12"/>
        <v>12.1815</v>
      </c>
      <c r="M29" s="2">
        <f t="shared" si="12"/>
        <v>2.145</v>
      </c>
      <c r="N29" s="2">
        <f t="shared" si="12"/>
        <v>3.9394999999999998</v>
      </c>
      <c r="O29" s="2">
        <f t="shared" si="12"/>
        <v>10.002000000000001</v>
      </c>
      <c r="P29" s="2">
        <f t="shared" si="12"/>
        <v>5.2255000000000003</v>
      </c>
      <c r="Q29" s="2">
        <f t="shared" si="12"/>
        <v>6.657</v>
      </c>
      <c r="R29" s="75">
        <f t="shared" si="13"/>
        <v>40.150499999999994</v>
      </c>
      <c r="S29" s="84">
        <f t="shared" si="14"/>
        <v>0.26702104340201666</v>
      </c>
      <c r="T29" s="65">
        <f t="shared" si="14"/>
        <v>0.46529284164858997</v>
      </c>
      <c r="U29" s="65">
        <f t="shared" si="14"/>
        <v>0.31093133385951066</v>
      </c>
      <c r="V29" s="65">
        <f t="shared" si="14"/>
        <v>0.22229136570730085</v>
      </c>
      <c r="W29" s="65">
        <f t="shared" si="14"/>
        <v>0.33209405783285667</v>
      </c>
      <c r="X29" s="65">
        <f t="shared" si="14"/>
        <v>0.42341941228851293</v>
      </c>
      <c r="Y29" s="66">
        <f t="shared" si="14"/>
        <v>0.28812288305872891</v>
      </c>
    </row>
    <row r="30" spans="3:25" x14ac:dyDescent="0.4">
      <c r="C30" s="3" t="s">
        <v>5</v>
      </c>
      <c r="D30" s="72"/>
      <c r="E30" s="63">
        <f t="shared" ref="E30:J30" si="15">SUM(E25:E29)</f>
        <v>38403.407500000008</v>
      </c>
      <c r="F30" s="63">
        <f t="shared" si="15"/>
        <v>26724.9185</v>
      </c>
      <c r="G30" s="63">
        <f t="shared" si="15"/>
        <v>35382.728499999997</v>
      </c>
      <c r="H30" s="63">
        <f t="shared" si="15"/>
        <v>28383.2755</v>
      </c>
      <c r="I30" s="63">
        <f t="shared" si="15"/>
        <v>30984.047500000004</v>
      </c>
      <c r="J30" s="63">
        <f t="shared" si="15"/>
        <v>41981.909500000002</v>
      </c>
      <c r="K30" s="80">
        <f t="shared" si="11"/>
        <v>201860.28700000001</v>
      </c>
      <c r="L30" s="76">
        <f t="shared" ref="L30:Q30" si="16">SUM(L25:L29)</f>
        <v>7950.6666999999989</v>
      </c>
      <c r="M30" s="63">
        <f t="shared" si="16"/>
        <v>6376.6954999999998</v>
      </c>
      <c r="N30" s="63">
        <f t="shared" si="16"/>
        <v>6229.2919000000011</v>
      </c>
      <c r="O30" s="63">
        <f t="shared" si="16"/>
        <v>7007.3899000000001</v>
      </c>
      <c r="P30" s="63">
        <f t="shared" si="16"/>
        <v>7291.6484999999993</v>
      </c>
      <c r="Q30" s="63">
        <f t="shared" si="16"/>
        <v>7101.0075000000006</v>
      </c>
      <c r="R30" s="77">
        <f t="shared" si="13"/>
        <v>41956.700000000004</v>
      </c>
      <c r="S30" s="82">
        <f t="shared" si="14"/>
        <v>0.20703024074100709</v>
      </c>
      <c r="T30" s="67">
        <f t="shared" si="14"/>
        <v>0.23860486234972053</v>
      </c>
      <c r="U30" s="67">
        <f t="shared" si="14"/>
        <v>0.17605459398078929</v>
      </c>
      <c r="V30" s="67">
        <f t="shared" si="14"/>
        <v>0.24688446898949348</v>
      </c>
      <c r="W30" s="67">
        <f t="shared" si="14"/>
        <v>0.23533557066745389</v>
      </c>
      <c r="X30" s="67">
        <f t="shared" si="14"/>
        <v>0.16914446209265446</v>
      </c>
      <c r="Y30" s="68">
        <f t="shared" si="14"/>
        <v>0.20785019492219389</v>
      </c>
    </row>
    <row r="31" spans="3:25" x14ac:dyDescent="0.4">
      <c r="C31" s="6"/>
      <c r="E31" s="5"/>
      <c r="F31" s="5"/>
      <c r="G31" s="5"/>
      <c r="H31" s="5"/>
      <c r="I31" s="5"/>
      <c r="J31" s="5"/>
      <c r="K31" s="6"/>
      <c r="L31" s="5"/>
      <c r="M31" s="5"/>
      <c r="N31" s="5"/>
      <c r="O31" s="5"/>
      <c r="P31" s="5"/>
      <c r="Q31" s="5"/>
      <c r="R31" s="6"/>
      <c r="S31" s="7"/>
      <c r="T31" s="7"/>
      <c r="U31" s="7"/>
      <c r="V31" s="7"/>
      <c r="W31" s="7"/>
      <c r="X31" s="7"/>
      <c r="Y31" s="7"/>
    </row>
    <row r="32" spans="3:25" x14ac:dyDescent="0.4">
      <c r="C32" s="6" t="s">
        <v>18</v>
      </c>
    </row>
    <row r="33" spans="3:25" x14ac:dyDescent="0.4">
      <c r="C33" s="87"/>
      <c r="D33" s="88"/>
      <c r="E33" s="87" t="s">
        <v>2</v>
      </c>
      <c r="F33" s="90"/>
      <c r="G33" s="90"/>
      <c r="H33" s="90"/>
      <c r="I33" s="90"/>
      <c r="J33" s="90"/>
      <c r="K33" s="88"/>
      <c r="L33" s="89" t="s">
        <v>3</v>
      </c>
      <c r="M33" s="90"/>
      <c r="N33" s="90"/>
      <c r="O33" s="90"/>
      <c r="P33" s="90"/>
      <c r="Q33" s="90"/>
      <c r="R33" s="88"/>
      <c r="S33" s="89" t="s">
        <v>4</v>
      </c>
      <c r="T33" s="90"/>
      <c r="U33" s="90"/>
      <c r="V33" s="90"/>
      <c r="W33" s="90"/>
      <c r="X33" s="90"/>
      <c r="Y33" s="88"/>
    </row>
    <row r="34" spans="3:25" x14ac:dyDescent="0.4">
      <c r="C34" s="61"/>
      <c r="D34" s="70"/>
      <c r="E34" s="74">
        <v>46113</v>
      </c>
      <c r="F34" s="62">
        <v>46143</v>
      </c>
      <c r="G34" s="62">
        <v>46174</v>
      </c>
      <c r="H34" s="62">
        <v>46204</v>
      </c>
      <c r="I34" s="62">
        <v>46235</v>
      </c>
      <c r="J34" s="62">
        <v>46266</v>
      </c>
      <c r="K34" s="64" t="s">
        <v>5</v>
      </c>
      <c r="L34" s="83">
        <v>46113</v>
      </c>
      <c r="M34" s="62">
        <v>46143</v>
      </c>
      <c r="N34" s="62">
        <v>46174</v>
      </c>
      <c r="O34" s="62">
        <v>46204</v>
      </c>
      <c r="P34" s="62">
        <v>46235</v>
      </c>
      <c r="Q34" s="62">
        <v>46266</v>
      </c>
      <c r="R34" s="64" t="s">
        <v>5</v>
      </c>
      <c r="S34" s="83">
        <v>46113</v>
      </c>
      <c r="T34" s="62">
        <v>46143</v>
      </c>
      <c r="U34" s="62">
        <v>46174</v>
      </c>
      <c r="V34" s="62">
        <v>46204</v>
      </c>
      <c r="W34" s="62">
        <v>46235</v>
      </c>
      <c r="X34" s="62">
        <v>46266</v>
      </c>
      <c r="Y34" s="64" t="s">
        <v>5</v>
      </c>
    </row>
    <row r="35" spans="3:25" x14ac:dyDescent="0.4">
      <c r="C35" s="73" t="s">
        <v>6</v>
      </c>
      <c r="D35" s="71" t="s">
        <v>7</v>
      </c>
      <c r="E35" s="2">
        <v>11800</v>
      </c>
      <c r="F35" s="2">
        <v>10420</v>
      </c>
      <c r="G35" s="2">
        <v>8750</v>
      </c>
      <c r="H35" s="2">
        <v>10170</v>
      </c>
      <c r="I35" s="2">
        <v>11790</v>
      </c>
      <c r="J35" s="2">
        <v>8400</v>
      </c>
      <c r="K35" s="79">
        <f t="shared" ref="K35:K40" si="17">SUM(E35:J35)</f>
        <v>61330</v>
      </c>
      <c r="L35" s="1">
        <v>3540</v>
      </c>
      <c r="M35" s="2">
        <v>3050</v>
      </c>
      <c r="N35" s="2">
        <v>2690</v>
      </c>
      <c r="O35" s="2">
        <v>3040</v>
      </c>
      <c r="P35" s="2">
        <v>3560</v>
      </c>
      <c r="Q35" s="2">
        <v>2850</v>
      </c>
      <c r="R35" s="75">
        <f t="shared" ref="R35:R40" si="18">SUM(L35:Q35)</f>
        <v>18730</v>
      </c>
      <c r="S35" s="84">
        <f t="shared" ref="S35:Y40" si="19">IF(E35=0,"***",L35/E35)</f>
        <v>0.3</v>
      </c>
      <c r="T35" s="65">
        <f t="shared" si="19"/>
        <v>0.29270633397312862</v>
      </c>
      <c r="U35" s="65">
        <f t="shared" si="19"/>
        <v>0.30742857142857144</v>
      </c>
      <c r="V35" s="65">
        <f t="shared" si="19"/>
        <v>0.29891838741396265</v>
      </c>
      <c r="W35" s="65">
        <f t="shared" si="19"/>
        <v>0.30195080576759964</v>
      </c>
      <c r="X35" s="65">
        <f t="shared" si="19"/>
        <v>0.3392857142857143</v>
      </c>
      <c r="Y35" s="66">
        <f t="shared" si="19"/>
        <v>0.30539703244741562</v>
      </c>
    </row>
    <row r="36" spans="3:25" x14ac:dyDescent="0.4">
      <c r="C36" s="73" t="s">
        <v>8</v>
      </c>
      <c r="D36" s="59" t="s">
        <v>9</v>
      </c>
      <c r="E36" s="2">
        <v>10950</v>
      </c>
      <c r="F36" s="2">
        <v>8160</v>
      </c>
      <c r="G36" s="2">
        <v>10180</v>
      </c>
      <c r="H36" s="2">
        <v>11150</v>
      </c>
      <c r="I36" s="2">
        <v>9510</v>
      </c>
      <c r="J36" s="2">
        <v>9550</v>
      </c>
      <c r="K36" s="79">
        <f t="shared" si="17"/>
        <v>59500</v>
      </c>
      <c r="L36" s="1">
        <v>2720</v>
      </c>
      <c r="M36" s="2">
        <v>2090</v>
      </c>
      <c r="N36" s="2">
        <v>2160</v>
      </c>
      <c r="O36" s="2">
        <v>2410</v>
      </c>
      <c r="P36" s="2">
        <v>2280</v>
      </c>
      <c r="Q36" s="2">
        <v>2370</v>
      </c>
      <c r="R36" s="75">
        <f t="shared" si="18"/>
        <v>14030</v>
      </c>
      <c r="S36" s="84">
        <f t="shared" si="19"/>
        <v>0.24840182648401826</v>
      </c>
      <c r="T36" s="65">
        <f t="shared" si="19"/>
        <v>0.25612745098039214</v>
      </c>
      <c r="U36" s="65">
        <f t="shared" si="19"/>
        <v>0.21218074656188604</v>
      </c>
      <c r="V36" s="65">
        <f t="shared" si="19"/>
        <v>0.21614349775784752</v>
      </c>
      <c r="W36" s="65">
        <f t="shared" si="19"/>
        <v>0.23974763406940064</v>
      </c>
      <c r="X36" s="65">
        <f t="shared" si="19"/>
        <v>0.24816753926701571</v>
      </c>
      <c r="Y36" s="66">
        <f t="shared" si="19"/>
        <v>0.2357983193277311</v>
      </c>
    </row>
    <row r="37" spans="3:25" x14ac:dyDescent="0.4">
      <c r="C37" s="73" t="s">
        <v>10</v>
      </c>
      <c r="D37" s="71" t="s">
        <v>11</v>
      </c>
      <c r="E37" s="2">
        <v>9900</v>
      </c>
      <c r="F37" s="2">
        <v>8090</v>
      </c>
      <c r="G37" s="2">
        <v>8170</v>
      </c>
      <c r="H37" s="2">
        <v>10130</v>
      </c>
      <c r="I37" s="2">
        <v>9670</v>
      </c>
      <c r="J37" s="2">
        <v>9710</v>
      </c>
      <c r="K37" s="79">
        <f t="shared" si="17"/>
        <v>55670</v>
      </c>
      <c r="L37" s="1">
        <v>2370</v>
      </c>
      <c r="M37" s="2">
        <v>1890</v>
      </c>
      <c r="N37" s="2">
        <v>1860</v>
      </c>
      <c r="O37" s="2">
        <v>2320</v>
      </c>
      <c r="P37" s="2">
        <v>2190</v>
      </c>
      <c r="Q37" s="2">
        <v>2190</v>
      </c>
      <c r="R37" s="75">
        <f t="shared" si="18"/>
        <v>12820</v>
      </c>
      <c r="S37" s="84">
        <f t="shared" si="19"/>
        <v>0.23939393939393938</v>
      </c>
      <c r="T37" s="65">
        <f t="shared" si="19"/>
        <v>0.23362175525339926</v>
      </c>
      <c r="U37" s="65">
        <f t="shared" si="19"/>
        <v>0.22766217870257038</v>
      </c>
      <c r="V37" s="65">
        <f t="shared" si="19"/>
        <v>0.22902270483711748</v>
      </c>
      <c r="W37" s="65">
        <f t="shared" si="19"/>
        <v>0.2264736297828335</v>
      </c>
      <c r="X37" s="65">
        <f t="shared" si="19"/>
        <v>0.22554067971163749</v>
      </c>
      <c r="Y37" s="66">
        <f t="shared" si="19"/>
        <v>0.23028561164002156</v>
      </c>
    </row>
    <row r="38" spans="3:25" x14ac:dyDescent="0.4">
      <c r="C38" s="73" t="s">
        <v>12</v>
      </c>
      <c r="D38" s="71" t="s">
        <v>13</v>
      </c>
      <c r="E38" s="2">
        <v>0</v>
      </c>
      <c r="F38" s="2">
        <v>0</v>
      </c>
      <c r="G38" s="2">
        <v>0</v>
      </c>
      <c r="H38" s="2">
        <v>0</v>
      </c>
      <c r="I38" s="2">
        <v>0</v>
      </c>
      <c r="J38" s="2">
        <v>0</v>
      </c>
      <c r="K38" s="79">
        <f t="shared" si="17"/>
        <v>0</v>
      </c>
      <c r="L38" s="1">
        <v>0</v>
      </c>
      <c r="M38" s="2">
        <v>0</v>
      </c>
      <c r="N38" s="2">
        <v>0</v>
      </c>
      <c r="O38" s="2">
        <v>0</v>
      </c>
      <c r="P38" s="2">
        <v>0</v>
      </c>
      <c r="Q38" s="2">
        <v>0</v>
      </c>
      <c r="R38" s="75">
        <f t="shared" si="18"/>
        <v>0</v>
      </c>
      <c r="S38" s="84" t="str">
        <f t="shared" si="19"/>
        <v>***</v>
      </c>
      <c r="T38" s="65" t="str">
        <f t="shared" si="19"/>
        <v>***</v>
      </c>
      <c r="U38" s="65" t="str">
        <f t="shared" si="19"/>
        <v>***</v>
      </c>
      <c r="V38" s="65" t="str">
        <f t="shared" si="19"/>
        <v>***</v>
      </c>
      <c r="W38" s="65" t="str">
        <f t="shared" si="19"/>
        <v>***</v>
      </c>
      <c r="X38" s="65" t="str">
        <f t="shared" si="19"/>
        <v>***</v>
      </c>
      <c r="Y38" s="66" t="str">
        <f t="shared" si="19"/>
        <v>***</v>
      </c>
    </row>
    <row r="39" spans="3:25" x14ac:dyDescent="0.4">
      <c r="C39" s="73" t="s">
        <v>14</v>
      </c>
      <c r="D39" s="71" t="s">
        <v>15</v>
      </c>
      <c r="E39" s="2"/>
      <c r="F39" s="2"/>
      <c r="G39" s="2"/>
      <c r="H39" s="2"/>
      <c r="I39" s="2"/>
      <c r="J39" s="2"/>
      <c r="K39" s="79">
        <f t="shared" si="17"/>
        <v>0</v>
      </c>
      <c r="L39" s="1"/>
      <c r="M39" s="2"/>
      <c r="N39" s="2"/>
      <c r="O39" s="2"/>
      <c r="P39" s="2"/>
      <c r="Q39" s="2"/>
      <c r="R39" s="75">
        <f t="shared" si="18"/>
        <v>0</v>
      </c>
      <c r="S39" s="84" t="str">
        <f t="shared" si="19"/>
        <v>***</v>
      </c>
      <c r="T39" s="65" t="str">
        <f t="shared" si="19"/>
        <v>***</v>
      </c>
      <c r="U39" s="65" t="str">
        <f t="shared" si="19"/>
        <v>***</v>
      </c>
      <c r="V39" s="65" t="str">
        <f t="shared" si="19"/>
        <v>***</v>
      </c>
      <c r="W39" s="65" t="str">
        <f t="shared" si="19"/>
        <v>***</v>
      </c>
      <c r="X39" s="65" t="str">
        <f t="shared" si="19"/>
        <v>***</v>
      </c>
      <c r="Y39" s="66" t="str">
        <f t="shared" si="19"/>
        <v>***</v>
      </c>
    </row>
    <row r="40" spans="3:25" x14ac:dyDescent="0.4">
      <c r="C40" s="3" t="s">
        <v>5</v>
      </c>
      <c r="D40" s="72"/>
      <c r="E40" s="63">
        <f t="shared" ref="E40:J40" si="20">SUM(E35:E39)</f>
        <v>32650</v>
      </c>
      <c r="F40" s="63">
        <f t="shared" si="20"/>
        <v>26670</v>
      </c>
      <c r="G40" s="63">
        <f t="shared" si="20"/>
        <v>27100</v>
      </c>
      <c r="H40" s="63">
        <f t="shared" si="20"/>
        <v>31450</v>
      </c>
      <c r="I40" s="63">
        <f t="shared" si="20"/>
        <v>30970</v>
      </c>
      <c r="J40" s="63">
        <f t="shared" si="20"/>
        <v>27660</v>
      </c>
      <c r="K40" s="80">
        <f t="shared" si="17"/>
        <v>176500</v>
      </c>
      <c r="L40" s="76">
        <f t="shared" ref="L40:Q40" si="21">SUM(L35:L39)</f>
        <v>8630</v>
      </c>
      <c r="M40" s="63">
        <f t="shared" si="21"/>
        <v>7030</v>
      </c>
      <c r="N40" s="63">
        <f t="shared" si="21"/>
        <v>6710</v>
      </c>
      <c r="O40" s="63">
        <f t="shared" si="21"/>
        <v>7770</v>
      </c>
      <c r="P40" s="63">
        <f t="shared" si="21"/>
        <v>8030</v>
      </c>
      <c r="Q40" s="63">
        <f t="shared" si="21"/>
        <v>7410</v>
      </c>
      <c r="R40" s="77">
        <f t="shared" si="18"/>
        <v>45580</v>
      </c>
      <c r="S40" s="82">
        <f t="shared" si="19"/>
        <v>0.26431852986217458</v>
      </c>
      <c r="T40" s="67">
        <f t="shared" si="19"/>
        <v>0.26359205099362581</v>
      </c>
      <c r="U40" s="67">
        <f t="shared" si="19"/>
        <v>0.24760147601476015</v>
      </c>
      <c r="V40" s="67">
        <f t="shared" si="19"/>
        <v>0.24705882352941178</v>
      </c>
      <c r="W40" s="67">
        <f t="shared" si="19"/>
        <v>0.25928317726832417</v>
      </c>
      <c r="X40" s="67">
        <f t="shared" si="19"/>
        <v>0.26789587852494579</v>
      </c>
      <c r="Y40" s="68">
        <f t="shared" si="19"/>
        <v>0.25824362606232293</v>
      </c>
    </row>
    <row r="41" spans="3:25" hidden="1" x14ac:dyDescent="0.4">
      <c r="C41" s="6"/>
      <c r="E41" s="5"/>
      <c r="F41" s="5"/>
      <c r="G41" s="5"/>
      <c r="H41" s="5"/>
      <c r="I41" s="5"/>
      <c r="J41" s="5"/>
      <c r="K41" s="6"/>
      <c r="L41" s="5"/>
      <c r="M41" s="5"/>
      <c r="N41" s="5"/>
      <c r="O41" s="5"/>
      <c r="P41" s="5"/>
      <c r="Q41" s="5"/>
      <c r="R41" s="6"/>
      <c r="S41" s="7"/>
      <c r="T41" s="7"/>
      <c r="U41" s="7"/>
      <c r="V41" s="7"/>
      <c r="W41" s="7"/>
      <c r="X41" s="7"/>
      <c r="Y41" s="7"/>
    </row>
    <row r="42" spans="3:25" hidden="1" x14ac:dyDescent="0.4">
      <c r="C42" s="6" t="s">
        <v>19</v>
      </c>
    </row>
    <row r="43" spans="3:25" hidden="1" x14ac:dyDescent="0.4">
      <c r="C43" s="87"/>
      <c r="D43" s="88"/>
      <c r="E43" s="87" t="s">
        <v>2</v>
      </c>
      <c r="F43" s="90"/>
      <c r="G43" s="90"/>
      <c r="H43" s="90"/>
      <c r="I43" s="90"/>
      <c r="J43" s="90"/>
      <c r="K43" s="88"/>
      <c r="L43" s="89" t="s">
        <v>3</v>
      </c>
      <c r="M43" s="90"/>
      <c r="N43" s="90"/>
      <c r="O43" s="90"/>
      <c r="P43" s="90"/>
      <c r="Q43" s="90"/>
      <c r="R43" s="88"/>
      <c r="S43" s="89" t="s">
        <v>4</v>
      </c>
      <c r="T43" s="90"/>
      <c r="U43" s="90"/>
      <c r="V43" s="90"/>
      <c r="W43" s="90"/>
      <c r="X43" s="90"/>
      <c r="Y43" s="88"/>
    </row>
    <row r="44" spans="3:25" hidden="1" x14ac:dyDescent="0.4">
      <c r="C44" s="61"/>
      <c r="D44" s="70"/>
      <c r="E44" s="74">
        <v>46113</v>
      </c>
      <c r="F44" s="62">
        <v>46143</v>
      </c>
      <c r="G44" s="62">
        <v>46174</v>
      </c>
      <c r="H44" s="62">
        <v>46204</v>
      </c>
      <c r="I44" s="62">
        <v>46235</v>
      </c>
      <c r="J44" s="62">
        <v>46266</v>
      </c>
      <c r="K44" s="64" t="s">
        <v>5</v>
      </c>
      <c r="L44" s="83">
        <v>46113</v>
      </c>
      <c r="M44" s="62">
        <v>46143</v>
      </c>
      <c r="N44" s="62">
        <v>46174</v>
      </c>
      <c r="O44" s="62">
        <v>46204</v>
      </c>
      <c r="P44" s="62">
        <v>46235</v>
      </c>
      <c r="Q44" s="62">
        <v>46266</v>
      </c>
      <c r="R44" s="64" t="s">
        <v>5</v>
      </c>
      <c r="S44" s="83">
        <v>46113</v>
      </c>
      <c r="T44" s="62">
        <v>46143</v>
      </c>
      <c r="U44" s="62">
        <v>46174</v>
      </c>
      <c r="V44" s="62">
        <v>46204</v>
      </c>
      <c r="W44" s="62">
        <v>46235</v>
      </c>
      <c r="X44" s="62">
        <v>46266</v>
      </c>
      <c r="Y44" s="64" t="s">
        <v>5</v>
      </c>
    </row>
    <row r="45" spans="3:25" hidden="1" x14ac:dyDescent="0.4">
      <c r="C45" s="73" t="s">
        <v>6</v>
      </c>
      <c r="D45" s="71" t="s">
        <v>7</v>
      </c>
      <c r="E45" s="2">
        <f t="shared" ref="E45:J49" si="22">E35-E15</f>
        <v>-71.789000000000669</v>
      </c>
      <c r="F45" s="2">
        <f t="shared" si="22"/>
        <v>2644.9859999999999</v>
      </c>
      <c r="G45" s="2">
        <f t="shared" si="22"/>
        <v>278.19000000000051</v>
      </c>
      <c r="H45" s="2">
        <f t="shared" si="22"/>
        <v>212.95799999999872</v>
      </c>
      <c r="I45" s="2">
        <f t="shared" si="22"/>
        <v>1490.5</v>
      </c>
      <c r="J45" s="2">
        <f t="shared" si="22"/>
        <v>-386.09400000000278</v>
      </c>
      <c r="K45" s="79">
        <f t="shared" ref="K45:K50" si="23">SUM(E45:J45)</f>
        <v>4168.7509999999957</v>
      </c>
      <c r="L45" s="1">
        <f t="shared" ref="L45:Q49" si="24">L35-L15</f>
        <v>-151.15000000000009</v>
      </c>
      <c r="M45" s="2">
        <f t="shared" si="24"/>
        <v>562.07099999999991</v>
      </c>
      <c r="N45" s="2">
        <f t="shared" si="24"/>
        <v>-12.119000000001051</v>
      </c>
      <c r="O45" s="2">
        <f t="shared" si="24"/>
        <v>-82.603000000000065</v>
      </c>
      <c r="P45" s="2">
        <f t="shared" si="24"/>
        <v>333.85399999999981</v>
      </c>
      <c r="Q45" s="2">
        <f t="shared" si="24"/>
        <v>119.68399999999883</v>
      </c>
      <c r="R45" s="75">
        <f t="shared" ref="R45:R50" si="25">SUM(L45:Q45)</f>
        <v>769.73699999999735</v>
      </c>
      <c r="S45" s="84">
        <f t="shared" ref="S45:Y50" si="26">S35-S15</f>
        <v>-1.0917756371849274E-2</v>
      </c>
      <c r="T45" s="65">
        <f t="shared" si="26"/>
        <v>-2.7283958005766884E-2</v>
      </c>
      <c r="U45" s="65">
        <f t="shared" si="26"/>
        <v>-1.1525583586708799E-2</v>
      </c>
      <c r="V45" s="65">
        <f t="shared" si="26"/>
        <v>-1.4689107663390599E-2</v>
      </c>
      <c r="W45" s="65">
        <f t="shared" si="26"/>
        <v>-1.1282457983067873E-2</v>
      </c>
      <c r="X45" s="65">
        <f t="shared" si="26"/>
        <v>2.8531470135811032E-2</v>
      </c>
      <c r="Y45" s="66">
        <f t="shared" si="26"/>
        <v>-8.8064413080301551E-3</v>
      </c>
    </row>
    <row r="46" spans="3:25" hidden="1" x14ac:dyDescent="0.4">
      <c r="C46" s="73" t="s">
        <v>8</v>
      </c>
      <c r="D46" s="59" t="s">
        <v>9</v>
      </c>
      <c r="E46" s="2">
        <f t="shared" si="22"/>
        <v>762.53700000000026</v>
      </c>
      <c r="F46" s="2">
        <f t="shared" si="22"/>
        <v>-799.19600000000173</v>
      </c>
      <c r="G46" s="2">
        <f t="shared" si="22"/>
        <v>1633.2510000000038</v>
      </c>
      <c r="H46" s="2">
        <f t="shared" si="22"/>
        <v>1556.9899999999998</v>
      </c>
      <c r="I46" s="2">
        <f t="shared" si="22"/>
        <v>2143.6989999999996</v>
      </c>
      <c r="J46" s="2">
        <f t="shared" si="22"/>
        <v>2128.052999999999</v>
      </c>
      <c r="K46" s="79">
        <f t="shared" si="23"/>
        <v>7425.3340000000007</v>
      </c>
      <c r="L46" s="1">
        <f t="shared" si="24"/>
        <v>11.419199999999819</v>
      </c>
      <c r="M46" s="2">
        <f t="shared" si="24"/>
        <v>-379.71599999999989</v>
      </c>
      <c r="N46" s="2">
        <f t="shared" si="24"/>
        <v>182.69420000000105</v>
      </c>
      <c r="O46" s="2">
        <f t="shared" si="24"/>
        <v>329.15599999999995</v>
      </c>
      <c r="P46" s="2">
        <f t="shared" si="24"/>
        <v>329.25099999999998</v>
      </c>
      <c r="Q46" s="2">
        <f t="shared" si="24"/>
        <v>371.87699999999995</v>
      </c>
      <c r="R46" s="75">
        <f t="shared" si="25"/>
        <v>844.68140000000085</v>
      </c>
      <c r="S46" s="84">
        <f t="shared" si="26"/>
        <v>-1.7472101107178895E-2</v>
      </c>
      <c r="T46" s="65">
        <f t="shared" si="26"/>
        <v>-1.953523125136164E-2</v>
      </c>
      <c r="U46" s="65">
        <f t="shared" si="26"/>
        <v>-1.9171057498347827E-2</v>
      </c>
      <c r="V46" s="65">
        <f t="shared" si="26"/>
        <v>-7.6902500612333058E-4</v>
      </c>
      <c r="W46" s="65">
        <f t="shared" si="26"/>
        <v>-2.5073067664074522E-2</v>
      </c>
      <c r="X46" s="65">
        <f t="shared" si="26"/>
        <v>-2.1050632191228297E-2</v>
      </c>
      <c r="Y46" s="66">
        <f t="shared" si="26"/>
        <v>-1.7401933555311888E-2</v>
      </c>
    </row>
    <row r="47" spans="3:25" hidden="1" x14ac:dyDescent="0.4">
      <c r="C47" s="73" t="s">
        <v>10</v>
      </c>
      <c r="D47" s="71" t="s">
        <v>11</v>
      </c>
      <c r="E47" s="2">
        <f t="shared" si="22"/>
        <v>477.19099999999889</v>
      </c>
      <c r="F47" s="2">
        <f t="shared" si="22"/>
        <v>738.75199999999859</v>
      </c>
      <c r="G47" s="2">
        <f t="shared" si="22"/>
        <v>778.61399999999867</v>
      </c>
      <c r="H47" s="2">
        <f t="shared" si="22"/>
        <v>530.0630000000001</v>
      </c>
      <c r="I47" s="2">
        <f t="shared" si="22"/>
        <v>1386.9169999999976</v>
      </c>
      <c r="J47" s="2">
        <f t="shared" si="22"/>
        <v>612.19200000000092</v>
      </c>
      <c r="K47" s="79">
        <f t="shared" si="23"/>
        <v>4523.7289999999948</v>
      </c>
      <c r="L47" s="1">
        <f t="shared" si="24"/>
        <v>128.17700000000104</v>
      </c>
      <c r="M47" s="2">
        <f t="shared" si="24"/>
        <v>98.908000000001039</v>
      </c>
      <c r="N47" s="2">
        <f t="shared" si="24"/>
        <v>149.279</v>
      </c>
      <c r="O47" s="2">
        <f t="shared" si="24"/>
        <v>19.601999999999862</v>
      </c>
      <c r="P47" s="2">
        <f t="shared" si="24"/>
        <v>180.35500000000002</v>
      </c>
      <c r="Q47" s="2">
        <f t="shared" si="24"/>
        <v>345.16799999999989</v>
      </c>
      <c r="R47" s="75">
        <f t="shared" si="25"/>
        <v>921.48900000000185</v>
      </c>
      <c r="S47" s="84">
        <f t="shared" si="26"/>
        <v>1.4794279144008937E-3</v>
      </c>
      <c r="T47" s="65">
        <f t="shared" si="26"/>
        <v>-1.0022861279738865E-2</v>
      </c>
      <c r="U47" s="65">
        <f t="shared" si="26"/>
        <v>-3.7857527138107638E-3</v>
      </c>
      <c r="V47" s="65">
        <f t="shared" si="26"/>
        <v>-1.0603659377564356E-2</v>
      </c>
      <c r="W47" s="65">
        <f t="shared" si="26"/>
        <v>-1.6146780998997301E-2</v>
      </c>
      <c r="X47" s="65">
        <f t="shared" si="26"/>
        <v>2.2763043604126731E-2</v>
      </c>
      <c r="Y47" s="66">
        <f t="shared" si="26"/>
        <v>-2.351309241268057E-3</v>
      </c>
    </row>
    <row r="48" spans="3:25" hidden="1" x14ac:dyDescent="0.4">
      <c r="C48" s="73" t="s">
        <v>12</v>
      </c>
      <c r="D48" s="71" t="s">
        <v>13</v>
      </c>
      <c r="E48" s="2">
        <f t="shared" si="22"/>
        <v>-9358.2080000000005</v>
      </c>
      <c r="F48" s="2">
        <f t="shared" si="22"/>
        <v>-2209.46</v>
      </c>
      <c r="G48" s="2">
        <f t="shared" si="22"/>
        <v>-11193.008</v>
      </c>
      <c r="H48" s="2">
        <f t="shared" si="22"/>
        <v>0</v>
      </c>
      <c r="I48" s="2">
        <f t="shared" si="22"/>
        <v>-6139.9040000000005</v>
      </c>
      <c r="J48" s="2">
        <f t="shared" si="22"/>
        <v>-9994.7119999999995</v>
      </c>
      <c r="K48" s="79">
        <f t="shared" si="23"/>
        <v>-38895.292000000001</v>
      </c>
      <c r="L48" s="1">
        <f t="shared" si="24"/>
        <v>-173.928</v>
      </c>
      <c r="M48" s="2">
        <f t="shared" si="24"/>
        <v>-19.309999999999999</v>
      </c>
      <c r="N48" s="2">
        <f t="shared" si="24"/>
        <v>-196.12799999999999</v>
      </c>
      <c r="O48" s="2">
        <f t="shared" si="24"/>
        <v>0</v>
      </c>
      <c r="P48" s="2">
        <f t="shared" si="24"/>
        <v>-115.904</v>
      </c>
      <c r="Q48" s="2">
        <f t="shared" si="24"/>
        <v>-197.75200000000001</v>
      </c>
      <c r="R48" s="75">
        <f t="shared" si="25"/>
        <v>-703.02199999999993</v>
      </c>
      <c r="S48" s="84" t="e">
        <f t="shared" si="26"/>
        <v>#VALUE!</v>
      </c>
      <c r="T48" s="65" t="e">
        <f t="shared" si="26"/>
        <v>#VALUE!</v>
      </c>
      <c r="U48" s="65" t="e">
        <f t="shared" si="26"/>
        <v>#VALUE!</v>
      </c>
      <c r="V48" s="65" t="e">
        <f t="shared" si="26"/>
        <v>#VALUE!</v>
      </c>
      <c r="W48" s="65" t="e">
        <f t="shared" si="26"/>
        <v>#VALUE!</v>
      </c>
      <c r="X48" s="65" t="e">
        <f t="shared" si="26"/>
        <v>#VALUE!</v>
      </c>
      <c r="Y48" s="66" t="e">
        <f t="shared" si="26"/>
        <v>#VALUE!</v>
      </c>
    </row>
    <row r="49" spans="3:25" hidden="1" x14ac:dyDescent="0.4">
      <c r="C49" s="73" t="s">
        <v>14</v>
      </c>
      <c r="D49" s="71" t="s">
        <v>15</v>
      </c>
      <c r="E49" s="2">
        <f t="shared" si="22"/>
        <v>-27.05</v>
      </c>
      <c r="F49" s="2">
        <f t="shared" si="22"/>
        <v>0</v>
      </c>
      <c r="G49" s="2">
        <f t="shared" si="22"/>
        <v>-11.3</v>
      </c>
      <c r="H49" s="2">
        <f t="shared" si="22"/>
        <v>-12.3</v>
      </c>
      <c r="I49" s="2">
        <f t="shared" si="22"/>
        <v>-1.1000000000000001</v>
      </c>
      <c r="J49" s="2">
        <f t="shared" si="22"/>
        <v>0</v>
      </c>
      <c r="K49" s="79">
        <f t="shared" si="23"/>
        <v>-51.750000000000007</v>
      </c>
      <c r="L49" s="1">
        <f t="shared" si="24"/>
        <v>-5.3010000000000002</v>
      </c>
      <c r="M49" s="2">
        <f t="shared" si="24"/>
        <v>0</v>
      </c>
      <c r="N49" s="2">
        <f t="shared" si="24"/>
        <v>-2.4990000000000001</v>
      </c>
      <c r="O49" s="2">
        <f t="shared" si="24"/>
        <v>-4.8</v>
      </c>
      <c r="P49" s="2">
        <f t="shared" si="24"/>
        <v>-0.375</v>
      </c>
      <c r="Q49" s="2">
        <f t="shared" si="24"/>
        <v>0</v>
      </c>
      <c r="R49" s="75">
        <f t="shared" si="25"/>
        <v>-12.975000000000001</v>
      </c>
      <c r="S49" s="84" t="e">
        <f t="shared" si="26"/>
        <v>#VALUE!</v>
      </c>
      <c r="T49" s="65" t="e">
        <f t="shared" si="26"/>
        <v>#VALUE!</v>
      </c>
      <c r="U49" s="65" t="e">
        <f t="shared" si="26"/>
        <v>#VALUE!</v>
      </c>
      <c r="V49" s="65" t="e">
        <f t="shared" si="26"/>
        <v>#VALUE!</v>
      </c>
      <c r="W49" s="65" t="e">
        <f t="shared" si="26"/>
        <v>#VALUE!</v>
      </c>
      <c r="X49" s="65" t="e">
        <f t="shared" si="26"/>
        <v>#VALUE!</v>
      </c>
      <c r="Y49" s="66" t="e">
        <f t="shared" si="26"/>
        <v>#VALUE!</v>
      </c>
    </row>
    <row r="50" spans="3:25" hidden="1" x14ac:dyDescent="0.4">
      <c r="C50" s="3" t="s">
        <v>5</v>
      </c>
      <c r="D50" s="72"/>
      <c r="E50" s="63">
        <f t="shared" ref="E50:J50" si="27">SUM(E45:E49)</f>
        <v>-8217.3190000000013</v>
      </c>
      <c r="F50" s="63">
        <f t="shared" si="27"/>
        <v>375.0819999999967</v>
      </c>
      <c r="G50" s="63">
        <f t="shared" si="27"/>
        <v>-8514.252999999997</v>
      </c>
      <c r="H50" s="63">
        <f t="shared" si="27"/>
        <v>2287.7109999999984</v>
      </c>
      <c r="I50" s="63">
        <f t="shared" si="27"/>
        <v>-1119.8880000000031</v>
      </c>
      <c r="J50" s="63">
        <f t="shared" si="27"/>
        <v>-7640.5610000000024</v>
      </c>
      <c r="K50" s="80">
        <f t="shared" si="23"/>
        <v>-22829.228000000006</v>
      </c>
      <c r="L50" s="76">
        <f t="shared" ref="L50:Q50" si="28">SUM(L45:L49)</f>
        <v>-190.78279999999921</v>
      </c>
      <c r="M50" s="63">
        <f t="shared" si="28"/>
        <v>261.95300000000105</v>
      </c>
      <c r="N50" s="63">
        <f t="shared" si="28"/>
        <v>121.22720000000001</v>
      </c>
      <c r="O50" s="63">
        <f t="shared" si="28"/>
        <v>261.35499999999973</v>
      </c>
      <c r="P50" s="63">
        <f t="shared" si="28"/>
        <v>727.18099999999981</v>
      </c>
      <c r="Q50" s="63">
        <f t="shared" si="28"/>
        <v>638.97699999999872</v>
      </c>
      <c r="R50" s="77">
        <f t="shared" si="25"/>
        <v>1819.9104</v>
      </c>
      <c r="S50" s="82">
        <f t="shared" si="26"/>
        <v>4.8479002928685289E-2</v>
      </c>
      <c r="T50" s="67">
        <f t="shared" si="26"/>
        <v>6.2021249250220345E-3</v>
      </c>
      <c r="U50" s="67">
        <f t="shared" si="26"/>
        <v>6.2597657459307066E-2</v>
      </c>
      <c r="V50" s="67">
        <f t="shared" si="26"/>
        <v>-1.0419078839637497E-2</v>
      </c>
      <c r="W50" s="67">
        <f t="shared" si="26"/>
        <v>3.1709338431616441E-2</v>
      </c>
      <c r="X50" s="67">
        <f t="shared" si="26"/>
        <v>7.6085244127379076E-2</v>
      </c>
      <c r="Y50" s="68">
        <f t="shared" si="26"/>
        <v>3.8706882559759431E-2</v>
      </c>
    </row>
    <row r="51" spans="3:25" hidden="1" x14ac:dyDescent="0.4"/>
    <row r="52" spans="3:25" hidden="1" x14ac:dyDescent="0.4">
      <c r="C52" s="6" t="s">
        <v>20</v>
      </c>
    </row>
    <row r="53" spans="3:25" hidden="1" x14ac:dyDescent="0.4">
      <c r="C53" s="87"/>
      <c r="D53" s="88"/>
      <c r="E53" s="87" t="s">
        <v>2</v>
      </c>
      <c r="F53" s="90"/>
      <c r="G53" s="90"/>
      <c r="H53" s="90"/>
      <c r="I53" s="90"/>
      <c r="J53" s="90"/>
      <c r="K53" s="88"/>
      <c r="L53" s="89" t="s">
        <v>3</v>
      </c>
      <c r="M53" s="90"/>
      <c r="N53" s="90"/>
      <c r="O53" s="90"/>
      <c r="P53" s="90"/>
      <c r="Q53" s="90"/>
      <c r="R53" s="88"/>
      <c r="S53" s="89" t="s">
        <v>4</v>
      </c>
      <c r="T53" s="90"/>
      <c r="U53" s="90"/>
      <c r="V53" s="90"/>
      <c r="W53" s="90"/>
      <c r="X53" s="90"/>
      <c r="Y53" s="88"/>
    </row>
    <row r="54" spans="3:25" hidden="1" x14ac:dyDescent="0.4">
      <c r="C54" s="61"/>
      <c r="D54" s="70"/>
      <c r="E54" s="74">
        <v>46113</v>
      </c>
      <c r="F54" s="62">
        <v>46143</v>
      </c>
      <c r="G54" s="62">
        <v>46174</v>
      </c>
      <c r="H54" s="62">
        <v>46204</v>
      </c>
      <c r="I54" s="62">
        <v>46235</v>
      </c>
      <c r="J54" s="62">
        <v>46266</v>
      </c>
      <c r="K54" s="64" t="s">
        <v>5</v>
      </c>
      <c r="L54" s="83">
        <v>46113</v>
      </c>
      <c r="M54" s="62">
        <v>46143</v>
      </c>
      <c r="N54" s="62">
        <v>46174</v>
      </c>
      <c r="O54" s="62">
        <v>46204</v>
      </c>
      <c r="P54" s="62">
        <v>46235</v>
      </c>
      <c r="Q54" s="62">
        <v>46266</v>
      </c>
      <c r="R54" s="64" t="s">
        <v>5</v>
      </c>
      <c r="S54" s="83">
        <v>46113</v>
      </c>
      <c r="T54" s="62">
        <v>46143</v>
      </c>
      <c r="U54" s="62">
        <v>46174</v>
      </c>
      <c r="V54" s="62">
        <v>46204</v>
      </c>
      <c r="W54" s="62">
        <v>46235</v>
      </c>
      <c r="X54" s="62">
        <v>46266</v>
      </c>
      <c r="Y54" s="64" t="s">
        <v>5</v>
      </c>
    </row>
    <row r="55" spans="3:25" hidden="1" x14ac:dyDescent="0.4">
      <c r="C55" s="73" t="s">
        <v>6</v>
      </c>
      <c r="D55" s="71" t="s">
        <v>7</v>
      </c>
      <c r="E55" s="2">
        <f t="shared" ref="E55:J59" si="29">E35-E25</f>
        <v>1166.7124999999978</v>
      </c>
      <c r="F55" s="2">
        <f t="shared" si="29"/>
        <v>1031.8119999999999</v>
      </c>
      <c r="G55" s="2">
        <f t="shared" si="29"/>
        <v>867.23400000000038</v>
      </c>
      <c r="H55" s="2">
        <f t="shared" si="29"/>
        <v>1006.3739999999998</v>
      </c>
      <c r="I55" s="2">
        <f t="shared" si="29"/>
        <v>1166.2819999999992</v>
      </c>
      <c r="J55" s="2">
        <f t="shared" si="29"/>
        <v>832.34599999999955</v>
      </c>
      <c r="K55" s="79">
        <f t="shared" ref="K55:K60" si="30">SUM(E55:J55)</f>
        <v>6070.7604999999967</v>
      </c>
      <c r="L55" s="1">
        <f t="shared" ref="L55:Q59" si="31">L35-L25</f>
        <v>349.40949999999975</v>
      </c>
      <c r="M55" s="2">
        <f t="shared" si="31"/>
        <v>304.13900000000012</v>
      </c>
      <c r="N55" s="2">
        <f t="shared" si="31"/>
        <v>268.70449999999937</v>
      </c>
      <c r="O55" s="2">
        <f t="shared" si="31"/>
        <v>299.57650000000012</v>
      </c>
      <c r="P55" s="2">
        <f t="shared" si="31"/>
        <v>357.04050000000052</v>
      </c>
      <c r="Q55" s="2">
        <f t="shared" si="31"/>
        <v>286.26399999999921</v>
      </c>
      <c r="R55" s="75">
        <f t="shared" ref="R55:R60" si="32">SUM(L55:Q55)</f>
        <v>1865.1339999999991</v>
      </c>
      <c r="S55" s="84">
        <f t="shared" ref="S55:Y60" si="33">S35-S25</f>
        <v>-5.6826263749532036E-5</v>
      </c>
      <c r="T55" s="65">
        <f t="shared" si="33"/>
        <v>2.2593200418635773E-4</v>
      </c>
      <c r="U55" s="65">
        <f t="shared" si="33"/>
        <v>2.6538784554985817E-4</v>
      </c>
      <c r="V55" s="65">
        <f t="shared" si="33"/>
        <v>-1.361025881391198E-4</v>
      </c>
      <c r="W55" s="65">
        <f t="shared" si="33"/>
        <v>4.5941640654928451E-4</v>
      </c>
      <c r="X55" s="65">
        <f t="shared" si="33"/>
        <v>5.1018358623983184E-4</v>
      </c>
      <c r="Y55" s="66">
        <f t="shared" si="33"/>
        <v>2.0162707090837229E-4</v>
      </c>
    </row>
    <row r="56" spans="3:25" hidden="1" x14ac:dyDescent="0.4">
      <c r="C56" s="73" t="s">
        <v>8</v>
      </c>
      <c r="D56" s="59" t="s">
        <v>9</v>
      </c>
      <c r="E56" s="2">
        <f t="shared" si="29"/>
        <v>1084.3330000000005</v>
      </c>
      <c r="F56" s="2">
        <f t="shared" si="29"/>
        <v>808.76899999999932</v>
      </c>
      <c r="G56" s="2">
        <f t="shared" si="29"/>
        <v>1005.2000000000025</v>
      </c>
      <c r="H56" s="2">
        <f t="shared" si="29"/>
        <v>1101.6005000000005</v>
      </c>
      <c r="I56" s="2">
        <f t="shared" si="29"/>
        <v>942.11150000000089</v>
      </c>
      <c r="J56" s="2">
        <f t="shared" si="29"/>
        <v>949.77900000000045</v>
      </c>
      <c r="K56" s="79">
        <f t="shared" si="30"/>
        <v>5891.7930000000042</v>
      </c>
      <c r="L56" s="1">
        <f t="shared" si="31"/>
        <v>273.19930000000022</v>
      </c>
      <c r="M56" s="2">
        <f t="shared" si="31"/>
        <v>207.11700000000019</v>
      </c>
      <c r="N56" s="2">
        <f t="shared" si="31"/>
        <v>214.61860000000047</v>
      </c>
      <c r="O56" s="2">
        <f t="shared" si="31"/>
        <v>240.95609999999988</v>
      </c>
      <c r="P56" s="2">
        <f t="shared" si="31"/>
        <v>230.01400000000012</v>
      </c>
      <c r="Q56" s="2">
        <f t="shared" si="31"/>
        <v>234.64449999999943</v>
      </c>
      <c r="R56" s="75">
        <f t="shared" si="32"/>
        <v>1400.5495000000003</v>
      </c>
      <c r="S56" s="84">
        <f t="shared" si="33"/>
        <v>3.9014111089549774E-4</v>
      </c>
      <c r="T56" s="65">
        <f t="shared" si="33"/>
        <v>-4.2091456465831456E-6</v>
      </c>
      <c r="U56" s="65">
        <f t="shared" si="33"/>
        <v>1.4545423943759794E-4</v>
      </c>
      <c r="V56" s="65">
        <f t="shared" si="33"/>
        <v>2.8385762311758378E-4</v>
      </c>
      <c r="W56" s="65">
        <f t="shared" si="33"/>
        <v>4.8378277161587047E-4</v>
      </c>
      <c r="X56" s="65">
        <f t="shared" si="33"/>
        <v>-1.2323140038930647E-4</v>
      </c>
      <c r="Y56" s="66">
        <f t="shared" si="33"/>
        <v>2.1031505069940559E-4</v>
      </c>
    </row>
    <row r="57" spans="3:25" hidden="1" x14ac:dyDescent="0.4">
      <c r="C57" s="73" t="s">
        <v>10</v>
      </c>
      <c r="D57" s="71" t="s">
        <v>11</v>
      </c>
      <c r="E57" s="2">
        <f t="shared" si="29"/>
        <v>977.49599999999919</v>
      </c>
      <c r="F57" s="2">
        <f t="shared" si="29"/>
        <v>805.32049999999981</v>
      </c>
      <c r="G57" s="2">
        <f t="shared" si="29"/>
        <v>811.6364999999987</v>
      </c>
      <c r="H57" s="2">
        <f t="shared" si="29"/>
        <v>1003.744999999999</v>
      </c>
      <c r="I57" s="2">
        <f t="shared" si="29"/>
        <v>963.24599999999919</v>
      </c>
      <c r="J57" s="2">
        <f t="shared" si="29"/>
        <v>964.77649999999994</v>
      </c>
      <c r="K57" s="79">
        <f t="shared" si="30"/>
        <v>5526.2204999999958</v>
      </c>
      <c r="L57" s="1">
        <f t="shared" si="31"/>
        <v>233.02000000000044</v>
      </c>
      <c r="M57" s="2">
        <f t="shared" si="31"/>
        <v>182.62850000000049</v>
      </c>
      <c r="N57" s="2">
        <f t="shared" si="31"/>
        <v>191.25849999999991</v>
      </c>
      <c r="O57" s="2">
        <f t="shared" si="31"/>
        <v>232.07949999999983</v>
      </c>
      <c r="P57" s="2">
        <f t="shared" si="31"/>
        <v>214.47450000000003</v>
      </c>
      <c r="Q57" s="2">
        <f t="shared" si="31"/>
        <v>215.10500000000002</v>
      </c>
      <c r="R57" s="75">
        <f t="shared" si="32"/>
        <v>1268.5660000000007</v>
      </c>
      <c r="S57" s="84">
        <f t="shared" si="33"/>
        <v>-1.1057637876291104E-4</v>
      </c>
      <c r="T57" s="65">
        <f t="shared" si="33"/>
        <v>-7.5664121551874408E-4</v>
      </c>
      <c r="U57" s="65">
        <f t="shared" si="33"/>
        <v>8.8057162376817266E-4</v>
      </c>
      <c r="V57" s="65">
        <f t="shared" si="33"/>
        <v>2.4096468192785769E-4</v>
      </c>
      <c r="W57" s="65">
        <f t="shared" si="33"/>
        <v>-4.2212264108931752E-4</v>
      </c>
      <c r="X57" s="65">
        <f t="shared" si="33"/>
        <v>-2.8488095013404213E-4</v>
      </c>
      <c r="Y57" s="66">
        <f t="shared" si="33"/>
        <v>-8.0629500616796745E-5</v>
      </c>
    </row>
    <row r="58" spans="3:25" hidden="1" x14ac:dyDescent="0.4">
      <c r="C58" s="73" t="s">
        <v>12</v>
      </c>
      <c r="D58" s="71" t="s">
        <v>13</v>
      </c>
      <c r="E58" s="2">
        <f t="shared" si="29"/>
        <v>-8936.3290000000015</v>
      </c>
      <c r="F58" s="2">
        <f t="shared" si="29"/>
        <v>-2696.21</v>
      </c>
      <c r="G58" s="2">
        <f t="shared" si="29"/>
        <v>-10954.129000000001</v>
      </c>
      <c r="H58" s="2">
        <f t="shared" si="29"/>
        <v>0</v>
      </c>
      <c r="I58" s="2">
        <f t="shared" si="29"/>
        <v>-3069.9520000000002</v>
      </c>
      <c r="J58" s="2">
        <f t="shared" si="29"/>
        <v>-17053.089</v>
      </c>
      <c r="K58" s="79">
        <f t="shared" si="30"/>
        <v>-42709.709000000003</v>
      </c>
      <c r="L58" s="1">
        <f t="shared" si="31"/>
        <v>-164.114</v>
      </c>
      <c r="M58" s="2">
        <f t="shared" si="31"/>
        <v>-38.435000000000002</v>
      </c>
      <c r="N58" s="2">
        <f t="shared" si="31"/>
        <v>-189.934</v>
      </c>
      <c r="O58" s="2">
        <f t="shared" si="31"/>
        <v>0</v>
      </c>
      <c r="P58" s="2">
        <f t="shared" si="31"/>
        <v>-57.951999999999998</v>
      </c>
      <c r="Q58" s="2">
        <f t="shared" si="31"/>
        <v>-420.36400000000003</v>
      </c>
      <c r="R58" s="75">
        <f t="shared" si="32"/>
        <v>-870.79899999999998</v>
      </c>
      <c r="S58" s="84" t="e">
        <f t="shared" si="33"/>
        <v>#VALUE!</v>
      </c>
      <c r="T58" s="65" t="e">
        <f t="shared" si="33"/>
        <v>#VALUE!</v>
      </c>
      <c r="U58" s="65" t="e">
        <f t="shared" si="33"/>
        <v>#VALUE!</v>
      </c>
      <c r="V58" s="65" t="e">
        <f t="shared" si="33"/>
        <v>#VALUE!</v>
      </c>
      <c r="W58" s="65" t="e">
        <f t="shared" si="33"/>
        <v>#VALUE!</v>
      </c>
      <c r="X58" s="65" t="e">
        <f t="shared" si="33"/>
        <v>#VALUE!</v>
      </c>
      <c r="Y58" s="66" t="e">
        <f t="shared" si="33"/>
        <v>#VALUE!</v>
      </c>
    </row>
    <row r="59" spans="3:25" hidden="1" x14ac:dyDescent="0.4">
      <c r="C59" s="73" t="s">
        <v>14</v>
      </c>
      <c r="D59" s="71" t="s">
        <v>15</v>
      </c>
      <c r="E59" s="2">
        <f t="shared" si="29"/>
        <v>-45.62</v>
      </c>
      <c r="F59" s="2">
        <f t="shared" si="29"/>
        <v>-4.6100000000000003</v>
      </c>
      <c r="G59" s="2">
        <f t="shared" si="29"/>
        <v>-12.67</v>
      </c>
      <c r="H59" s="2">
        <f t="shared" si="29"/>
        <v>-44.994999999999997</v>
      </c>
      <c r="I59" s="2">
        <f t="shared" si="29"/>
        <v>-15.735000000000001</v>
      </c>
      <c r="J59" s="2">
        <f t="shared" si="29"/>
        <v>-15.722</v>
      </c>
      <c r="K59" s="79">
        <f t="shared" si="30"/>
        <v>-139.352</v>
      </c>
      <c r="L59" s="1">
        <f t="shared" si="31"/>
        <v>-12.1815</v>
      </c>
      <c r="M59" s="2">
        <f t="shared" si="31"/>
        <v>-2.145</v>
      </c>
      <c r="N59" s="2">
        <f t="shared" si="31"/>
        <v>-3.9394999999999998</v>
      </c>
      <c r="O59" s="2">
        <f t="shared" si="31"/>
        <v>-10.002000000000001</v>
      </c>
      <c r="P59" s="2">
        <f t="shared" si="31"/>
        <v>-5.2255000000000003</v>
      </c>
      <c r="Q59" s="2">
        <f t="shared" si="31"/>
        <v>-6.657</v>
      </c>
      <c r="R59" s="75">
        <f t="shared" si="32"/>
        <v>-40.150499999999994</v>
      </c>
      <c r="S59" s="84" t="e">
        <f t="shared" si="33"/>
        <v>#VALUE!</v>
      </c>
      <c r="T59" s="65" t="e">
        <f t="shared" si="33"/>
        <v>#VALUE!</v>
      </c>
      <c r="U59" s="65" t="e">
        <f t="shared" si="33"/>
        <v>#VALUE!</v>
      </c>
      <c r="V59" s="65" t="e">
        <f t="shared" si="33"/>
        <v>#VALUE!</v>
      </c>
      <c r="W59" s="65" t="e">
        <f t="shared" si="33"/>
        <v>#VALUE!</v>
      </c>
      <c r="X59" s="65" t="e">
        <f t="shared" si="33"/>
        <v>#VALUE!</v>
      </c>
      <c r="Y59" s="66" t="e">
        <f t="shared" si="33"/>
        <v>#VALUE!</v>
      </c>
    </row>
    <row r="60" spans="3:25" hidden="1" x14ac:dyDescent="0.4">
      <c r="C60" s="3" t="s">
        <v>5</v>
      </c>
      <c r="D60" s="72"/>
      <c r="E60" s="63">
        <f t="shared" ref="E60:J60" si="34">SUM(E55:E59)</f>
        <v>-5753.4075000000039</v>
      </c>
      <c r="F60" s="63">
        <f t="shared" si="34"/>
        <v>-54.918500000001004</v>
      </c>
      <c r="G60" s="63">
        <f t="shared" si="34"/>
        <v>-8282.7284999999993</v>
      </c>
      <c r="H60" s="63">
        <f t="shared" si="34"/>
        <v>3066.7244999999994</v>
      </c>
      <c r="I60" s="63">
        <f t="shared" si="34"/>
        <v>-14.047500000000911</v>
      </c>
      <c r="J60" s="63">
        <f t="shared" si="34"/>
        <v>-14321.9095</v>
      </c>
      <c r="K60" s="80">
        <f t="shared" si="30"/>
        <v>-25360.287000000004</v>
      </c>
      <c r="L60" s="76">
        <f t="shared" ref="L60:Q60" si="35">SUM(L55:L59)</f>
        <v>679.33330000000035</v>
      </c>
      <c r="M60" s="63">
        <f t="shared" si="35"/>
        <v>653.30450000000087</v>
      </c>
      <c r="N60" s="63">
        <f t="shared" si="35"/>
        <v>480.70809999999977</v>
      </c>
      <c r="O60" s="63">
        <f t="shared" si="35"/>
        <v>762.61009999999987</v>
      </c>
      <c r="P60" s="63">
        <f t="shared" si="35"/>
        <v>738.35150000000067</v>
      </c>
      <c r="Q60" s="63">
        <f t="shared" si="35"/>
        <v>308.99249999999864</v>
      </c>
      <c r="R60" s="77">
        <f t="shared" si="32"/>
        <v>3623.3</v>
      </c>
      <c r="S60" s="82">
        <f t="shared" si="33"/>
        <v>5.7288289121167485E-2</v>
      </c>
      <c r="T60" s="67">
        <f t="shared" si="33"/>
        <v>2.4987188643905284E-2</v>
      </c>
      <c r="U60" s="67">
        <f t="shared" si="33"/>
        <v>7.154688203397086E-2</v>
      </c>
      <c r="V60" s="67">
        <f t="shared" si="33"/>
        <v>1.743545399182922E-4</v>
      </c>
      <c r="W60" s="67">
        <f t="shared" si="33"/>
        <v>2.394760660087028E-2</v>
      </c>
      <c r="X60" s="67">
        <f t="shared" si="33"/>
        <v>9.8751416432291322E-2</v>
      </c>
      <c r="Y60" s="68">
        <f t="shared" si="33"/>
        <v>5.0393431140129036E-2</v>
      </c>
    </row>
    <row r="61" spans="3:25" x14ac:dyDescent="0.4">
      <c r="C61" s="6"/>
      <c r="E61" s="5"/>
      <c r="F61" s="5"/>
      <c r="G61" s="5"/>
      <c r="H61" s="5"/>
      <c r="I61" s="5"/>
      <c r="J61" s="5"/>
      <c r="K61" s="6"/>
      <c r="L61" s="5"/>
      <c r="M61" s="5"/>
      <c r="N61" s="5"/>
      <c r="O61" s="5"/>
      <c r="P61" s="5"/>
      <c r="Q61" s="5"/>
      <c r="R61" s="6"/>
      <c r="S61" s="7"/>
      <c r="T61" s="7"/>
      <c r="U61" s="7"/>
      <c r="V61" s="7"/>
      <c r="W61" s="7"/>
      <c r="X61" s="7"/>
      <c r="Y61" s="7"/>
    </row>
    <row r="62" spans="3:25" x14ac:dyDescent="0.4">
      <c r="C62" s="6" t="s">
        <v>21</v>
      </c>
    </row>
    <row r="63" spans="3:25" x14ac:dyDescent="0.4">
      <c r="C63" s="87"/>
      <c r="D63" s="88"/>
      <c r="E63" s="87" t="s">
        <v>2</v>
      </c>
      <c r="F63" s="90"/>
      <c r="G63" s="90"/>
      <c r="H63" s="90"/>
      <c r="I63" s="90"/>
      <c r="J63" s="90"/>
      <c r="K63" s="88"/>
      <c r="L63" s="89" t="s">
        <v>3</v>
      </c>
      <c r="M63" s="90"/>
      <c r="N63" s="90"/>
      <c r="O63" s="90"/>
      <c r="P63" s="90"/>
      <c r="Q63" s="90"/>
      <c r="R63" s="88"/>
      <c r="S63" s="89" t="s">
        <v>4</v>
      </c>
      <c r="T63" s="90"/>
      <c r="U63" s="90"/>
      <c r="V63" s="90"/>
      <c r="W63" s="90"/>
      <c r="X63" s="90"/>
      <c r="Y63" s="88"/>
    </row>
    <row r="64" spans="3:25" x14ac:dyDescent="0.4">
      <c r="C64" s="61"/>
      <c r="D64" s="70"/>
      <c r="E64" s="74">
        <v>46113</v>
      </c>
      <c r="F64" s="62">
        <v>46143</v>
      </c>
      <c r="G64" s="62">
        <v>46174</v>
      </c>
      <c r="H64" s="62">
        <v>46204</v>
      </c>
      <c r="I64" s="62">
        <v>46235</v>
      </c>
      <c r="J64" s="62">
        <v>46266</v>
      </c>
      <c r="K64" s="64" t="s">
        <v>5</v>
      </c>
      <c r="L64" s="83">
        <v>46113</v>
      </c>
      <c r="M64" s="62">
        <v>46143</v>
      </c>
      <c r="N64" s="62">
        <v>46174</v>
      </c>
      <c r="O64" s="62">
        <v>46204</v>
      </c>
      <c r="P64" s="62">
        <v>46235</v>
      </c>
      <c r="Q64" s="62">
        <v>46266</v>
      </c>
      <c r="R64" s="64" t="s">
        <v>5</v>
      </c>
      <c r="S64" s="83">
        <v>46113</v>
      </c>
      <c r="T64" s="62">
        <v>46143</v>
      </c>
      <c r="U64" s="62">
        <v>46174</v>
      </c>
      <c r="V64" s="62">
        <v>46204</v>
      </c>
      <c r="W64" s="62">
        <v>46235</v>
      </c>
      <c r="X64" s="62">
        <v>46266</v>
      </c>
      <c r="Y64" s="64" t="s">
        <v>5</v>
      </c>
    </row>
    <row r="65" spans="3:25" x14ac:dyDescent="0.4">
      <c r="C65" s="73" t="s">
        <v>6</v>
      </c>
      <c r="D65" s="71" t="s">
        <v>7</v>
      </c>
      <c r="E65" s="2">
        <v>15030.357</v>
      </c>
      <c r="F65" s="2">
        <v>10820.013999999999</v>
      </c>
      <c r="G65" s="86">
        <v>8876.0390000000007</v>
      </c>
      <c r="H65" s="2">
        <v>10443.424999999999</v>
      </c>
      <c r="I65" s="2">
        <v>11940.197</v>
      </c>
      <c r="J65" s="2">
        <v>10757.505999999999</v>
      </c>
      <c r="K65" s="79">
        <f t="shared" ref="K65:K70" si="36">SUM(E65:J65)</f>
        <v>67867.538</v>
      </c>
      <c r="L65" s="1">
        <v>4530.8220000000001</v>
      </c>
      <c r="M65" s="2">
        <v>3567.44</v>
      </c>
      <c r="N65" s="86">
        <v>3003.1210000000001</v>
      </c>
      <c r="O65" s="2">
        <v>3520.4070000000002</v>
      </c>
      <c r="P65" s="2">
        <v>3975.8870000000002</v>
      </c>
      <c r="Q65" s="2">
        <v>3616.7910000000002</v>
      </c>
      <c r="R65" s="75">
        <f t="shared" ref="R65:R70" si="37">SUM(L65:Q65)</f>
        <v>22214.468000000001</v>
      </c>
      <c r="S65" s="84">
        <f t="shared" ref="S65:Y70" si="38">IF(E65=0,"***",L65/E65)</f>
        <v>0.30144473614299383</v>
      </c>
      <c r="T65" s="65">
        <f t="shared" si="38"/>
        <v>0.32970752163536943</v>
      </c>
      <c r="U65" s="65">
        <f t="shared" si="38"/>
        <v>0.33834022135324099</v>
      </c>
      <c r="V65" s="65">
        <f t="shared" si="38"/>
        <v>0.33709314712366878</v>
      </c>
      <c r="W65" s="65">
        <f t="shared" si="38"/>
        <v>0.33298336702484893</v>
      </c>
      <c r="X65" s="65">
        <f t="shared" si="38"/>
        <v>0.33621092100715538</v>
      </c>
      <c r="Y65" s="66">
        <f t="shared" si="38"/>
        <v>0.32732096455303861</v>
      </c>
    </row>
    <row r="66" spans="3:25" x14ac:dyDescent="0.4">
      <c r="C66" s="73" t="s">
        <v>8</v>
      </c>
      <c r="D66" s="59" t="s">
        <v>9</v>
      </c>
      <c r="E66" s="2">
        <v>14753.871999999999</v>
      </c>
      <c r="F66" s="2">
        <v>10070.893</v>
      </c>
      <c r="G66" s="86">
        <v>12983.805</v>
      </c>
      <c r="H66" s="2">
        <v>17107.797999999999</v>
      </c>
      <c r="I66" s="2">
        <v>10370.244000000001</v>
      </c>
      <c r="J66" s="2">
        <v>10531.839</v>
      </c>
      <c r="K66" s="79">
        <f t="shared" si="36"/>
        <v>75818.451000000001</v>
      </c>
      <c r="L66" s="1">
        <v>3444.2878999999998</v>
      </c>
      <c r="M66" s="2">
        <v>2452.33</v>
      </c>
      <c r="N66" s="86">
        <v>2672.1979999999999</v>
      </c>
      <c r="O66" s="2">
        <v>3549.9050999999999</v>
      </c>
      <c r="P66" s="2">
        <v>2618.3229999999999</v>
      </c>
      <c r="Q66" s="2">
        <v>2735.5196000000001</v>
      </c>
      <c r="R66" s="75">
        <f t="shared" si="37"/>
        <v>17472.563600000001</v>
      </c>
      <c r="S66" s="84">
        <f t="shared" si="38"/>
        <v>0.23344976152700797</v>
      </c>
      <c r="T66" s="65">
        <f t="shared" si="38"/>
        <v>0.24350670789571491</v>
      </c>
      <c r="U66" s="65">
        <f t="shared" si="38"/>
        <v>0.20581008417794319</v>
      </c>
      <c r="V66" s="65">
        <f t="shared" si="38"/>
        <v>0.20750216363321569</v>
      </c>
      <c r="W66" s="65">
        <f t="shared" si="38"/>
        <v>0.25248422312917612</v>
      </c>
      <c r="X66" s="65">
        <f t="shared" si="38"/>
        <v>0.25973807613276279</v>
      </c>
      <c r="Y66" s="66">
        <f t="shared" si="38"/>
        <v>0.23045265854877464</v>
      </c>
    </row>
    <row r="67" spans="3:25" x14ac:dyDescent="0.4">
      <c r="C67" s="73" t="s">
        <v>10</v>
      </c>
      <c r="D67" s="71" t="s">
        <v>11</v>
      </c>
      <c r="E67" s="2">
        <v>10590.23</v>
      </c>
      <c r="F67" s="2">
        <v>8723.6720000000005</v>
      </c>
      <c r="G67" s="86">
        <v>8649.7389999999996</v>
      </c>
      <c r="H67" s="2">
        <v>11950.588</v>
      </c>
      <c r="I67" s="2">
        <v>10792.558999999999</v>
      </c>
      <c r="J67" s="2">
        <v>11228.92</v>
      </c>
      <c r="K67" s="79">
        <f t="shared" si="36"/>
        <v>61935.708000000006</v>
      </c>
      <c r="L67" s="1">
        <v>2588.8029999999999</v>
      </c>
      <c r="M67" s="2">
        <v>2281.1640000000002</v>
      </c>
      <c r="N67" s="86">
        <v>2181.163</v>
      </c>
      <c r="O67" s="2">
        <v>3066.413</v>
      </c>
      <c r="P67" s="2">
        <v>2924.3220000000001</v>
      </c>
      <c r="Q67" s="2">
        <v>2868.6579999999999</v>
      </c>
      <c r="R67" s="75">
        <f t="shared" si="37"/>
        <v>15910.523000000001</v>
      </c>
      <c r="S67" s="84">
        <f t="shared" si="38"/>
        <v>0.24445200906873599</v>
      </c>
      <c r="T67" s="65">
        <f t="shared" si="38"/>
        <v>0.26149126193648731</v>
      </c>
      <c r="U67" s="65">
        <f t="shared" si="38"/>
        <v>0.25216518093782947</v>
      </c>
      <c r="V67" s="65">
        <f t="shared" si="38"/>
        <v>0.25659097276217707</v>
      </c>
      <c r="W67" s="65">
        <f t="shared" si="38"/>
        <v>0.27095724007624145</v>
      </c>
      <c r="X67" s="65">
        <f t="shared" si="38"/>
        <v>0.2554705172002294</v>
      </c>
      <c r="Y67" s="66">
        <f t="shared" si="38"/>
        <v>0.25688772299171908</v>
      </c>
    </row>
    <row r="68" spans="3:25" x14ac:dyDescent="0.4">
      <c r="C68" s="73" t="s">
        <v>12</v>
      </c>
      <c r="D68" s="71" t="s">
        <v>13</v>
      </c>
      <c r="E68" s="2"/>
      <c r="F68" s="2"/>
      <c r="G68" s="2"/>
      <c r="H68" s="2"/>
      <c r="I68" s="2">
        <v>0</v>
      </c>
      <c r="J68" s="2">
        <v>5999.68</v>
      </c>
      <c r="K68" s="79">
        <f t="shared" si="36"/>
        <v>5999.68</v>
      </c>
      <c r="L68" s="1"/>
      <c r="M68" s="2"/>
      <c r="N68" s="2"/>
      <c r="O68" s="2"/>
      <c r="P68" s="2">
        <v>0</v>
      </c>
      <c r="Q68" s="2">
        <v>235.12</v>
      </c>
      <c r="R68" s="75">
        <f t="shared" si="37"/>
        <v>235.12</v>
      </c>
      <c r="S68" s="84" t="str">
        <f t="shared" si="38"/>
        <v>***</v>
      </c>
      <c r="T68" s="65" t="str">
        <f t="shared" si="38"/>
        <v>***</v>
      </c>
      <c r="U68" s="65" t="str">
        <f t="shared" si="38"/>
        <v>***</v>
      </c>
      <c r="V68" s="65" t="str">
        <f t="shared" si="38"/>
        <v>***</v>
      </c>
      <c r="W68" s="65" t="str">
        <f t="shared" si="38"/>
        <v>***</v>
      </c>
      <c r="X68" s="65">
        <f t="shared" si="38"/>
        <v>3.9188756733692459E-2</v>
      </c>
      <c r="Y68" s="66">
        <f t="shared" si="38"/>
        <v>3.9188756733692459E-2</v>
      </c>
    </row>
    <row r="69" spans="3:25" x14ac:dyDescent="0.4">
      <c r="C69" s="73" t="s">
        <v>14</v>
      </c>
      <c r="D69" s="71" t="s">
        <v>15</v>
      </c>
      <c r="E69" s="2">
        <v>9.3000000000000007</v>
      </c>
      <c r="F69" s="2">
        <v>7.17</v>
      </c>
      <c r="G69" s="2"/>
      <c r="H69" s="2">
        <v>0.45</v>
      </c>
      <c r="I69" s="2">
        <v>10.79</v>
      </c>
      <c r="J69" s="2">
        <v>0</v>
      </c>
      <c r="K69" s="79">
        <f t="shared" si="36"/>
        <v>27.709999999999997</v>
      </c>
      <c r="L69" s="1">
        <v>1.5</v>
      </c>
      <c r="M69" s="2">
        <v>2.7509999999999999</v>
      </c>
      <c r="N69" s="2"/>
      <c r="O69" s="2">
        <v>5.3999999999999999E-2</v>
      </c>
      <c r="P69" s="2">
        <v>4.266</v>
      </c>
      <c r="Q69" s="2">
        <v>0</v>
      </c>
      <c r="R69" s="75">
        <f t="shared" si="37"/>
        <v>8.5709999999999997</v>
      </c>
      <c r="S69" s="84">
        <f t="shared" si="38"/>
        <v>0.16129032258064516</v>
      </c>
      <c r="T69" s="65">
        <f t="shared" si="38"/>
        <v>0.38368200836820082</v>
      </c>
      <c r="U69" s="65" t="str">
        <f t="shared" si="38"/>
        <v>***</v>
      </c>
      <c r="V69" s="65">
        <f t="shared" si="38"/>
        <v>0.12</v>
      </c>
      <c r="W69" s="65">
        <f t="shared" si="38"/>
        <v>0.39536607970342913</v>
      </c>
      <c r="X69" s="65" t="str">
        <f t="shared" si="38"/>
        <v>***</v>
      </c>
      <c r="Y69" s="66">
        <f t="shared" si="38"/>
        <v>0.30931071815229161</v>
      </c>
    </row>
    <row r="70" spans="3:25" x14ac:dyDescent="0.4">
      <c r="C70" s="3" t="s">
        <v>5</v>
      </c>
      <c r="D70" s="72"/>
      <c r="E70" s="63">
        <f t="shared" ref="E70:J70" si="39">SUM(E65:E69)</f>
        <v>40383.759000000005</v>
      </c>
      <c r="F70" s="63">
        <f t="shared" si="39"/>
        <v>29621.748999999996</v>
      </c>
      <c r="G70" s="63">
        <f t="shared" si="39"/>
        <v>30509.582999999999</v>
      </c>
      <c r="H70" s="63">
        <f t="shared" si="39"/>
        <v>39502.260999999999</v>
      </c>
      <c r="I70" s="63">
        <f t="shared" si="39"/>
        <v>33113.79</v>
      </c>
      <c r="J70" s="63">
        <f t="shared" si="39"/>
        <v>38517.945</v>
      </c>
      <c r="K70" s="80">
        <f t="shared" si="36"/>
        <v>211649.08700000003</v>
      </c>
      <c r="L70" s="76">
        <f t="shared" ref="L70:Q70" si="40">SUM(L65:L69)</f>
        <v>10565.412899999999</v>
      </c>
      <c r="M70" s="63">
        <f t="shared" si="40"/>
        <v>8303.6850000000013</v>
      </c>
      <c r="N70" s="63">
        <f t="shared" si="40"/>
        <v>7856.482</v>
      </c>
      <c r="O70" s="63">
        <f t="shared" si="40"/>
        <v>10136.7791</v>
      </c>
      <c r="P70" s="63">
        <f t="shared" si="40"/>
        <v>9522.7979999999989</v>
      </c>
      <c r="Q70" s="63">
        <f t="shared" si="40"/>
        <v>9456.088600000001</v>
      </c>
      <c r="R70" s="77">
        <f t="shared" si="37"/>
        <v>55841.245599999995</v>
      </c>
      <c r="S70" s="82">
        <f t="shared" si="38"/>
        <v>0.26162529595127582</v>
      </c>
      <c r="T70" s="67">
        <f t="shared" si="38"/>
        <v>0.28032392685523067</v>
      </c>
      <c r="U70" s="67">
        <f t="shared" si="38"/>
        <v>0.25750866539211631</v>
      </c>
      <c r="V70" s="67">
        <f t="shared" si="38"/>
        <v>0.25661263035045007</v>
      </c>
      <c r="W70" s="67">
        <f t="shared" si="38"/>
        <v>0.28757801508072617</v>
      </c>
      <c r="X70" s="67">
        <f t="shared" si="38"/>
        <v>0.24549826321212104</v>
      </c>
      <c r="Y70" s="68">
        <f t="shared" si="38"/>
        <v>0.26383882109541057</v>
      </c>
    </row>
    <row r="71" spans="3:25" x14ac:dyDescent="0.4">
      <c r="C71" s="6"/>
      <c r="E71" s="5"/>
      <c r="F71" s="5"/>
      <c r="G71" s="5"/>
      <c r="H71" s="5"/>
      <c r="I71" s="5"/>
      <c r="J71" s="5"/>
      <c r="K71" s="6"/>
      <c r="L71" s="5"/>
      <c r="M71" s="5"/>
      <c r="N71" s="5"/>
      <c r="O71" s="5"/>
      <c r="P71" s="5"/>
      <c r="Q71" s="5"/>
      <c r="R71" s="6"/>
      <c r="S71" s="7"/>
      <c r="T71" s="7"/>
      <c r="U71" s="7"/>
      <c r="V71" s="7"/>
      <c r="W71" s="7"/>
      <c r="X71" s="7"/>
      <c r="Y71" s="7"/>
    </row>
    <row r="72" spans="3:25" x14ac:dyDescent="0.4">
      <c r="C72" s="6" t="s">
        <v>22</v>
      </c>
    </row>
    <row r="73" spans="3:25" x14ac:dyDescent="0.4">
      <c r="C73" s="87"/>
      <c r="D73" s="88"/>
      <c r="E73" s="87" t="s">
        <v>2</v>
      </c>
      <c r="F73" s="90"/>
      <c r="G73" s="90"/>
      <c r="H73" s="90"/>
      <c r="I73" s="90"/>
      <c r="J73" s="90"/>
      <c r="K73" s="88"/>
      <c r="L73" s="89" t="s">
        <v>3</v>
      </c>
      <c r="M73" s="90"/>
      <c r="N73" s="90"/>
      <c r="O73" s="90"/>
      <c r="P73" s="90"/>
      <c r="Q73" s="90"/>
      <c r="R73" s="88"/>
      <c r="S73" s="89" t="s">
        <v>4</v>
      </c>
      <c r="T73" s="90"/>
      <c r="U73" s="90"/>
      <c r="V73" s="90"/>
      <c r="W73" s="90"/>
      <c r="X73" s="90"/>
      <c r="Y73" s="88"/>
    </row>
    <row r="74" spans="3:25" x14ac:dyDescent="0.4">
      <c r="C74" s="61"/>
      <c r="D74" s="70"/>
      <c r="E74" s="74">
        <v>46113</v>
      </c>
      <c r="F74" s="62">
        <v>46143</v>
      </c>
      <c r="G74" s="62">
        <v>46174</v>
      </c>
      <c r="H74" s="62">
        <v>46204</v>
      </c>
      <c r="I74" s="62">
        <v>46235</v>
      </c>
      <c r="J74" s="62">
        <v>46266</v>
      </c>
      <c r="K74" s="64" t="s">
        <v>5</v>
      </c>
      <c r="L74" s="83">
        <v>46113</v>
      </c>
      <c r="M74" s="62">
        <v>46143</v>
      </c>
      <c r="N74" s="62">
        <v>46174</v>
      </c>
      <c r="O74" s="62">
        <v>46204</v>
      </c>
      <c r="P74" s="62">
        <v>46235</v>
      </c>
      <c r="Q74" s="62">
        <v>46266</v>
      </c>
      <c r="R74" s="64" t="s">
        <v>5</v>
      </c>
      <c r="S74" s="83">
        <v>46113</v>
      </c>
      <c r="T74" s="62">
        <v>46143</v>
      </c>
      <c r="U74" s="62">
        <v>46174</v>
      </c>
      <c r="V74" s="62">
        <v>46204</v>
      </c>
      <c r="W74" s="62">
        <v>46235</v>
      </c>
      <c r="X74" s="62">
        <v>46266</v>
      </c>
      <c r="Y74" s="64" t="s">
        <v>5</v>
      </c>
    </row>
    <row r="75" spans="3:25" x14ac:dyDescent="0.4">
      <c r="C75" s="73" t="s">
        <v>6</v>
      </c>
      <c r="D75" s="71" t="s">
        <v>7</v>
      </c>
      <c r="E75" s="2">
        <f t="shared" ref="E75:J79" si="41">E65-E35</f>
        <v>3230.357</v>
      </c>
      <c r="F75" s="2">
        <f t="shared" si="41"/>
        <v>400.01399999999921</v>
      </c>
      <c r="G75" s="86">
        <f t="shared" si="41"/>
        <v>126.03900000000067</v>
      </c>
      <c r="H75" s="2">
        <f t="shared" si="41"/>
        <v>273.42499999999927</v>
      </c>
      <c r="I75" s="2">
        <f t="shared" si="41"/>
        <v>150.19700000000012</v>
      </c>
      <c r="J75" s="2">
        <f t="shared" si="41"/>
        <v>2357.5059999999994</v>
      </c>
      <c r="K75" s="79">
        <f t="shared" ref="K75:K80" si="42">SUM(E75:J75)</f>
        <v>6537.5379999999986</v>
      </c>
      <c r="L75" s="1">
        <f t="shared" ref="L75:Q79" si="43">L65-L35</f>
        <v>990.82200000000012</v>
      </c>
      <c r="M75" s="2">
        <f t="shared" si="43"/>
        <v>517.44000000000005</v>
      </c>
      <c r="N75" s="86">
        <f t="shared" si="43"/>
        <v>313.12100000000009</v>
      </c>
      <c r="O75" s="2">
        <f t="shared" si="43"/>
        <v>480.40700000000015</v>
      </c>
      <c r="P75" s="2">
        <f t="shared" si="43"/>
        <v>415.88700000000017</v>
      </c>
      <c r="Q75" s="2">
        <f t="shared" si="43"/>
        <v>766.79100000000017</v>
      </c>
      <c r="R75" s="75">
        <f t="shared" ref="R75:R80" si="44">SUM(L75:Q75)</f>
        <v>3484.4680000000008</v>
      </c>
      <c r="S75" s="84">
        <f t="shared" ref="S75:Y79" si="45">S65-S35</f>
        <v>1.444736142993841E-3</v>
      </c>
      <c r="T75" s="65">
        <f t="shared" si="45"/>
        <v>3.7001187662240809E-2</v>
      </c>
      <c r="U75" s="65">
        <f t="shared" si="45"/>
        <v>3.0911649924669549E-2</v>
      </c>
      <c r="V75" s="65">
        <f t="shared" si="45"/>
        <v>3.817475970970613E-2</v>
      </c>
      <c r="W75" s="65">
        <f t="shared" si="45"/>
        <v>3.1032561257249291E-2</v>
      </c>
      <c r="X75" s="65">
        <f t="shared" si="45"/>
        <v>-3.0747932785589183E-3</v>
      </c>
      <c r="Y75" s="66">
        <f t="shared" si="45"/>
        <v>2.192393210562299E-2</v>
      </c>
    </row>
    <row r="76" spans="3:25" x14ac:dyDescent="0.4">
      <c r="C76" s="73" t="s">
        <v>8</v>
      </c>
      <c r="D76" s="59" t="s">
        <v>9</v>
      </c>
      <c r="E76" s="2">
        <f t="shared" si="41"/>
        <v>3803.8719999999994</v>
      </c>
      <c r="F76" s="2">
        <f t="shared" si="41"/>
        <v>1910.893</v>
      </c>
      <c r="G76" s="86">
        <f t="shared" si="41"/>
        <v>2803.8050000000003</v>
      </c>
      <c r="H76" s="2">
        <f t="shared" si="41"/>
        <v>5957.7979999999989</v>
      </c>
      <c r="I76" s="2">
        <f t="shared" si="41"/>
        <v>860.2440000000006</v>
      </c>
      <c r="J76" s="2">
        <f t="shared" si="41"/>
        <v>981.83899999999994</v>
      </c>
      <c r="K76" s="79">
        <f t="shared" si="42"/>
        <v>16318.450999999999</v>
      </c>
      <c r="L76" s="1">
        <f t="shared" si="43"/>
        <v>724.28789999999981</v>
      </c>
      <c r="M76" s="2">
        <f t="shared" si="43"/>
        <v>362.32999999999993</v>
      </c>
      <c r="N76" s="86">
        <f t="shared" si="43"/>
        <v>512.19799999999987</v>
      </c>
      <c r="O76" s="2">
        <f t="shared" si="43"/>
        <v>1139.9050999999999</v>
      </c>
      <c r="P76" s="2">
        <f t="shared" si="43"/>
        <v>338.32299999999987</v>
      </c>
      <c r="Q76" s="2">
        <f t="shared" si="43"/>
        <v>365.51960000000008</v>
      </c>
      <c r="R76" s="75">
        <f t="shared" si="44"/>
        <v>3442.5635999999995</v>
      </c>
      <c r="S76" s="84">
        <f t="shared" si="45"/>
        <v>-1.4952064957010291E-2</v>
      </c>
      <c r="T76" s="65">
        <f t="shared" si="45"/>
        <v>-1.2620743084677227E-2</v>
      </c>
      <c r="U76" s="65">
        <f t="shared" si="45"/>
        <v>-6.3706623839428489E-3</v>
      </c>
      <c r="V76" s="65">
        <f t="shared" si="45"/>
        <v>-8.6413341246318331E-3</v>
      </c>
      <c r="W76" s="65">
        <f t="shared" si="45"/>
        <v>1.2736589059775483E-2</v>
      </c>
      <c r="X76" s="65">
        <f t="shared" si="45"/>
        <v>1.1570536865747078E-2</v>
      </c>
      <c r="Y76" s="66">
        <f t="shared" si="45"/>
        <v>-5.345660778956457E-3</v>
      </c>
    </row>
    <row r="77" spans="3:25" x14ac:dyDescent="0.4">
      <c r="C77" s="73" t="s">
        <v>10</v>
      </c>
      <c r="D77" s="71" t="s">
        <v>11</v>
      </c>
      <c r="E77" s="2">
        <f t="shared" si="41"/>
        <v>690.22999999999956</v>
      </c>
      <c r="F77" s="2">
        <f t="shared" si="41"/>
        <v>633.67200000000048</v>
      </c>
      <c r="G77" s="86">
        <f t="shared" si="41"/>
        <v>479.73899999999958</v>
      </c>
      <c r="H77" s="2">
        <f t="shared" si="41"/>
        <v>1820.5879999999997</v>
      </c>
      <c r="I77" s="2">
        <f t="shared" si="41"/>
        <v>1122.5589999999993</v>
      </c>
      <c r="J77" s="2">
        <f t="shared" si="41"/>
        <v>1518.92</v>
      </c>
      <c r="K77" s="79">
        <f t="shared" si="42"/>
        <v>6265.7079999999987</v>
      </c>
      <c r="L77" s="1">
        <f t="shared" si="43"/>
        <v>218.80299999999988</v>
      </c>
      <c r="M77" s="2">
        <f t="shared" si="43"/>
        <v>391.16400000000021</v>
      </c>
      <c r="N77" s="86">
        <f t="shared" si="43"/>
        <v>321.16300000000001</v>
      </c>
      <c r="O77" s="2">
        <f t="shared" si="43"/>
        <v>746.41300000000001</v>
      </c>
      <c r="P77" s="2">
        <f t="shared" si="43"/>
        <v>734.32200000000012</v>
      </c>
      <c r="Q77" s="2">
        <f t="shared" si="43"/>
        <v>678.6579999999999</v>
      </c>
      <c r="R77" s="75">
        <f t="shared" si="44"/>
        <v>3090.5230000000001</v>
      </c>
      <c r="S77" s="84">
        <f t="shared" si="45"/>
        <v>5.0580696747966059E-3</v>
      </c>
      <c r="T77" s="65">
        <f t="shared" si="45"/>
        <v>2.7869506683088047E-2</v>
      </c>
      <c r="U77" s="65">
        <f t="shared" si="45"/>
        <v>2.4503002235259086E-2</v>
      </c>
      <c r="V77" s="65">
        <f t="shared" si="45"/>
        <v>2.7568267925059592E-2</v>
      </c>
      <c r="W77" s="65">
        <f t="shared" si="45"/>
        <v>4.4483610293407944E-2</v>
      </c>
      <c r="X77" s="65">
        <f t="shared" si="45"/>
        <v>2.9929837488591904E-2</v>
      </c>
      <c r="Y77" s="66">
        <f t="shared" si="45"/>
        <v>2.6602111351697516E-2</v>
      </c>
    </row>
    <row r="78" spans="3:25" x14ac:dyDescent="0.4">
      <c r="C78" s="73" t="s">
        <v>12</v>
      </c>
      <c r="D78" s="71" t="s">
        <v>13</v>
      </c>
      <c r="E78" s="2">
        <f t="shared" si="41"/>
        <v>0</v>
      </c>
      <c r="F78" s="2">
        <f t="shared" si="41"/>
        <v>0</v>
      </c>
      <c r="G78" s="86">
        <f t="shared" si="41"/>
        <v>0</v>
      </c>
      <c r="H78" s="2">
        <f t="shared" si="41"/>
        <v>0</v>
      </c>
      <c r="I78" s="2">
        <f t="shared" si="41"/>
        <v>0</v>
      </c>
      <c r="J78" s="2">
        <f t="shared" si="41"/>
        <v>5999.68</v>
      </c>
      <c r="K78" s="79">
        <f t="shared" si="42"/>
        <v>5999.68</v>
      </c>
      <c r="L78" s="1">
        <f t="shared" si="43"/>
        <v>0</v>
      </c>
      <c r="M78" s="2">
        <f t="shared" si="43"/>
        <v>0</v>
      </c>
      <c r="N78" s="86">
        <f t="shared" si="43"/>
        <v>0</v>
      </c>
      <c r="O78" s="2">
        <f t="shared" si="43"/>
        <v>0</v>
      </c>
      <c r="P78" s="2">
        <f t="shared" si="43"/>
        <v>0</v>
      </c>
      <c r="Q78" s="2">
        <f t="shared" si="43"/>
        <v>235.12</v>
      </c>
      <c r="R78" s="75">
        <f t="shared" si="44"/>
        <v>235.12</v>
      </c>
      <c r="S78" s="84" t="e">
        <f t="shared" si="45"/>
        <v>#VALUE!</v>
      </c>
      <c r="T78" s="65" t="e">
        <f t="shared" si="45"/>
        <v>#VALUE!</v>
      </c>
      <c r="U78" s="65" t="e">
        <f t="shared" si="45"/>
        <v>#VALUE!</v>
      </c>
      <c r="V78" s="65" t="e">
        <f t="shared" si="45"/>
        <v>#VALUE!</v>
      </c>
      <c r="W78" s="65" t="e">
        <f t="shared" si="45"/>
        <v>#VALUE!</v>
      </c>
      <c r="X78" s="65" t="e">
        <f t="shared" si="45"/>
        <v>#VALUE!</v>
      </c>
      <c r="Y78" s="66" t="e">
        <f t="shared" si="45"/>
        <v>#VALUE!</v>
      </c>
    </row>
    <row r="79" spans="3:25" x14ac:dyDescent="0.4">
      <c r="C79" s="73" t="s">
        <v>14</v>
      </c>
      <c r="D79" s="71" t="s">
        <v>15</v>
      </c>
      <c r="E79" s="2">
        <f t="shared" si="41"/>
        <v>9.3000000000000007</v>
      </c>
      <c r="F79" s="2">
        <f t="shared" si="41"/>
        <v>7.17</v>
      </c>
      <c r="G79" s="86">
        <f t="shared" si="41"/>
        <v>0</v>
      </c>
      <c r="H79" s="2">
        <f t="shared" si="41"/>
        <v>0.45</v>
      </c>
      <c r="I79" s="2">
        <f t="shared" si="41"/>
        <v>10.79</v>
      </c>
      <c r="J79" s="2">
        <f t="shared" si="41"/>
        <v>0</v>
      </c>
      <c r="K79" s="79">
        <f t="shared" si="42"/>
        <v>27.709999999999997</v>
      </c>
      <c r="L79" s="1">
        <f t="shared" si="43"/>
        <v>1.5</v>
      </c>
      <c r="M79" s="2">
        <f t="shared" si="43"/>
        <v>2.7509999999999999</v>
      </c>
      <c r="N79" s="86">
        <f t="shared" si="43"/>
        <v>0</v>
      </c>
      <c r="O79" s="2">
        <f t="shared" si="43"/>
        <v>5.3999999999999999E-2</v>
      </c>
      <c r="P79" s="2">
        <f t="shared" si="43"/>
        <v>4.266</v>
      </c>
      <c r="Q79" s="2">
        <f t="shared" si="43"/>
        <v>0</v>
      </c>
      <c r="R79" s="75">
        <f t="shared" si="44"/>
        <v>8.5709999999999997</v>
      </c>
      <c r="S79" s="84" t="e">
        <f t="shared" si="45"/>
        <v>#VALUE!</v>
      </c>
      <c r="T79" s="65" t="e">
        <f t="shared" si="45"/>
        <v>#VALUE!</v>
      </c>
      <c r="U79" s="65" t="e">
        <f t="shared" si="45"/>
        <v>#VALUE!</v>
      </c>
      <c r="V79" s="65" t="e">
        <f t="shared" si="45"/>
        <v>#VALUE!</v>
      </c>
      <c r="W79" s="65" t="e">
        <f t="shared" si="45"/>
        <v>#VALUE!</v>
      </c>
      <c r="X79" s="65" t="e">
        <f t="shared" si="45"/>
        <v>#VALUE!</v>
      </c>
      <c r="Y79" s="66" t="e">
        <f t="shared" si="45"/>
        <v>#VALUE!</v>
      </c>
    </row>
    <row r="80" spans="3:25" x14ac:dyDescent="0.4">
      <c r="C80" s="3" t="s">
        <v>5</v>
      </c>
      <c r="D80" s="72"/>
      <c r="E80" s="63">
        <f t="shared" ref="E80:J80" si="46">SUM(E75:E79)</f>
        <v>7733.7589999999991</v>
      </c>
      <c r="F80" s="63">
        <f t="shared" si="46"/>
        <v>2951.7489999999998</v>
      </c>
      <c r="G80" s="63">
        <f t="shared" si="46"/>
        <v>3409.5830000000005</v>
      </c>
      <c r="H80" s="63">
        <f t="shared" si="46"/>
        <v>8052.2609999999977</v>
      </c>
      <c r="I80" s="63">
        <f t="shared" si="46"/>
        <v>2143.79</v>
      </c>
      <c r="J80" s="63">
        <f t="shared" si="46"/>
        <v>10857.945</v>
      </c>
      <c r="K80" s="80">
        <f t="shared" si="42"/>
        <v>35149.087</v>
      </c>
      <c r="L80" s="76">
        <f t="shared" ref="L80:Q80" si="47">SUM(L75:L79)</f>
        <v>1935.4128999999998</v>
      </c>
      <c r="M80" s="63">
        <f t="shared" si="47"/>
        <v>1273.6850000000002</v>
      </c>
      <c r="N80" s="63">
        <f t="shared" si="47"/>
        <v>1146.482</v>
      </c>
      <c r="O80" s="63">
        <f t="shared" si="47"/>
        <v>2366.7791000000002</v>
      </c>
      <c r="P80" s="63">
        <f t="shared" si="47"/>
        <v>1492.7980000000002</v>
      </c>
      <c r="Q80" s="63">
        <f t="shared" si="47"/>
        <v>2046.0886</v>
      </c>
      <c r="R80" s="77">
        <f t="shared" si="44"/>
        <v>10261.245600000002</v>
      </c>
      <c r="S80" s="82">
        <f>S70-S40</f>
        <v>-2.6932339108987624E-3</v>
      </c>
      <c r="T80" s="67">
        <f>T70-T40</f>
        <v>1.673187586160485E-2</v>
      </c>
      <c r="U80" s="67">
        <f>U70-U40</f>
        <v>9.907189377356157E-3</v>
      </c>
      <c r="V80" s="67">
        <f>V70-V40</f>
        <v>9.5538068210382909E-3</v>
      </c>
      <c r="W80" s="67">
        <f>W70-W40</f>
        <v>2.8294837812401996E-2</v>
      </c>
      <c r="X80" s="67">
        <f>X60-X10</f>
        <v>-5.3950895443333619E-2</v>
      </c>
      <c r="Y80" s="68">
        <f>Y70-Y40</f>
        <v>5.595195033087641E-3</v>
      </c>
    </row>
    <row r="81" spans="3:25" x14ac:dyDescent="0.4">
      <c r="C81" s="6"/>
      <c r="E81" s="5"/>
      <c r="F81" s="5"/>
      <c r="G81" s="5"/>
      <c r="H81" s="5"/>
      <c r="I81" s="5"/>
      <c r="J81" s="5"/>
      <c r="K81" s="6"/>
      <c r="L81" s="5"/>
      <c r="M81" s="5"/>
      <c r="N81" s="5"/>
      <c r="O81" s="5"/>
      <c r="P81" s="5"/>
      <c r="Q81" s="5"/>
      <c r="R81" s="6"/>
      <c r="S81" s="7"/>
      <c r="T81" s="7"/>
      <c r="U81" s="7"/>
      <c r="V81" s="7"/>
      <c r="W81" s="7"/>
      <c r="X81" s="7"/>
      <c r="Y81" s="7"/>
    </row>
    <row r="82" spans="3:25" x14ac:dyDescent="0.4">
      <c r="C82" s="6" t="s">
        <v>23</v>
      </c>
    </row>
    <row r="83" spans="3:25" x14ac:dyDescent="0.4">
      <c r="C83" s="87"/>
      <c r="D83" s="88"/>
      <c r="E83" s="87" t="s">
        <v>2</v>
      </c>
      <c r="F83" s="90"/>
      <c r="G83" s="90"/>
      <c r="H83" s="90"/>
      <c r="I83" s="90"/>
      <c r="J83" s="90"/>
      <c r="K83" s="88"/>
      <c r="L83" s="89" t="s">
        <v>3</v>
      </c>
      <c r="M83" s="90"/>
      <c r="N83" s="90"/>
      <c r="O83" s="90"/>
      <c r="P83" s="90"/>
      <c r="Q83" s="90"/>
      <c r="R83" s="88"/>
      <c r="S83" s="89" t="s">
        <v>4</v>
      </c>
      <c r="T83" s="90"/>
      <c r="U83" s="90"/>
      <c r="V83" s="90"/>
      <c r="W83" s="90"/>
      <c r="X83" s="90"/>
      <c r="Y83" s="88"/>
    </row>
    <row r="84" spans="3:25" x14ac:dyDescent="0.4">
      <c r="C84" s="61"/>
      <c r="D84" s="70"/>
      <c r="E84" s="74">
        <v>46113</v>
      </c>
      <c r="F84" s="62">
        <v>46143</v>
      </c>
      <c r="G84" s="62">
        <v>46174</v>
      </c>
      <c r="H84" s="62">
        <v>46204</v>
      </c>
      <c r="I84" s="62">
        <v>46235</v>
      </c>
      <c r="J84" s="62">
        <v>46266</v>
      </c>
      <c r="K84" s="64" t="s">
        <v>5</v>
      </c>
      <c r="L84" s="83">
        <v>46113</v>
      </c>
      <c r="M84" s="62">
        <v>46143</v>
      </c>
      <c r="N84" s="62">
        <v>46174</v>
      </c>
      <c r="O84" s="62">
        <v>46204</v>
      </c>
      <c r="P84" s="62">
        <v>46235</v>
      </c>
      <c r="Q84" s="62">
        <v>46266</v>
      </c>
      <c r="R84" s="64" t="s">
        <v>5</v>
      </c>
      <c r="S84" s="83">
        <v>46113</v>
      </c>
      <c r="T84" s="62">
        <v>46143</v>
      </c>
      <c r="U84" s="62">
        <v>46174</v>
      </c>
      <c r="V84" s="62">
        <v>46204</v>
      </c>
      <c r="W84" s="62">
        <v>46235</v>
      </c>
      <c r="X84" s="62">
        <v>46266</v>
      </c>
      <c r="Y84" s="64" t="s">
        <v>5</v>
      </c>
    </row>
    <row r="85" spans="3:25" x14ac:dyDescent="0.4">
      <c r="C85" s="73" t="s">
        <v>6</v>
      </c>
      <c r="D85" s="71" t="s">
        <v>7</v>
      </c>
      <c r="E85" s="2">
        <f t="shared" ref="E85:J89" si="48">E65-E15</f>
        <v>3158.5679999999993</v>
      </c>
      <c r="F85" s="2">
        <f t="shared" si="48"/>
        <v>3044.9999999999991</v>
      </c>
      <c r="G85" s="86">
        <f t="shared" si="48"/>
        <v>404.22900000000118</v>
      </c>
      <c r="H85" s="2">
        <f t="shared" si="48"/>
        <v>486.38299999999799</v>
      </c>
      <c r="I85" s="2">
        <f t="shared" si="48"/>
        <v>1640.6970000000001</v>
      </c>
      <c r="J85" s="2">
        <f t="shared" si="48"/>
        <v>1971.4119999999966</v>
      </c>
      <c r="K85" s="79">
        <f t="shared" ref="K85:K90" si="49">SUM(E85:J85)</f>
        <v>10706.288999999993</v>
      </c>
      <c r="L85" s="1">
        <f t="shared" ref="L85:Q89" si="50">L65-L15</f>
        <v>839.67200000000003</v>
      </c>
      <c r="M85" s="69">
        <f t="shared" si="50"/>
        <v>1079.511</v>
      </c>
      <c r="N85" s="86">
        <f t="shared" si="50"/>
        <v>301.00199999999904</v>
      </c>
      <c r="O85" s="2">
        <f t="shared" si="50"/>
        <v>397.80400000000009</v>
      </c>
      <c r="P85" s="2">
        <f t="shared" si="50"/>
        <v>749.74099999999999</v>
      </c>
      <c r="Q85" s="2">
        <f t="shared" si="50"/>
        <v>886.474999999999</v>
      </c>
      <c r="R85" s="75">
        <f t="shared" ref="R85:R90" si="51">SUM(L85:Q85)</f>
        <v>4254.2049999999981</v>
      </c>
      <c r="S85" s="84">
        <f t="shared" ref="S85:Y89" si="52">S65-S15</f>
        <v>-9.4730202288554333E-3</v>
      </c>
      <c r="T85" s="65">
        <f t="shared" si="52"/>
        <v>9.7172296564739247E-3</v>
      </c>
      <c r="U85" s="65">
        <f t="shared" si="52"/>
        <v>1.938606633796075E-2</v>
      </c>
      <c r="V85" s="65">
        <f t="shared" si="52"/>
        <v>2.348565204631553E-2</v>
      </c>
      <c r="W85" s="65">
        <f t="shared" si="52"/>
        <v>1.9750103274181419E-2</v>
      </c>
      <c r="X85" s="65">
        <f t="shared" si="52"/>
        <v>2.5456676857252114E-2</v>
      </c>
      <c r="Y85" s="66">
        <f t="shared" si="52"/>
        <v>1.3117490797592835E-2</v>
      </c>
    </row>
    <row r="86" spans="3:25" x14ac:dyDescent="0.4">
      <c r="C86" s="73" t="s">
        <v>8</v>
      </c>
      <c r="D86" s="59" t="s">
        <v>9</v>
      </c>
      <c r="E86" s="2">
        <f t="shared" si="48"/>
        <v>4566.4089999999997</v>
      </c>
      <c r="F86" s="2">
        <f t="shared" si="48"/>
        <v>1111.6969999999983</v>
      </c>
      <c r="G86" s="86">
        <f t="shared" si="48"/>
        <v>4437.0560000000041</v>
      </c>
      <c r="H86" s="2">
        <f t="shared" si="48"/>
        <v>7514.7879999999986</v>
      </c>
      <c r="I86" s="2">
        <f t="shared" si="48"/>
        <v>3003.9430000000002</v>
      </c>
      <c r="J86" s="2">
        <f t="shared" si="48"/>
        <v>3109.8919999999989</v>
      </c>
      <c r="K86" s="79">
        <f t="shared" si="49"/>
        <v>23743.785</v>
      </c>
      <c r="L86" s="1">
        <f t="shared" si="50"/>
        <v>735.70709999999963</v>
      </c>
      <c r="M86" s="69">
        <f t="shared" si="50"/>
        <v>-17.385999999999967</v>
      </c>
      <c r="N86" s="86">
        <f t="shared" si="50"/>
        <v>694.89220000000091</v>
      </c>
      <c r="O86" s="2">
        <f t="shared" si="50"/>
        <v>1469.0610999999999</v>
      </c>
      <c r="P86" s="2">
        <f t="shared" si="50"/>
        <v>667.57399999999984</v>
      </c>
      <c r="Q86" s="2">
        <f t="shared" si="50"/>
        <v>737.39660000000003</v>
      </c>
      <c r="R86" s="75">
        <f t="shared" si="51"/>
        <v>4287.2449999999999</v>
      </c>
      <c r="S86" s="84">
        <f t="shared" si="52"/>
        <v>-3.2424166064189186E-2</v>
      </c>
      <c r="T86" s="65">
        <f t="shared" si="52"/>
        <v>-3.2155974336038867E-2</v>
      </c>
      <c r="U86" s="65">
        <f t="shared" si="52"/>
        <v>-2.5541719882290675E-2</v>
      </c>
      <c r="V86" s="65">
        <f t="shared" si="52"/>
        <v>-9.4103591307551637E-3</v>
      </c>
      <c r="W86" s="65">
        <f t="shared" si="52"/>
        <v>-1.2336478604299039E-2</v>
      </c>
      <c r="X86" s="65">
        <f t="shared" si="52"/>
        <v>-9.4800953254812192E-3</v>
      </c>
      <c r="Y86" s="66">
        <f t="shared" si="52"/>
        <v>-2.2747594334268345E-2</v>
      </c>
    </row>
    <row r="87" spans="3:25" x14ac:dyDescent="0.4">
      <c r="C87" s="73" t="s">
        <v>10</v>
      </c>
      <c r="D87" s="71" t="s">
        <v>11</v>
      </c>
      <c r="E87" s="2">
        <f t="shared" si="48"/>
        <v>1167.4209999999985</v>
      </c>
      <c r="F87" s="2">
        <f t="shared" si="48"/>
        <v>1372.4239999999991</v>
      </c>
      <c r="G87" s="86">
        <f t="shared" si="48"/>
        <v>1258.3529999999982</v>
      </c>
      <c r="H87" s="2">
        <f t="shared" si="48"/>
        <v>2350.6509999999998</v>
      </c>
      <c r="I87" s="2">
        <f t="shared" si="48"/>
        <v>2509.4759999999969</v>
      </c>
      <c r="J87" s="2">
        <f t="shared" si="48"/>
        <v>2131.112000000001</v>
      </c>
      <c r="K87" s="79">
        <f t="shared" si="49"/>
        <v>10789.436999999994</v>
      </c>
      <c r="L87" s="1">
        <f t="shared" si="50"/>
        <v>346.98000000000093</v>
      </c>
      <c r="M87" s="69">
        <f t="shared" si="50"/>
        <v>490.07200000000125</v>
      </c>
      <c r="N87" s="86">
        <f t="shared" si="50"/>
        <v>470.44200000000001</v>
      </c>
      <c r="O87" s="2">
        <f t="shared" si="50"/>
        <v>766.01499999999987</v>
      </c>
      <c r="P87" s="2">
        <f t="shared" si="50"/>
        <v>914.67700000000013</v>
      </c>
      <c r="Q87" s="2">
        <f t="shared" si="50"/>
        <v>1023.8259999999998</v>
      </c>
      <c r="R87" s="75">
        <f t="shared" si="51"/>
        <v>4012.0120000000015</v>
      </c>
      <c r="S87" s="84">
        <f t="shared" si="52"/>
        <v>6.5374975891974996E-3</v>
      </c>
      <c r="T87" s="65">
        <f t="shared" si="52"/>
        <v>1.7846645403349182E-2</v>
      </c>
      <c r="U87" s="65">
        <f t="shared" si="52"/>
        <v>2.0717249521448322E-2</v>
      </c>
      <c r="V87" s="65">
        <f t="shared" si="52"/>
        <v>1.6964608547495236E-2</v>
      </c>
      <c r="W87" s="65">
        <f t="shared" si="52"/>
        <v>2.8336829294410643E-2</v>
      </c>
      <c r="X87" s="65">
        <f t="shared" si="52"/>
        <v>5.2692881092718635E-2</v>
      </c>
      <c r="Y87" s="66">
        <f t="shared" si="52"/>
        <v>2.4250802110429459E-2</v>
      </c>
    </row>
    <row r="88" spans="3:25" x14ac:dyDescent="0.4">
      <c r="C88" s="73" t="s">
        <v>12</v>
      </c>
      <c r="D88" s="71" t="s">
        <v>13</v>
      </c>
      <c r="E88" s="2">
        <f t="shared" si="48"/>
        <v>-9358.2080000000005</v>
      </c>
      <c r="F88" s="2">
        <f t="shared" si="48"/>
        <v>-2209.46</v>
      </c>
      <c r="G88" s="86">
        <f t="shared" si="48"/>
        <v>-11193.008</v>
      </c>
      <c r="H88" s="2">
        <f t="shared" si="48"/>
        <v>0</v>
      </c>
      <c r="I88" s="2">
        <f t="shared" si="48"/>
        <v>-6139.9040000000005</v>
      </c>
      <c r="J88" s="2">
        <f t="shared" si="48"/>
        <v>-3995.0319999999992</v>
      </c>
      <c r="K88" s="79">
        <f t="shared" si="49"/>
        <v>-32895.612000000001</v>
      </c>
      <c r="L88" s="1">
        <f t="shared" si="50"/>
        <v>-173.928</v>
      </c>
      <c r="M88" s="69">
        <f t="shared" si="50"/>
        <v>-19.309999999999999</v>
      </c>
      <c r="N88" s="86">
        <f t="shared" si="50"/>
        <v>-196.12799999999999</v>
      </c>
      <c r="O88" s="2">
        <f t="shared" si="50"/>
        <v>0</v>
      </c>
      <c r="P88" s="2">
        <f t="shared" si="50"/>
        <v>-115.904</v>
      </c>
      <c r="Q88" s="2">
        <f t="shared" si="50"/>
        <v>37.367999999999995</v>
      </c>
      <c r="R88" s="75">
        <f t="shared" si="51"/>
        <v>-467.90199999999999</v>
      </c>
      <c r="S88" s="84" t="e">
        <f t="shared" si="52"/>
        <v>#VALUE!</v>
      </c>
      <c r="T88" s="65" t="e">
        <f t="shared" si="52"/>
        <v>#VALUE!</v>
      </c>
      <c r="U88" s="65" t="e">
        <f t="shared" si="52"/>
        <v>#VALUE!</v>
      </c>
      <c r="V88" s="65" t="e">
        <f t="shared" si="52"/>
        <v>#VALUE!</v>
      </c>
      <c r="W88" s="65" t="e">
        <f t="shared" si="52"/>
        <v>#VALUE!</v>
      </c>
      <c r="X88" s="65">
        <f t="shared" si="52"/>
        <v>1.9403094075278689E-2</v>
      </c>
      <c r="Y88" s="66">
        <f t="shared" si="52"/>
        <v>2.1114024192797794E-2</v>
      </c>
    </row>
    <row r="89" spans="3:25" x14ac:dyDescent="0.4">
      <c r="C89" s="73" t="s">
        <v>14</v>
      </c>
      <c r="D89" s="71" t="s">
        <v>15</v>
      </c>
      <c r="E89" s="2">
        <f t="shared" si="48"/>
        <v>-17.75</v>
      </c>
      <c r="F89" s="2">
        <f t="shared" si="48"/>
        <v>7.17</v>
      </c>
      <c r="G89" s="86">
        <f t="shared" si="48"/>
        <v>-11.3</v>
      </c>
      <c r="H89" s="2">
        <f t="shared" si="48"/>
        <v>-11.850000000000001</v>
      </c>
      <c r="I89" s="2">
        <f t="shared" si="48"/>
        <v>9.69</v>
      </c>
      <c r="J89" s="2">
        <f t="shared" si="48"/>
        <v>0</v>
      </c>
      <c r="K89" s="79">
        <f t="shared" si="49"/>
        <v>-24.040000000000006</v>
      </c>
      <c r="L89" s="1">
        <f t="shared" si="50"/>
        <v>-3.8010000000000002</v>
      </c>
      <c r="M89" s="69">
        <f t="shared" si="50"/>
        <v>2.7509999999999999</v>
      </c>
      <c r="N89" s="86">
        <f t="shared" si="50"/>
        <v>-2.4990000000000001</v>
      </c>
      <c r="O89" s="2">
        <f t="shared" si="50"/>
        <v>-4.7459999999999996</v>
      </c>
      <c r="P89" s="2">
        <f t="shared" si="50"/>
        <v>3.891</v>
      </c>
      <c r="Q89" s="2">
        <f t="shared" si="50"/>
        <v>0</v>
      </c>
      <c r="R89" s="75">
        <f t="shared" si="51"/>
        <v>-4.4039999999999999</v>
      </c>
      <c r="S89" s="84">
        <f t="shared" si="52"/>
        <v>-3.4680102557987008E-2</v>
      </c>
      <c r="T89" s="65" t="e">
        <f t="shared" si="52"/>
        <v>#VALUE!</v>
      </c>
      <c r="U89" s="65" t="e">
        <f t="shared" si="52"/>
        <v>#VALUE!</v>
      </c>
      <c r="V89" s="65">
        <f t="shared" si="52"/>
        <v>-0.27024390243902435</v>
      </c>
      <c r="W89" s="65">
        <f t="shared" si="52"/>
        <v>5.4456988794338246E-2</v>
      </c>
      <c r="X89" s="65" t="e">
        <f t="shared" si="52"/>
        <v>#VALUE!</v>
      </c>
      <c r="Y89" s="66">
        <f t="shared" si="52"/>
        <v>5.8586080471132174E-2</v>
      </c>
    </row>
    <row r="90" spans="3:25" x14ac:dyDescent="0.4">
      <c r="C90" s="3" t="s">
        <v>5</v>
      </c>
      <c r="D90" s="72"/>
      <c r="E90" s="63">
        <f t="shared" ref="E90:J90" si="53">SUM(E85:E89)</f>
        <v>-483.56000000000313</v>
      </c>
      <c r="F90" s="63">
        <f t="shared" si="53"/>
        <v>3326.8309999999965</v>
      </c>
      <c r="G90" s="63">
        <f t="shared" si="53"/>
        <v>-5104.6699999999964</v>
      </c>
      <c r="H90" s="63">
        <f t="shared" si="53"/>
        <v>10339.971999999996</v>
      </c>
      <c r="I90" s="63">
        <f t="shared" si="53"/>
        <v>1023.9019999999969</v>
      </c>
      <c r="J90" s="63">
        <f t="shared" si="53"/>
        <v>3217.3839999999973</v>
      </c>
      <c r="K90" s="80">
        <f t="shared" si="49"/>
        <v>12319.858999999986</v>
      </c>
      <c r="L90" s="63">
        <f t="shared" ref="L90:Q90" si="54">SUM(L85:L89)</f>
        <v>1744.6301000000008</v>
      </c>
      <c r="M90" s="63">
        <f t="shared" si="54"/>
        <v>1535.6380000000013</v>
      </c>
      <c r="N90" s="63">
        <f t="shared" si="54"/>
        <v>1267.7092</v>
      </c>
      <c r="O90" s="63">
        <f t="shared" si="54"/>
        <v>2628.1340999999998</v>
      </c>
      <c r="P90" s="63">
        <f t="shared" si="54"/>
        <v>2219.9790000000003</v>
      </c>
      <c r="Q90" s="63">
        <f t="shared" si="54"/>
        <v>2685.0655999999985</v>
      </c>
      <c r="R90" s="77">
        <f t="shared" si="51"/>
        <v>12081.155999999999</v>
      </c>
      <c r="S90" s="82">
        <f>S70-S20</f>
        <v>4.5785769017786526E-2</v>
      </c>
      <c r="T90" s="67">
        <f>T70-T20</f>
        <v>2.2934000786626885E-2</v>
      </c>
      <c r="U90" s="67">
        <f>U80-U50</f>
        <v>-5.2690468081950909E-2</v>
      </c>
      <c r="V90" s="67">
        <f>V80-V50</f>
        <v>1.9972885660675788E-2</v>
      </c>
      <c r="W90" s="67">
        <f>W80-W50</f>
        <v>-3.4145006192144445E-3</v>
      </c>
      <c r="X90" s="67">
        <f>X80-X50</f>
        <v>-0.13003613957071269</v>
      </c>
      <c r="Y90" s="68">
        <f>Y70-Y20</f>
        <v>4.4302077592847072E-2</v>
      </c>
    </row>
  </sheetData>
  <mergeCells count="36">
    <mergeCell ref="C13:D13"/>
    <mergeCell ref="C53:D53"/>
    <mergeCell ref="C3:D3"/>
    <mergeCell ref="S53:Y53"/>
    <mergeCell ref="S33:Y33"/>
    <mergeCell ref="E3:K3"/>
    <mergeCell ref="E43:K43"/>
    <mergeCell ref="S43:Y43"/>
    <mergeCell ref="E33:K33"/>
    <mergeCell ref="C43:D43"/>
    <mergeCell ref="E23:K23"/>
    <mergeCell ref="S3:Y3"/>
    <mergeCell ref="L13:R13"/>
    <mergeCell ref="L3:R3"/>
    <mergeCell ref="L43:R43"/>
    <mergeCell ref="C23:D23"/>
    <mergeCell ref="S23:Y23"/>
    <mergeCell ref="L33:R33"/>
    <mergeCell ref="E13:K13"/>
    <mergeCell ref="L23:R23"/>
    <mergeCell ref="S13:Y13"/>
    <mergeCell ref="C83:D83"/>
    <mergeCell ref="L63:R63"/>
    <mergeCell ref="C33:D33"/>
    <mergeCell ref="S83:Y83"/>
    <mergeCell ref="C73:D73"/>
    <mergeCell ref="S63:Y63"/>
    <mergeCell ref="E53:K53"/>
    <mergeCell ref="C63:D63"/>
    <mergeCell ref="E83:K83"/>
    <mergeCell ref="L53:R53"/>
    <mergeCell ref="E73:K73"/>
    <mergeCell ref="S73:Y73"/>
    <mergeCell ref="E63:K63"/>
    <mergeCell ref="L83:R83"/>
    <mergeCell ref="L73:R73"/>
  </mergeCells>
  <phoneticPr fontId="2"/>
  <printOptions horizontalCentered="1" verticalCentered="1"/>
  <pageMargins left="0.70866141732283472" right="0.70866141732283472" top="0.74803149606299213" bottom="0.74803149606299213" header="0.31496062992125978" footer="0.31496062992125978"/>
  <pageSetup paperSize="8" scale="66"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D1:U13"/>
  <sheetViews>
    <sheetView workbookViewId="0">
      <selection activeCell="P12" sqref="P12"/>
    </sheetView>
  </sheetViews>
  <sheetFormatPr defaultRowHeight="18.75" x14ac:dyDescent="0.4"/>
  <cols>
    <col min="4" max="5" width="1.625" style="85" customWidth="1"/>
    <col min="21" max="21" width="54.375" style="85" customWidth="1"/>
  </cols>
  <sheetData>
    <row r="1" spans="4:21" ht="21.75" customHeight="1" x14ac:dyDescent="0.4">
      <c r="D1" s="96" t="s">
        <v>26</v>
      </c>
      <c r="E1" s="97"/>
      <c r="F1" s="98"/>
      <c r="G1" s="98"/>
      <c r="H1" s="98"/>
      <c r="I1" s="98"/>
      <c r="J1" s="98"/>
      <c r="K1" s="98"/>
      <c r="L1" s="98"/>
      <c r="M1" s="98"/>
      <c r="N1" s="98"/>
      <c r="O1" s="98"/>
      <c r="P1" s="98"/>
      <c r="Q1" s="98"/>
      <c r="R1" s="98"/>
      <c r="S1" s="98"/>
      <c r="T1" s="98"/>
      <c r="U1" s="97"/>
    </row>
    <row r="3" spans="4:21" x14ac:dyDescent="0.4">
      <c r="D3" s="20" t="s">
        <v>27</v>
      </c>
      <c r="E3" s="21"/>
      <c r="F3" s="21"/>
      <c r="G3" s="21"/>
      <c r="H3" s="21"/>
      <c r="I3" s="21"/>
      <c r="J3" s="21"/>
      <c r="K3" s="21"/>
      <c r="L3" s="21"/>
      <c r="M3" s="21"/>
      <c r="N3" s="21"/>
      <c r="O3" s="21"/>
      <c r="P3" s="21"/>
      <c r="Q3" s="21"/>
      <c r="R3" s="21"/>
      <c r="S3" s="21"/>
      <c r="T3" s="21"/>
      <c r="U3" s="22"/>
    </row>
    <row r="4" spans="4:21" x14ac:dyDescent="0.4">
      <c r="D4" s="23" t="s">
        <v>28</v>
      </c>
      <c r="U4" s="38"/>
    </row>
    <row r="5" spans="4:21" x14ac:dyDescent="0.4">
      <c r="D5" s="24" t="s">
        <v>29</v>
      </c>
      <c r="E5" s="36"/>
      <c r="F5" s="36"/>
      <c r="G5" s="36"/>
      <c r="H5" s="36"/>
      <c r="I5" s="36"/>
      <c r="J5" s="36"/>
      <c r="K5" s="36"/>
      <c r="L5" s="36"/>
      <c r="M5" s="36"/>
      <c r="N5" s="36"/>
      <c r="O5" s="36"/>
      <c r="P5" s="36"/>
      <c r="Q5" s="36"/>
      <c r="R5" s="36"/>
      <c r="S5" s="36"/>
      <c r="T5" s="36"/>
      <c r="U5" s="37"/>
    </row>
    <row r="7" spans="4:21" x14ac:dyDescent="0.4">
      <c r="D7" s="87"/>
      <c r="E7" s="101"/>
      <c r="F7" s="102"/>
      <c r="G7" s="93" t="s">
        <v>30</v>
      </c>
      <c r="H7" s="94"/>
      <c r="I7" s="95"/>
      <c r="J7" s="93" t="s">
        <v>31</v>
      </c>
      <c r="K7" s="94"/>
      <c r="L7" s="95"/>
      <c r="M7" s="93" t="s">
        <v>32</v>
      </c>
      <c r="N7" s="94"/>
      <c r="O7" s="95"/>
      <c r="P7" s="99" t="s">
        <v>33</v>
      </c>
      <c r="Q7" s="94"/>
      <c r="R7" s="94"/>
      <c r="S7" s="94"/>
      <c r="T7" s="100"/>
      <c r="U7" s="99" t="s">
        <v>34</v>
      </c>
    </row>
    <row r="8" spans="4:21" x14ac:dyDescent="0.4">
      <c r="D8" s="103"/>
      <c r="E8" s="104"/>
      <c r="F8" s="105"/>
      <c r="G8" s="32" t="s">
        <v>2</v>
      </c>
      <c r="H8" s="33" t="s">
        <v>3</v>
      </c>
      <c r="I8" s="34" t="s">
        <v>4</v>
      </c>
      <c r="J8" s="32" t="s">
        <v>2</v>
      </c>
      <c r="K8" s="33" t="s">
        <v>3</v>
      </c>
      <c r="L8" s="34" t="s">
        <v>4</v>
      </c>
      <c r="M8" s="32" t="s">
        <v>2</v>
      </c>
      <c r="N8" s="33" t="s">
        <v>3</v>
      </c>
      <c r="O8" s="34" t="s">
        <v>4</v>
      </c>
      <c r="P8" s="32" t="s">
        <v>2</v>
      </c>
      <c r="Q8" s="33" t="s">
        <v>3</v>
      </c>
      <c r="R8" s="35" t="s">
        <v>4</v>
      </c>
      <c r="S8" s="35" t="s">
        <v>35</v>
      </c>
      <c r="T8" s="34" t="s">
        <v>36</v>
      </c>
      <c r="U8" s="106"/>
    </row>
    <row r="9" spans="4:21" x14ac:dyDescent="0.4">
      <c r="D9" s="20" t="s">
        <v>37</v>
      </c>
      <c r="E9" s="21"/>
      <c r="F9" s="22"/>
      <c r="G9" s="27">
        <v>204319</v>
      </c>
      <c r="H9" s="28">
        <v>40153</v>
      </c>
      <c r="I9" s="29">
        <f>H9/G9</f>
        <v>0.19652112627802604</v>
      </c>
      <c r="J9" s="27">
        <v>199329</v>
      </c>
      <c r="K9" s="28">
        <v>43760</v>
      </c>
      <c r="L9" s="29">
        <f>K9/J9</f>
        <v>0.21953654510884016</v>
      </c>
      <c r="M9" s="27">
        <f>(G9+J9)/2</f>
        <v>201824</v>
      </c>
      <c r="N9" s="28">
        <f>(H9+K9)/2</f>
        <v>41956.5</v>
      </c>
      <c r="O9" s="29">
        <f>N9/M9</f>
        <v>0.2078865744410972</v>
      </c>
      <c r="P9" s="27">
        <f>P13+P10</f>
        <v>176500</v>
      </c>
      <c r="Q9" s="28">
        <f>Q10+Q13</f>
        <v>45580</v>
      </c>
      <c r="R9" s="30">
        <f>Q9/P9</f>
        <v>0.25824362606232293</v>
      </c>
      <c r="S9" s="30">
        <f t="shared" ref="S9:T13" si="0">P9/J9-1</f>
        <v>-0.11452924561905187</v>
      </c>
      <c r="T9" s="29">
        <f t="shared" si="0"/>
        <v>4.1590493601462608E-2</v>
      </c>
      <c r="U9" s="31"/>
    </row>
    <row r="10" spans="4:21" x14ac:dyDescent="0.4">
      <c r="D10" s="23"/>
      <c r="E10" s="16" t="s">
        <v>38</v>
      </c>
      <c r="F10" s="17"/>
      <c r="G10" s="1">
        <f>G9-G13</f>
        <v>157795</v>
      </c>
      <c r="H10" s="2">
        <f>H9-H13</f>
        <v>39114</v>
      </c>
      <c r="I10" s="9">
        <f>H10/G10</f>
        <v>0.24787857663424062</v>
      </c>
      <c r="J10" s="1">
        <f>J9-J13</f>
        <v>160434</v>
      </c>
      <c r="K10" s="2">
        <f>K9-K13</f>
        <v>43057</v>
      </c>
      <c r="L10" s="9">
        <f>K10/J10</f>
        <v>0.26837827393195957</v>
      </c>
      <c r="M10" s="1">
        <f>M9-M13</f>
        <v>159114.5</v>
      </c>
      <c r="N10" s="2">
        <f>N9-N13</f>
        <v>41085.5</v>
      </c>
      <c r="O10" s="9">
        <f>N10/M10</f>
        <v>0.25821342492356131</v>
      </c>
      <c r="P10" s="1">
        <f>P11+P12</f>
        <v>176500</v>
      </c>
      <c r="Q10" s="2">
        <f>Q11+Q12</f>
        <v>45580</v>
      </c>
      <c r="R10" s="13">
        <f>Q10/P10</f>
        <v>0.25824362606232293</v>
      </c>
      <c r="S10" s="13">
        <f t="shared" si="0"/>
        <v>0.10014086789583265</v>
      </c>
      <c r="T10" s="9">
        <f t="shared" si="0"/>
        <v>5.8596743851174082E-2</v>
      </c>
      <c r="U10" s="11"/>
    </row>
    <row r="11" spans="4:21" x14ac:dyDescent="0.4">
      <c r="D11" s="23"/>
      <c r="E11" s="18"/>
      <c r="F11" s="15" t="s">
        <v>39</v>
      </c>
      <c r="G11" s="1">
        <f>G10-G12</f>
        <v>155205</v>
      </c>
      <c r="H11" s="2">
        <f>H10-H12</f>
        <v>38557</v>
      </c>
      <c r="I11" s="9">
        <f>H11/G11</f>
        <v>0.24842627492670982</v>
      </c>
      <c r="J11" s="1">
        <f>J10-J12</f>
        <v>156814</v>
      </c>
      <c r="K11" s="2">
        <f>K10-K12</f>
        <v>42319</v>
      </c>
      <c r="L11" s="9">
        <f>K11/J11</f>
        <v>0.26986748632137436</v>
      </c>
      <c r="M11" s="1">
        <f>M10-M12</f>
        <v>156009.5</v>
      </c>
      <c r="N11" s="2">
        <f>N10-N12</f>
        <v>40438</v>
      </c>
      <c r="O11" s="9">
        <f>N11/M11</f>
        <v>0.25920216397078383</v>
      </c>
      <c r="P11" s="1">
        <v>172600</v>
      </c>
      <c r="Q11" s="2">
        <v>44770</v>
      </c>
      <c r="R11" s="13">
        <f>Q11/P11</f>
        <v>0.25938586326767094</v>
      </c>
      <c r="S11" s="13">
        <f t="shared" si="0"/>
        <v>0.10066703228028118</v>
      </c>
      <c r="T11" s="9">
        <f t="shared" si="0"/>
        <v>5.7917247572012664E-2</v>
      </c>
      <c r="U11" s="11" t="s">
        <v>40</v>
      </c>
    </row>
    <row r="12" spans="4:21" x14ac:dyDescent="0.4">
      <c r="D12" s="23"/>
      <c r="E12" s="18"/>
      <c r="F12" s="19" t="s">
        <v>41</v>
      </c>
      <c r="G12" s="1">
        <v>2590</v>
      </c>
      <c r="H12" s="2">
        <v>557</v>
      </c>
      <c r="I12" s="9">
        <f>H12/G12</f>
        <v>0.21505791505791505</v>
      </c>
      <c r="J12" s="1">
        <v>3620</v>
      </c>
      <c r="K12" s="2">
        <v>738</v>
      </c>
      <c r="L12" s="9">
        <f>K12/J12</f>
        <v>0.20386740331491712</v>
      </c>
      <c r="M12" s="1">
        <f>(G12+J12)/2</f>
        <v>3105</v>
      </c>
      <c r="N12" s="2">
        <f>(H12+K12)/2</f>
        <v>647.5</v>
      </c>
      <c r="O12" s="9">
        <f>N12/M12</f>
        <v>0.20853462157809985</v>
      </c>
      <c r="P12" s="1">
        <v>3900</v>
      </c>
      <c r="Q12" s="2">
        <v>810</v>
      </c>
      <c r="R12" s="13">
        <f>Q12/P12</f>
        <v>0.2076923076923077</v>
      </c>
      <c r="S12" s="13">
        <f t="shared" si="0"/>
        <v>7.7348066298342566E-2</v>
      </c>
      <c r="T12" s="9">
        <f t="shared" si="0"/>
        <v>9.7560975609756184E-2</v>
      </c>
      <c r="U12" s="11" t="s">
        <v>42</v>
      </c>
    </row>
    <row r="13" spans="4:21" x14ac:dyDescent="0.4">
      <c r="D13" s="24"/>
      <c r="E13" s="25" t="s">
        <v>13</v>
      </c>
      <c r="F13" s="26"/>
      <c r="G13" s="3">
        <v>46524</v>
      </c>
      <c r="H13" s="4">
        <v>1039</v>
      </c>
      <c r="I13" s="10">
        <f>H13/G13</f>
        <v>2.2332559539162584E-2</v>
      </c>
      <c r="J13" s="3">
        <v>38895</v>
      </c>
      <c r="K13" s="4">
        <v>703</v>
      </c>
      <c r="L13" s="10">
        <f>K13/J13</f>
        <v>1.8074302609589921E-2</v>
      </c>
      <c r="M13" s="3">
        <f>(G13+J13)/2</f>
        <v>42709.5</v>
      </c>
      <c r="N13" s="4">
        <f>(H13+K13)/2</f>
        <v>871</v>
      </c>
      <c r="O13" s="10">
        <f>N13/M13</f>
        <v>2.0393589248293705E-2</v>
      </c>
      <c r="P13" s="3">
        <v>0</v>
      </c>
      <c r="Q13" s="4">
        <v>0</v>
      </c>
      <c r="R13" s="14" t="e">
        <f>Q13/P13</f>
        <v>#DIV/0!</v>
      </c>
      <c r="S13" s="14">
        <f t="shared" si="0"/>
        <v>-1</v>
      </c>
      <c r="T13" s="10">
        <f t="shared" si="0"/>
        <v>-1</v>
      </c>
      <c r="U13" s="12" t="s">
        <v>43</v>
      </c>
    </row>
  </sheetData>
  <mergeCells count="7">
    <mergeCell ref="J7:L7"/>
    <mergeCell ref="D1:U1"/>
    <mergeCell ref="P7:T7"/>
    <mergeCell ref="M7:O7"/>
    <mergeCell ref="G7:I7"/>
    <mergeCell ref="D7:F8"/>
    <mergeCell ref="U7:U8"/>
  </mergeCells>
  <phoneticPr fontId="2"/>
  <pageMargins left="0.70866141732283472" right="0.70866141732283472" top="0.74803149606299213" bottom="0.74803149606299213" header="0.31496062992125978" footer="0.31496062992125978"/>
  <pageSetup paperSize="9" scale="63"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
  <sheetViews>
    <sheetView workbookViewId="0">
      <selection activeCell="F15" sqref="F15"/>
    </sheetView>
  </sheetViews>
  <sheetFormatPr defaultRowHeight="18.75" x14ac:dyDescent="0.4"/>
  <cols>
    <col min="1" max="1" width="10.875" style="85" customWidth="1"/>
    <col min="3" max="4" width="8.75" style="6" customWidth="1"/>
    <col min="6" max="7" width="8.75" style="6" customWidth="1"/>
  </cols>
  <sheetData>
    <row r="1" spans="1:12" x14ac:dyDescent="0.4">
      <c r="A1" s="40"/>
      <c r="B1" s="40"/>
      <c r="C1" s="87" t="s">
        <v>2</v>
      </c>
      <c r="D1" s="90"/>
      <c r="E1" s="88"/>
      <c r="F1" s="107" t="s">
        <v>44</v>
      </c>
      <c r="G1" s="108"/>
      <c r="H1" s="109"/>
      <c r="I1" s="110" t="s">
        <v>45</v>
      </c>
      <c r="J1" s="104"/>
      <c r="K1" s="104"/>
    </row>
    <row r="2" spans="1:12" x14ac:dyDescent="0.4">
      <c r="A2" s="40" t="s">
        <v>46</v>
      </c>
      <c r="B2" s="40" t="s">
        <v>47</v>
      </c>
      <c r="C2" s="41" t="s">
        <v>33</v>
      </c>
      <c r="D2" s="41" t="s">
        <v>48</v>
      </c>
      <c r="E2" s="40" t="s">
        <v>49</v>
      </c>
      <c r="F2" s="41" t="s">
        <v>33</v>
      </c>
      <c r="G2" s="41" t="s">
        <v>48</v>
      </c>
      <c r="H2" s="40" t="s">
        <v>49</v>
      </c>
      <c r="I2" s="41" t="s">
        <v>33</v>
      </c>
      <c r="J2" s="41" t="s">
        <v>50</v>
      </c>
      <c r="K2" s="41" t="s">
        <v>49</v>
      </c>
      <c r="L2" s="41" t="s">
        <v>51</v>
      </c>
    </row>
    <row r="3" spans="1:12" x14ac:dyDescent="0.4">
      <c r="A3" s="40" t="s">
        <v>52</v>
      </c>
      <c r="B3" s="40" t="s">
        <v>53</v>
      </c>
      <c r="C3" s="41">
        <v>74190</v>
      </c>
      <c r="D3" s="41">
        <v>106390</v>
      </c>
      <c r="E3" s="42">
        <f>D3-C3</f>
        <v>32200</v>
      </c>
      <c r="F3" s="41">
        <v>17570</v>
      </c>
      <c r="G3" s="41">
        <v>24290</v>
      </c>
      <c r="H3" s="42">
        <f>G3-F3</f>
        <v>6720</v>
      </c>
      <c r="I3" s="47">
        <f t="shared" ref="I3:J5" si="0">F3/C3</f>
        <v>0.23682436986116728</v>
      </c>
      <c r="J3" s="47">
        <f t="shared" si="0"/>
        <v>0.22831093147852241</v>
      </c>
      <c r="K3" s="48">
        <f>J3-I3</f>
        <v>-8.5134383826448723E-3</v>
      </c>
      <c r="L3" s="40" t="s">
        <v>54</v>
      </c>
    </row>
    <row r="4" spans="1:12" x14ac:dyDescent="0.4">
      <c r="A4" s="40" t="s">
        <v>55</v>
      </c>
      <c r="B4" s="40" t="s">
        <v>56</v>
      </c>
      <c r="C4" s="41">
        <v>163030</v>
      </c>
      <c r="D4" s="41">
        <v>210040</v>
      </c>
      <c r="E4" s="42">
        <f>D4-C4</f>
        <v>47010</v>
      </c>
      <c r="F4" s="41">
        <v>39830</v>
      </c>
      <c r="G4" s="41">
        <v>45668</v>
      </c>
      <c r="H4" s="42">
        <f>G4-F4</f>
        <v>5838</v>
      </c>
      <c r="I4" s="47">
        <f t="shared" si="0"/>
        <v>0.24431086303134392</v>
      </c>
      <c r="J4" s="47">
        <f t="shared" si="0"/>
        <v>0.21742525233288898</v>
      </c>
      <c r="K4" s="48">
        <f>J4-I4</f>
        <v>-2.6885610698454937E-2</v>
      </c>
      <c r="L4" s="40" t="s">
        <v>54</v>
      </c>
    </row>
    <row r="5" spans="1:12" x14ac:dyDescent="0.4">
      <c r="A5" s="44" t="s">
        <v>5</v>
      </c>
      <c r="B5" s="44" t="s">
        <v>57</v>
      </c>
      <c r="C5" s="45">
        <f>SUM(C3:C4)</f>
        <v>237220</v>
      </c>
      <c r="D5" s="45">
        <f>SUM(D3:D4)</f>
        <v>316430</v>
      </c>
      <c r="E5" s="45">
        <f>SUM(E3:E4)</f>
        <v>79210</v>
      </c>
      <c r="F5" s="45">
        <f>F3+F4</f>
        <v>57400</v>
      </c>
      <c r="G5" s="45">
        <f>G3+G4</f>
        <v>69958</v>
      </c>
      <c r="H5" s="46">
        <f>G5-F5</f>
        <v>12558</v>
      </c>
      <c r="I5" s="50">
        <f t="shared" si="0"/>
        <v>0.24196947980777336</v>
      </c>
      <c r="J5" s="50">
        <f t="shared" si="0"/>
        <v>0.22108523212084821</v>
      </c>
      <c r="K5" s="51">
        <f>J5-I5</f>
        <v>-2.088424768692515E-2</v>
      </c>
      <c r="L5" s="40" t="s">
        <v>54</v>
      </c>
    </row>
    <row r="6" spans="1:12" x14ac:dyDescent="0.4">
      <c r="A6" s="52"/>
      <c r="B6" s="52"/>
      <c r="C6" s="53"/>
      <c r="D6" s="53"/>
      <c r="E6" s="53"/>
      <c r="F6" s="53"/>
      <c r="G6" s="53"/>
      <c r="H6" s="54"/>
      <c r="I6" s="55"/>
      <c r="J6" s="55"/>
      <c r="K6" s="56"/>
    </row>
    <row r="7" spans="1:12" x14ac:dyDescent="0.4">
      <c r="A7" s="57"/>
      <c r="B7" s="57"/>
      <c r="C7" s="114" t="s">
        <v>2</v>
      </c>
      <c r="D7" s="104"/>
      <c r="E7" s="105"/>
      <c r="F7" s="111" t="s">
        <v>44</v>
      </c>
      <c r="G7" s="112"/>
      <c r="H7" s="113"/>
    </row>
    <row r="8" spans="1:12" x14ac:dyDescent="0.4">
      <c r="A8" s="40" t="s">
        <v>46</v>
      </c>
      <c r="B8" s="40" t="s">
        <v>47</v>
      </c>
      <c r="C8" s="41" t="s">
        <v>33</v>
      </c>
      <c r="D8" s="41" t="s">
        <v>48</v>
      </c>
      <c r="E8" s="40" t="s">
        <v>49</v>
      </c>
      <c r="F8" s="41" t="s">
        <v>33</v>
      </c>
      <c r="G8" s="41" t="s">
        <v>48</v>
      </c>
      <c r="H8" s="40" t="s">
        <v>49</v>
      </c>
      <c r="I8" s="41" t="s">
        <v>33</v>
      </c>
      <c r="J8" s="41" t="s">
        <v>50</v>
      </c>
      <c r="K8" s="41" t="s">
        <v>49</v>
      </c>
    </row>
    <row r="9" spans="1:12" x14ac:dyDescent="0.4">
      <c r="A9" s="40" t="s">
        <v>58</v>
      </c>
      <c r="B9" s="40" t="s">
        <v>57</v>
      </c>
      <c r="C9" s="43" t="s">
        <v>59</v>
      </c>
      <c r="D9" s="41">
        <v>47910</v>
      </c>
      <c r="E9" s="41">
        <v>47910</v>
      </c>
      <c r="F9" s="41"/>
      <c r="G9" s="41">
        <v>1013</v>
      </c>
      <c r="H9" s="41">
        <v>1013</v>
      </c>
      <c r="I9" s="49"/>
      <c r="J9" s="47">
        <f>G9/D9</f>
        <v>2.1143811312878312E-2</v>
      </c>
      <c r="K9" s="40"/>
    </row>
    <row r="10" spans="1:12" x14ac:dyDescent="0.4">
      <c r="A10" s="40" t="s">
        <v>60</v>
      </c>
      <c r="B10" s="40" t="s">
        <v>57</v>
      </c>
      <c r="C10" s="43" t="s">
        <v>59</v>
      </c>
      <c r="D10" s="41"/>
      <c r="E10" s="42">
        <f>E5-E9</f>
        <v>31300</v>
      </c>
      <c r="F10" s="41"/>
      <c r="G10" s="41"/>
      <c r="H10" s="42">
        <f>H5-H9</f>
        <v>11545</v>
      </c>
      <c r="I10" s="40"/>
      <c r="J10" s="40"/>
      <c r="K10" s="40"/>
    </row>
  </sheetData>
  <mergeCells count="5">
    <mergeCell ref="C1:E1"/>
    <mergeCell ref="F1:H1"/>
    <mergeCell ref="I1:K1"/>
    <mergeCell ref="F7:H7"/>
    <mergeCell ref="C7:E7"/>
  </mergeCells>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機械</vt:lpstr>
      <vt:lpstr>包装資材</vt:lpstr>
      <vt:lpstr>全体</vt:lpstr>
      <vt:lpstr>総括</vt:lpstr>
      <vt:lpstr>Sheet1</vt:lpstr>
      <vt:lpstr>機械!Print_Area</vt:lpstr>
      <vt:lpstr>全体!Print_Area</vt:lpstr>
      <vt:lpstr>総括!Print_Area</vt:lpstr>
      <vt:lpstr>包装資材!Print_Area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ma-takahashi</dc:creator>
  <cp:lastModifiedBy>ma-takahashi</cp:lastModifiedBy>
  <cp:lastPrinted>2026-03-24T04:28:13Z</cp:lastPrinted>
  <dcterms:created xsi:type="dcterms:W3CDTF">2024-06-27T00:13:49Z</dcterms:created>
  <dcterms:modified xsi:type="dcterms:W3CDTF">2026-10-07T04:29:41Z</dcterms:modified>
</cp:coreProperties>
</file>